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2.xml" ContentType="application/vnd.openxmlformats-officedocument.spreadsheetml.table+xml"/>
  <Override PartName="/xl/comments4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5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+xml"/>
  <Override PartName="/xl/ctrlProps/ctrlProp6.xml" ContentType="application/vnd.ms-excel.controlproperties+xml"/>
  <Override PartName="/xl/tables/table7.xml" ContentType="application/vnd.openxmlformats-officedocument.spreadsheetml.table+xml"/>
  <Override PartName="/xl/comments5.xml" ContentType="application/vnd.openxmlformats-officedocument.spreadsheetml.comments+xml"/>
  <Override PartName="/xl/drawings/drawing8.xml" ContentType="application/vnd.openxmlformats-officedocument.drawing+xml"/>
  <Override PartName="/xl/ctrlProps/ctrlProp7.xml" ContentType="application/vnd.ms-excel.controlproperties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deharo\Desktop\www\se\"/>
    </mc:Choice>
  </mc:AlternateContent>
  <bookViews>
    <workbookView xWindow="-15" yWindow="-15" windowWidth="9600" windowHeight="11955" tabRatio="918"/>
  </bookViews>
  <sheets>
    <sheet name="Lecturas" sheetId="18" r:id="rId1"/>
    <sheet name="ContadoresVuelta" sheetId="27" r:id="rId2"/>
    <sheet name="Facturacion" sheetId="10" r:id="rId3"/>
    <sheet name="AuxAutoCon" sheetId="11" r:id="rId4"/>
    <sheet name="AutoConsumos" sheetId="5" r:id="rId5"/>
    <sheet name="Resumen" sheetId="6" r:id="rId6"/>
    <sheet name="Plantilla" sheetId="13" r:id="rId7"/>
    <sheet name="A Ozaeta" sheetId="19" r:id="rId8"/>
    <sheet name="Movimientos" sheetId="15" r:id="rId9"/>
    <sheet name="Verificar" sheetId="21" r:id="rId10"/>
    <sheet name="Contratos" sheetId="22" r:id="rId11"/>
    <sheet name="pruebas" sheetId="24" r:id="rId12"/>
    <sheet name="Plantilla Sagunto" sheetId="25" r:id="rId13"/>
    <sheet name="Plantilla Gandia" sheetId="23" r:id="rId14"/>
    <sheet name="concesiones" sheetId="26" r:id="rId15"/>
  </sheets>
  <definedNames>
    <definedName name="_xlnm._FilterDatabase" localSheetId="0" hidden="1">Lecturas!$A$1:$AJ$1</definedName>
    <definedName name="_xlnm.Print_Area" localSheetId="4">AutoConsumos!$A$1:$AI$245</definedName>
    <definedName name="_xlnm.Print_Area" localSheetId="0">Lecturas!$D$457</definedName>
    <definedName name="_xlnm.Print_Area" localSheetId="6">Plantilla!$A$1:$G$245</definedName>
  </definedNames>
  <calcPr calcId="162913"/>
</workbook>
</file>

<file path=xl/calcChain.xml><?xml version="1.0" encoding="utf-8"?>
<calcChain xmlns="http://schemas.openxmlformats.org/spreadsheetml/2006/main">
  <c r="BP463" i="18" l="1"/>
  <c r="BP462" i="18"/>
  <c r="BP461" i="18"/>
  <c r="BP460" i="18"/>
  <c r="BP459" i="18"/>
  <c r="BP458" i="18"/>
  <c r="BP457" i="18"/>
  <c r="BP456" i="18"/>
  <c r="BP455" i="18"/>
  <c r="BP454" i="18"/>
  <c r="BP453" i="18"/>
  <c r="BP452" i="18"/>
  <c r="BP451" i="18"/>
  <c r="BP450" i="18"/>
  <c r="BP449" i="18"/>
  <c r="BP448" i="18"/>
  <c r="BP447" i="18"/>
  <c r="BP446" i="18"/>
  <c r="BP445" i="18"/>
  <c r="BP444" i="18"/>
  <c r="BP443" i="18"/>
  <c r="BP442" i="18"/>
  <c r="BP441" i="18"/>
  <c r="BP440" i="18"/>
  <c r="BP439" i="18"/>
  <c r="BP438" i="18"/>
  <c r="BP437" i="18"/>
  <c r="BP436" i="18"/>
  <c r="BP435" i="18"/>
  <c r="BP434" i="18"/>
  <c r="BP433" i="18"/>
  <c r="BP432" i="18"/>
  <c r="BP431" i="18"/>
  <c r="BP430" i="18"/>
  <c r="BP429" i="18"/>
  <c r="BP428" i="18"/>
  <c r="BP427" i="18"/>
  <c r="BP426" i="18"/>
  <c r="BP425" i="18"/>
  <c r="BP424" i="18"/>
  <c r="BP423" i="18"/>
  <c r="BP422" i="18"/>
  <c r="BP421" i="18"/>
  <c r="BP420" i="18"/>
  <c r="BP419" i="18"/>
  <c r="BP418" i="18"/>
  <c r="BP417" i="18"/>
  <c r="BP416" i="18"/>
  <c r="BP415" i="18"/>
  <c r="BP414" i="18"/>
  <c r="BP413" i="18"/>
  <c r="BP412" i="18"/>
  <c r="BP411" i="18"/>
  <c r="BP410" i="18"/>
  <c r="BP409" i="18"/>
  <c r="BP408" i="18"/>
  <c r="BP407" i="18"/>
  <c r="BP406" i="18"/>
  <c r="BP405" i="18"/>
  <c r="BP404" i="18"/>
  <c r="BP403" i="18"/>
  <c r="BP402" i="18"/>
  <c r="BP401" i="18"/>
  <c r="BP400" i="18"/>
  <c r="BP399" i="18"/>
  <c r="BP398" i="18"/>
  <c r="BP397" i="18"/>
  <c r="BP396" i="18"/>
  <c r="BP395" i="18"/>
  <c r="BP394" i="18"/>
  <c r="BP393" i="18"/>
  <c r="BP392" i="18"/>
  <c r="BP391" i="18"/>
  <c r="BP390" i="18"/>
  <c r="BP389" i="18"/>
  <c r="BP388" i="18"/>
  <c r="BP387" i="18"/>
  <c r="BP386" i="18"/>
  <c r="BP385" i="18"/>
  <c r="BP384" i="18"/>
  <c r="BP383" i="18"/>
  <c r="BP382" i="18"/>
  <c r="BP381" i="18"/>
  <c r="BP380" i="18"/>
  <c r="BP379" i="18"/>
  <c r="BP378" i="18"/>
  <c r="BP377" i="18"/>
  <c r="BP376" i="18"/>
  <c r="BP375" i="18"/>
  <c r="BP374" i="18"/>
  <c r="BP373" i="18"/>
  <c r="BP372" i="18"/>
  <c r="BP371" i="18"/>
  <c r="BP370" i="18"/>
  <c r="BP369" i="18"/>
  <c r="BP368" i="18"/>
  <c r="BP367" i="18"/>
  <c r="BP366" i="18"/>
  <c r="BP365" i="18"/>
  <c r="BP364" i="18"/>
  <c r="BP363" i="18"/>
  <c r="BP362" i="18"/>
  <c r="BP361" i="18"/>
  <c r="BP360" i="18"/>
  <c r="BP359" i="18"/>
  <c r="BP358" i="18"/>
  <c r="BP357" i="18"/>
  <c r="BP356" i="18"/>
  <c r="BP355" i="18"/>
  <c r="BP354" i="18"/>
  <c r="BP353" i="18"/>
  <c r="BP352" i="18"/>
  <c r="BP351" i="18"/>
  <c r="BP350" i="18"/>
  <c r="BP349" i="18"/>
  <c r="BP348" i="18"/>
  <c r="BP347" i="18"/>
  <c r="BP346" i="18"/>
  <c r="BP345" i="18"/>
  <c r="BP344" i="18"/>
  <c r="BP343" i="18"/>
  <c r="BP342" i="18"/>
  <c r="BP341" i="18"/>
  <c r="BP340" i="18"/>
  <c r="BP339" i="18"/>
  <c r="BP338" i="18"/>
  <c r="BP337" i="18"/>
  <c r="BP336" i="18"/>
  <c r="BP335" i="18"/>
  <c r="BP334" i="18"/>
  <c r="BP333" i="18"/>
  <c r="BP332" i="18"/>
  <c r="BP331" i="18"/>
  <c r="BP330" i="18"/>
  <c r="BP329" i="18"/>
  <c r="BP328" i="18"/>
  <c r="BP327" i="18"/>
  <c r="BP326" i="18"/>
  <c r="BP325" i="18"/>
  <c r="BP324" i="18"/>
  <c r="BP323" i="18"/>
  <c r="BP322" i="18"/>
  <c r="BP321" i="18"/>
  <c r="BP320" i="18"/>
  <c r="BP319" i="18"/>
  <c r="BP318" i="18"/>
  <c r="BP317" i="18"/>
  <c r="BP316" i="18"/>
  <c r="BP315" i="18"/>
  <c r="BP314" i="18"/>
  <c r="BP313" i="18"/>
  <c r="BP312" i="18"/>
  <c r="BP311" i="18"/>
  <c r="BP310" i="18"/>
  <c r="BP309" i="18"/>
  <c r="BP308" i="18"/>
  <c r="BP307" i="18"/>
  <c r="BP306" i="18"/>
  <c r="BP305" i="18"/>
  <c r="BP304" i="18"/>
  <c r="BP303" i="18"/>
  <c r="BP302" i="18"/>
  <c r="BP301" i="18"/>
  <c r="BP300" i="18"/>
  <c r="BP299" i="18"/>
  <c r="BP298" i="18"/>
  <c r="BP297" i="18"/>
  <c r="BP296" i="18"/>
  <c r="BP295" i="18"/>
  <c r="BP294" i="18"/>
  <c r="BP293" i="18"/>
  <c r="BP292" i="18"/>
  <c r="BP291" i="18"/>
  <c r="BP290" i="18"/>
  <c r="BP289" i="18"/>
  <c r="BP288" i="18"/>
  <c r="BP287" i="18"/>
  <c r="BP286" i="18"/>
  <c r="BP285" i="18"/>
  <c r="BP284" i="18"/>
  <c r="BP283" i="18"/>
  <c r="BP282" i="18"/>
  <c r="BP281" i="18"/>
  <c r="BP280" i="18"/>
  <c r="BP279" i="18"/>
  <c r="BP278" i="18"/>
  <c r="BP277" i="18"/>
  <c r="BP276" i="18"/>
  <c r="BP275" i="18"/>
  <c r="BP274" i="18"/>
  <c r="BP273" i="18"/>
  <c r="BP272" i="18"/>
  <c r="BP271" i="18"/>
  <c r="BP270" i="18"/>
  <c r="BP269" i="18"/>
  <c r="BP268" i="18"/>
  <c r="BP267" i="18"/>
  <c r="BP266" i="18"/>
  <c r="BP265" i="18"/>
  <c r="BP264" i="18"/>
  <c r="BP263" i="18"/>
  <c r="BP262" i="18"/>
  <c r="BP261" i="18"/>
  <c r="BP260" i="18"/>
  <c r="BP259" i="18"/>
  <c r="BP258" i="18"/>
  <c r="BP257" i="18"/>
  <c r="BP256" i="18"/>
  <c r="BP255" i="18"/>
  <c r="BP254" i="18"/>
  <c r="BP253" i="18"/>
  <c r="BP252" i="18"/>
  <c r="BP251" i="18"/>
  <c r="BP250" i="18"/>
  <c r="BP249" i="18"/>
  <c r="BP248" i="18"/>
  <c r="BP247" i="18"/>
  <c r="BP246" i="18"/>
  <c r="BP245" i="18"/>
  <c r="BP244" i="18"/>
  <c r="BP243" i="18"/>
  <c r="BP242" i="18"/>
  <c r="BP241" i="18"/>
  <c r="BP240" i="18"/>
  <c r="BP239" i="18"/>
  <c r="BP238" i="18"/>
  <c r="BP237" i="18"/>
  <c r="BP236" i="18"/>
  <c r="BP235" i="18"/>
  <c r="BP234" i="18"/>
  <c r="BP233" i="18"/>
  <c r="BP232" i="18"/>
  <c r="BP231" i="18"/>
  <c r="BP230" i="18"/>
  <c r="BP229" i="18"/>
  <c r="BP228" i="18"/>
  <c r="BP227" i="18"/>
  <c r="BP226" i="18"/>
  <c r="BP225" i="18"/>
  <c r="BP224" i="18"/>
  <c r="BP223" i="18"/>
  <c r="BP222" i="18"/>
  <c r="BP221" i="18"/>
  <c r="BP220" i="18"/>
  <c r="BP219" i="18"/>
  <c r="BP218" i="18"/>
  <c r="BP217" i="18"/>
  <c r="BP216" i="18"/>
  <c r="BP215" i="18"/>
  <c r="BP214" i="18"/>
  <c r="BP213" i="18"/>
  <c r="BP212" i="18"/>
  <c r="BP211" i="18"/>
  <c r="BP210" i="18"/>
  <c r="BP209" i="18"/>
  <c r="BP208" i="18"/>
  <c r="BP207" i="18"/>
  <c r="BP206" i="18"/>
  <c r="BP205" i="18"/>
  <c r="BP204" i="18"/>
  <c r="BP203" i="18"/>
  <c r="BP202" i="18"/>
  <c r="BP201" i="18"/>
  <c r="BP200" i="18"/>
  <c r="BP199" i="18"/>
  <c r="BP198" i="18"/>
  <c r="BP197" i="18"/>
  <c r="BP196" i="18"/>
  <c r="BP195" i="18"/>
  <c r="BP194" i="18"/>
  <c r="BP193" i="18"/>
  <c r="BP192" i="18"/>
  <c r="BP191" i="18"/>
  <c r="BP190" i="18"/>
  <c r="BP189" i="18"/>
  <c r="BP188" i="18"/>
  <c r="BP187" i="18"/>
  <c r="BP186" i="18"/>
  <c r="BP185" i="18"/>
  <c r="BP184" i="18"/>
  <c r="BP183" i="18"/>
  <c r="BP182" i="18"/>
  <c r="BP181" i="18"/>
  <c r="BP180" i="18"/>
  <c r="BP179" i="18"/>
  <c r="BP178" i="18"/>
  <c r="BP177" i="18"/>
  <c r="BP176" i="18"/>
  <c r="BP175" i="18"/>
  <c r="BP174" i="18"/>
  <c r="BP173" i="18"/>
  <c r="BP172" i="18"/>
  <c r="BP171" i="18"/>
  <c r="BP170" i="18"/>
  <c r="BP169" i="18"/>
  <c r="BP168" i="18"/>
  <c r="BP167" i="18"/>
  <c r="BP166" i="18"/>
  <c r="BP165" i="18"/>
  <c r="BP164" i="18"/>
  <c r="BP163" i="18"/>
  <c r="BP162" i="18"/>
  <c r="BP161" i="18"/>
  <c r="BP160" i="18"/>
  <c r="BP159" i="18"/>
  <c r="BP158" i="18"/>
  <c r="BP157" i="18"/>
  <c r="BP156" i="18"/>
  <c r="BP155" i="18"/>
  <c r="BP154" i="18"/>
  <c r="BP153" i="18"/>
  <c r="BP152" i="18"/>
  <c r="BP151" i="18"/>
  <c r="BP150" i="18"/>
  <c r="BP149" i="18"/>
  <c r="BP148" i="18"/>
  <c r="BP147" i="18"/>
  <c r="BP146" i="18"/>
  <c r="BP145" i="18"/>
  <c r="BP144" i="18"/>
  <c r="BP143" i="18"/>
  <c r="BP142" i="18"/>
  <c r="BP141" i="18"/>
  <c r="BP140" i="18"/>
  <c r="BP139" i="18"/>
  <c r="BP138" i="18"/>
  <c r="BP137" i="18"/>
  <c r="BP136" i="18"/>
  <c r="BP135" i="18"/>
  <c r="BP134" i="18"/>
  <c r="BP133" i="18"/>
  <c r="BP132" i="18"/>
  <c r="BP131" i="18"/>
  <c r="BP130" i="18"/>
  <c r="BP129" i="18"/>
  <c r="BP128" i="18"/>
  <c r="BP127" i="18"/>
  <c r="BP126" i="18"/>
  <c r="BP125" i="18"/>
  <c r="BP124" i="18"/>
  <c r="BP123" i="18"/>
  <c r="BP122" i="18"/>
  <c r="BP121" i="18"/>
  <c r="BP120" i="18"/>
  <c r="BP119" i="18"/>
  <c r="BP118" i="18"/>
  <c r="BP117" i="18"/>
  <c r="BP116" i="18"/>
  <c r="BP115" i="18"/>
  <c r="BP114" i="18"/>
  <c r="BP113" i="18"/>
  <c r="BP112" i="18"/>
  <c r="BP111" i="18"/>
  <c r="BP110" i="18"/>
  <c r="BP109" i="18"/>
  <c r="BP108" i="18"/>
  <c r="BP107" i="18"/>
  <c r="BP106" i="18"/>
  <c r="BP105" i="18"/>
  <c r="BP104" i="18"/>
  <c r="BP103" i="18"/>
  <c r="BP102" i="18"/>
  <c r="BP101" i="18"/>
  <c r="BP100" i="18"/>
  <c r="BP99" i="18"/>
  <c r="BP98" i="18"/>
  <c r="BP97" i="18"/>
  <c r="BP96" i="18"/>
  <c r="BP95" i="18"/>
  <c r="BP94" i="18"/>
  <c r="BP93" i="18"/>
  <c r="BP92" i="18"/>
  <c r="BP91" i="18"/>
  <c r="BP90" i="18"/>
  <c r="BP89" i="18"/>
  <c r="BP88" i="18"/>
  <c r="BP87" i="18"/>
  <c r="BP86" i="18"/>
  <c r="BP85" i="18"/>
  <c r="BP84" i="18"/>
  <c r="BP83" i="18"/>
  <c r="BP82" i="18"/>
  <c r="BP81" i="18"/>
  <c r="BP80" i="18"/>
  <c r="BP79" i="18"/>
  <c r="BP78" i="18"/>
  <c r="BP77" i="18"/>
  <c r="BP76" i="18"/>
  <c r="BP75" i="18"/>
  <c r="BP74" i="18"/>
  <c r="BP73" i="18"/>
  <c r="BP72" i="18"/>
  <c r="BP71" i="18"/>
  <c r="BP70" i="18"/>
  <c r="BP69" i="18"/>
  <c r="BP68" i="18"/>
  <c r="BP67" i="18"/>
  <c r="BP66" i="18"/>
  <c r="BP65" i="18"/>
  <c r="BP64" i="18"/>
  <c r="BP63" i="18"/>
  <c r="BP62" i="18"/>
  <c r="BP61" i="18"/>
  <c r="BP60" i="18"/>
  <c r="BP59" i="18"/>
  <c r="BP58" i="18"/>
  <c r="BP57" i="18"/>
  <c r="BP56" i="18"/>
  <c r="BP55" i="18"/>
  <c r="BP54" i="18"/>
  <c r="BP53" i="18"/>
  <c r="BP52" i="18"/>
  <c r="BP51" i="18"/>
  <c r="BP50" i="18"/>
  <c r="BP49" i="18"/>
  <c r="BP48" i="18"/>
  <c r="BP47" i="18"/>
  <c r="BP46" i="18"/>
  <c r="BP45" i="18"/>
  <c r="BP44" i="18"/>
  <c r="BP43" i="18"/>
  <c r="BP42" i="18"/>
  <c r="BP41" i="18"/>
  <c r="BP40" i="18"/>
  <c r="BP39" i="18"/>
  <c r="BP38" i="18"/>
  <c r="BP37" i="18"/>
  <c r="BP36" i="18"/>
  <c r="BP35" i="18"/>
  <c r="BP34" i="18"/>
  <c r="BP33" i="18"/>
  <c r="BP32" i="18"/>
  <c r="BP31" i="18"/>
  <c r="BP30" i="18"/>
  <c r="BP29" i="18"/>
  <c r="BP28" i="18"/>
  <c r="BP27" i="18"/>
  <c r="BP26" i="18"/>
  <c r="BP25" i="18"/>
  <c r="BP24" i="18"/>
  <c r="BP23" i="18"/>
  <c r="BP22" i="18"/>
  <c r="BP21" i="18"/>
  <c r="BP20" i="18"/>
  <c r="BP19" i="18"/>
  <c r="BP18" i="18"/>
  <c r="BP17" i="18"/>
  <c r="BP16" i="18"/>
  <c r="BP15" i="18"/>
  <c r="BP14" i="18"/>
  <c r="BP13" i="18"/>
  <c r="BP12" i="18"/>
  <c r="BP11" i="18"/>
  <c r="BP10" i="18"/>
  <c r="BP9" i="18"/>
  <c r="BP8" i="18"/>
  <c r="BP7" i="18"/>
  <c r="BP6" i="18"/>
  <c r="BP5" i="18"/>
  <c r="BP4" i="18"/>
  <c r="BP3" i="18"/>
  <c r="AW3" i="18" l="1"/>
  <c r="AX3" i="18"/>
  <c r="AY3" i="18"/>
  <c r="AZ3" i="18"/>
  <c r="BA3" i="18"/>
  <c r="BB3" i="18"/>
  <c r="BC3" i="18"/>
  <c r="BD3" i="18"/>
  <c r="BE3" i="18"/>
  <c r="BF3" i="18"/>
  <c r="BG3" i="18"/>
  <c r="BH3" i="18"/>
  <c r="BI3" i="18"/>
  <c r="AW4" i="18"/>
  <c r="AX4" i="18"/>
  <c r="AY4" i="18"/>
  <c r="AZ4" i="18"/>
  <c r="BA4" i="18"/>
  <c r="BB4" i="18"/>
  <c r="BC4" i="18"/>
  <c r="BD4" i="18"/>
  <c r="BE4" i="18"/>
  <c r="BF4" i="18"/>
  <c r="BG4" i="18"/>
  <c r="BH4" i="18"/>
  <c r="BI4" i="18"/>
  <c r="AW5" i="18"/>
  <c r="AX5" i="18"/>
  <c r="AY5" i="18"/>
  <c r="AZ5" i="18"/>
  <c r="BA5" i="18"/>
  <c r="BB5" i="18"/>
  <c r="BC5" i="18"/>
  <c r="BD5" i="18"/>
  <c r="BE5" i="18"/>
  <c r="BF5" i="18"/>
  <c r="BG5" i="18"/>
  <c r="BH5" i="18"/>
  <c r="BI5" i="18"/>
  <c r="AW6" i="18"/>
  <c r="AX6" i="18"/>
  <c r="AY6" i="18"/>
  <c r="AZ6" i="18"/>
  <c r="BA6" i="18"/>
  <c r="BB6" i="18"/>
  <c r="BC6" i="18"/>
  <c r="BD6" i="18"/>
  <c r="BE6" i="18"/>
  <c r="BF6" i="18"/>
  <c r="BG6" i="18"/>
  <c r="BH6" i="18"/>
  <c r="BI6" i="18"/>
  <c r="AW7" i="18"/>
  <c r="AX7" i="18"/>
  <c r="AY7" i="18"/>
  <c r="AZ7" i="18"/>
  <c r="BA7" i="18"/>
  <c r="BB7" i="18"/>
  <c r="BC7" i="18"/>
  <c r="BD7" i="18"/>
  <c r="BE7" i="18"/>
  <c r="BF7" i="18"/>
  <c r="BG7" i="18"/>
  <c r="BH7" i="18"/>
  <c r="BI7" i="18"/>
  <c r="AW8" i="18"/>
  <c r="AX8" i="18"/>
  <c r="AY8" i="18"/>
  <c r="AZ8" i="18"/>
  <c r="BA8" i="18"/>
  <c r="BB8" i="18"/>
  <c r="BC8" i="18"/>
  <c r="BD8" i="18"/>
  <c r="BE8" i="18"/>
  <c r="BF8" i="18"/>
  <c r="BG8" i="18"/>
  <c r="BH8" i="18"/>
  <c r="BI8" i="18"/>
  <c r="AW9" i="18"/>
  <c r="AX9" i="18"/>
  <c r="AY9" i="18"/>
  <c r="AZ9" i="18"/>
  <c r="BA9" i="18"/>
  <c r="BB9" i="18"/>
  <c r="BC9" i="18"/>
  <c r="BD9" i="18"/>
  <c r="BE9" i="18"/>
  <c r="BF9" i="18"/>
  <c r="BG9" i="18"/>
  <c r="BH9" i="18"/>
  <c r="BI9" i="18"/>
  <c r="AW10" i="18"/>
  <c r="AX10" i="18"/>
  <c r="AY10" i="18"/>
  <c r="AZ10" i="18"/>
  <c r="BA10" i="18"/>
  <c r="BB10" i="18"/>
  <c r="BC10" i="18"/>
  <c r="BD10" i="18"/>
  <c r="BE10" i="18"/>
  <c r="BF10" i="18"/>
  <c r="BG10" i="18"/>
  <c r="BH10" i="18"/>
  <c r="BI10" i="18"/>
  <c r="AW11" i="18"/>
  <c r="AX11" i="18"/>
  <c r="AY11" i="18"/>
  <c r="AZ11" i="18"/>
  <c r="BA11" i="18"/>
  <c r="BB11" i="18"/>
  <c r="BC11" i="18"/>
  <c r="BD11" i="18"/>
  <c r="BE11" i="18"/>
  <c r="BF11" i="18"/>
  <c r="BG11" i="18"/>
  <c r="BH11" i="18"/>
  <c r="BI11" i="18"/>
  <c r="AW12" i="18"/>
  <c r="AX12" i="18"/>
  <c r="AY12" i="18"/>
  <c r="AZ12" i="18"/>
  <c r="BA12" i="18"/>
  <c r="BB12" i="18"/>
  <c r="BC12" i="18"/>
  <c r="BD12" i="18"/>
  <c r="BE12" i="18"/>
  <c r="BF12" i="18"/>
  <c r="BG12" i="18"/>
  <c r="BH12" i="18"/>
  <c r="BI12" i="18"/>
  <c r="AW13" i="18"/>
  <c r="AX13" i="18"/>
  <c r="AY13" i="18"/>
  <c r="AZ13" i="18"/>
  <c r="BA13" i="18"/>
  <c r="BB13" i="18"/>
  <c r="BC13" i="18"/>
  <c r="BD13" i="18"/>
  <c r="BE13" i="18"/>
  <c r="BF13" i="18"/>
  <c r="BG13" i="18"/>
  <c r="BH13" i="18"/>
  <c r="BI13" i="18"/>
  <c r="AW14" i="18"/>
  <c r="AX14" i="18"/>
  <c r="AY14" i="18"/>
  <c r="AZ14" i="18"/>
  <c r="BA14" i="18"/>
  <c r="BB14" i="18"/>
  <c r="BC14" i="18"/>
  <c r="BD14" i="18"/>
  <c r="BE14" i="18"/>
  <c r="BF14" i="18"/>
  <c r="BG14" i="18"/>
  <c r="BH14" i="18"/>
  <c r="BI14" i="18"/>
  <c r="AW15" i="18"/>
  <c r="AX15" i="18"/>
  <c r="AY15" i="18"/>
  <c r="AZ15" i="18"/>
  <c r="BA15" i="18"/>
  <c r="BB15" i="18"/>
  <c r="BC15" i="18"/>
  <c r="BD15" i="18"/>
  <c r="BE15" i="18"/>
  <c r="BF15" i="18"/>
  <c r="BG15" i="18"/>
  <c r="BH15" i="18"/>
  <c r="BI15" i="18"/>
  <c r="AW16" i="18"/>
  <c r="AX16" i="18"/>
  <c r="AY16" i="18"/>
  <c r="AZ16" i="18"/>
  <c r="BA16" i="18"/>
  <c r="BB16" i="18"/>
  <c r="BC16" i="18"/>
  <c r="BD16" i="18"/>
  <c r="BE16" i="18"/>
  <c r="BF16" i="18"/>
  <c r="BG16" i="18"/>
  <c r="BH16" i="18"/>
  <c r="BI16" i="18"/>
  <c r="AW17" i="18"/>
  <c r="AX17" i="18"/>
  <c r="AY17" i="18"/>
  <c r="AZ17" i="18"/>
  <c r="BA17" i="18"/>
  <c r="BB17" i="18"/>
  <c r="BC17" i="18"/>
  <c r="BD17" i="18"/>
  <c r="BE17" i="18"/>
  <c r="BF17" i="18"/>
  <c r="BG17" i="18"/>
  <c r="BH17" i="18"/>
  <c r="BI17" i="18"/>
  <c r="AW18" i="18"/>
  <c r="AX18" i="18"/>
  <c r="AY18" i="18"/>
  <c r="AZ18" i="18"/>
  <c r="BA18" i="18"/>
  <c r="BB18" i="18"/>
  <c r="BC18" i="18"/>
  <c r="BD18" i="18"/>
  <c r="BE18" i="18"/>
  <c r="BF18" i="18"/>
  <c r="BG18" i="18"/>
  <c r="BH18" i="18"/>
  <c r="BI18" i="18"/>
  <c r="AW19" i="18"/>
  <c r="AX19" i="18"/>
  <c r="AY19" i="18"/>
  <c r="AZ19" i="18"/>
  <c r="BA19" i="18"/>
  <c r="BB19" i="18"/>
  <c r="BC19" i="18"/>
  <c r="BD19" i="18"/>
  <c r="BE19" i="18"/>
  <c r="BF19" i="18"/>
  <c r="BG19" i="18"/>
  <c r="BH19" i="18"/>
  <c r="BI19" i="18"/>
  <c r="AW20" i="18"/>
  <c r="AX20" i="18"/>
  <c r="AY20" i="18"/>
  <c r="AZ20" i="18"/>
  <c r="BA20" i="18"/>
  <c r="BB20" i="18"/>
  <c r="BC20" i="18"/>
  <c r="BD20" i="18"/>
  <c r="BE20" i="18"/>
  <c r="BF20" i="18"/>
  <c r="BG20" i="18"/>
  <c r="BH20" i="18"/>
  <c r="BI20" i="18"/>
  <c r="AW21" i="18"/>
  <c r="AX21" i="18"/>
  <c r="AY21" i="18"/>
  <c r="AZ21" i="18"/>
  <c r="BA21" i="18"/>
  <c r="BB21" i="18"/>
  <c r="BC21" i="18"/>
  <c r="BD21" i="18"/>
  <c r="BE21" i="18"/>
  <c r="BF21" i="18"/>
  <c r="BG21" i="18"/>
  <c r="BH21" i="18"/>
  <c r="BI21" i="18"/>
  <c r="AW22" i="18"/>
  <c r="AX22" i="18"/>
  <c r="AY22" i="18"/>
  <c r="AZ22" i="18"/>
  <c r="BA22" i="18"/>
  <c r="BB22" i="18"/>
  <c r="BC22" i="18"/>
  <c r="BD22" i="18"/>
  <c r="BE22" i="18"/>
  <c r="BF22" i="18"/>
  <c r="BG22" i="18"/>
  <c r="BH22" i="18"/>
  <c r="BI22" i="18"/>
  <c r="AW23" i="18"/>
  <c r="AX23" i="18"/>
  <c r="AY23" i="18"/>
  <c r="AZ23" i="18"/>
  <c r="BA23" i="18"/>
  <c r="BB23" i="18"/>
  <c r="BC23" i="18"/>
  <c r="BD23" i="18"/>
  <c r="BE23" i="18"/>
  <c r="BF23" i="18"/>
  <c r="BG23" i="18"/>
  <c r="BH23" i="18"/>
  <c r="BI23" i="18"/>
  <c r="AW24" i="18"/>
  <c r="AX24" i="18"/>
  <c r="AY24" i="18"/>
  <c r="AZ24" i="18"/>
  <c r="BA24" i="18"/>
  <c r="BB24" i="18"/>
  <c r="BC24" i="18"/>
  <c r="BD24" i="18"/>
  <c r="BE24" i="18"/>
  <c r="BF24" i="18"/>
  <c r="BG24" i="18"/>
  <c r="BH24" i="18"/>
  <c r="BI24" i="18"/>
  <c r="AW25" i="18"/>
  <c r="AX25" i="18"/>
  <c r="AY25" i="18"/>
  <c r="AZ25" i="18"/>
  <c r="BA25" i="18"/>
  <c r="BB25" i="18"/>
  <c r="BC25" i="18"/>
  <c r="BD25" i="18"/>
  <c r="BE25" i="18"/>
  <c r="BF25" i="18"/>
  <c r="BG25" i="18"/>
  <c r="BH25" i="18"/>
  <c r="BI25" i="18"/>
  <c r="AW26" i="18"/>
  <c r="AX26" i="18"/>
  <c r="AY26" i="18"/>
  <c r="AZ26" i="18"/>
  <c r="BA26" i="18"/>
  <c r="BB26" i="18"/>
  <c r="BC26" i="18"/>
  <c r="BD26" i="18"/>
  <c r="BE26" i="18"/>
  <c r="BF26" i="18"/>
  <c r="BG26" i="18"/>
  <c r="BH26" i="18"/>
  <c r="BI26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AW28" i="18"/>
  <c r="AX28" i="18"/>
  <c r="AY28" i="18"/>
  <c r="AZ28" i="18"/>
  <c r="BA28" i="18"/>
  <c r="BB28" i="18"/>
  <c r="BC28" i="18"/>
  <c r="BD28" i="18"/>
  <c r="BE28" i="18"/>
  <c r="BF28" i="18"/>
  <c r="BG28" i="18"/>
  <c r="BH28" i="18"/>
  <c r="BI28" i="18"/>
  <c r="AW29" i="18"/>
  <c r="AX29" i="18"/>
  <c r="AY29" i="18"/>
  <c r="AZ29" i="18"/>
  <c r="BA29" i="18"/>
  <c r="BB29" i="18"/>
  <c r="BC29" i="18"/>
  <c r="BD29" i="18"/>
  <c r="BE29" i="18"/>
  <c r="BF29" i="18"/>
  <c r="BG29" i="18"/>
  <c r="BH29" i="18"/>
  <c r="BI29" i="18"/>
  <c r="AW30" i="18"/>
  <c r="AX30" i="18"/>
  <c r="AY30" i="18"/>
  <c r="AZ30" i="18"/>
  <c r="BA30" i="18"/>
  <c r="BB30" i="18"/>
  <c r="BC30" i="18"/>
  <c r="BD30" i="18"/>
  <c r="BE30" i="18"/>
  <c r="BF30" i="18"/>
  <c r="BG30" i="18"/>
  <c r="BH30" i="18"/>
  <c r="BI30" i="18"/>
  <c r="AW31" i="18"/>
  <c r="AX31" i="18"/>
  <c r="AY31" i="18"/>
  <c r="AZ31" i="18"/>
  <c r="BA31" i="18"/>
  <c r="BB31" i="18"/>
  <c r="BC31" i="18"/>
  <c r="BD31" i="18"/>
  <c r="BE31" i="18"/>
  <c r="BF31" i="18"/>
  <c r="BG31" i="18"/>
  <c r="BH31" i="18"/>
  <c r="BI31" i="18"/>
  <c r="AW32" i="18"/>
  <c r="AX32" i="18"/>
  <c r="AY32" i="18"/>
  <c r="AZ32" i="18"/>
  <c r="BA32" i="18"/>
  <c r="BB32" i="18"/>
  <c r="BC32" i="18"/>
  <c r="BD32" i="18"/>
  <c r="BE32" i="18"/>
  <c r="BF32" i="18"/>
  <c r="BG32" i="18"/>
  <c r="BH32" i="18"/>
  <c r="BI32" i="18"/>
  <c r="AW33" i="18"/>
  <c r="AX33" i="18"/>
  <c r="AY33" i="18"/>
  <c r="AZ33" i="18"/>
  <c r="BA33" i="18"/>
  <c r="BB33" i="18"/>
  <c r="BC33" i="18"/>
  <c r="BD33" i="18"/>
  <c r="BE33" i="18"/>
  <c r="BF33" i="18"/>
  <c r="BG33" i="18"/>
  <c r="BH33" i="18"/>
  <c r="BI33" i="18"/>
  <c r="AW34" i="18"/>
  <c r="AX34" i="18"/>
  <c r="AY34" i="18"/>
  <c r="AZ34" i="18"/>
  <c r="BA34" i="18"/>
  <c r="BB34" i="18"/>
  <c r="BC34" i="18"/>
  <c r="BD34" i="18"/>
  <c r="BE34" i="18"/>
  <c r="BF34" i="18"/>
  <c r="BG34" i="18"/>
  <c r="BH34" i="18"/>
  <c r="BI34" i="18"/>
  <c r="AW35" i="18"/>
  <c r="AX35" i="18"/>
  <c r="AY35" i="18"/>
  <c r="AZ35" i="18"/>
  <c r="BA35" i="18"/>
  <c r="BB35" i="18"/>
  <c r="BC35" i="18"/>
  <c r="BD35" i="18"/>
  <c r="BE35" i="18"/>
  <c r="BF35" i="18"/>
  <c r="BG35" i="18"/>
  <c r="BH35" i="18"/>
  <c r="BI35" i="18"/>
  <c r="AW36" i="18"/>
  <c r="AX36" i="18"/>
  <c r="AY36" i="18"/>
  <c r="AZ36" i="18"/>
  <c r="BA36" i="18"/>
  <c r="BB36" i="18"/>
  <c r="BC36" i="18"/>
  <c r="BD36" i="18"/>
  <c r="BE36" i="18"/>
  <c r="BF36" i="18"/>
  <c r="BG36" i="18"/>
  <c r="BH36" i="18"/>
  <c r="BI36" i="18"/>
  <c r="AW37" i="18"/>
  <c r="AX37" i="18"/>
  <c r="AY37" i="18"/>
  <c r="AZ37" i="18"/>
  <c r="BA37" i="18"/>
  <c r="BB37" i="18"/>
  <c r="BC37" i="18"/>
  <c r="BD37" i="18"/>
  <c r="BE37" i="18"/>
  <c r="BF37" i="18"/>
  <c r="BG37" i="18"/>
  <c r="BH37" i="18"/>
  <c r="BI37" i="18"/>
  <c r="AW38" i="18"/>
  <c r="AX38" i="18"/>
  <c r="AY38" i="18"/>
  <c r="AZ38" i="18"/>
  <c r="BA38" i="18"/>
  <c r="BB38" i="18"/>
  <c r="BC38" i="18"/>
  <c r="BD38" i="18"/>
  <c r="BE38" i="18"/>
  <c r="BF38" i="18"/>
  <c r="BG38" i="18"/>
  <c r="BH38" i="18"/>
  <c r="BI38" i="18"/>
  <c r="AW39" i="18"/>
  <c r="AX39" i="18"/>
  <c r="AY39" i="18"/>
  <c r="AZ39" i="18"/>
  <c r="BA39" i="18"/>
  <c r="BB39" i="18"/>
  <c r="BC39" i="18"/>
  <c r="BD39" i="18"/>
  <c r="BE39" i="18"/>
  <c r="BF39" i="18"/>
  <c r="BG39" i="18"/>
  <c r="BH39" i="18"/>
  <c r="BI39" i="18"/>
  <c r="AW40" i="18"/>
  <c r="AX40" i="18"/>
  <c r="AY40" i="18"/>
  <c r="AZ40" i="18"/>
  <c r="BA40" i="18"/>
  <c r="BB40" i="18"/>
  <c r="BC40" i="18"/>
  <c r="BD40" i="18"/>
  <c r="BE40" i="18"/>
  <c r="BF40" i="18"/>
  <c r="BG40" i="18"/>
  <c r="BH40" i="18"/>
  <c r="BI40" i="18"/>
  <c r="AW41" i="18"/>
  <c r="AX41" i="18"/>
  <c r="AY41" i="18"/>
  <c r="AZ41" i="18"/>
  <c r="BA41" i="18"/>
  <c r="BB41" i="18"/>
  <c r="BC41" i="18"/>
  <c r="BD41" i="18"/>
  <c r="BE41" i="18"/>
  <c r="BF41" i="18"/>
  <c r="BG41" i="18"/>
  <c r="BH41" i="18"/>
  <c r="BI41" i="18"/>
  <c r="AW42" i="18"/>
  <c r="AX42" i="18"/>
  <c r="AY42" i="18"/>
  <c r="AZ42" i="18"/>
  <c r="BA42" i="18"/>
  <c r="BB42" i="18"/>
  <c r="BC42" i="18"/>
  <c r="BD42" i="18"/>
  <c r="BE42" i="18"/>
  <c r="BF42" i="18"/>
  <c r="BG42" i="18"/>
  <c r="BH42" i="18"/>
  <c r="BI42" i="18"/>
  <c r="AW43" i="18"/>
  <c r="AX43" i="18"/>
  <c r="AY43" i="18"/>
  <c r="AZ43" i="18"/>
  <c r="BA43" i="18"/>
  <c r="BB43" i="18"/>
  <c r="BC43" i="18"/>
  <c r="BD43" i="18"/>
  <c r="BE43" i="18"/>
  <c r="BF43" i="18"/>
  <c r="BG43" i="18"/>
  <c r="BH43" i="18"/>
  <c r="BI43" i="18"/>
  <c r="AW44" i="18"/>
  <c r="AX44" i="18"/>
  <c r="AY44" i="18"/>
  <c r="AZ44" i="18"/>
  <c r="BA44" i="18"/>
  <c r="BB44" i="18"/>
  <c r="BC44" i="18"/>
  <c r="BD44" i="18"/>
  <c r="BE44" i="18"/>
  <c r="BF44" i="18"/>
  <c r="BG44" i="18"/>
  <c r="BH44" i="18"/>
  <c r="BI44" i="18"/>
  <c r="AW45" i="18"/>
  <c r="AX45" i="18"/>
  <c r="AY45" i="18"/>
  <c r="AZ45" i="18"/>
  <c r="BA45" i="18"/>
  <c r="BB45" i="18"/>
  <c r="BC45" i="18"/>
  <c r="BD45" i="18"/>
  <c r="BE45" i="18"/>
  <c r="BF45" i="18"/>
  <c r="BG45" i="18"/>
  <c r="BH45" i="18"/>
  <c r="BI45" i="18"/>
  <c r="AW46" i="18"/>
  <c r="AX46" i="18"/>
  <c r="AY46" i="18"/>
  <c r="AZ46" i="18"/>
  <c r="BA46" i="18"/>
  <c r="BB46" i="18"/>
  <c r="BC46" i="18"/>
  <c r="BD46" i="18"/>
  <c r="BE46" i="18"/>
  <c r="BF46" i="18"/>
  <c r="BG46" i="18"/>
  <c r="BH46" i="18"/>
  <c r="BI46" i="18"/>
  <c r="AW47" i="18"/>
  <c r="AX47" i="18"/>
  <c r="AY47" i="18"/>
  <c r="AZ47" i="18"/>
  <c r="BA47" i="18"/>
  <c r="BB47" i="18"/>
  <c r="BC47" i="18"/>
  <c r="BD47" i="18"/>
  <c r="BE47" i="18"/>
  <c r="BF47" i="18"/>
  <c r="BG47" i="18"/>
  <c r="BH47" i="18"/>
  <c r="BI47" i="18"/>
  <c r="AW48" i="18"/>
  <c r="AX48" i="18"/>
  <c r="AY48" i="18"/>
  <c r="AZ48" i="18"/>
  <c r="BA48" i="18"/>
  <c r="BB48" i="18"/>
  <c r="BC48" i="18"/>
  <c r="BD48" i="18"/>
  <c r="BE48" i="18"/>
  <c r="BF48" i="18"/>
  <c r="BG48" i="18"/>
  <c r="BH48" i="18"/>
  <c r="BI48" i="18"/>
  <c r="AW49" i="18"/>
  <c r="AX49" i="18"/>
  <c r="AY49" i="18"/>
  <c r="AZ49" i="18"/>
  <c r="BA49" i="18"/>
  <c r="BB49" i="18"/>
  <c r="BC49" i="18"/>
  <c r="BD49" i="18"/>
  <c r="BE49" i="18"/>
  <c r="BF49" i="18"/>
  <c r="BG49" i="18"/>
  <c r="BH49" i="18"/>
  <c r="BI49" i="18"/>
  <c r="AW50" i="18"/>
  <c r="AX50" i="18"/>
  <c r="AY50" i="18"/>
  <c r="AZ50" i="18"/>
  <c r="BA50" i="18"/>
  <c r="BB50" i="18"/>
  <c r="BC50" i="18"/>
  <c r="BD50" i="18"/>
  <c r="BE50" i="18"/>
  <c r="BF50" i="18"/>
  <c r="BG50" i="18"/>
  <c r="BH50" i="18"/>
  <c r="BI50" i="18"/>
  <c r="AW51" i="18"/>
  <c r="AX51" i="18"/>
  <c r="AY51" i="18"/>
  <c r="AZ51" i="18"/>
  <c r="BA51" i="18"/>
  <c r="BB51" i="18"/>
  <c r="BC51" i="18"/>
  <c r="BD51" i="18"/>
  <c r="BE51" i="18"/>
  <c r="BF51" i="18"/>
  <c r="BG51" i="18"/>
  <c r="BH51" i="18"/>
  <c r="BI51" i="18"/>
  <c r="AW52" i="18"/>
  <c r="AX52" i="18"/>
  <c r="AY52" i="18"/>
  <c r="AZ52" i="18"/>
  <c r="BA52" i="18"/>
  <c r="BB52" i="18"/>
  <c r="BC52" i="18"/>
  <c r="BD52" i="18"/>
  <c r="BE52" i="18"/>
  <c r="BF52" i="18"/>
  <c r="BG52" i="18"/>
  <c r="BH52" i="18"/>
  <c r="BI52" i="18"/>
  <c r="AW53" i="18"/>
  <c r="AX53" i="18"/>
  <c r="AY53" i="18"/>
  <c r="AZ53" i="18"/>
  <c r="BA53" i="18"/>
  <c r="BB53" i="18"/>
  <c r="BC53" i="18"/>
  <c r="BD53" i="18"/>
  <c r="BE53" i="18"/>
  <c r="BF53" i="18"/>
  <c r="BG53" i="18"/>
  <c r="BH53" i="18"/>
  <c r="BI53" i="18"/>
  <c r="AW54" i="18"/>
  <c r="AX54" i="18"/>
  <c r="AY54" i="18"/>
  <c r="AZ54" i="18"/>
  <c r="BA54" i="18"/>
  <c r="BB54" i="18"/>
  <c r="BC54" i="18"/>
  <c r="BD54" i="18"/>
  <c r="BE54" i="18"/>
  <c r="BF54" i="18"/>
  <c r="BG54" i="18"/>
  <c r="BH54" i="18"/>
  <c r="BI54" i="18"/>
  <c r="AW55" i="18"/>
  <c r="AX55" i="18"/>
  <c r="AY55" i="18"/>
  <c r="AZ55" i="18"/>
  <c r="BA55" i="18"/>
  <c r="BB55" i="18"/>
  <c r="BC55" i="18"/>
  <c r="BD55" i="18"/>
  <c r="BE55" i="18"/>
  <c r="BF55" i="18"/>
  <c r="BG55" i="18"/>
  <c r="BH55" i="18"/>
  <c r="BI55" i="18"/>
  <c r="AW56" i="18"/>
  <c r="AX56" i="18"/>
  <c r="AY56" i="18"/>
  <c r="AZ56" i="18"/>
  <c r="BA56" i="18"/>
  <c r="BB56" i="18"/>
  <c r="BC56" i="18"/>
  <c r="BD56" i="18"/>
  <c r="BE56" i="18"/>
  <c r="BF56" i="18"/>
  <c r="BG56" i="18"/>
  <c r="BH56" i="18"/>
  <c r="BI56" i="18"/>
  <c r="AW57" i="18"/>
  <c r="AX57" i="18"/>
  <c r="AY57" i="18"/>
  <c r="AZ57" i="18"/>
  <c r="BA57" i="18"/>
  <c r="BB57" i="18"/>
  <c r="BC57" i="18"/>
  <c r="BD57" i="18"/>
  <c r="BE57" i="18"/>
  <c r="BF57" i="18"/>
  <c r="BG57" i="18"/>
  <c r="BH57" i="18"/>
  <c r="BI57" i="18"/>
  <c r="AW58" i="18"/>
  <c r="AX58" i="18"/>
  <c r="AY58" i="18"/>
  <c r="AZ58" i="18"/>
  <c r="BA58" i="18"/>
  <c r="BB58" i="18"/>
  <c r="BC58" i="18"/>
  <c r="BD58" i="18"/>
  <c r="BE58" i="18"/>
  <c r="BF58" i="18"/>
  <c r="BG58" i="18"/>
  <c r="BH58" i="18"/>
  <c r="BI58" i="18"/>
  <c r="AW59" i="18"/>
  <c r="AX59" i="18"/>
  <c r="AY59" i="18"/>
  <c r="AZ59" i="18"/>
  <c r="BA59" i="18"/>
  <c r="BB59" i="18"/>
  <c r="BC59" i="18"/>
  <c r="BD59" i="18"/>
  <c r="BE59" i="18"/>
  <c r="BF59" i="18"/>
  <c r="BG59" i="18"/>
  <c r="BH59" i="18"/>
  <c r="BI59" i="18"/>
  <c r="AW60" i="18"/>
  <c r="AX60" i="18"/>
  <c r="AY60" i="18"/>
  <c r="AZ60" i="18"/>
  <c r="BA60" i="18"/>
  <c r="BB60" i="18"/>
  <c r="BC60" i="18"/>
  <c r="BD60" i="18"/>
  <c r="BE60" i="18"/>
  <c r="BF60" i="18"/>
  <c r="BG60" i="18"/>
  <c r="BH60" i="18"/>
  <c r="BI60" i="18"/>
  <c r="AW61" i="18"/>
  <c r="AX61" i="18"/>
  <c r="AY61" i="18"/>
  <c r="AZ61" i="18"/>
  <c r="BA61" i="18"/>
  <c r="BB61" i="18"/>
  <c r="BC61" i="18"/>
  <c r="BD61" i="18"/>
  <c r="BE61" i="18"/>
  <c r="BF61" i="18"/>
  <c r="BG61" i="18"/>
  <c r="BH61" i="18"/>
  <c r="BI61" i="18"/>
  <c r="AW62" i="18"/>
  <c r="AX62" i="18"/>
  <c r="AY62" i="18"/>
  <c r="AZ62" i="18"/>
  <c r="BA62" i="18"/>
  <c r="BB62" i="18"/>
  <c r="BC62" i="18"/>
  <c r="BD62" i="18"/>
  <c r="BE62" i="18"/>
  <c r="BF62" i="18"/>
  <c r="BG62" i="18"/>
  <c r="BH62" i="18"/>
  <c r="BI62" i="18"/>
  <c r="AW63" i="18"/>
  <c r="AX63" i="18"/>
  <c r="AY63" i="18"/>
  <c r="AZ63" i="18"/>
  <c r="BA63" i="18"/>
  <c r="BB63" i="18"/>
  <c r="BC63" i="18"/>
  <c r="BD63" i="18"/>
  <c r="BE63" i="18"/>
  <c r="BF63" i="18"/>
  <c r="BG63" i="18"/>
  <c r="BH63" i="18"/>
  <c r="BI63" i="18"/>
  <c r="AW64" i="18"/>
  <c r="AX64" i="18"/>
  <c r="AY64" i="18"/>
  <c r="AZ64" i="18"/>
  <c r="BA64" i="18"/>
  <c r="BB64" i="18"/>
  <c r="BC64" i="18"/>
  <c r="BD64" i="18"/>
  <c r="BE64" i="18"/>
  <c r="BF64" i="18"/>
  <c r="BG64" i="18"/>
  <c r="BH64" i="18"/>
  <c r="BI64" i="18"/>
  <c r="AW65" i="18"/>
  <c r="AX65" i="18"/>
  <c r="AY65" i="18"/>
  <c r="AZ65" i="18"/>
  <c r="BA65" i="18"/>
  <c r="BB65" i="18"/>
  <c r="BC65" i="18"/>
  <c r="BD65" i="18"/>
  <c r="BE65" i="18"/>
  <c r="BF65" i="18"/>
  <c r="BG65" i="18"/>
  <c r="BH65" i="18"/>
  <c r="BI65" i="18"/>
  <c r="AW66" i="18"/>
  <c r="AX66" i="18"/>
  <c r="AY66" i="18"/>
  <c r="AZ66" i="18"/>
  <c r="BA66" i="18"/>
  <c r="BB66" i="18"/>
  <c r="BC66" i="18"/>
  <c r="BD66" i="18"/>
  <c r="BE66" i="18"/>
  <c r="BF66" i="18"/>
  <c r="BG66" i="18"/>
  <c r="BH66" i="18"/>
  <c r="BI66" i="18"/>
  <c r="AW67" i="18"/>
  <c r="AX67" i="18"/>
  <c r="AY67" i="18"/>
  <c r="AZ67" i="18"/>
  <c r="BA67" i="18"/>
  <c r="BB67" i="18"/>
  <c r="BC67" i="18"/>
  <c r="BD67" i="18"/>
  <c r="BE67" i="18"/>
  <c r="BF67" i="18"/>
  <c r="BG67" i="18"/>
  <c r="BH67" i="18"/>
  <c r="BI67" i="18"/>
  <c r="AW68" i="18"/>
  <c r="AX68" i="18"/>
  <c r="AY68" i="18"/>
  <c r="AZ68" i="18"/>
  <c r="BA68" i="18"/>
  <c r="BB68" i="18"/>
  <c r="BC68" i="18"/>
  <c r="BD68" i="18"/>
  <c r="BE68" i="18"/>
  <c r="BF68" i="18"/>
  <c r="BG68" i="18"/>
  <c r="BH68" i="18"/>
  <c r="BI68" i="18"/>
  <c r="AW69" i="18"/>
  <c r="AX69" i="18"/>
  <c r="AY69" i="18"/>
  <c r="AZ69" i="18"/>
  <c r="BA69" i="18"/>
  <c r="BB69" i="18"/>
  <c r="BC69" i="18"/>
  <c r="BD69" i="18"/>
  <c r="BE69" i="18"/>
  <c r="BF69" i="18"/>
  <c r="BG69" i="18"/>
  <c r="BH69" i="18"/>
  <c r="BI69" i="18"/>
  <c r="AW70" i="18"/>
  <c r="AX70" i="18"/>
  <c r="AY70" i="18"/>
  <c r="AZ70" i="18"/>
  <c r="BA70" i="18"/>
  <c r="BB70" i="18"/>
  <c r="BC70" i="18"/>
  <c r="BD70" i="18"/>
  <c r="BE70" i="18"/>
  <c r="BF70" i="18"/>
  <c r="BG70" i="18"/>
  <c r="BH70" i="18"/>
  <c r="BI70" i="18"/>
  <c r="AW71" i="18"/>
  <c r="AX71" i="18"/>
  <c r="AY71" i="18"/>
  <c r="AZ71" i="18"/>
  <c r="BA71" i="18"/>
  <c r="BB71" i="18"/>
  <c r="BC71" i="18"/>
  <c r="BD71" i="18"/>
  <c r="BE71" i="18"/>
  <c r="BF71" i="18"/>
  <c r="BG71" i="18"/>
  <c r="BH71" i="18"/>
  <c r="BI71" i="18"/>
  <c r="AW72" i="18"/>
  <c r="AX72" i="18"/>
  <c r="AY72" i="18"/>
  <c r="AZ72" i="18"/>
  <c r="BA72" i="18"/>
  <c r="BB72" i="18"/>
  <c r="BC72" i="18"/>
  <c r="BD72" i="18"/>
  <c r="BE72" i="18"/>
  <c r="BF72" i="18"/>
  <c r="BG72" i="18"/>
  <c r="BH72" i="18"/>
  <c r="BI72" i="18"/>
  <c r="AW73" i="18"/>
  <c r="AX73" i="18"/>
  <c r="AY73" i="18"/>
  <c r="AZ73" i="18"/>
  <c r="BA73" i="18"/>
  <c r="BB73" i="18"/>
  <c r="BC73" i="18"/>
  <c r="BD73" i="18"/>
  <c r="BE73" i="18"/>
  <c r="BF73" i="18"/>
  <c r="BG73" i="18"/>
  <c r="BH73" i="18"/>
  <c r="BI73" i="18"/>
  <c r="AW74" i="18"/>
  <c r="AX74" i="18"/>
  <c r="AY74" i="18"/>
  <c r="AZ74" i="18"/>
  <c r="BA74" i="18"/>
  <c r="BB74" i="18"/>
  <c r="BC74" i="18"/>
  <c r="BD74" i="18"/>
  <c r="BE74" i="18"/>
  <c r="BF74" i="18"/>
  <c r="BG74" i="18"/>
  <c r="BH74" i="18"/>
  <c r="BI74" i="18"/>
  <c r="AW75" i="18"/>
  <c r="AX75" i="18"/>
  <c r="AY75" i="18"/>
  <c r="AZ75" i="18"/>
  <c r="BA75" i="18"/>
  <c r="BB75" i="18"/>
  <c r="BC75" i="18"/>
  <c r="BD75" i="18"/>
  <c r="BE75" i="18"/>
  <c r="BF75" i="18"/>
  <c r="BG75" i="18"/>
  <c r="BH75" i="18"/>
  <c r="BI75" i="18"/>
  <c r="AW76" i="18"/>
  <c r="AX76" i="18"/>
  <c r="AY76" i="18"/>
  <c r="AZ76" i="18"/>
  <c r="BA76" i="18"/>
  <c r="BB76" i="18"/>
  <c r="BC76" i="18"/>
  <c r="BD76" i="18"/>
  <c r="BE76" i="18"/>
  <c r="BF76" i="18"/>
  <c r="BG76" i="18"/>
  <c r="BH76" i="18"/>
  <c r="BI76" i="18"/>
  <c r="AW77" i="18"/>
  <c r="AX77" i="18"/>
  <c r="AY77" i="18"/>
  <c r="AZ77" i="18"/>
  <c r="BA77" i="18"/>
  <c r="BB77" i="18"/>
  <c r="BC77" i="18"/>
  <c r="BD77" i="18"/>
  <c r="BE77" i="18"/>
  <c r="BF77" i="18"/>
  <c r="BG77" i="18"/>
  <c r="BH77" i="18"/>
  <c r="BI77" i="18"/>
  <c r="AW78" i="18"/>
  <c r="AX78" i="18"/>
  <c r="AY78" i="18"/>
  <c r="AZ78" i="18"/>
  <c r="BA78" i="18"/>
  <c r="BB78" i="18"/>
  <c r="BC78" i="18"/>
  <c r="BD78" i="18"/>
  <c r="BE78" i="18"/>
  <c r="BF78" i="18"/>
  <c r="BG78" i="18"/>
  <c r="BH78" i="18"/>
  <c r="BI78" i="18"/>
  <c r="AW79" i="18"/>
  <c r="AX79" i="18"/>
  <c r="AY79" i="18"/>
  <c r="AZ79" i="18"/>
  <c r="BA79" i="18"/>
  <c r="BB79" i="18"/>
  <c r="BC79" i="18"/>
  <c r="BD79" i="18"/>
  <c r="BE79" i="18"/>
  <c r="BF79" i="18"/>
  <c r="BG79" i="18"/>
  <c r="BH79" i="18"/>
  <c r="BI79" i="18"/>
  <c r="AW80" i="18"/>
  <c r="AX80" i="18"/>
  <c r="AY80" i="18"/>
  <c r="AZ80" i="18"/>
  <c r="BA80" i="18"/>
  <c r="BB80" i="18"/>
  <c r="BC80" i="18"/>
  <c r="BD80" i="18"/>
  <c r="BE80" i="18"/>
  <c r="BF80" i="18"/>
  <c r="BG80" i="18"/>
  <c r="BH80" i="18"/>
  <c r="BI80" i="18"/>
  <c r="AW81" i="18"/>
  <c r="AX81" i="18"/>
  <c r="AY81" i="18"/>
  <c r="AZ81" i="18"/>
  <c r="BA81" i="18"/>
  <c r="BB81" i="18"/>
  <c r="BC81" i="18"/>
  <c r="BD81" i="18"/>
  <c r="BE81" i="18"/>
  <c r="BF81" i="18"/>
  <c r="BG81" i="18"/>
  <c r="BH81" i="18"/>
  <c r="BI81" i="18"/>
  <c r="AW82" i="18"/>
  <c r="AX82" i="18"/>
  <c r="AY82" i="18"/>
  <c r="AZ82" i="18"/>
  <c r="BA82" i="18"/>
  <c r="BB82" i="18"/>
  <c r="BC82" i="18"/>
  <c r="BD82" i="18"/>
  <c r="BE82" i="18"/>
  <c r="BF82" i="18"/>
  <c r="BG82" i="18"/>
  <c r="BH82" i="18"/>
  <c r="BI82" i="18"/>
  <c r="AW83" i="18"/>
  <c r="AX83" i="18"/>
  <c r="AY83" i="18"/>
  <c r="AZ83" i="18"/>
  <c r="BA83" i="18"/>
  <c r="BB83" i="18"/>
  <c r="BC83" i="18"/>
  <c r="BD83" i="18"/>
  <c r="BE83" i="18"/>
  <c r="BF83" i="18"/>
  <c r="BG83" i="18"/>
  <c r="BH83" i="18"/>
  <c r="BI83" i="18"/>
  <c r="AW84" i="18"/>
  <c r="AX84" i="18"/>
  <c r="AY84" i="18"/>
  <c r="AZ84" i="18"/>
  <c r="BA84" i="18"/>
  <c r="BB84" i="18"/>
  <c r="BC84" i="18"/>
  <c r="BD84" i="18"/>
  <c r="BE84" i="18"/>
  <c r="BF84" i="18"/>
  <c r="BG84" i="18"/>
  <c r="BH84" i="18"/>
  <c r="BI84" i="18"/>
  <c r="AW85" i="18"/>
  <c r="AX85" i="18"/>
  <c r="AY85" i="18"/>
  <c r="AZ85" i="18"/>
  <c r="BA85" i="18"/>
  <c r="BB85" i="18"/>
  <c r="BC85" i="18"/>
  <c r="BD85" i="18"/>
  <c r="BE85" i="18"/>
  <c r="BF85" i="18"/>
  <c r="BG85" i="18"/>
  <c r="BH85" i="18"/>
  <c r="BI85" i="18"/>
  <c r="AW86" i="18"/>
  <c r="AX86" i="18"/>
  <c r="AY86" i="18"/>
  <c r="AZ86" i="18"/>
  <c r="BA86" i="18"/>
  <c r="BB86" i="18"/>
  <c r="BC86" i="18"/>
  <c r="BD86" i="18"/>
  <c r="BE86" i="18"/>
  <c r="BF86" i="18"/>
  <c r="BG86" i="18"/>
  <c r="BH86" i="18"/>
  <c r="BI86" i="18"/>
  <c r="AW87" i="18"/>
  <c r="AX87" i="18"/>
  <c r="AY87" i="18"/>
  <c r="AZ87" i="18"/>
  <c r="BA87" i="18"/>
  <c r="BB87" i="18"/>
  <c r="BC87" i="18"/>
  <c r="BD87" i="18"/>
  <c r="BE87" i="18"/>
  <c r="BF87" i="18"/>
  <c r="BG87" i="18"/>
  <c r="BH87" i="18"/>
  <c r="BI87" i="18"/>
  <c r="AW88" i="18"/>
  <c r="AX88" i="18"/>
  <c r="AY88" i="18"/>
  <c r="AZ88" i="18"/>
  <c r="BA88" i="18"/>
  <c r="BB88" i="18"/>
  <c r="BC88" i="18"/>
  <c r="BD88" i="18"/>
  <c r="BE88" i="18"/>
  <c r="BF88" i="18"/>
  <c r="BG88" i="18"/>
  <c r="BH88" i="18"/>
  <c r="BI88" i="18"/>
  <c r="AW89" i="18"/>
  <c r="AX89" i="18"/>
  <c r="AY89" i="18"/>
  <c r="AZ89" i="18"/>
  <c r="BA89" i="18"/>
  <c r="BB89" i="18"/>
  <c r="BC89" i="18"/>
  <c r="BD89" i="18"/>
  <c r="BE89" i="18"/>
  <c r="BF89" i="18"/>
  <c r="BG89" i="18"/>
  <c r="BH89" i="18"/>
  <c r="BI89" i="18"/>
  <c r="AW90" i="18"/>
  <c r="AX90" i="18"/>
  <c r="AY90" i="18"/>
  <c r="AZ90" i="18"/>
  <c r="BA90" i="18"/>
  <c r="BB90" i="18"/>
  <c r="BC90" i="18"/>
  <c r="BD90" i="18"/>
  <c r="BE90" i="18"/>
  <c r="BF90" i="18"/>
  <c r="BG90" i="18"/>
  <c r="BH90" i="18"/>
  <c r="BI90" i="18"/>
  <c r="AW91" i="18"/>
  <c r="AX91" i="18"/>
  <c r="AY91" i="18"/>
  <c r="AZ91" i="18"/>
  <c r="BA91" i="18"/>
  <c r="BB91" i="18"/>
  <c r="BC91" i="18"/>
  <c r="BD91" i="18"/>
  <c r="BE91" i="18"/>
  <c r="BF91" i="18"/>
  <c r="BG91" i="18"/>
  <c r="BH91" i="18"/>
  <c r="BI91" i="18"/>
  <c r="AW92" i="18"/>
  <c r="AX92" i="18"/>
  <c r="AY92" i="18"/>
  <c r="AZ92" i="18"/>
  <c r="BA92" i="18"/>
  <c r="BB92" i="18"/>
  <c r="BC92" i="18"/>
  <c r="BD92" i="18"/>
  <c r="BE92" i="18"/>
  <c r="BF92" i="18"/>
  <c r="BG92" i="18"/>
  <c r="BH92" i="18"/>
  <c r="BI92" i="18"/>
  <c r="AW93" i="18"/>
  <c r="AX93" i="18"/>
  <c r="AY93" i="18"/>
  <c r="AZ93" i="18"/>
  <c r="BA93" i="18"/>
  <c r="BB93" i="18"/>
  <c r="BC93" i="18"/>
  <c r="BD93" i="18"/>
  <c r="BE93" i="18"/>
  <c r="BF93" i="18"/>
  <c r="BG93" i="18"/>
  <c r="BH93" i="18"/>
  <c r="BI93" i="18"/>
  <c r="AW94" i="18"/>
  <c r="AX94" i="18"/>
  <c r="AY94" i="18"/>
  <c r="AZ94" i="18"/>
  <c r="BA94" i="18"/>
  <c r="BB94" i="18"/>
  <c r="BC94" i="18"/>
  <c r="BD94" i="18"/>
  <c r="BE94" i="18"/>
  <c r="BF94" i="18"/>
  <c r="BG94" i="18"/>
  <c r="BH94" i="18"/>
  <c r="BI94" i="18"/>
  <c r="AW95" i="18"/>
  <c r="AX95" i="18"/>
  <c r="AY95" i="18"/>
  <c r="AZ95" i="18"/>
  <c r="BA95" i="18"/>
  <c r="BB95" i="18"/>
  <c r="BC95" i="18"/>
  <c r="BD95" i="18"/>
  <c r="BE95" i="18"/>
  <c r="BF95" i="18"/>
  <c r="BG95" i="18"/>
  <c r="BH95" i="18"/>
  <c r="BI95" i="18"/>
  <c r="AW96" i="18"/>
  <c r="AX96" i="18"/>
  <c r="AY96" i="18"/>
  <c r="AZ96" i="18"/>
  <c r="BA96" i="18"/>
  <c r="BB96" i="18"/>
  <c r="BC96" i="18"/>
  <c r="BD96" i="18"/>
  <c r="BE96" i="18"/>
  <c r="BF96" i="18"/>
  <c r="BG96" i="18"/>
  <c r="BH96" i="18"/>
  <c r="BI96" i="18"/>
  <c r="AW97" i="18"/>
  <c r="AX97" i="18"/>
  <c r="AY97" i="18"/>
  <c r="AZ97" i="18"/>
  <c r="BA97" i="18"/>
  <c r="BB97" i="18"/>
  <c r="BC97" i="18"/>
  <c r="BD97" i="18"/>
  <c r="BE97" i="18"/>
  <c r="BF97" i="18"/>
  <c r="BG97" i="18"/>
  <c r="BH97" i="18"/>
  <c r="BI97" i="18"/>
  <c r="AW98" i="18"/>
  <c r="AX98" i="18"/>
  <c r="AY98" i="18"/>
  <c r="AZ98" i="18"/>
  <c r="BA98" i="18"/>
  <c r="BB98" i="18"/>
  <c r="BC98" i="18"/>
  <c r="BD98" i="18"/>
  <c r="BE98" i="18"/>
  <c r="BF98" i="18"/>
  <c r="BG98" i="18"/>
  <c r="BH98" i="18"/>
  <c r="BI98" i="18"/>
  <c r="AW99" i="18"/>
  <c r="AX99" i="18"/>
  <c r="AY99" i="18"/>
  <c r="AZ99" i="18"/>
  <c r="BA99" i="18"/>
  <c r="BB99" i="18"/>
  <c r="BC99" i="18"/>
  <c r="BD99" i="18"/>
  <c r="BE99" i="18"/>
  <c r="BF99" i="18"/>
  <c r="BG99" i="18"/>
  <c r="BH99" i="18"/>
  <c r="BI99" i="18"/>
  <c r="AW100" i="18"/>
  <c r="AX100" i="18"/>
  <c r="AY100" i="18"/>
  <c r="AZ100" i="18"/>
  <c r="BA100" i="18"/>
  <c r="BB100" i="18"/>
  <c r="BC100" i="18"/>
  <c r="BD100" i="18"/>
  <c r="BE100" i="18"/>
  <c r="BF100" i="18"/>
  <c r="BG100" i="18"/>
  <c r="BH100" i="18"/>
  <c r="BI100" i="18"/>
  <c r="AW101" i="18"/>
  <c r="AX101" i="18"/>
  <c r="AY101" i="18"/>
  <c r="AZ101" i="18"/>
  <c r="BA101" i="18"/>
  <c r="BB101" i="18"/>
  <c r="BC101" i="18"/>
  <c r="BD101" i="18"/>
  <c r="BE101" i="18"/>
  <c r="BF101" i="18"/>
  <c r="BG101" i="18"/>
  <c r="BH101" i="18"/>
  <c r="BI101" i="18"/>
  <c r="AW102" i="18"/>
  <c r="AX102" i="18"/>
  <c r="AY102" i="18"/>
  <c r="AZ102" i="18"/>
  <c r="BA102" i="18"/>
  <c r="BB102" i="18"/>
  <c r="BC102" i="18"/>
  <c r="BD102" i="18"/>
  <c r="BE102" i="18"/>
  <c r="BF102" i="18"/>
  <c r="BG102" i="18"/>
  <c r="BH102" i="18"/>
  <c r="BI102" i="18"/>
  <c r="AW103" i="18"/>
  <c r="AX103" i="18"/>
  <c r="AY103" i="18"/>
  <c r="AZ103" i="18"/>
  <c r="BA103" i="18"/>
  <c r="BB103" i="18"/>
  <c r="BC103" i="18"/>
  <c r="BD103" i="18"/>
  <c r="BE103" i="18"/>
  <c r="BF103" i="18"/>
  <c r="BG103" i="18"/>
  <c r="BH103" i="18"/>
  <c r="BI103" i="18"/>
  <c r="AW104" i="18"/>
  <c r="AX104" i="18"/>
  <c r="AY104" i="18"/>
  <c r="AZ104" i="18"/>
  <c r="BA104" i="18"/>
  <c r="BB104" i="18"/>
  <c r="BC104" i="18"/>
  <c r="BD104" i="18"/>
  <c r="BE104" i="18"/>
  <c r="BF104" i="18"/>
  <c r="BG104" i="18"/>
  <c r="BH104" i="18"/>
  <c r="BI104" i="18"/>
  <c r="AW105" i="18"/>
  <c r="AX105" i="18"/>
  <c r="AY105" i="18"/>
  <c r="AZ105" i="18"/>
  <c r="BA105" i="18"/>
  <c r="BB105" i="18"/>
  <c r="BC105" i="18"/>
  <c r="BD105" i="18"/>
  <c r="BE105" i="18"/>
  <c r="BF105" i="18"/>
  <c r="BG105" i="18"/>
  <c r="BH105" i="18"/>
  <c r="BI105" i="18"/>
  <c r="AW106" i="18"/>
  <c r="AX106" i="18"/>
  <c r="AY106" i="18"/>
  <c r="AZ106" i="18"/>
  <c r="BA106" i="18"/>
  <c r="BB106" i="18"/>
  <c r="BC106" i="18"/>
  <c r="BD106" i="18"/>
  <c r="BE106" i="18"/>
  <c r="BF106" i="18"/>
  <c r="BG106" i="18"/>
  <c r="BH106" i="18"/>
  <c r="BI106" i="18"/>
  <c r="AW107" i="18"/>
  <c r="AX107" i="18"/>
  <c r="AY107" i="18"/>
  <c r="AZ107" i="18"/>
  <c r="BA107" i="18"/>
  <c r="BB107" i="18"/>
  <c r="BC107" i="18"/>
  <c r="BD107" i="18"/>
  <c r="BE107" i="18"/>
  <c r="BF107" i="18"/>
  <c r="BG107" i="18"/>
  <c r="BH107" i="18"/>
  <c r="BI107" i="18"/>
  <c r="AW108" i="18"/>
  <c r="AX108" i="18"/>
  <c r="AY108" i="18"/>
  <c r="AZ108" i="18"/>
  <c r="BA108" i="18"/>
  <c r="BB108" i="18"/>
  <c r="BC108" i="18"/>
  <c r="BD108" i="18"/>
  <c r="BE108" i="18"/>
  <c r="BF108" i="18"/>
  <c r="BG108" i="18"/>
  <c r="BH108" i="18"/>
  <c r="BI108" i="18"/>
  <c r="AW109" i="18"/>
  <c r="AX109" i="18"/>
  <c r="AY109" i="18"/>
  <c r="AZ109" i="18"/>
  <c r="BA109" i="18"/>
  <c r="BB109" i="18"/>
  <c r="BC109" i="18"/>
  <c r="BD109" i="18"/>
  <c r="BE109" i="18"/>
  <c r="BF109" i="18"/>
  <c r="BG109" i="18"/>
  <c r="BH109" i="18"/>
  <c r="BI109" i="18"/>
  <c r="AW110" i="18"/>
  <c r="AX110" i="18"/>
  <c r="AY110" i="18"/>
  <c r="AZ110" i="18"/>
  <c r="BA110" i="18"/>
  <c r="BB110" i="18"/>
  <c r="BC110" i="18"/>
  <c r="BD110" i="18"/>
  <c r="BE110" i="18"/>
  <c r="BF110" i="18"/>
  <c r="BG110" i="18"/>
  <c r="BH110" i="18"/>
  <c r="BI110" i="18"/>
  <c r="AW111" i="18"/>
  <c r="AX111" i="18"/>
  <c r="AY111" i="18"/>
  <c r="AZ111" i="18"/>
  <c r="BA111" i="18"/>
  <c r="BB111" i="18"/>
  <c r="BC111" i="18"/>
  <c r="BD111" i="18"/>
  <c r="BE111" i="18"/>
  <c r="BF111" i="18"/>
  <c r="BG111" i="18"/>
  <c r="BH111" i="18"/>
  <c r="BI111" i="18"/>
  <c r="AW112" i="18"/>
  <c r="AX112" i="18"/>
  <c r="AY112" i="18"/>
  <c r="AZ112" i="18"/>
  <c r="BA112" i="18"/>
  <c r="BB112" i="18"/>
  <c r="BC112" i="18"/>
  <c r="BD112" i="18"/>
  <c r="BE112" i="18"/>
  <c r="BF112" i="18"/>
  <c r="BG112" i="18"/>
  <c r="BH112" i="18"/>
  <c r="BI112" i="18"/>
  <c r="AW113" i="18"/>
  <c r="AX113" i="18"/>
  <c r="AY113" i="18"/>
  <c r="AZ113" i="18"/>
  <c r="BA113" i="18"/>
  <c r="BB113" i="18"/>
  <c r="BC113" i="18"/>
  <c r="BD113" i="18"/>
  <c r="BE113" i="18"/>
  <c r="BF113" i="18"/>
  <c r="BG113" i="18"/>
  <c r="BH113" i="18"/>
  <c r="BI113" i="18"/>
  <c r="AW114" i="18"/>
  <c r="AX114" i="18"/>
  <c r="AY114" i="18"/>
  <c r="AZ114" i="18"/>
  <c r="BA114" i="18"/>
  <c r="BB114" i="18"/>
  <c r="BC114" i="18"/>
  <c r="BD114" i="18"/>
  <c r="BE114" i="18"/>
  <c r="BF114" i="18"/>
  <c r="BG114" i="18"/>
  <c r="BH114" i="18"/>
  <c r="BI114" i="18"/>
  <c r="AW115" i="18"/>
  <c r="AX115" i="18"/>
  <c r="AY115" i="18"/>
  <c r="AZ115" i="18"/>
  <c r="BA115" i="18"/>
  <c r="BB115" i="18"/>
  <c r="BC115" i="18"/>
  <c r="BD115" i="18"/>
  <c r="BE115" i="18"/>
  <c r="BF115" i="18"/>
  <c r="BG115" i="18"/>
  <c r="BH115" i="18"/>
  <c r="BI115" i="18"/>
  <c r="AW116" i="18"/>
  <c r="AX116" i="18"/>
  <c r="AY116" i="18"/>
  <c r="AZ116" i="18"/>
  <c r="BA116" i="18"/>
  <c r="BB116" i="18"/>
  <c r="BC116" i="18"/>
  <c r="BD116" i="18"/>
  <c r="BE116" i="18"/>
  <c r="BF116" i="18"/>
  <c r="BG116" i="18"/>
  <c r="BH116" i="18"/>
  <c r="BI116" i="18"/>
  <c r="AW117" i="18"/>
  <c r="AX117" i="18"/>
  <c r="AY117" i="18"/>
  <c r="AZ117" i="18"/>
  <c r="BA117" i="18"/>
  <c r="BB117" i="18"/>
  <c r="BC117" i="18"/>
  <c r="BD117" i="18"/>
  <c r="BE117" i="18"/>
  <c r="BF117" i="18"/>
  <c r="BG117" i="18"/>
  <c r="BH117" i="18"/>
  <c r="BI117" i="18"/>
  <c r="AW118" i="18"/>
  <c r="AX118" i="18"/>
  <c r="AY118" i="18"/>
  <c r="AZ118" i="18"/>
  <c r="BA118" i="18"/>
  <c r="BB118" i="18"/>
  <c r="BC118" i="18"/>
  <c r="BD118" i="18"/>
  <c r="BE118" i="18"/>
  <c r="BF118" i="18"/>
  <c r="BG118" i="18"/>
  <c r="BH118" i="18"/>
  <c r="BI118" i="18"/>
  <c r="AW119" i="18"/>
  <c r="AX119" i="18"/>
  <c r="AY119" i="18"/>
  <c r="AZ119" i="18"/>
  <c r="BA119" i="18"/>
  <c r="BB119" i="18"/>
  <c r="BC119" i="18"/>
  <c r="BD119" i="18"/>
  <c r="BE119" i="18"/>
  <c r="BF119" i="18"/>
  <c r="BG119" i="18"/>
  <c r="BH119" i="18"/>
  <c r="BI119" i="18"/>
  <c r="AW120" i="18"/>
  <c r="AX120" i="18"/>
  <c r="AY120" i="18"/>
  <c r="AZ120" i="18"/>
  <c r="BA120" i="18"/>
  <c r="BB120" i="18"/>
  <c r="BC120" i="18"/>
  <c r="BD120" i="18"/>
  <c r="BE120" i="18"/>
  <c r="BF120" i="18"/>
  <c r="BG120" i="18"/>
  <c r="BH120" i="18"/>
  <c r="BI120" i="18"/>
  <c r="AW121" i="18"/>
  <c r="AX121" i="18"/>
  <c r="AY121" i="18"/>
  <c r="AZ121" i="18"/>
  <c r="BA121" i="18"/>
  <c r="BB121" i="18"/>
  <c r="BC121" i="18"/>
  <c r="BD121" i="18"/>
  <c r="BE121" i="18"/>
  <c r="BF121" i="18"/>
  <c r="BG121" i="18"/>
  <c r="BH121" i="18"/>
  <c r="BI121" i="18"/>
  <c r="AW122" i="18"/>
  <c r="AX122" i="18"/>
  <c r="AY122" i="18"/>
  <c r="AZ122" i="18"/>
  <c r="BA122" i="18"/>
  <c r="BB122" i="18"/>
  <c r="BC122" i="18"/>
  <c r="BD122" i="18"/>
  <c r="BE122" i="18"/>
  <c r="BF122" i="18"/>
  <c r="BG122" i="18"/>
  <c r="BH122" i="18"/>
  <c r="BI122" i="18"/>
  <c r="AW123" i="18"/>
  <c r="AX123" i="18"/>
  <c r="AY123" i="18"/>
  <c r="AZ123" i="18"/>
  <c r="BA123" i="18"/>
  <c r="BB123" i="18"/>
  <c r="BC123" i="18"/>
  <c r="BD123" i="18"/>
  <c r="BE123" i="18"/>
  <c r="BF123" i="18"/>
  <c r="BG123" i="18"/>
  <c r="BH123" i="18"/>
  <c r="BI123" i="18"/>
  <c r="AW124" i="18"/>
  <c r="AX124" i="18"/>
  <c r="AY124" i="18"/>
  <c r="AZ124" i="18"/>
  <c r="BA124" i="18"/>
  <c r="BB124" i="18"/>
  <c r="BC124" i="18"/>
  <c r="BD124" i="18"/>
  <c r="BE124" i="18"/>
  <c r="BF124" i="18"/>
  <c r="BG124" i="18"/>
  <c r="BH124" i="18"/>
  <c r="BI124" i="18"/>
  <c r="AW125" i="18"/>
  <c r="AX125" i="18"/>
  <c r="AY125" i="18"/>
  <c r="AZ125" i="18"/>
  <c r="BA125" i="18"/>
  <c r="BB125" i="18"/>
  <c r="BC125" i="18"/>
  <c r="BD125" i="18"/>
  <c r="BE125" i="18"/>
  <c r="BF125" i="18"/>
  <c r="BG125" i="18"/>
  <c r="BH125" i="18"/>
  <c r="BI125" i="18"/>
  <c r="AW126" i="18"/>
  <c r="AX126" i="18"/>
  <c r="AY126" i="18"/>
  <c r="AZ126" i="18"/>
  <c r="BA126" i="18"/>
  <c r="BB126" i="18"/>
  <c r="BC126" i="18"/>
  <c r="BD126" i="18"/>
  <c r="BE126" i="18"/>
  <c r="BF126" i="18"/>
  <c r="BG126" i="18"/>
  <c r="BH126" i="18"/>
  <c r="BI126" i="18"/>
  <c r="AW127" i="18"/>
  <c r="AX127" i="18"/>
  <c r="AY127" i="18"/>
  <c r="AZ127" i="18"/>
  <c r="BA127" i="18"/>
  <c r="BB127" i="18"/>
  <c r="BC127" i="18"/>
  <c r="BD127" i="18"/>
  <c r="BE127" i="18"/>
  <c r="BF127" i="18"/>
  <c r="BG127" i="18"/>
  <c r="BH127" i="18"/>
  <c r="BI127" i="18"/>
  <c r="AW128" i="18"/>
  <c r="AX128" i="18"/>
  <c r="AY128" i="18"/>
  <c r="AZ128" i="18"/>
  <c r="BA128" i="18"/>
  <c r="BB128" i="18"/>
  <c r="BC128" i="18"/>
  <c r="BD128" i="18"/>
  <c r="BE128" i="18"/>
  <c r="BF128" i="18"/>
  <c r="BG128" i="18"/>
  <c r="BH128" i="18"/>
  <c r="BI128" i="18"/>
  <c r="AW129" i="18"/>
  <c r="AX129" i="18"/>
  <c r="AY129" i="18"/>
  <c r="AZ129" i="18"/>
  <c r="BA129" i="18"/>
  <c r="BB129" i="18"/>
  <c r="BC129" i="18"/>
  <c r="BD129" i="18"/>
  <c r="BE129" i="18"/>
  <c r="BF129" i="18"/>
  <c r="BG129" i="18"/>
  <c r="BH129" i="18"/>
  <c r="BI129" i="18"/>
  <c r="AW130" i="18"/>
  <c r="AX130" i="18"/>
  <c r="AY130" i="18"/>
  <c r="AZ130" i="18"/>
  <c r="BA130" i="18"/>
  <c r="BB130" i="18"/>
  <c r="BC130" i="18"/>
  <c r="BD130" i="18"/>
  <c r="BE130" i="18"/>
  <c r="BF130" i="18"/>
  <c r="BG130" i="18"/>
  <c r="BH130" i="18"/>
  <c r="BI130" i="18"/>
  <c r="AW131" i="18"/>
  <c r="AX131" i="18"/>
  <c r="AY131" i="18"/>
  <c r="AZ131" i="18"/>
  <c r="BA131" i="18"/>
  <c r="BB131" i="18"/>
  <c r="BC131" i="18"/>
  <c r="BD131" i="18"/>
  <c r="BE131" i="18"/>
  <c r="BF131" i="18"/>
  <c r="BG131" i="18"/>
  <c r="BH131" i="18"/>
  <c r="BI131" i="18"/>
  <c r="AW132" i="18"/>
  <c r="AX132" i="18"/>
  <c r="AY132" i="18"/>
  <c r="AZ132" i="18"/>
  <c r="BA132" i="18"/>
  <c r="BB132" i="18"/>
  <c r="BC132" i="18"/>
  <c r="BD132" i="18"/>
  <c r="BE132" i="18"/>
  <c r="BF132" i="18"/>
  <c r="BG132" i="18"/>
  <c r="BH132" i="18"/>
  <c r="BI132" i="18"/>
  <c r="AW133" i="18"/>
  <c r="AX133" i="18"/>
  <c r="AY133" i="18"/>
  <c r="AZ133" i="18"/>
  <c r="BA133" i="18"/>
  <c r="BB133" i="18"/>
  <c r="BC133" i="18"/>
  <c r="BD133" i="18"/>
  <c r="BE133" i="18"/>
  <c r="BF133" i="18"/>
  <c r="BG133" i="18"/>
  <c r="BH133" i="18"/>
  <c r="BI133" i="18"/>
  <c r="AW134" i="18"/>
  <c r="AX134" i="18"/>
  <c r="AY134" i="18"/>
  <c r="AZ134" i="18"/>
  <c r="BA134" i="18"/>
  <c r="BB134" i="18"/>
  <c r="BC134" i="18"/>
  <c r="BD134" i="18"/>
  <c r="BE134" i="18"/>
  <c r="BF134" i="18"/>
  <c r="BG134" i="18"/>
  <c r="BH134" i="18"/>
  <c r="BI134" i="18"/>
  <c r="AW135" i="18"/>
  <c r="AX135" i="18"/>
  <c r="AY135" i="18"/>
  <c r="AZ135" i="18"/>
  <c r="BA135" i="18"/>
  <c r="BB135" i="18"/>
  <c r="BC135" i="18"/>
  <c r="BD135" i="18"/>
  <c r="BE135" i="18"/>
  <c r="BF135" i="18"/>
  <c r="BG135" i="18"/>
  <c r="BH135" i="18"/>
  <c r="BI135" i="18"/>
  <c r="AW136" i="18"/>
  <c r="AX136" i="18"/>
  <c r="AY136" i="18"/>
  <c r="AZ136" i="18"/>
  <c r="BA136" i="18"/>
  <c r="BB136" i="18"/>
  <c r="BC136" i="18"/>
  <c r="BD136" i="18"/>
  <c r="BE136" i="18"/>
  <c r="BF136" i="18"/>
  <c r="BG136" i="18"/>
  <c r="BH136" i="18"/>
  <c r="BI136" i="18"/>
  <c r="AW137" i="18"/>
  <c r="AX137" i="18"/>
  <c r="AY137" i="18"/>
  <c r="AZ137" i="18"/>
  <c r="BA137" i="18"/>
  <c r="BB137" i="18"/>
  <c r="BC137" i="18"/>
  <c r="BD137" i="18"/>
  <c r="BE137" i="18"/>
  <c r="BF137" i="18"/>
  <c r="BG137" i="18"/>
  <c r="BH137" i="18"/>
  <c r="BI137" i="18"/>
  <c r="AW138" i="18"/>
  <c r="AX138" i="18"/>
  <c r="AY138" i="18"/>
  <c r="AZ138" i="18"/>
  <c r="BA138" i="18"/>
  <c r="BB138" i="18"/>
  <c r="BC138" i="18"/>
  <c r="BD138" i="18"/>
  <c r="BE138" i="18"/>
  <c r="BF138" i="18"/>
  <c r="BG138" i="18"/>
  <c r="BH138" i="18"/>
  <c r="BI138" i="18"/>
  <c r="AW139" i="18"/>
  <c r="AX139" i="18"/>
  <c r="AY139" i="18"/>
  <c r="AZ139" i="18"/>
  <c r="BA139" i="18"/>
  <c r="BB139" i="18"/>
  <c r="BC139" i="18"/>
  <c r="BD139" i="18"/>
  <c r="BE139" i="18"/>
  <c r="BF139" i="18"/>
  <c r="BG139" i="18"/>
  <c r="BH139" i="18"/>
  <c r="BI139" i="18"/>
  <c r="AW140" i="18"/>
  <c r="AX140" i="18"/>
  <c r="AY140" i="18"/>
  <c r="AZ140" i="18"/>
  <c r="BA140" i="18"/>
  <c r="BB140" i="18"/>
  <c r="BC140" i="18"/>
  <c r="BD140" i="18"/>
  <c r="BE140" i="18"/>
  <c r="BF140" i="18"/>
  <c r="BG140" i="18"/>
  <c r="BH140" i="18"/>
  <c r="BI140" i="18"/>
  <c r="AW141" i="18"/>
  <c r="AX141" i="18"/>
  <c r="AY141" i="18"/>
  <c r="AZ141" i="18"/>
  <c r="BA141" i="18"/>
  <c r="BB141" i="18"/>
  <c r="BC141" i="18"/>
  <c r="BD141" i="18"/>
  <c r="BE141" i="18"/>
  <c r="BF141" i="18"/>
  <c r="BG141" i="18"/>
  <c r="BH141" i="18"/>
  <c r="BI141" i="18"/>
  <c r="AW142" i="18"/>
  <c r="AX142" i="18"/>
  <c r="AY142" i="18"/>
  <c r="AZ142" i="18"/>
  <c r="BA142" i="18"/>
  <c r="BB142" i="18"/>
  <c r="BC142" i="18"/>
  <c r="BD142" i="18"/>
  <c r="BE142" i="18"/>
  <c r="BF142" i="18"/>
  <c r="BG142" i="18"/>
  <c r="BH142" i="18"/>
  <c r="BI142" i="18"/>
  <c r="AW143" i="18"/>
  <c r="AX143" i="18"/>
  <c r="AY143" i="18"/>
  <c r="AZ143" i="18"/>
  <c r="BA143" i="18"/>
  <c r="BB143" i="18"/>
  <c r="BC143" i="18"/>
  <c r="BD143" i="18"/>
  <c r="BE143" i="18"/>
  <c r="BF143" i="18"/>
  <c r="BG143" i="18"/>
  <c r="BH143" i="18"/>
  <c r="BI143" i="18"/>
  <c r="AW144" i="18"/>
  <c r="AX144" i="18"/>
  <c r="AY144" i="18"/>
  <c r="AZ144" i="18"/>
  <c r="BA144" i="18"/>
  <c r="BB144" i="18"/>
  <c r="BC144" i="18"/>
  <c r="BD144" i="18"/>
  <c r="BE144" i="18"/>
  <c r="BF144" i="18"/>
  <c r="BG144" i="18"/>
  <c r="BH144" i="18"/>
  <c r="BI144" i="18"/>
  <c r="AW145" i="18"/>
  <c r="AX145" i="18"/>
  <c r="AY145" i="18"/>
  <c r="AZ145" i="18"/>
  <c r="BA145" i="18"/>
  <c r="BB145" i="18"/>
  <c r="BC145" i="18"/>
  <c r="BD145" i="18"/>
  <c r="BE145" i="18"/>
  <c r="BF145" i="18"/>
  <c r="BG145" i="18"/>
  <c r="BH145" i="18"/>
  <c r="BI145" i="18"/>
  <c r="AW146" i="18"/>
  <c r="AX146" i="18"/>
  <c r="AY146" i="18"/>
  <c r="AZ146" i="18"/>
  <c r="BA146" i="18"/>
  <c r="BB146" i="18"/>
  <c r="BC146" i="18"/>
  <c r="BD146" i="18"/>
  <c r="BE146" i="18"/>
  <c r="BF146" i="18"/>
  <c r="BG146" i="18"/>
  <c r="BH146" i="18"/>
  <c r="BI146" i="18"/>
  <c r="AW147" i="18"/>
  <c r="AX147" i="18"/>
  <c r="AY147" i="18"/>
  <c r="AZ147" i="18"/>
  <c r="BA147" i="18"/>
  <c r="BB147" i="18"/>
  <c r="BC147" i="18"/>
  <c r="BD147" i="18"/>
  <c r="BE147" i="18"/>
  <c r="BF147" i="18"/>
  <c r="BG147" i="18"/>
  <c r="BH147" i="18"/>
  <c r="BI147" i="18"/>
  <c r="AW148" i="18"/>
  <c r="AX148" i="18"/>
  <c r="AY148" i="18"/>
  <c r="AZ148" i="18"/>
  <c r="BA148" i="18"/>
  <c r="BB148" i="18"/>
  <c r="BC148" i="18"/>
  <c r="BD148" i="18"/>
  <c r="BE148" i="18"/>
  <c r="BF148" i="18"/>
  <c r="BG148" i="18"/>
  <c r="BH148" i="18"/>
  <c r="BI148" i="18"/>
  <c r="AW149" i="18"/>
  <c r="AX149" i="18"/>
  <c r="AY149" i="18"/>
  <c r="AZ149" i="18"/>
  <c r="BA149" i="18"/>
  <c r="BB149" i="18"/>
  <c r="BC149" i="18"/>
  <c r="BD149" i="18"/>
  <c r="BE149" i="18"/>
  <c r="BF149" i="18"/>
  <c r="BG149" i="18"/>
  <c r="BH149" i="18"/>
  <c r="BI149" i="18"/>
  <c r="AW150" i="18"/>
  <c r="AX150" i="18"/>
  <c r="AY150" i="18"/>
  <c r="AZ150" i="18"/>
  <c r="BA150" i="18"/>
  <c r="BB150" i="18"/>
  <c r="BC150" i="18"/>
  <c r="BD150" i="18"/>
  <c r="BE150" i="18"/>
  <c r="BF150" i="18"/>
  <c r="BG150" i="18"/>
  <c r="BH150" i="18"/>
  <c r="BI150" i="18"/>
  <c r="AW151" i="18"/>
  <c r="AX151" i="18"/>
  <c r="AY151" i="18"/>
  <c r="AZ151" i="18"/>
  <c r="BA151" i="18"/>
  <c r="BB151" i="18"/>
  <c r="BC151" i="18"/>
  <c r="BD151" i="18"/>
  <c r="BE151" i="18"/>
  <c r="BF151" i="18"/>
  <c r="BG151" i="18"/>
  <c r="BH151" i="18"/>
  <c r="BI151" i="18"/>
  <c r="AW152" i="18"/>
  <c r="AX152" i="18"/>
  <c r="AY152" i="18"/>
  <c r="AZ152" i="18"/>
  <c r="BA152" i="18"/>
  <c r="BB152" i="18"/>
  <c r="BC152" i="18"/>
  <c r="BD152" i="18"/>
  <c r="BE152" i="18"/>
  <c r="BF152" i="18"/>
  <c r="BG152" i="18"/>
  <c r="BH152" i="18"/>
  <c r="BI152" i="18"/>
  <c r="AW153" i="18"/>
  <c r="AX153" i="18"/>
  <c r="AY153" i="18"/>
  <c r="AZ153" i="18"/>
  <c r="BA153" i="18"/>
  <c r="BB153" i="18"/>
  <c r="BC153" i="18"/>
  <c r="BD153" i="18"/>
  <c r="BE153" i="18"/>
  <c r="BF153" i="18"/>
  <c r="BG153" i="18"/>
  <c r="BH153" i="18"/>
  <c r="BI153" i="18"/>
  <c r="AW154" i="18"/>
  <c r="AX154" i="18"/>
  <c r="AY154" i="18"/>
  <c r="AZ154" i="18"/>
  <c r="BA154" i="18"/>
  <c r="BB154" i="18"/>
  <c r="BC154" i="18"/>
  <c r="BD154" i="18"/>
  <c r="BE154" i="18"/>
  <c r="BF154" i="18"/>
  <c r="BG154" i="18"/>
  <c r="BH154" i="18"/>
  <c r="BI154" i="18"/>
  <c r="AW155" i="18"/>
  <c r="AX155" i="18"/>
  <c r="AY155" i="18"/>
  <c r="AZ155" i="18"/>
  <c r="BA155" i="18"/>
  <c r="BB155" i="18"/>
  <c r="BC155" i="18"/>
  <c r="BD155" i="18"/>
  <c r="BE155" i="18"/>
  <c r="BF155" i="18"/>
  <c r="BG155" i="18"/>
  <c r="BH155" i="18"/>
  <c r="BI155" i="18"/>
  <c r="AW156" i="18"/>
  <c r="AX156" i="18"/>
  <c r="AY156" i="18"/>
  <c r="AZ156" i="18"/>
  <c r="BA156" i="18"/>
  <c r="BB156" i="18"/>
  <c r="BC156" i="18"/>
  <c r="BD156" i="18"/>
  <c r="BE156" i="18"/>
  <c r="BF156" i="18"/>
  <c r="BG156" i="18"/>
  <c r="BH156" i="18"/>
  <c r="BI156" i="18"/>
  <c r="AW157" i="18"/>
  <c r="AX157" i="18"/>
  <c r="AY157" i="18"/>
  <c r="AZ157" i="18"/>
  <c r="BA157" i="18"/>
  <c r="BB157" i="18"/>
  <c r="BC157" i="18"/>
  <c r="BD157" i="18"/>
  <c r="BE157" i="18"/>
  <c r="BF157" i="18"/>
  <c r="BG157" i="18"/>
  <c r="BH157" i="18"/>
  <c r="BI157" i="18"/>
  <c r="AW158" i="18"/>
  <c r="AX158" i="18"/>
  <c r="AY158" i="18"/>
  <c r="AZ158" i="18"/>
  <c r="BA158" i="18"/>
  <c r="BB158" i="18"/>
  <c r="BC158" i="18"/>
  <c r="BD158" i="18"/>
  <c r="BE158" i="18"/>
  <c r="BF158" i="18"/>
  <c r="BG158" i="18"/>
  <c r="BH158" i="18"/>
  <c r="BI158" i="18"/>
  <c r="AW159" i="18"/>
  <c r="AX159" i="18"/>
  <c r="AY159" i="18"/>
  <c r="AZ159" i="18"/>
  <c r="BA159" i="18"/>
  <c r="BB159" i="18"/>
  <c r="BC159" i="18"/>
  <c r="BD159" i="18"/>
  <c r="BE159" i="18"/>
  <c r="BF159" i="18"/>
  <c r="BG159" i="18"/>
  <c r="BH159" i="18"/>
  <c r="BI159" i="18"/>
  <c r="AW160" i="18"/>
  <c r="AX160" i="18"/>
  <c r="AY160" i="18"/>
  <c r="AZ160" i="18"/>
  <c r="BA160" i="18"/>
  <c r="BB160" i="18"/>
  <c r="BC160" i="18"/>
  <c r="BD160" i="18"/>
  <c r="BE160" i="18"/>
  <c r="BF160" i="18"/>
  <c r="BG160" i="18"/>
  <c r="BH160" i="18"/>
  <c r="BI160" i="18"/>
  <c r="AW161" i="18"/>
  <c r="AX161" i="18"/>
  <c r="AY161" i="18"/>
  <c r="AZ161" i="18"/>
  <c r="BA161" i="18"/>
  <c r="BB161" i="18"/>
  <c r="BC161" i="18"/>
  <c r="BD161" i="18"/>
  <c r="BE161" i="18"/>
  <c r="BF161" i="18"/>
  <c r="BG161" i="18"/>
  <c r="BH161" i="18"/>
  <c r="BI161" i="18"/>
  <c r="AW162" i="18"/>
  <c r="AX162" i="18"/>
  <c r="AY162" i="18"/>
  <c r="AZ162" i="18"/>
  <c r="BA162" i="18"/>
  <c r="BB162" i="18"/>
  <c r="BC162" i="18"/>
  <c r="BD162" i="18"/>
  <c r="BE162" i="18"/>
  <c r="BF162" i="18"/>
  <c r="BG162" i="18"/>
  <c r="BH162" i="18"/>
  <c r="BI162" i="18"/>
  <c r="AW163" i="18"/>
  <c r="AX163" i="18"/>
  <c r="AY163" i="18"/>
  <c r="AZ163" i="18"/>
  <c r="BA163" i="18"/>
  <c r="BB163" i="18"/>
  <c r="BC163" i="18"/>
  <c r="BD163" i="18"/>
  <c r="BE163" i="18"/>
  <c r="BF163" i="18"/>
  <c r="BG163" i="18"/>
  <c r="BH163" i="18"/>
  <c r="BI163" i="18"/>
  <c r="AW164" i="18"/>
  <c r="AX164" i="18"/>
  <c r="AY164" i="18"/>
  <c r="AZ164" i="18"/>
  <c r="BA164" i="18"/>
  <c r="BB164" i="18"/>
  <c r="BC164" i="18"/>
  <c r="BD164" i="18"/>
  <c r="BE164" i="18"/>
  <c r="BF164" i="18"/>
  <c r="BG164" i="18"/>
  <c r="BH164" i="18"/>
  <c r="BI164" i="18"/>
  <c r="AW165" i="18"/>
  <c r="AX165" i="18"/>
  <c r="AY165" i="18"/>
  <c r="AZ165" i="18"/>
  <c r="BA165" i="18"/>
  <c r="BB165" i="18"/>
  <c r="BC165" i="18"/>
  <c r="BD165" i="18"/>
  <c r="BE165" i="18"/>
  <c r="BF165" i="18"/>
  <c r="BG165" i="18"/>
  <c r="BH165" i="18"/>
  <c r="BI165" i="18"/>
  <c r="AW166" i="18"/>
  <c r="AX166" i="18"/>
  <c r="AY166" i="18"/>
  <c r="AZ166" i="18"/>
  <c r="BA166" i="18"/>
  <c r="BB166" i="18"/>
  <c r="BC166" i="18"/>
  <c r="BD166" i="18"/>
  <c r="BE166" i="18"/>
  <c r="BF166" i="18"/>
  <c r="BG166" i="18"/>
  <c r="BH166" i="18"/>
  <c r="BI166" i="18"/>
  <c r="AW167" i="18"/>
  <c r="AX167" i="18"/>
  <c r="AY167" i="18"/>
  <c r="AZ167" i="18"/>
  <c r="BA167" i="18"/>
  <c r="BB167" i="18"/>
  <c r="BC167" i="18"/>
  <c r="BD167" i="18"/>
  <c r="BE167" i="18"/>
  <c r="BF167" i="18"/>
  <c r="BG167" i="18"/>
  <c r="BH167" i="18"/>
  <c r="BI167" i="18"/>
  <c r="AW168" i="18"/>
  <c r="AX168" i="18"/>
  <c r="AY168" i="18"/>
  <c r="AZ168" i="18"/>
  <c r="BA168" i="18"/>
  <c r="BB168" i="18"/>
  <c r="BC168" i="18"/>
  <c r="BD168" i="18"/>
  <c r="BE168" i="18"/>
  <c r="BF168" i="18"/>
  <c r="BG168" i="18"/>
  <c r="BH168" i="18"/>
  <c r="BI168" i="18"/>
  <c r="AW169" i="18"/>
  <c r="AX169" i="18"/>
  <c r="AY169" i="18"/>
  <c r="AZ169" i="18"/>
  <c r="BA169" i="18"/>
  <c r="BB169" i="18"/>
  <c r="BC169" i="18"/>
  <c r="BD169" i="18"/>
  <c r="BE169" i="18"/>
  <c r="BF169" i="18"/>
  <c r="BG169" i="18"/>
  <c r="BH169" i="18"/>
  <c r="BI169" i="18"/>
  <c r="AW170" i="18"/>
  <c r="AX170" i="18"/>
  <c r="AY170" i="18"/>
  <c r="AZ170" i="18"/>
  <c r="BA170" i="18"/>
  <c r="BB170" i="18"/>
  <c r="BC170" i="18"/>
  <c r="BD170" i="18"/>
  <c r="BE170" i="18"/>
  <c r="BF170" i="18"/>
  <c r="BG170" i="18"/>
  <c r="BH170" i="18"/>
  <c r="BI170" i="18"/>
  <c r="AW171" i="18"/>
  <c r="AX171" i="18"/>
  <c r="AY171" i="18"/>
  <c r="AZ171" i="18"/>
  <c r="BA171" i="18"/>
  <c r="BB171" i="18"/>
  <c r="BC171" i="18"/>
  <c r="BD171" i="18"/>
  <c r="BE171" i="18"/>
  <c r="BF171" i="18"/>
  <c r="BG171" i="18"/>
  <c r="BH171" i="18"/>
  <c r="BI171" i="18"/>
  <c r="AW172" i="18"/>
  <c r="AX172" i="18"/>
  <c r="AY172" i="18"/>
  <c r="AZ172" i="18"/>
  <c r="BA172" i="18"/>
  <c r="BB172" i="18"/>
  <c r="BC172" i="18"/>
  <c r="BD172" i="18"/>
  <c r="BE172" i="18"/>
  <c r="BF172" i="18"/>
  <c r="BG172" i="18"/>
  <c r="BH172" i="18"/>
  <c r="BI172" i="18"/>
  <c r="AW173" i="18"/>
  <c r="AX173" i="18"/>
  <c r="AY173" i="18"/>
  <c r="AZ173" i="18"/>
  <c r="BA173" i="18"/>
  <c r="BB173" i="18"/>
  <c r="BC173" i="18"/>
  <c r="BD173" i="18"/>
  <c r="BE173" i="18"/>
  <c r="BF173" i="18"/>
  <c r="BG173" i="18"/>
  <c r="BH173" i="18"/>
  <c r="BI173" i="18"/>
  <c r="AW174" i="18"/>
  <c r="AX174" i="18"/>
  <c r="AY174" i="18"/>
  <c r="AZ174" i="18"/>
  <c r="BA174" i="18"/>
  <c r="BB174" i="18"/>
  <c r="BC174" i="18"/>
  <c r="BD174" i="18"/>
  <c r="BE174" i="18"/>
  <c r="BF174" i="18"/>
  <c r="BG174" i="18"/>
  <c r="BH174" i="18"/>
  <c r="BI174" i="18"/>
  <c r="AW175" i="18"/>
  <c r="AX175" i="18"/>
  <c r="AY175" i="18"/>
  <c r="AZ175" i="18"/>
  <c r="BA175" i="18"/>
  <c r="BB175" i="18"/>
  <c r="BC175" i="18"/>
  <c r="BD175" i="18"/>
  <c r="BE175" i="18"/>
  <c r="BF175" i="18"/>
  <c r="BG175" i="18"/>
  <c r="BH175" i="18"/>
  <c r="BI175" i="18"/>
  <c r="AW176" i="18"/>
  <c r="AX176" i="18"/>
  <c r="AY176" i="18"/>
  <c r="AZ176" i="18"/>
  <c r="BA176" i="18"/>
  <c r="BB176" i="18"/>
  <c r="BC176" i="18"/>
  <c r="BD176" i="18"/>
  <c r="BE176" i="18"/>
  <c r="BF176" i="18"/>
  <c r="BG176" i="18"/>
  <c r="BH176" i="18"/>
  <c r="BI176" i="18"/>
  <c r="AW177" i="18"/>
  <c r="AX177" i="18"/>
  <c r="AY177" i="18"/>
  <c r="AZ177" i="18"/>
  <c r="BA177" i="18"/>
  <c r="BB177" i="18"/>
  <c r="BC177" i="18"/>
  <c r="BD177" i="18"/>
  <c r="BE177" i="18"/>
  <c r="BF177" i="18"/>
  <c r="BG177" i="18"/>
  <c r="BH177" i="18"/>
  <c r="BI177" i="18"/>
  <c r="AW178" i="18"/>
  <c r="AX178" i="18"/>
  <c r="AY178" i="18"/>
  <c r="AZ178" i="18"/>
  <c r="BA178" i="18"/>
  <c r="BB178" i="18"/>
  <c r="BC178" i="18"/>
  <c r="BD178" i="18"/>
  <c r="BE178" i="18"/>
  <c r="BF178" i="18"/>
  <c r="BG178" i="18"/>
  <c r="BH178" i="18"/>
  <c r="BI178" i="18"/>
  <c r="AW179" i="18"/>
  <c r="AX179" i="18"/>
  <c r="AY179" i="18"/>
  <c r="AZ179" i="18"/>
  <c r="BA179" i="18"/>
  <c r="BB179" i="18"/>
  <c r="BC179" i="18"/>
  <c r="BD179" i="18"/>
  <c r="BE179" i="18"/>
  <c r="BF179" i="18"/>
  <c r="BG179" i="18"/>
  <c r="BH179" i="18"/>
  <c r="BI179" i="18"/>
  <c r="AW180" i="18"/>
  <c r="AX180" i="18"/>
  <c r="AY180" i="18"/>
  <c r="AZ180" i="18"/>
  <c r="BA180" i="18"/>
  <c r="BB180" i="18"/>
  <c r="BC180" i="18"/>
  <c r="BD180" i="18"/>
  <c r="BE180" i="18"/>
  <c r="BF180" i="18"/>
  <c r="BG180" i="18"/>
  <c r="BH180" i="18"/>
  <c r="BI180" i="18"/>
  <c r="AW181" i="18"/>
  <c r="AX181" i="18"/>
  <c r="AY181" i="18"/>
  <c r="AZ181" i="18"/>
  <c r="BA181" i="18"/>
  <c r="BB181" i="18"/>
  <c r="BC181" i="18"/>
  <c r="BD181" i="18"/>
  <c r="BE181" i="18"/>
  <c r="BF181" i="18"/>
  <c r="BG181" i="18"/>
  <c r="BH181" i="18"/>
  <c r="BI181" i="18"/>
  <c r="AW182" i="18"/>
  <c r="AX182" i="18"/>
  <c r="AY182" i="18"/>
  <c r="AZ182" i="18"/>
  <c r="BA182" i="18"/>
  <c r="BB182" i="18"/>
  <c r="BC182" i="18"/>
  <c r="BD182" i="18"/>
  <c r="BE182" i="18"/>
  <c r="BF182" i="18"/>
  <c r="BG182" i="18"/>
  <c r="BH182" i="18"/>
  <c r="BI182" i="18"/>
  <c r="AW183" i="18"/>
  <c r="AX183" i="18"/>
  <c r="AY183" i="18"/>
  <c r="AZ183" i="18"/>
  <c r="BA183" i="18"/>
  <c r="BB183" i="18"/>
  <c r="BC183" i="18"/>
  <c r="BD183" i="18"/>
  <c r="BE183" i="18"/>
  <c r="BF183" i="18"/>
  <c r="BG183" i="18"/>
  <c r="BH183" i="18"/>
  <c r="BI183" i="18"/>
  <c r="AW184" i="18"/>
  <c r="AX184" i="18"/>
  <c r="AY184" i="18"/>
  <c r="AZ184" i="18"/>
  <c r="BA184" i="18"/>
  <c r="BB184" i="18"/>
  <c r="BC184" i="18"/>
  <c r="BD184" i="18"/>
  <c r="BE184" i="18"/>
  <c r="BF184" i="18"/>
  <c r="BG184" i="18"/>
  <c r="BH184" i="18"/>
  <c r="BI184" i="18"/>
  <c r="AW185" i="18"/>
  <c r="AX185" i="18"/>
  <c r="AY185" i="18"/>
  <c r="AZ185" i="18"/>
  <c r="BA185" i="18"/>
  <c r="BB185" i="18"/>
  <c r="BC185" i="18"/>
  <c r="BD185" i="18"/>
  <c r="BE185" i="18"/>
  <c r="BF185" i="18"/>
  <c r="BG185" i="18"/>
  <c r="BH185" i="18"/>
  <c r="BI185" i="18"/>
  <c r="AW186" i="18"/>
  <c r="AX186" i="18"/>
  <c r="AY186" i="18"/>
  <c r="AZ186" i="18"/>
  <c r="BA186" i="18"/>
  <c r="BB186" i="18"/>
  <c r="BC186" i="18"/>
  <c r="BD186" i="18"/>
  <c r="BE186" i="18"/>
  <c r="BF186" i="18"/>
  <c r="BG186" i="18"/>
  <c r="BH186" i="18"/>
  <c r="BI186" i="18"/>
  <c r="AW187" i="18"/>
  <c r="AX187" i="18"/>
  <c r="AY187" i="18"/>
  <c r="AZ187" i="18"/>
  <c r="BA187" i="18"/>
  <c r="BB187" i="18"/>
  <c r="BC187" i="18"/>
  <c r="BD187" i="18"/>
  <c r="BE187" i="18"/>
  <c r="BF187" i="18"/>
  <c r="BG187" i="18"/>
  <c r="BH187" i="18"/>
  <c r="BI187" i="18"/>
  <c r="AW188" i="18"/>
  <c r="AX188" i="18"/>
  <c r="AY188" i="18"/>
  <c r="AZ188" i="18"/>
  <c r="BA188" i="18"/>
  <c r="BB188" i="18"/>
  <c r="BC188" i="18"/>
  <c r="BD188" i="18"/>
  <c r="BE188" i="18"/>
  <c r="BF188" i="18"/>
  <c r="BG188" i="18"/>
  <c r="BH188" i="18"/>
  <c r="BI188" i="18"/>
  <c r="AW189" i="18"/>
  <c r="AX189" i="18"/>
  <c r="AY189" i="18"/>
  <c r="AZ189" i="18"/>
  <c r="BA189" i="18"/>
  <c r="BB189" i="18"/>
  <c r="BC189" i="18"/>
  <c r="BD189" i="18"/>
  <c r="BE189" i="18"/>
  <c r="BF189" i="18"/>
  <c r="BG189" i="18"/>
  <c r="BH189" i="18"/>
  <c r="BI189" i="18"/>
  <c r="AW190" i="18"/>
  <c r="AX190" i="18"/>
  <c r="AY190" i="18"/>
  <c r="AZ190" i="18"/>
  <c r="BA190" i="18"/>
  <c r="BB190" i="18"/>
  <c r="BC190" i="18"/>
  <c r="BD190" i="18"/>
  <c r="BE190" i="18"/>
  <c r="BF190" i="18"/>
  <c r="BG190" i="18"/>
  <c r="BH190" i="18"/>
  <c r="BI190" i="18"/>
  <c r="AW191" i="18"/>
  <c r="AX191" i="18"/>
  <c r="AY191" i="18"/>
  <c r="AZ191" i="18"/>
  <c r="BA191" i="18"/>
  <c r="BB191" i="18"/>
  <c r="BC191" i="18"/>
  <c r="BD191" i="18"/>
  <c r="BE191" i="18"/>
  <c r="BF191" i="18"/>
  <c r="BG191" i="18"/>
  <c r="BH191" i="18"/>
  <c r="BI191" i="18"/>
  <c r="AW192" i="18"/>
  <c r="AX192" i="18"/>
  <c r="AY192" i="18"/>
  <c r="AZ192" i="18"/>
  <c r="BA192" i="18"/>
  <c r="BB192" i="18"/>
  <c r="BC192" i="18"/>
  <c r="BD192" i="18"/>
  <c r="BE192" i="18"/>
  <c r="BF192" i="18"/>
  <c r="BG192" i="18"/>
  <c r="BH192" i="18"/>
  <c r="BI192" i="18"/>
  <c r="AW193" i="18"/>
  <c r="AX193" i="18"/>
  <c r="AY193" i="18"/>
  <c r="AZ193" i="18"/>
  <c r="BA193" i="18"/>
  <c r="BB193" i="18"/>
  <c r="BC193" i="18"/>
  <c r="BD193" i="18"/>
  <c r="BE193" i="18"/>
  <c r="BF193" i="18"/>
  <c r="BG193" i="18"/>
  <c r="BH193" i="18"/>
  <c r="BI193" i="18"/>
  <c r="AW194" i="18"/>
  <c r="AX194" i="18"/>
  <c r="AY194" i="18"/>
  <c r="AZ194" i="18"/>
  <c r="BA194" i="18"/>
  <c r="BB194" i="18"/>
  <c r="BC194" i="18"/>
  <c r="BD194" i="18"/>
  <c r="BE194" i="18"/>
  <c r="BF194" i="18"/>
  <c r="BG194" i="18"/>
  <c r="BH194" i="18"/>
  <c r="BI194" i="18"/>
  <c r="AW195" i="18"/>
  <c r="AX195" i="18"/>
  <c r="AY195" i="18"/>
  <c r="AZ195" i="18"/>
  <c r="BA195" i="18"/>
  <c r="BB195" i="18"/>
  <c r="BC195" i="18"/>
  <c r="BD195" i="18"/>
  <c r="BE195" i="18"/>
  <c r="BF195" i="18"/>
  <c r="BG195" i="18"/>
  <c r="BH195" i="18"/>
  <c r="BI195" i="18"/>
  <c r="AW196" i="18"/>
  <c r="AX196" i="18"/>
  <c r="AY196" i="18"/>
  <c r="AZ196" i="18"/>
  <c r="BA196" i="18"/>
  <c r="BB196" i="18"/>
  <c r="BC196" i="18"/>
  <c r="BD196" i="18"/>
  <c r="BE196" i="18"/>
  <c r="BF196" i="18"/>
  <c r="BG196" i="18"/>
  <c r="BH196" i="18"/>
  <c r="BI196" i="18"/>
  <c r="AW197" i="18"/>
  <c r="AX197" i="18"/>
  <c r="AY197" i="18"/>
  <c r="AZ197" i="18"/>
  <c r="BA197" i="18"/>
  <c r="BB197" i="18"/>
  <c r="BC197" i="18"/>
  <c r="BD197" i="18"/>
  <c r="BE197" i="18"/>
  <c r="BF197" i="18"/>
  <c r="BG197" i="18"/>
  <c r="BH197" i="18"/>
  <c r="BI197" i="18"/>
  <c r="AW198" i="18"/>
  <c r="AX198" i="18"/>
  <c r="AY198" i="18"/>
  <c r="AZ198" i="18"/>
  <c r="BA198" i="18"/>
  <c r="BB198" i="18"/>
  <c r="BC198" i="18"/>
  <c r="BD198" i="18"/>
  <c r="BE198" i="18"/>
  <c r="BF198" i="18"/>
  <c r="BG198" i="18"/>
  <c r="BH198" i="18"/>
  <c r="BI198" i="18"/>
  <c r="AW199" i="18"/>
  <c r="AX199" i="18"/>
  <c r="AY199" i="18"/>
  <c r="AZ199" i="18"/>
  <c r="BA199" i="18"/>
  <c r="BB199" i="18"/>
  <c r="BC199" i="18"/>
  <c r="BD199" i="18"/>
  <c r="BE199" i="18"/>
  <c r="BF199" i="18"/>
  <c r="BG199" i="18"/>
  <c r="BH199" i="18"/>
  <c r="BI199" i="18"/>
  <c r="AW200" i="18"/>
  <c r="AX200" i="18"/>
  <c r="AY200" i="18"/>
  <c r="AZ200" i="18"/>
  <c r="BA200" i="18"/>
  <c r="BB200" i="18"/>
  <c r="BC200" i="18"/>
  <c r="BD200" i="18"/>
  <c r="BE200" i="18"/>
  <c r="BF200" i="18"/>
  <c r="BG200" i="18"/>
  <c r="BH200" i="18"/>
  <c r="BI200" i="18"/>
  <c r="AW201" i="18"/>
  <c r="AX201" i="18"/>
  <c r="AY201" i="18"/>
  <c r="AZ201" i="18"/>
  <c r="BA201" i="18"/>
  <c r="BB201" i="18"/>
  <c r="BC201" i="18"/>
  <c r="BD201" i="18"/>
  <c r="BE201" i="18"/>
  <c r="BF201" i="18"/>
  <c r="BG201" i="18"/>
  <c r="BH201" i="18"/>
  <c r="BI201" i="18"/>
  <c r="AW202" i="18"/>
  <c r="AX202" i="18"/>
  <c r="AY202" i="18"/>
  <c r="AZ202" i="18"/>
  <c r="BA202" i="18"/>
  <c r="BB202" i="18"/>
  <c r="BC202" i="18"/>
  <c r="BD202" i="18"/>
  <c r="BE202" i="18"/>
  <c r="BF202" i="18"/>
  <c r="BG202" i="18"/>
  <c r="BH202" i="18"/>
  <c r="BI202" i="18"/>
  <c r="AW203" i="18"/>
  <c r="AX203" i="18"/>
  <c r="AY203" i="18"/>
  <c r="AZ203" i="18"/>
  <c r="BA203" i="18"/>
  <c r="BB203" i="18"/>
  <c r="BC203" i="18"/>
  <c r="BD203" i="18"/>
  <c r="BE203" i="18"/>
  <c r="BF203" i="18"/>
  <c r="BG203" i="18"/>
  <c r="BH203" i="18"/>
  <c r="BI203" i="18"/>
  <c r="AW204" i="18"/>
  <c r="AX204" i="18"/>
  <c r="AY204" i="18"/>
  <c r="AZ204" i="18"/>
  <c r="BA204" i="18"/>
  <c r="BB204" i="18"/>
  <c r="BC204" i="18"/>
  <c r="BD204" i="18"/>
  <c r="BE204" i="18"/>
  <c r="BF204" i="18"/>
  <c r="BG204" i="18"/>
  <c r="BH204" i="18"/>
  <c r="BI204" i="18"/>
  <c r="AW205" i="18"/>
  <c r="AX205" i="18"/>
  <c r="AY205" i="18"/>
  <c r="AZ205" i="18"/>
  <c r="BA205" i="18"/>
  <c r="BB205" i="18"/>
  <c r="BC205" i="18"/>
  <c r="BD205" i="18"/>
  <c r="BE205" i="18"/>
  <c r="BF205" i="18"/>
  <c r="BG205" i="18"/>
  <c r="BH205" i="18"/>
  <c r="BI205" i="18"/>
  <c r="AW206" i="18"/>
  <c r="AX206" i="18"/>
  <c r="AY206" i="18"/>
  <c r="AZ206" i="18"/>
  <c r="BA206" i="18"/>
  <c r="BB206" i="18"/>
  <c r="BC206" i="18"/>
  <c r="BD206" i="18"/>
  <c r="BE206" i="18"/>
  <c r="BF206" i="18"/>
  <c r="BG206" i="18"/>
  <c r="BH206" i="18"/>
  <c r="BI206" i="18"/>
  <c r="AW207" i="18"/>
  <c r="AX207" i="18"/>
  <c r="AY207" i="18"/>
  <c r="AZ207" i="18"/>
  <c r="BA207" i="18"/>
  <c r="BB207" i="18"/>
  <c r="BC207" i="18"/>
  <c r="BD207" i="18"/>
  <c r="BE207" i="18"/>
  <c r="BF207" i="18"/>
  <c r="BG207" i="18"/>
  <c r="BH207" i="18"/>
  <c r="BI207" i="18"/>
  <c r="AW208" i="18"/>
  <c r="AX208" i="18"/>
  <c r="AY208" i="18"/>
  <c r="AZ208" i="18"/>
  <c r="BA208" i="18"/>
  <c r="BB208" i="18"/>
  <c r="BC208" i="18"/>
  <c r="BD208" i="18"/>
  <c r="BE208" i="18"/>
  <c r="BF208" i="18"/>
  <c r="BG208" i="18"/>
  <c r="BH208" i="18"/>
  <c r="BI208" i="18"/>
  <c r="AW209" i="18"/>
  <c r="AX209" i="18"/>
  <c r="AY209" i="18"/>
  <c r="AZ209" i="18"/>
  <c r="BA209" i="18"/>
  <c r="BB209" i="18"/>
  <c r="BC209" i="18"/>
  <c r="BD209" i="18"/>
  <c r="BE209" i="18"/>
  <c r="BF209" i="18"/>
  <c r="BG209" i="18"/>
  <c r="BH209" i="18"/>
  <c r="BI209" i="18"/>
  <c r="AW210" i="18"/>
  <c r="AX210" i="18"/>
  <c r="AY210" i="18"/>
  <c r="AZ210" i="18"/>
  <c r="BA210" i="18"/>
  <c r="BB210" i="18"/>
  <c r="BC210" i="18"/>
  <c r="BD210" i="18"/>
  <c r="BE210" i="18"/>
  <c r="BF210" i="18"/>
  <c r="BG210" i="18"/>
  <c r="BH210" i="18"/>
  <c r="BI210" i="18"/>
  <c r="AW211" i="18"/>
  <c r="AX211" i="18"/>
  <c r="AY211" i="18"/>
  <c r="AZ211" i="18"/>
  <c r="BA211" i="18"/>
  <c r="BB211" i="18"/>
  <c r="BC211" i="18"/>
  <c r="BD211" i="18"/>
  <c r="BE211" i="18"/>
  <c r="BF211" i="18"/>
  <c r="BG211" i="18"/>
  <c r="BH211" i="18"/>
  <c r="BI211" i="18"/>
  <c r="AW212" i="18"/>
  <c r="AX212" i="18"/>
  <c r="AY212" i="18"/>
  <c r="AZ212" i="18"/>
  <c r="BA212" i="18"/>
  <c r="BB212" i="18"/>
  <c r="BC212" i="18"/>
  <c r="BD212" i="18"/>
  <c r="BE212" i="18"/>
  <c r="BF212" i="18"/>
  <c r="BG212" i="18"/>
  <c r="BH212" i="18"/>
  <c r="BI212" i="18"/>
  <c r="AW213" i="18"/>
  <c r="AX213" i="18"/>
  <c r="AY213" i="18"/>
  <c r="AZ213" i="18"/>
  <c r="BA213" i="18"/>
  <c r="BB213" i="18"/>
  <c r="BC213" i="18"/>
  <c r="BD213" i="18"/>
  <c r="BE213" i="18"/>
  <c r="BF213" i="18"/>
  <c r="BG213" i="18"/>
  <c r="BH213" i="18"/>
  <c r="BI213" i="18"/>
  <c r="AW214" i="18"/>
  <c r="AX214" i="18"/>
  <c r="AY214" i="18"/>
  <c r="AZ214" i="18"/>
  <c r="BA214" i="18"/>
  <c r="BB214" i="18"/>
  <c r="BC214" i="18"/>
  <c r="BD214" i="18"/>
  <c r="BE214" i="18"/>
  <c r="BF214" i="18"/>
  <c r="BG214" i="18"/>
  <c r="BH214" i="18"/>
  <c r="BI214" i="18"/>
  <c r="AW215" i="18"/>
  <c r="AX215" i="18"/>
  <c r="AY215" i="18"/>
  <c r="AZ215" i="18"/>
  <c r="BA215" i="18"/>
  <c r="BB215" i="18"/>
  <c r="BC215" i="18"/>
  <c r="BD215" i="18"/>
  <c r="BE215" i="18"/>
  <c r="BF215" i="18"/>
  <c r="BG215" i="18"/>
  <c r="BH215" i="18"/>
  <c r="BI215" i="18"/>
  <c r="AW216" i="18"/>
  <c r="AX216" i="18"/>
  <c r="AY216" i="18"/>
  <c r="AZ216" i="18"/>
  <c r="BA216" i="18"/>
  <c r="BB216" i="18"/>
  <c r="BC216" i="18"/>
  <c r="BD216" i="18"/>
  <c r="BE216" i="18"/>
  <c r="BF216" i="18"/>
  <c r="BG216" i="18"/>
  <c r="BH216" i="18"/>
  <c r="BI216" i="18"/>
  <c r="AW217" i="18"/>
  <c r="AX217" i="18"/>
  <c r="AY217" i="18"/>
  <c r="AZ217" i="18"/>
  <c r="BA217" i="18"/>
  <c r="BB217" i="18"/>
  <c r="BC217" i="18"/>
  <c r="BD217" i="18"/>
  <c r="BE217" i="18"/>
  <c r="BF217" i="18"/>
  <c r="BG217" i="18"/>
  <c r="BH217" i="18"/>
  <c r="BI217" i="18"/>
  <c r="AW218" i="18"/>
  <c r="AX218" i="18"/>
  <c r="AY218" i="18"/>
  <c r="AZ218" i="18"/>
  <c r="BA218" i="18"/>
  <c r="BB218" i="18"/>
  <c r="BC218" i="18"/>
  <c r="BD218" i="18"/>
  <c r="BE218" i="18"/>
  <c r="BF218" i="18"/>
  <c r="BG218" i="18"/>
  <c r="BH218" i="18"/>
  <c r="BI218" i="18"/>
  <c r="AW219" i="18"/>
  <c r="AX219" i="18"/>
  <c r="AY219" i="18"/>
  <c r="AZ219" i="18"/>
  <c r="BA219" i="18"/>
  <c r="BB219" i="18"/>
  <c r="BC219" i="18"/>
  <c r="BD219" i="18"/>
  <c r="BE219" i="18"/>
  <c r="BF219" i="18"/>
  <c r="BG219" i="18"/>
  <c r="BH219" i="18"/>
  <c r="BI219" i="18"/>
  <c r="AW220" i="18"/>
  <c r="AX220" i="18"/>
  <c r="AY220" i="18"/>
  <c r="AZ220" i="18"/>
  <c r="BA220" i="18"/>
  <c r="BB220" i="18"/>
  <c r="BC220" i="18"/>
  <c r="BD220" i="18"/>
  <c r="BE220" i="18"/>
  <c r="BF220" i="18"/>
  <c r="BG220" i="18"/>
  <c r="BH220" i="18"/>
  <c r="BI220" i="18"/>
  <c r="AW221" i="18"/>
  <c r="AX221" i="18"/>
  <c r="AY221" i="18"/>
  <c r="AZ221" i="18"/>
  <c r="BA221" i="18"/>
  <c r="BB221" i="18"/>
  <c r="BC221" i="18"/>
  <c r="BD221" i="18"/>
  <c r="BE221" i="18"/>
  <c r="BF221" i="18"/>
  <c r="BG221" i="18"/>
  <c r="BH221" i="18"/>
  <c r="BI221" i="18"/>
  <c r="AW222" i="18"/>
  <c r="AX222" i="18"/>
  <c r="AY222" i="18"/>
  <c r="AZ222" i="18"/>
  <c r="BA222" i="18"/>
  <c r="BB222" i="18"/>
  <c r="BC222" i="18"/>
  <c r="BD222" i="18"/>
  <c r="BE222" i="18"/>
  <c r="BF222" i="18"/>
  <c r="BG222" i="18"/>
  <c r="BH222" i="18"/>
  <c r="BI222" i="18"/>
  <c r="AW223" i="18"/>
  <c r="AX223" i="18"/>
  <c r="AY223" i="18"/>
  <c r="AZ223" i="18"/>
  <c r="BA223" i="18"/>
  <c r="BB223" i="18"/>
  <c r="BC223" i="18"/>
  <c r="BD223" i="18"/>
  <c r="BE223" i="18"/>
  <c r="BF223" i="18"/>
  <c r="BG223" i="18"/>
  <c r="BH223" i="18"/>
  <c r="BI223" i="18"/>
  <c r="AW224" i="18"/>
  <c r="AX224" i="18"/>
  <c r="AY224" i="18"/>
  <c r="AZ224" i="18"/>
  <c r="BA224" i="18"/>
  <c r="BB224" i="18"/>
  <c r="BC224" i="18"/>
  <c r="BD224" i="18"/>
  <c r="BE224" i="18"/>
  <c r="BF224" i="18"/>
  <c r="BG224" i="18"/>
  <c r="BH224" i="18"/>
  <c r="BI224" i="18"/>
  <c r="AW225" i="18"/>
  <c r="AX225" i="18"/>
  <c r="AY225" i="18"/>
  <c r="AZ225" i="18"/>
  <c r="BA225" i="18"/>
  <c r="BB225" i="18"/>
  <c r="BC225" i="18"/>
  <c r="BD225" i="18"/>
  <c r="BE225" i="18"/>
  <c r="BF225" i="18"/>
  <c r="BG225" i="18"/>
  <c r="BH225" i="18"/>
  <c r="BI225" i="18"/>
  <c r="AW226" i="18"/>
  <c r="AX226" i="18"/>
  <c r="AY226" i="18"/>
  <c r="AZ226" i="18"/>
  <c r="BA226" i="18"/>
  <c r="BB226" i="18"/>
  <c r="BC226" i="18"/>
  <c r="BD226" i="18"/>
  <c r="BE226" i="18"/>
  <c r="BF226" i="18"/>
  <c r="BG226" i="18"/>
  <c r="BH226" i="18"/>
  <c r="BI226" i="18"/>
  <c r="AW227" i="18"/>
  <c r="AX227" i="18"/>
  <c r="AY227" i="18"/>
  <c r="AZ227" i="18"/>
  <c r="BA227" i="18"/>
  <c r="BB227" i="18"/>
  <c r="BC227" i="18"/>
  <c r="BD227" i="18"/>
  <c r="BE227" i="18"/>
  <c r="BF227" i="18"/>
  <c r="BG227" i="18"/>
  <c r="BH227" i="18"/>
  <c r="BI227" i="18"/>
  <c r="AW228" i="18"/>
  <c r="AX228" i="18"/>
  <c r="AY228" i="18"/>
  <c r="AZ228" i="18"/>
  <c r="BA228" i="18"/>
  <c r="BB228" i="18"/>
  <c r="BC228" i="18"/>
  <c r="BD228" i="18"/>
  <c r="BE228" i="18"/>
  <c r="BF228" i="18"/>
  <c r="BG228" i="18"/>
  <c r="BH228" i="18"/>
  <c r="BI228" i="18"/>
  <c r="AW229" i="18"/>
  <c r="AX229" i="18"/>
  <c r="AY229" i="18"/>
  <c r="AZ229" i="18"/>
  <c r="BA229" i="18"/>
  <c r="BB229" i="18"/>
  <c r="BC229" i="18"/>
  <c r="BD229" i="18"/>
  <c r="BE229" i="18"/>
  <c r="BF229" i="18"/>
  <c r="BG229" i="18"/>
  <c r="BH229" i="18"/>
  <c r="BI229" i="18"/>
  <c r="AW230" i="18"/>
  <c r="AX230" i="18"/>
  <c r="AY230" i="18"/>
  <c r="AZ230" i="18"/>
  <c r="BA230" i="18"/>
  <c r="BB230" i="18"/>
  <c r="BC230" i="18"/>
  <c r="BD230" i="18"/>
  <c r="BE230" i="18"/>
  <c r="BF230" i="18"/>
  <c r="BG230" i="18"/>
  <c r="BH230" i="18"/>
  <c r="BI230" i="18"/>
  <c r="AW231" i="18"/>
  <c r="AX231" i="18"/>
  <c r="AY231" i="18"/>
  <c r="AZ231" i="18"/>
  <c r="BA231" i="18"/>
  <c r="BB231" i="18"/>
  <c r="BC231" i="18"/>
  <c r="BD231" i="18"/>
  <c r="BE231" i="18"/>
  <c r="BF231" i="18"/>
  <c r="BG231" i="18"/>
  <c r="BH231" i="18"/>
  <c r="BI231" i="18"/>
  <c r="AW232" i="18"/>
  <c r="AX232" i="18"/>
  <c r="AY232" i="18"/>
  <c r="AZ232" i="18"/>
  <c r="BA232" i="18"/>
  <c r="BB232" i="18"/>
  <c r="BC232" i="18"/>
  <c r="BD232" i="18"/>
  <c r="BE232" i="18"/>
  <c r="BF232" i="18"/>
  <c r="BG232" i="18"/>
  <c r="BH232" i="18"/>
  <c r="BI232" i="18"/>
  <c r="AW233" i="18"/>
  <c r="AX233" i="18"/>
  <c r="AY233" i="18"/>
  <c r="AZ233" i="18"/>
  <c r="BA233" i="18"/>
  <c r="BB233" i="18"/>
  <c r="BC233" i="18"/>
  <c r="BD233" i="18"/>
  <c r="BE233" i="18"/>
  <c r="BF233" i="18"/>
  <c r="BG233" i="18"/>
  <c r="BH233" i="18"/>
  <c r="BI233" i="18"/>
  <c r="AW234" i="18"/>
  <c r="AX234" i="18"/>
  <c r="AY234" i="18"/>
  <c r="AZ234" i="18"/>
  <c r="BA234" i="18"/>
  <c r="BB234" i="18"/>
  <c r="BC234" i="18"/>
  <c r="BD234" i="18"/>
  <c r="BE234" i="18"/>
  <c r="BF234" i="18"/>
  <c r="BG234" i="18"/>
  <c r="BH234" i="18"/>
  <c r="BI234" i="18"/>
  <c r="AW235" i="18"/>
  <c r="AX235" i="18"/>
  <c r="AY235" i="18"/>
  <c r="AZ235" i="18"/>
  <c r="BA235" i="18"/>
  <c r="BB235" i="18"/>
  <c r="BC235" i="18"/>
  <c r="BD235" i="18"/>
  <c r="BE235" i="18"/>
  <c r="BF235" i="18"/>
  <c r="BG235" i="18"/>
  <c r="BH235" i="18"/>
  <c r="BI235" i="18"/>
  <c r="AW236" i="18"/>
  <c r="AX236" i="18"/>
  <c r="AY236" i="18"/>
  <c r="AZ236" i="18"/>
  <c r="BA236" i="18"/>
  <c r="BB236" i="18"/>
  <c r="BC236" i="18"/>
  <c r="BD236" i="18"/>
  <c r="BE236" i="18"/>
  <c r="BF236" i="18"/>
  <c r="BG236" i="18"/>
  <c r="BH236" i="18"/>
  <c r="BI236" i="18"/>
  <c r="AW237" i="18"/>
  <c r="AX237" i="18"/>
  <c r="AY237" i="18"/>
  <c r="AZ237" i="18"/>
  <c r="BA237" i="18"/>
  <c r="BB237" i="18"/>
  <c r="BC237" i="18"/>
  <c r="BD237" i="18"/>
  <c r="BE237" i="18"/>
  <c r="BF237" i="18"/>
  <c r="BG237" i="18"/>
  <c r="BH237" i="18"/>
  <c r="BI237" i="18"/>
  <c r="AW238" i="18"/>
  <c r="AX238" i="18"/>
  <c r="AY238" i="18"/>
  <c r="AZ238" i="18"/>
  <c r="BA238" i="18"/>
  <c r="BB238" i="18"/>
  <c r="BC238" i="18"/>
  <c r="BD238" i="18"/>
  <c r="BE238" i="18"/>
  <c r="BF238" i="18"/>
  <c r="BG238" i="18"/>
  <c r="BH238" i="18"/>
  <c r="BI238" i="18"/>
  <c r="AW239" i="18"/>
  <c r="AX239" i="18"/>
  <c r="AY239" i="18"/>
  <c r="AZ239" i="18"/>
  <c r="BA239" i="18"/>
  <c r="BB239" i="18"/>
  <c r="BC239" i="18"/>
  <c r="BD239" i="18"/>
  <c r="BE239" i="18"/>
  <c r="BF239" i="18"/>
  <c r="BG239" i="18"/>
  <c r="BH239" i="18"/>
  <c r="BI239" i="18"/>
  <c r="AW240" i="18"/>
  <c r="AX240" i="18"/>
  <c r="AY240" i="18"/>
  <c r="AZ240" i="18"/>
  <c r="BA240" i="18"/>
  <c r="BB240" i="18"/>
  <c r="BC240" i="18"/>
  <c r="BD240" i="18"/>
  <c r="BE240" i="18"/>
  <c r="BF240" i="18"/>
  <c r="BG240" i="18"/>
  <c r="BH240" i="18"/>
  <c r="BI240" i="18"/>
  <c r="AW241" i="18"/>
  <c r="AX241" i="18"/>
  <c r="AY241" i="18"/>
  <c r="AZ241" i="18"/>
  <c r="BA241" i="18"/>
  <c r="BB241" i="18"/>
  <c r="BC241" i="18"/>
  <c r="BD241" i="18"/>
  <c r="BE241" i="18"/>
  <c r="BF241" i="18"/>
  <c r="BG241" i="18"/>
  <c r="BH241" i="18"/>
  <c r="BI241" i="18"/>
  <c r="AW242" i="18"/>
  <c r="AX242" i="18"/>
  <c r="AY242" i="18"/>
  <c r="AZ242" i="18"/>
  <c r="BA242" i="18"/>
  <c r="BB242" i="18"/>
  <c r="BC242" i="18"/>
  <c r="BD242" i="18"/>
  <c r="BE242" i="18"/>
  <c r="BF242" i="18"/>
  <c r="BG242" i="18"/>
  <c r="BH242" i="18"/>
  <c r="BI242" i="18"/>
  <c r="AW243" i="18"/>
  <c r="AX243" i="18"/>
  <c r="AY243" i="18"/>
  <c r="AZ243" i="18"/>
  <c r="BA243" i="18"/>
  <c r="BB243" i="18"/>
  <c r="BC243" i="18"/>
  <c r="BD243" i="18"/>
  <c r="BE243" i="18"/>
  <c r="BF243" i="18"/>
  <c r="BG243" i="18"/>
  <c r="BH243" i="18"/>
  <c r="BI243" i="18"/>
  <c r="AW244" i="18"/>
  <c r="AX244" i="18"/>
  <c r="AY244" i="18"/>
  <c r="AZ244" i="18"/>
  <c r="BA244" i="18"/>
  <c r="BB244" i="18"/>
  <c r="BC244" i="18"/>
  <c r="BD244" i="18"/>
  <c r="BE244" i="18"/>
  <c r="BF244" i="18"/>
  <c r="BG244" i="18"/>
  <c r="BH244" i="18"/>
  <c r="BI244" i="18"/>
  <c r="AW245" i="18"/>
  <c r="AX245" i="18"/>
  <c r="AY245" i="18"/>
  <c r="AZ245" i="18"/>
  <c r="BA245" i="18"/>
  <c r="BB245" i="18"/>
  <c r="BC245" i="18"/>
  <c r="BD245" i="18"/>
  <c r="BE245" i="18"/>
  <c r="BF245" i="18"/>
  <c r="BG245" i="18"/>
  <c r="BH245" i="18"/>
  <c r="BI245" i="18"/>
  <c r="AW246" i="18"/>
  <c r="AX246" i="18"/>
  <c r="AY246" i="18"/>
  <c r="AZ246" i="18"/>
  <c r="BA246" i="18"/>
  <c r="BB246" i="18"/>
  <c r="BC246" i="18"/>
  <c r="BD246" i="18"/>
  <c r="BE246" i="18"/>
  <c r="BF246" i="18"/>
  <c r="BG246" i="18"/>
  <c r="BH246" i="18"/>
  <c r="BI246" i="18"/>
  <c r="AW247" i="18"/>
  <c r="AX247" i="18"/>
  <c r="AY247" i="18"/>
  <c r="AZ247" i="18"/>
  <c r="BA247" i="18"/>
  <c r="BB247" i="18"/>
  <c r="BC247" i="18"/>
  <c r="BD247" i="18"/>
  <c r="BE247" i="18"/>
  <c r="BF247" i="18"/>
  <c r="BG247" i="18"/>
  <c r="BH247" i="18"/>
  <c r="BI247" i="18"/>
  <c r="AW248" i="18"/>
  <c r="AX248" i="18"/>
  <c r="AY248" i="18"/>
  <c r="AZ248" i="18"/>
  <c r="BA248" i="18"/>
  <c r="BB248" i="18"/>
  <c r="BC248" i="18"/>
  <c r="BD248" i="18"/>
  <c r="BE248" i="18"/>
  <c r="BF248" i="18"/>
  <c r="BG248" i="18"/>
  <c r="BH248" i="18"/>
  <c r="BI248" i="18"/>
  <c r="AW249" i="18"/>
  <c r="AX249" i="18"/>
  <c r="AY249" i="18"/>
  <c r="AZ249" i="18"/>
  <c r="BA249" i="18"/>
  <c r="BB249" i="18"/>
  <c r="BC249" i="18"/>
  <c r="BD249" i="18"/>
  <c r="BE249" i="18"/>
  <c r="BF249" i="18"/>
  <c r="BG249" i="18"/>
  <c r="BH249" i="18"/>
  <c r="BI249" i="18"/>
  <c r="AW250" i="18"/>
  <c r="AX250" i="18"/>
  <c r="AY250" i="18"/>
  <c r="AZ250" i="18"/>
  <c r="BA250" i="18"/>
  <c r="BB250" i="18"/>
  <c r="BC250" i="18"/>
  <c r="BD250" i="18"/>
  <c r="BE250" i="18"/>
  <c r="BF250" i="18"/>
  <c r="BG250" i="18"/>
  <c r="BH250" i="18"/>
  <c r="BI250" i="18"/>
  <c r="AW251" i="18"/>
  <c r="AX251" i="18"/>
  <c r="AY251" i="18"/>
  <c r="AZ251" i="18"/>
  <c r="BA251" i="18"/>
  <c r="BB251" i="18"/>
  <c r="BC251" i="18"/>
  <c r="BD251" i="18"/>
  <c r="BE251" i="18"/>
  <c r="BF251" i="18"/>
  <c r="BG251" i="18"/>
  <c r="BH251" i="18"/>
  <c r="BI251" i="18"/>
  <c r="AW252" i="18"/>
  <c r="AX252" i="18"/>
  <c r="AY252" i="18"/>
  <c r="AZ252" i="18"/>
  <c r="BA252" i="18"/>
  <c r="BB252" i="18"/>
  <c r="BC252" i="18"/>
  <c r="BD252" i="18"/>
  <c r="BE252" i="18"/>
  <c r="BF252" i="18"/>
  <c r="BG252" i="18"/>
  <c r="BH252" i="18"/>
  <c r="BI252" i="18"/>
  <c r="AW253" i="18"/>
  <c r="AX253" i="18"/>
  <c r="AY253" i="18"/>
  <c r="AZ253" i="18"/>
  <c r="BA253" i="18"/>
  <c r="BB253" i="18"/>
  <c r="BC253" i="18"/>
  <c r="BD253" i="18"/>
  <c r="BE253" i="18"/>
  <c r="BF253" i="18"/>
  <c r="BG253" i="18"/>
  <c r="BH253" i="18"/>
  <c r="BI253" i="18"/>
  <c r="AW254" i="18"/>
  <c r="AX254" i="18"/>
  <c r="AY254" i="18"/>
  <c r="AZ254" i="18"/>
  <c r="BA254" i="18"/>
  <c r="BB254" i="18"/>
  <c r="BC254" i="18"/>
  <c r="BD254" i="18"/>
  <c r="BE254" i="18"/>
  <c r="BF254" i="18"/>
  <c r="BG254" i="18"/>
  <c r="BH254" i="18"/>
  <c r="BI254" i="18"/>
  <c r="AW255" i="18"/>
  <c r="AX255" i="18"/>
  <c r="AY255" i="18"/>
  <c r="AZ255" i="18"/>
  <c r="BA255" i="18"/>
  <c r="BB255" i="18"/>
  <c r="BC255" i="18"/>
  <c r="BD255" i="18"/>
  <c r="BE255" i="18"/>
  <c r="BF255" i="18"/>
  <c r="BG255" i="18"/>
  <c r="BH255" i="18"/>
  <c r="BI255" i="18"/>
  <c r="AW256" i="18"/>
  <c r="AX256" i="18"/>
  <c r="AY256" i="18"/>
  <c r="AZ256" i="18"/>
  <c r="BA256" i="18"/>
  <c r="BB256" i="18"/>
  <c r="BC256" i="18"/>
  <c r="BD256" i="18"/>
  <c r="BE256" i="18"/>
  <c r="BF256" i="18"/>
  <c r="BG256" i="18"/>
  <c r="BH256" i="18"/>
  <c r="BI256" i="18"/>
  <c r="AW257" i="18"/>
  <c r="AX257" i="18"/>
  <c r="AY257" i="18"/>
  <c r="AZ257" i="18"/>
  <c r="BA257" i="18"/>
  <c r="BB257" i="18"/>
  <c r="BC257" i="18"/>
  <c r="BD257" i="18"/>
  <c r="BE257" i="18"/>
  <c r="BF257" i="18"/>
  <c r="BG257" i="18"/>
  <c r="BH257" i="18"/>
  <c r="BI257" i="18"/>
  <c r="AW258" i="18"/>
  <c r="AX258" i="18"/>
  <c r="AY258" i="18"/>
  <c r="AZ258" i="18"/>
  <c r="BA258" i="18"/>
  <c r="BB258" i="18"/>
  <c r="BC258" i="18"/>
  <c r="BD258" i="18"/>
  <c r="BE258" i="18"/>
  <c r="BF258" i="18"/>
  <c r="BG258" i="18"/>
  <c r="BH258" i="18"/>
  <c r="BI258" i="18"/>
  <c r="AW259" i="18"/>
  <c r="AX259" i="18"/>
  <c r="AY259" i="18"/>
  <c r="AZ259" i="18"/>
  <c r="BA259" i="18"/>
  <c r="BB259" i="18"/>
  <c r="BC259" i="18"/>
  <c r="BD259" i="18"/>
  <c r="BE259" i="18"/>
  <c r="BF259" i="18"/>
  <c r="BG259" i="18"/>
  <c r="BH259" i="18"/>
  <c r="BI259" i="18"/>
  <c r="AW260" i="18"/>
  <c r="AX260" i="18"/>
  <c r="AY260" i="18"/>
  <c r="AZ260" i="18"/>
  <c r="BA260" i="18"/>
  <c r="BB260" i="18"/>
  <c r="BC260" i="18"/>
  <c r="BD260" i="18"/>
  <c r="BE260" i="18"/>
  <c r="BF260" i="18"/>
  <c r="BG260" i="18"/>
  <c r="BH260" i="18"/>
  <c r="BI260" i="18"/>
  <c r="AW261" i="18"/>
  <c r="AX261" i="18"/>
  <c r="AY261" i="18"/>
  <c r="AZ261" i="18"/>
  <c r="BA261" i="18"/>
  <c r="BB261" i="18"/>
  <c r="BC261" i="18"/>
  <c r="BD261" i="18"/>
  <c r="BE261" i="18"/>
  <c r="BF261" i="18"/>
  <c r="BG261" i="18"/>
  <c r="BH261" i="18"/>
  <c r="BI261" i="18"/>
  <c r="AW262" i="18"/>
  <c r="AX262" i="18"/>
  <c r="AY262" i="18"/>
  <c r="AZ262" i="18"/>
  <c r="BA262" i="18"/>
  <c r="BB262" i="18"/>
  <c r="BC262" i="18"/>
  <c r="BD262" i="18"/>
  <c r="BE262" i="18"/>
  <c r="BF262" i="18"/>
  <c r="BG262" i="18"/>
  <c r="BH262" i="18"/>
  <c r="BI262" i="18"/>
  <c r="AW263" i="18"/>
  <c r="AX263" i="18"/>
  <c r="AY263" i="18"/>
  <c r="AZ263" i="18"/>
  <c r="BA263" i="18"/>
  <c r="BB263" i="18"/>
  <c r="BC263" i="18"/>
  <c r="BD263" i="18"/>
  <c r="BE263" i="18"/>
  <c r="BF263" i="18"/>
  <c r="BG263" i="18"/>
  <c r="BH263" i="18"/>
  <c r="BI263" i="18"/>
  <c r="AW264" i="18"/>
  <c r="AX264" i="18"/>
  <c r="AY264" i="18"/>
  <c r="AZ264" i="18"/>
  <c r="BA264" i="18"/>
  <c r="BB264" i="18"/>
  <c r="BC264" i="18"/>
  <c r="BD264" i="18"/>
  <c r="BE264" i="18"/>
  <c r="BF264" i="18"/>
  <c r="BG264" i="18"/>
  <c r="BH264" i="18"/>
  <c r="BI264" i="18"/>
  <c r="AW265" i="18"/>
  <c r="AX265" i="18"/>
  <c r="AY265" i="18"/>
  <c r="AZ265" i="18"/>
  <c r="BA265" i="18"/>
  <c r="BB265" i="18"/>
  <c r="BC265" i="18"/>
  <c r="BD265" i="18"/>
  <c r="BE265" i="18"/>
  <c r="BF265" i="18"/>
  <c r="BG265" i="18"/>
  <c r="BH265" i="18"/>
  <c r="BI265" i="18"/>
  <c r="AW266" i="18"/>
  <c r="AX266" i="18"/>
  <c r="AY266" i="18"/>
  <c r="AZ266" i="18"/>
  <c r="BA266" i="18"/>
  <c r="BB266" i="18"/>
  <c r="BC266" i="18"/>
  <c r="BD266" i="18"/>
  <c r="BE266" i="18"/>
  <c r="BF266" i="18"/>
  <c r="BG266" i="18"/>
  <c r="BH266" i="18"/>
  <c r="BI266" i="18"/>
  <c r="AW267" i="18"/>
  <c r="AX267" i="18"/>
  <c r="AY267" i="18"/>
  <c r="AZ267" i="18"/>
  <c r="BA267" i="18"/>
  <c r="BB267" i="18"/>
  <c r="BC267" i="18"/>
  <c r="BD267" i="18"/>
  <c r="BE267" i="18"/>
  <c r="BF267" i="18"/>
  <c r="BG267" i="18"/>
  <c r="BH267" i="18"/>
  <c r="BI267" i="18"/>
  <c r="AW268" i="18"/>
  <c r="AX268" i="18"/>
  <c r="AY268" i="18"/>
  <c r="AZ268" i="18"/>
  <c r="BA268" i="18"/>
  <c r="BB268" i="18"/>
  <c r="BC268" i="18"/>
  <c r="BD268" i="18"/>
  <c r="BE268" i="18"/>
  <c r="BF268" i="18"/>
  <c r="BG268" i="18"/>
  <c r="BH268" i="18"/>
  <c r="BI268" i="18"/>
  <c r="AW269" i="18"/>
  <c r="AX269" i="18"/>
  <c r="AY269" i="18"/>
  <c r="AZ269" i="18"/>
  <c r="BA269" i="18"/>
  <c r="BB269" i="18"/>
  <c r="BC269" i="18"/>
  <c r="BD269" i="18"/>
  <c r="BE269" i="18"/>
  <c r="BF269" i="18"/>
  <c r="BG269" i="18"/>
  <c r="BH269" i="18"/>
  <c r="BI269" i="18"/>
  <c r="AW270" i="18"/>
  <c r="AX270" i="18"/>
  <c r="AY270" i="18"/>
  <c r="AZ270" i="18"/>
  <c r="BA270" i="18"/>
  <c r="BB270" i="18"/>
  <c r="BC270" i="18"/>
  <c r="BD270" i="18"/>
  <c r="BE270" i="18"/>
  <c r="BF270" i="18"/>
  <c r="BG270" i="18"/>
  <c r="BH270" i="18"/>
  <c r="BI270" i="18"/>
  <c r="AW271" i="18"/>
  <c r="AX271" i="18"/>
  <c r="AY271" i="18"/>
  <c r="AZ271" i="18"/>
  <c r="BA271" i="18"/>
  <c r="BB271" i="18"/>
  <c r="BC271" i="18"/>
  <c r="BD271" i="18"/>
  <c r="BE271" i="18"/>
  <c r="BF271" i="18"/>
  <c r="BG271" i="18"/>
  <c r="BH271" i="18"/>
  <c r="BI271" i="18"/>
  <c r="AW272" i="18"/>
  <c r="AX272" i="18"/>
  <c r="AY272" i="18"/>
  <c r="AZ272" i="18"/>
  <c r="BA272" i="18"/>
  <c r="BB272" i="18"/>
  <c r="BC272" i="18"/>
  <c r="BD272" i="18"/>
  <c r="BE272" i="18"/>
  <c r="BF272" i="18"/>
  <c r="BG272" i="18"/>
  <c r="BH272" i="18"/>
  <c r="BI272" i="18"/>
  <c r="AW273" i="18"/>
  <c r="AX273" i="18"/>
  <c r="AY273" i="18"/>
  <c r="AZ273" i="18"/>
  <c r="BA273" i="18"/>
  <c r="BB273" i="18"/>
  <c r="BC273" i="18"/>
  <c r="BD273" i="18"/>
  <c r="BE273" i="18"/>
  <c r="BF273" i="18"/>
  <c r="BG273" i="18"/>
  <c r="BH273" i="18"/>
  <c r="BI273" i="18"/>
  <c r="AW274" i="18"/>
  <c r="AX274" i="18"/>
  <c r="AY274" i="18"/>
  <c r="AZ274" i="18"/>
  <c r="BA274" i="18"/>
  <c r="BB274" i="18"/>
  <c r="BC274" i="18"/>
  <c r="BD274" i="18"/>
  <c r="BE274" i="18"/>
  <c r="BF274" i="18"/>
  <c r="BG274" i="18"/>
  <c r="BH274" i="18"/>
  <c r="BI274" i="18"/>
  <c r="AW275" i="18"/>
  <c r="AX275" i="18"/>
  <c r="AY275" i="18"/>
  <c r="AZ275" i="18"/>
  <c r="BA275" i="18"/>
  <c r="BB275" i="18"/>
  <c r="BC275" i="18"/>
  <c r="BD275" i="18"/>
  <c r="BE275" i="18"/>
  <c r="BF275" i="18"/>
  <c r="BG275" i="18"/>
  <c r="BH275" i="18"/>
  <c r="BI275" i="18"/>
  <c r="AW276" i="18"/>
  <c r="AX276" i="18"/>
  <c r="AY276" i="18"/>
  <c r="AZ276" i="18"/>
  <c r="BA276" i="18"/>
  <c r="BB276" i="18"/>
  <c r="BC276" i="18"/>
  <c r="BD276" i="18"/>
  <c r="BE276" i="18"/>
  <c r="BF276" i="18"/>
  <c r="BG276" i="18"/>
  <c r="BH276" i="18"/>
  <c r="BI276" i="18"/>
  <c r="AW277" i="18"/>
  <c r="AX277" i="18"/>
  <c r="AY277" i="18"/>
  <c r="AZ277" i="18"/>
  <c r="BA277" i="18"/>
  <c r="BB277" i="18"/>
  <c r="BC277" i="18"/>
  <c r="BD277" i="18"/>
  <c r="BE277" i="18"/>
  <c r="BF277" i="18"/>
  <c r="BG277" i="18"/>
  <c r="BH277" i="18"/>
  <c r="BI277" i="18"/>
  <c r="AW278" i="18"/>
  <c r="AX278" i="18"/>
  <c r="AY278" i="18"/>
  <c r="AZ278" i="18"/>
  <c r="BA278" i="18"/>
  <c r="BB278" i="18"/>
  <c r="BC278" i="18"/>
  <c r="BD278" i="18"/>
  <c r="BE278" i="18"/>
  <c r="BF278" i="18"/>
  <c r="BG278" i="18"/>
  <c r="BH278" i="18"/>
  <c r="BI278" i="18"/>
  <c r="AW279" i="18"/>
  <c r="AX279" i="18"/>
  <c r="AY279" i="18"/>
  <c r="AZ279" i="18"/>
  <c r="BA279" i="18"/>
  <c r="BB279" i="18"/>
  <c r="BC279" i="18"/>
  <c r="BD279" i="18"/>
  <c r="BE279" i="18"/>
  <c r="BF279" i="18"/>
  <c r="BG279" i="18"/>
  <c r="BH279" i="18"/>
  <c r="BI279" i="18"/>
  <c r="AW280" i="18"/>
  <c r="AX280" i="18"/>
  <c r="AY280" i="18"/>
  <c r="AZ280" i="18"/>
  <c r="BA280" i="18"/>
  <c r="BB280" i="18"/>
  <c r="BC280" i="18"/>
  <c r="BD280" i="18"/>
  <c r="BE280" i="18"/>
  <c r="BF280" i="18"/>
  <c r="BG280" i="18"/>
  <c r="BH280" i="18"/>
  <c r="BI280" i="18"/>
  <c r="AW281" i="18"/>
  <c r="AX281" i="18"/>
  <c r="AY281" i="18"/>
  <c r="AZ281" i="18"/>
  <c r="BA281" i="18"/>
  <c r="BB281" i="18"/>
  <c r="BC281" i="18"/>
  <c r="BD281" i="18"/>
  <c r="BE281" i="18"/>
  <c r="BF281" i="18"/>
  <c r="BG281" i="18"/>
  <c r="BH281" i="18"/>
  <c r="BI281" i="18"/>
  <c r="AW282" i="18"/>
  <c r="AX282" i="18"/>
  <c r="AY282" i="18"/>
  <c r="AZ282" i="18"/>
  <c r="BA282" i="18"/>
  <c r="BB282" i="18"/>
  <c r="BC282" i="18"/>
  <c r="BD282" i="18"/>
  <c r="BE282" i="18"/>
  <c r="BF282" i="18"/>
  <c r="BG282" i="18"/>
  <c r="BH282" i="18"/>
  <c r="BI282" i="18"/>
  <c r="AW283" i="18"/>
  <c r="AX283" i="18"/>
  <c r="AY283" i="18"/>
  <c r="AZ283" i="18"/>
  <c r="BA283" i="18"/>
  <c r="BB283" i="18"/>
  <c r="BC283" i="18"/>
  <c r="BD283" i="18"/>
  <c r="BE283" i="18"/>
  <c r="BF283" i="18"/>
  <c r="BG283" i="18"/>
  <c r="BH283" i="18"/>
  <c r="BI283" i="18"/>
  <c r="AW284" i="18"/>
  <c r="AX284" i="18"/>
  <c r="AY284" i="18"/>
  <c r="AZ284" i="18"/>
  <c r="BA284" i="18"/>
  <c r="BB284" i="18"/>
  <c r="BC284" i="18"/>
  <c r="BD284" i="18"/>
  <c r="BE284" i="18"/>
  <c r="BF284" i="18"/>
  <c r="BG284" i="18"/>
  <c r="BH284" i="18"/>
  <c r="BI284" i="18"/>
  <c r="AW285" i="18"/>
  <c r="AX285" i="18"/>
  <c r="AY285" i="18"/>
  <c r="AZ285" i="18"/>
  <c r="BA285" i="18"/>
  <c r="BB285" i="18"/>
  <c r="BC285" i="18"/>
  <c r="BD285" i="18"/>
  <c r="BE285" i="18"/>
  <c r="BF285" i="18"/>
  <c r="BG285" i="18"/>
  <c r="BH285" i="18"/>
  <c r="BI285" i="18"/>
  <c r="AW286" i="18"/>
  <c r="AX286" i="18"/>
  <c r="AY286" i="18"/>
  <c r="AZ286" i="18"/>
  <c r="BA286" i="18"/>
  <c r="BB286" i="18"/>
  <c r="BC286" i="18"/>
  <c r="BD286" i="18"/>
  <c r="BE286" i="18"/>
  <c r="BF286" i="18"/>
  <c r="BG286" i="18"/>
  <c r="BH286" i="18"/>
  <c r="BI286" i="18"/>
  <c r="AW287" i="18"/>
  <c r="AX287" i="18"/>
  <c r="AY287" i="18"/>
  <c r="AZ287" i="18"/>
  <c r="BA287" i="18"/>
  <c r="BB287" i="18"/>
  <c r="BC287" i="18"/>
  <c r="BD287" i="18"/>
  <c r="BE287" i="18"/>
  <c r="BF287" i="18"/>
  <c r="BG287" i="18"/>
  <c r="BH287" i="18"/>
  <c r="BI287" i="18"/>
  <c r="AW288" i="18"/>
  <c r="AX288" i="18"/>
  <c r="AY288" i="18"/>
  <c r="AZ288" i="18"/>
  <c r="BA288" i="18"/>
  <c r="BB288" i="18"/>
  <c r="BC288" i="18"/>
  <c r="BD288" i="18"/>
  <c r="BE288" i="18"/>
  <c r="BF288" i="18"/>
  <c r="BG288" i="18"/>
  <c r="BH288" i="18"/>
  <c r="BI288" i="18"/>
  <c r="AW289" i="18"/>
  <c r="AX289" i="18"/>
  <c r="AY289" i="18"/>
  <c r="AZ289" i="18"/>
  <c r="BA289" i="18"/>
  <c r="BB289" i="18"/>
  <c r="BC289" i="18"/>
  <c r="BD289" i="18"/>
  <c r="BE289" i="18"/>
  <c r="BF289" i="18"/>
  <c r="BG289" i="18"/>
  <c r="BH289" i="18"/>
  <c r="BI289" i="18"/>
  <c r="AW290" i="18"/>
  <c r="AX290" i="18"/>
  <c r="AY290" i="18"/>
  <c r="AZ290" i="18"/>
  <c r="BA290" i="18"/>
  <c r="BB290" i="18"/>
  <c r="BC290" i="18"/>
  <c r="BD290" i="18"/>
  <c r="BE290" i="18"/>
  <c r="BF290" i="18"/>
  <c r="BG290" i="18"/>
  <c r="BH290" i="18"/>
  <c r="BI290" i="18"/>
  <c r="AW291" i="18"/>
  <c r="AX291" i="18"/>
  <c r="AY291" i="18"/>
  <c r="AZ291" i="18"/>
  <c r="BA291" i="18"/>
  <c r="BB291" i="18"/>
  <c r="BC291" i="18"/>
  <c r="BD291" i="18"/>
  <c r="BE291" i="18"/>
  <c r="BF291" i="18"/>
  <c r="BG291" i="18"/>
  <c r="BH291" i="18"/>
  <c r="BI291" i="18"/>
  <c r="AW292" i="18"/>
  <c r="AX292" i="18"/>
  <c r="AY292" i="18"/>
  <c r="AZ292" i="18"/>
  <c r="BA292" i="18"/>
  <c r="BB292" i="18"/>
  <c r="BC292" i="18"/>
  <c r="BD292" i="18"/>
  <c r="BE292" i="18"/>
  <c r="BF292" i="18"/>
  <c r="BG292" i="18"/>
  <c r="BH292" i="18"/>
  <c r="BI292" i="18"/>
  <c r="AW293" i="18"/>
  <c r="AX293" i="18"/>
  <c r="AY293" i="18"/>
  <c r="AZ293" i="18"/>
  <c r="BA293" i="18"/>
  <c r="BB293" i="18"/>
  <c r="BC293" i="18"/>
  <c r="BD293" i="18"/>
  <c r="BE293" i="18"/>
  <c r="BF293" i="18"/>
  <c r="BG293" i="18"/>
  <c r="BH293" i="18"/>
  <c r="BI293" i="18"/>
  <c r="AW294" i="18"/>
  <c r="AX294" i="18"/>
  <c r="AY294" i="18"/>
  <c r="AZ294" i="18"/>
  <c r="BA294" i="18"/>
  <c r="BB294" i="18"/>
  <c r="BC294" i="18"/>
  <c r="BD294" i="18"/>
  <c r="BE294" i="18"/>
  <c r="BF294" i="18"/>
  <c r="BG294" i="18"/>
  <c r="BH294" i="18"/>
  <c r="BI294" i="18"/>
  <c r="AW295" i="18"/>
  <c r="AX295" i="18"/>
  <c r="AY295" i="18"/>
  <c r="AZ295" i="18"/>
  <c r="BA295" i="18"/>
  <c r="BB295" i="18"/>
  <c r="BC295" i="18"/>
  <c r="BD295" i="18"/>
  <c r="BE295" i="18"/>
  <c r="BF295" i="18"/>
  <c r="BG295" i="18"/>
  <c r="BH295" i="18"/>
  <c r="BI295" i="18"/>
  <c r="AW296" i="18"/>
  <c r="AX296" i="18"/>
  <c r="AY296" i="18"/>
  <c r="AZ296" i="18"/>
  <c r="BA296" i="18"/>
  <c r="BB296" i="18"/>
  <c r="BC296" i="18"/>
  <c r="BD296" i="18"/>
  <c r="BE296" i="18"/>
  <c r="BF296" i="18"/>
  <c r="BG296" i="18"/>
  <c r="BH296" i="18"/>
  <c r="BI296" i="18"/>
  <c r="AW297" i="18"/>
  <c r="AX297" i="18"/>
  <c r="AY297" i="18"/>
  <c r="AZ297" i="18"/>
  <c r="BA297" i="18"/>
  <c r="BB297" i="18"/>
  <c r="BC297" i="18"/>
  <c r="BD297" i="18"/>
  <c r="BE297" i="18"/>
  <c r="BF297" i="18"/>
  <c r="BG297" i="18"/>
  <c r="BH297" i="18"/>
  <c r="BI297" i="18"/>
  <c r="AW298" i="18"/>
  <c r="AX298" i="18"/>
  <c r="AY298" i="18"/>
  <c r="AZ298" i="18"/>
  <c r="BA298" i="18"/>
  <c r="BB298" i="18"/>
  <c r="BC298" i="18"/>
  <c r="BD298" i="18"/>
  <c r="BE298" i="18"/>
  <c r="BF298" i="18"/>
  <c r="BG298" i="18"/>
  <c r="BH298" i="18"/>
  <c r="BI298" i="18"/>
  <c r="AW299" i="18"/>
  <c r="AX299" i="18"/>
  <c r="AY299" i="18"/>
  <c r="AZ299" i="18"/>
  <c r="BA299" i="18"/>
  <c r="BB299" i="18"/>
  <c r="BC299" i="18"/>
  <c r="BD299" i="18"/>
  <c r="BE299" i="18"/>
  <c r="BF299" i="18"/>
  <c r="BG299" i="18"/>
  <c r="BH299" i="18"/>
  <c r="BI299" i="18"/>
  <c r="AW300" i="18"/>
  <c r="AX300" i="18"/>
  <c r="AY300" i="18"/>
  <c r="AZ300" i="18"/>
  <c r="BA300" i="18"/>
  <c r="BB300" i="18"/>
  <c r="BC300" i="18"/>
  <c r="BD300" i="18"/>
  <c r="BE300" i="18"/>
  <c r="BF300" i="18"/>
  <c r="BG300" i="18"/>
  <c r="BH300" i="18"/>
  <c r="BI300" i="18"/>
  <c r="AW301" i="18"/>
  <c r="AX301" i="18"/>
  <c r="AY301" i="18"/>
  <c r="AZ301" i="18"/>
  <c r="BA301" i="18"/>
  <c r="BB301" i="18"/>
  <c r="BC301" i="18"/>
  <c r="BD301" i="18"/>
  <c r="BE301" i="18"/>
  <c r="BF301" i="18"/>
  <c r="BG301" i="18"/>
  <c r="BH301" i="18"/>
  <c r="BI301" i="18"/>
  <c r="AW302" i="18"/>
  <c r="AX302" i="18"/>
  <c r="AY302" i="18"/>
  <c r="AZ302" i="18"/>
  <c r="BA302" i="18"/>
  <c r="BB302" i="18"/>
  <c r="BC302" i="18"/>
  <c r="BD302" i="18"/>
  <c r="BE302" i="18"/>
  <c r="BF302" i="18"/>
  <c r="BG302" i="18"/>
  <c r="BH302" i="18"/>
  <c r="BI302" i="18"/>
  <c r="AW303" i="18"/>
  <c r="AX303" i="18"/>
  <c r="AY303" i="18"/>
  <c r="AZ303" i="18"/>
  <c r="BA303" i="18"/>
  <c r="BB303" i="18"/>
  <c r="BC303" i="18"/>
  <c r="BD303" i="18"/>
  <c r="BE303" i="18"/>
  <c r="BF303" i="18"/>
  <c r="BG303" i="18"/>
  <c r="BH303" i="18"/>
  <c r="BI303" i="18"/>
  <c r="AW304" i="18"/>
  <c r="AX304" i="18"/>
  <c r="AY304" i="18"/>
  <c r="AZ304" i="18"/>
  <c r="BA304" i="18"/>
  <c r="BB304" i="18"/>
  <c r="BC304" i="18"/>
  <c r="BD304" i="18"/>
  <c r="BE304" i="18"/>
  <c r="BF304" i="18"/>
  <c r="BG304" i="18"/>
  <c r="BH304" i="18"/>
  <c r="BI304" i="18"/>
  <c r="AW305" i="18"/>
  <c r="AX305" i="18"/>
  <c r="AY305" i="18"/>
  <c r="AZ305" i="18"/>
  <c r="BA305" i="18"/>
  <c r="BB305" i="18"/>
  <c r="BC305" i="18"/>
  <c r="BD305" i="18"/>
  <c r="BE305" i="18"/>
  <c r="BF305" i="18"/>
  <c r="BG305" i="18"/>
  <c r="BH305" i="18"/>
  <c r="BI305" i="18"/>
  <c r="AW306" i="18"/>
  <c r="AX306" i="18"/>
  <c r="AY306" i="18"/>
  <c r="AZ306" i="18"/>
  <c r="BA306" i="18"/>
  <c r="BB306" i="18"/>
  <c r="BC306" i="18"/>
  <c r="BD306" i="18"/>
  <c r="BE306" i="18"/>
  <c r="BF306" i="18"/>
  <c r="BG306" i="18"/>
  <c r="BH306" i="18"/>
  <c r="BI306" i="18"/>
  <c r="AW307" i="18"/>
  <c r="AX307" i="18"/>
  <c r="AY307" i="18"/>
  <c r="AZ307" i="18"/>
  <c r="BA307" i="18"/>
  <c r="BB307" i="18"/>
  <c r="BC307" i="18"/>
  <c r="BD307" i="18"/>
  <c r="BE307" i="18"/>
  <c r="BF307" i="18"/>
  <c r="BG307" i="18"/>
  <c r="BH307" i="18"/>
  <c r="BI307" i="18"/>
  <c r="AW308" i="18"/>
  <c r="AX308" i="18"/>
  <c r="AY308" i="18"/>
  <c r="AZ308" i="18"/>
  <c r="BA308" i="18"/>
  <c r="BB308" i="18"/>
  <c r="BC308" i="18"/>
  <c r="BD308" i="18"/>
  <c r="BE308" i="18"/>
  <c r="BF308" i="18"/>
  <c r="BG308" i="18"/>
  <c r="BH308" i="18"/>
  <c r="BI308" i="18"/>
  <c r="AW309" i="18"/>
  <c r="AX309" i="18"/>
  <c r="AY309" i="18"/>
  <c r="AZ309" i="18"/>
  <c r="BA309" i="18"/>
  <c r="BB309" i="18"/>
  <c r="BC309" i="18"/>
  <c r="BD309" i="18"/>
  <c r="BE309" i="18"/>
  <c r="BF309" i="18"/>
  <c r="BG309" i="18"/>
  <c r="BH309" i="18"/>
  <c r="BI309" i="18"/>
  <c r="AW310" i="18"/>
  <c r="AX310" i="18"/>
  <c r="AY310" i="18"/>
  <c r="AZ310" i="18"/>
  <c r="BA310" i="18"/>
  <c r="BB310" i="18"/>
  <c r="BC310" i="18"/>
  <c r="BD310" i="18"/>
  <c r="BE310" i="18"/>
  <c r="BF310" i="18"/>
  <c r="BG310" i="18"/>
  <c r="BH310" i="18"/>
  <c r="BI310" i="18"/>
  <c r="AW311" i="18"/>
  <c r="AX311" i="18"/>
  <c r="AY311" i="18"/>
  <c r="AZ311" i="18"/>
  <c r="BA311" i="18"/>
  <c r="BB311" i="18"/>
  <c r="BC311" i="18"/>
  <c r="BD311" i="18"/>
  <c r="BE311" i="18"/>
  <c r="BF311" i="18"/>
  <c r="BG311" i="18"/>
  <c r="BH311" i="18"/>
  <c r="BI311" i="18"/>
  <c r="AW312" i="18"/>
  <c r="AX312" i="18"/>
  <c r="AY312" i="18"/>
  <c r="AZ312" i="18"/>
  <c r="BA312" i="18"/>
  <c r="BB312" i="18"/>
  <c r="BC312" i="18"/>
  <c r="BD312" i="18"/>
  <c r="BE312" i="18"/>
  <c r="BF312" i="18"/>
  <c r="BG312" i="18"/>
  <c r="BH312" i="18"/>
  <c r="BI312" i="18"/>
  <c r="AW313" i="18"/>
  <c r="AX313" i="18"/>
  <c r="AY313" i="18"/>
  <c r="AZ313" i="18"/>
  <c r="BA313" i="18"/>
  <c r="BB313" i="18"/>
  <c r="BC313" i="18"/>
  <c r="BD313" i="18"/>
  <c r="BE313" i="18"/>
  <c r="BF313" i="18"/>
  <c r="BG313" i="18"/>
  <c r="BH313" i="18"/>
  <c r="BI313" i="18"/>
  <c r="AW314" i="18"/>
  <c r="AX314" i="18"/>
  <c r="AY314" i="18"/>
  <c r="AZ314" i="18"/>
  <c r="BA314" i="18"/>
  <c r="BB314" i="18"/>
  <c r="BC314" i="18"/>
  <c r="BD314" i="18"/>
  <c r="BE314" i="18"/>
  <c r="BF314" i="18"/>
  <c r="BG314" i="18"/>
  <c r="BH314" i="18"/>
  <c r="BI314" i="18"/>
  <c r="AW315" i="18"/>
  <c r="AX315" i="18"/>
  <c r="AY315" i="18"/>
  <c r="AZ315" i="18"/>
  <c r="BA315" i="18"/>
  <c r="BB315" i="18"/>
  <c r="BC315" i="18"/>
  <c r="BD315" i="18"/>
  <c r="BE315" i="18"/>
  <c r="BF315" i="18"/>
  <c r="BG315" i="18"/>
  <c r="BH315" i="18"/>
  <c r="BI315" i="18"/>
  <c r="AW316" i="18"/>
  <c r="AX316" i="18"/>
  <c r="AY316" i="18"/>
  <c r="AZ316" i="18"/>
  <c r="BA316" i="18"/>
  <c r="BB316" i="18"/>
  <c r="BC316" i="18"/>
  <c r="BD316" i="18"/>
  <c r="BE316" i="18"/>
  <c r="BF316" i="18"/>
  <c r="BG316" i="18"/>
  <c r="BH316" i="18"/>
  <c r="BI316" i="18"/>
  <c r="AW317" i="18"/>
  <c r="AX317" i="18"/>
  <c r="AY317" i="18"/>
  <c r="AZ317" i="18"/>
  <c r="BA317" i="18"/>
  <c r="BB317" i="18"/>
  <c r="BC317" i="18"/>
  <c r="BD317" i="18"/>
  <c r="BE317" i="18"/>
  <c r="BF317" i="18"/>
  <c r="BG317" i="18"/>
  <c r="BH317" i="18"/>
  <c r="BI317" i="18"/>
  <c r="AW318" i="18"/>
  <c r="AX318" i="18"/>
  <c r="AY318" i="18"/>
  <c r="AZ318" i="18"/>
  <c r="BA318" i="18"/>
  <c r="BB318" i="18"/>
  <c r="BC318" i="18"/>
  <c r="BD318" i="18"/>
  <c r="BE318" i="18"/>
  <c r="BF318" i="18"/>
  <c r="BG318" i="18"/>
  <c r="BH318" i="18"/>
  <c r="BI318" i="18"/>
  <c r="AW319" i="18"/>
  <c r="AX319" i="18"/>
  <c r="AY319" i="18"/>
  <c r="AZ319" i="18"/>
  <c r="BA319" i="18"/>
  <c r="BB319" i="18"/>
  <c r="BC319" i="18"/>
  <c r="BD319" i="18"/>
  <c r="BE319" i="18"/>
  <c r="BF319" i="18"/>
  <c r="BG319" i="18"/>
  <c r="BH319" i="18"/>
  <c r="BI319" i="18"/>
  <c r="AW320" i="18"/>
  <c r="AX320" i="18"/>
  <c r="AY320" i="18"/>
  <c r="AZ320" i="18"/>
  <c r="BA320" i="18"/>
  <c r="BB320" i="18"/>
  <c r="BC320" i="18"/>
  <c r="BD320" i="18"/>
  <c r="BE320" i="18"/>
  <c r="BF320" i="18"/>
  <c r="BG320" i="18"/>
  <c r="BH320" i="18"/>
  <c r="BI320" i="18"/>
  <c r="AW321" i="18"/>
  <c r="AX321" i="18"/>
  <c r="AY321" i="18"/>
  <c r="AZ321" i="18"/>
  <c r="BA321" i="18"/>
  <c r="BB321" i="18"/>
  <c r="BC321" i="18"/>
  <c r="BD321" i="18"/>
  <c r="BE321" i="18"/>
  <c r="BF321" i="18"/>
  <c r="BG321" i="18"/>
  <c r="BH321" i="18"/>
  <c r="BI321" i="18"/>
  <c r="AW322" i="18"/>
  <c r="AX322" i="18"/>
  <c r="AY322" i="18"/>
  <c r="AZ322" i="18"/>
  <c r="BA322" i="18"/>
  <c r="BB322" i="18"/>
  <c r="BC322" i="18"/>
  <c r="BD322" i="18"/>
  <c r="BE322" i="18"/>
  <c r="BF322" i="18"/>
  <c r="BG322" i="18"/>
  <c r="BH322" i="18"/>
  <c r="BI322" i="18"/>
  <c r="AW323" i="18"/>
  <c r="AX323" i="18"/>
  <c r="AY323" i="18"/>
  <c r="AZ323" i="18"/>
  <c r="BA323" i="18"/>
  <c r="BB323" i="18"/>
  <c r="BC323" i="18"/>
  <c r="BD323" i="18"/>
  <c r="BE323" i="18"/>
  <c r="BF323" i="18"/>
  <c r="BG323" i="18"/>
  <c r="BH323" i="18"/>
  <c r="BI323" i="18"/>
  <c r="AW324" i="18"/>
  <c r="AX324" i="18"/>
  <c r="AY324" i="18"/>
  <c r="AZ324" i="18"/>
  <c r="BA324" i="18"/>
  <c r="BB324" i="18"/>
  <c r="BC324" i="18"/>
  <c r="BD324" i="18"/>
  <c r="BE324" i="18"/>
  <c r="BF324" i="18"/>
  <c r="BG324" i="18"/>
  <c r="BH324" i="18"/>
  <c r="BI324" i="18"/>
  <c r="AW325" i="18"/>
  <c r="AX325" i="18"/>
  <c r="AY325" i="18"/>
  <c r="AZ325" i="18"/>
  <c r="BA325" i="18"/>
  <c r="BB325" i="18"/>
  <c r="BC325" i="18"/>
  <c r="BD325" i="18"/>
  <c r="BE325" i="18"/>
  <c r="BF325" i="18"/>
  <c r="BG325" i="18"/>
  <c r="BH325" i="18"/>
  <c r="BI325" i="18"/>
  <c r="AW326" i="18"/>
  <c r="AX326" i="18"/>
  <c r="AY326" i="18"/>
  <c r="AZ326" i="18"/>
  <c r="BA326" i="18"/>
  <c r="BB326" i="18"/>
  <c r="BC326" i="18"/>
  <c r="BD326" i="18"/>
  <c r="BE326" i="18"/>
  <c r="BF326" i="18"/>
  <c r="BG326" i="18"/>
  <c r="BH326" i="18"/>
  <c r="BI326" i="18"/>
  <c r="AW327" i="18"/>
  <c r="AX327" i="18"/>
  <c r="AY327" i="18"/>
  <c r="AZ327" i="18"/>
  <c r="BA327" i="18"/>
  <c r="BB327" i="18"/>
  <c r="BC327" i="18"/>
  <c r="BD327" i="18"/>
  <c r="BE327" i="18"/>
  <c r="BF327" i="18"/>
  <c r="BG327" i="18"/>
  <c r="BH327" i="18"/>
  <c r="BI327" i="18"/>
  <c r="AW328" i="18"/>
  <c r="AX328" i="18"/>
  <c r="AY328" i="18"/>
  <c r="AZ328" i="18"/>
  <c r="BA328" i="18"/>
  <c r="BB328" i="18"/>
  <c r="BC328" i="18"/>
  <c r="BD328" i="18"/>
  <c r="BE328" i="18"/>
  <c r="BF328" i="18"/>
  <c r="BG328" i="18"/>
  <c r="BH328" i="18"/>
  <c r="BI328" i="18"/>
  <c r="AW329" i="18"/>
  <c r="AX329" i="18"/>
  <c r="AY329" i="18"/>
  <c r="AZ329" i="18"/>
  <c r="BA329" i="18"/>
  <c r="BB329" i="18"/>
  <c r="BC329" i="18"/>
  <c r="BD329" i="18"/>
  <c r="BE329" i="18"/>
  <c r="BF329" i="18"/>
  <c r="BG329" i="18"/>
  <c r="BH329" i="18"/>
  <c r="BI329" i="18"/>
  <c r="AW330" i="18"/>
  <c r="AX330" i="18"/>
  <c r="AY330" i="18"/>
  <c r="AZ330" i="18"/>
  <c r="BA330" i="18"/>
  <c r="BB330" i="18"/>
  <c r="BC330" i="18"/>
  <c r="BD330" i="18"/>
  <c r="BE330" i="18"/>
  <c r="BF330" i="18"/>
  <c r="BG330" i="18"/>
  <c r="BH330" i="18"/>
  <c r="BI330" i="18"/>
  <c r="AW331" i="18"/>
  <c r="AX331" i="18"/>
  <c r="AY331" i="18"/>
  <c r="AZ331" i="18"/>
  <c r="BA331" i="18"/>
  <c r="BB331" i="18"/>
  <c r="BC331" i="18"/>
  <c r="BD331" i="18"/>
  <c r="BE331" i="18"/>
  <c r="BF331" i="18"/>
  <c r="BG331" i="18"/>
  <c r="BH331" i="18"/>
  <c r="BI331" i="18"/>
  <c r="AW332" i="18"/>
  <c r="AX332" i="18"/>
  <c r="AY332" i="18"/>
  <c r="AZ332" i="18"/>
  <c r="BA332" i="18"/>
  <c r="BB332" i="18"/>
  <c r="BC332" i="18"/>
  <c r="BD332" i="18"/>
  <c r="BE332" i="18"/>
  <c r="BF332" i="18"/>
  <c r="BG332" i="18"/>
  <c r="BH332" i="18"/>
  <c r="BI332" i="18"/>
  <c r="AW333" i="18"/>
  <c r="AX333" i="18"/>
  <c r="AY333" i="18"/>
  <c r="AZ333" i="18"/>
  <c r="BA333" i="18"/>
  <c r="BB333" i="18"/>
  <c r="BC333" i="18"/>
  <c r="BD333" i="18"/>
  <c r="BE333" i="18"/>
  <c r="BF333" i="18"/>
  <c r="BG333" i="18"/>
  <c r="BH333" i="18"/>
  <c r="BI333" i="18"/>
  <c r="AW334" i="18"/>
  <c r="AX334" i="18"/>
  <c r="AY334" i="18"/>
  <c r="AZ334" i="18"/>
  <c r="BA334" i="18"/>
  <c r="BB334" i="18"/>
  <c r="BC334" i="18"/>
  <c r="BD334" i="18"/>
  <c r="BE334" i="18"/>
  <c r="BF334" i="18"/>
  <c r="BG334" i="18"/>
  <c r="BH334" i="18"/>
  <c r="BI334" i="18"/>
  <c r="AW335" i="18"/>
  <c r="AX335" i="18"/>
  <c r="AY335" i="18"/>
  <c r="AZ335" i="18"/>
  <c r="BA335" i="18"/>
  <c r="BB335" i="18"/>
  <c r="BC335" i="18"/>
  <c r="BD335" i="18"/>
  <c r="BE335" i="18"/>
  <c r="BF335" i="18"/>
  <c r="BG335" i="18"/>
  <c r="BH335" i="18"/>
  <c r="BI335" i="18"/>
  <c r="AW336" i="18"/>
  <c r="AX336" i="18"/>
  <c r="AY336" i="18"/>
  <c r="AZ336" i="18"/>
  <c r="BA336" i="18"/>
  <c r="BB336" i="18"/>
  <c r="BC336" i="18"/>
  <c r="BD336" i="18"/>
  <c r="BE336" i="18"/>
  <c r="BF336" i="18"/>
  <c r="BG336" i="18"/>
  <c r="BH336" i="18"/>
  <c r="BI336" i="18"/>
  <c r="AW337" i="18"/>
  <c r="AX337" i="18"/>
  <c r="AY337" i="18"/>
  <c r="AZ337" i="18"/>
  <c r="BA337" i="18"/>
  <c r="BB337" i="18"/>
  <c r="BC337" i="18"/>
  <c r="BD337" i="18"/>
  <c r="BE337" i="18"/>
  <c r="BF337" i="18"/>
  <c r="BG337" i="18"/>
  <c r="BH337" i="18"/>
  <c r="BI337" i="18"/>
  <c r="AW338" i="18"/>
  <c r="AX338" i="18"/>
  <c r="AY338" i="18"/>
  <c r="AZ338" i="18"/>
  <c r="BA338" i="18"/>
  <c r="BB338" i="18"/>
  <c r="BC338" i="18"/>
  <c r="BD338" i="18"/>
  <c r="BE338" i="18"/>
  <c r="BF338" i="18"/>
  <c r="BG338" i="18"/>
  <c r="BH338" i="18"/>
  <c r="BI338" i="18"/>
  <c r="AW339" i="18"/>
  <c r="AX339" i="18"/>
  <c r="AY339" i="18"/>
  <c r="AZ339" i="18"/>
  <c r="BA339" i="18"/>
  <c r="BB339" i="18"/>
  <c r="BC339" i="18"/>
  <c r="BD339" i="18"/>
  <c r="BE339" i="18"/>
  <c r="BF339" i="18"/>
  <c r="BG339" i="18"/>
  <c r="BH339" i="18"/>
  <c r="BI339" i="18"/>
  <c r="AW340" i="18"/>
  <c r="AX340" i="18"/>
  <c r="AY340" i="18"/>
  <c r="AZ340" i="18"/>
  <c r="BA340" i="18"/>
  <c r="BB340" i="18"/>
  <c r="BC340" i="18"/>
  <c r="BD340" i="18"/>
  <c r="BE340" i="18"/>
  <c r="BF340" i="18"/>
  <c r="BG340" i="18"/>
  <c r="BH340" i="18"/>
  <c r="BI340" i="18"/>
  <c r="AW341" i="18"/>
  <c r="AX341" i="18"/>
  <c r="AY341" i="18"/>
  <c r="AZ341" i="18"/>
  <c r="BA341" i="18"/>
  <c r="BB341" i="18"/>
  <c r="BC341" i="18"/>
  <c r="BD341" i="18"/>
  <c r="BE341" i="18"/>
  <c r="BF341" i="18"/>
  <c r="BG341" i="18"/>
  <c r="BH341" i="18"/>
  <c r="BI341" i="18"/>
  <c r="AW342" i="18"/>
  <c r="AX342" i="18"/>
  <c r="AY342" i="18"/>
  <c r="AZ342" i="18"/>
  <c r="BA342" i="18"/>
  <c r="BB342" i="18"/>
  <c r="BC342" i="18"/>
  <c r="BD342" i="18"/>
  <c r="BE342" i="18"/>
  <c r="BF342" i="18"/>
  <c r="BG342" i="18"/>
  <c r="BH342" i="18"/>
  <c r="BI342" i="18"/>
  <c r="AW343" i="18"/>
  <c r="AX343" i="18"/>
  <c r="AY343" i="18"/>
  <c r="AZ343" i="18"/>
  <c r="BA343" i="18"/>
  <c r="BB343" i="18"/>
  <c r="BC343" i="18"/>
  <c r="BD343" i="18"/>
  <c r="BE343" i="18"/>
  <c r="BF343" i="18"/>
  <c r="BG343" i="18"/>
  <c r="BH343" i="18"/>
  <c r="BI343" i="18"/>
  <c r="AW344" i="18"/>
  <c r="AX344" i="18"/>
  <c r="AY344" i="18"/>
  <c r="AZ344" i="18"/>
  <c r="BA344" i="18"/>
  <c r="BB344" i="18"/>
  <c r="BC344" i="18"/>
  <c r="BD344" i="18"/>
  <c r="BE344" i="18"/>
  <c r="BF344" i="18"/>
  <c r="BG344" i="18"/>
  <c r="BH344" i="18"/>
  <c r="BI344" i="18"/>
  <c r="AW345" i="18"/>
  <c r="AX345" i="18"/>
  <c r="AY345" i="18"/>
  <c r="AZ345" i="18"/>
  <c r="BA345" i="18"/>
  <c r="BB345" i="18"/>
  <c r="BC345" i="18"/>
  <c r="BD345" i="18"/>
  <c r="BE345" i="18"/>
  <c r="BF345" i="18"/>
  <c r="BG345" i="18"/>
  <c r="BH345" i="18"/>
  <c r="BI345" i="18"/>
  <c r="AW346" i="18"/>
  <c r="AX346" i="18"/>
  <c r="AY346" i="18"/>
  <c r="AZ346" i="18"/>
  <c r="BA346" i="18"/>
  <c r="BB346" i="18"/>
  <c r="BC346" i="18"/>
  <c r="BD346" i="18"/>
  <c r="BE346" i="18"/>
  <c r="BF346" i="18"/>
  <c r="BG346" i="18"/>
  <c r="BH346" i="18"/>
  <c r="BI346" i="18"/>
  <c r="AW347" i="18"/>
  <c r="AX347" i="18"/>
  <c r="AY347" i="18"/>
  <c r="AZ347" i="18"/>
  <c r="BA347" i="18"/>
  <c r="BB347" i="18"/>
  <c r="BC347" i="18"/>
  <c r="BD347" i="18"/>
  <c r="BE347" i="18"/>
  <c r="BF347" i="18"/>
  <c r="BG347" i="18"/>
  <c r="BH347" i="18"/>
  <c r="BI347" i="18"/>
  <c r="AW348" i="18"/>
  <c r="AX348" i="18"/>
  <c r="AY348" i="18"/>
  <c r="AZ348" i="18"/>
  <c r="BA348" i="18"/>
  <c r="BB348" i="18"/>
  <c r="BC348" i="18"/>
  <c r="BD348" i="18"/>
  <c r="BE348" i="18"/>
  <c r="BF348" i="18"/>
  <c r="BG348" i="18"/>
  <c r="BH348" i="18"/>
  <c r="BI348" i="18"/>
  <c r="AW349" i="18"/>
  <c r="AX349" i="18"/>
  <c r="AY349" i="18"/>
  <c r="AZ349" i="18"/>
  <c r="BA349" i="18"/>
  <c r="BB349" i="18"/>
  <c r="BC349" i="18"/>
  <c r="BD349" i="18"/>
  <c r="BE349" i="18"/>
  <c r="BF349" i="18"/>
  <c r="BG349" i="18"/>
  <c r="BH349" i="18"/>
  <c r="BI349" i="18"/>
  <c r="AW350" i="18"/>
  <c r="AX350" i="18"/>
  <c r="AY350" i="18"/>
  <c r="AZ350" i="18"/>
  <c r="BA350" i="18"/>
  <c r="BB350" i="18"/>
  <c r="BC350" i="18"/>
  <c r="BD350" i="18"/>
  <c r="BE350" i="18"/>
  <c r="BF350" i="18"/>
  <c r="BG350" i="18"/>
  <c r="BH350" i="18"/>
  <c r="BI350" i="18"/>
  <c r="AW351" i="18"/>
  <c r="AX351" i="18"/>
  <c r="AY351" i="18"/>
  <c r="AZ351" i="18"/>
  <c r="BA351" i="18"/>
  <c r="BB351" i="18"/>
  <c r="BC351" i="18"/>
  <c r="BD351" i="18"/>
  <c r="BE351" i="18"/>
  <c r="BF351" i="18"/>
  <c r="BG351" i="18"/>
  <c r="BH351" i="18"/>
  <c r="BI351" i="18"/>
  <c r="AW352" i="18"/>
  <c r="AX352" i="18"/>
  <c r="AY352" i="18"/>
  <c r="AZ352" i="18"/>
  <c r="BA352" i="18"/>
  <c r="BB352" i="18"/>
  <c r="BC352" i="18"/>
  <c r="BD352" i="18"/>
  <c r="BE352" i="18"/>
  <c r="BF352" i="18"/>
  <c r="BG352" i="18"/>
  <c r="BH352" i="18"/>
  <c r="BI352" i="18"/>
  <c r="AW353" i="18"/>
  <c r="AX353" i="18"/>
  <c r="AY353" i="18"/>
  <c r="AZ353" i="18"/>
  <c r="BA353" i="18"/>
  <c r="BB353" i="18"/>
  <c r="BC353" i="18"/>
  <c r="BD353" i="18"/>
  <c r="BE353" i="18"/>
  <c r="BF353" i="18"/>
  <c r="BG353" i="18"/>
  <c r="BH353" i="18"/>
  <c r="BI353" i="18"/>
  <c r="AW354" i="18"/>
  <c r="AX354" i="18"/>
  <c r="AY354" i="18"/>
  <c r="AZ354" i="18"/>
  <c r="BA354" i="18"/>
  <c r="BB354" i="18"/>
  <c r="BC354" i="18"/>
  <c r="BD354" i="18"/>
  <c r="BE354" i="18"/>
  <c r="BF354" i="18"/>
  <c r="BG354" i="18"/>
  <c r="BH354" i="18"/>
  <c r="BI354" i="18"/>
  <c r="AW355" i="18"/>
  <c r="AX355" i="18"/>
  <c r="AY355" i="18"/>
  <c r="AZ355" i="18"/>
  <c r="BA355" i="18"/>
  <c r="BB355" i="18"/>
  <c r="BC355" i="18"/>
  <c r="BD355" i="18"/>
  <c r="BE355" i="18"/>
  <c r="BF355" i="18"/>
  <c r="BG355" i="18"/>
  <c r="BH355" i="18"/>
  <c r="BI355" i="18"/>
  <c r="AW356" i="18"/>
  <c r="AX356" i="18"/>
  <c r="AY356" i="18"/>
  <c r="AZ356" i="18"/>
  <c r="BA356" i="18"/>
  <c r="BB356" i="18"/>
  <c r="BC356" i="18"/>
  <c r="BD356" i="18"/>
  <c r="BE356" i="18"/>
  <c r="BF356" i="18"/>
  <c r="BG356" i="18"/>
  <c r="BH356" i="18"/>
  <c r="BI356" i="18"/>
  <c r="AW357" i="18"/>
  <c r="AX357" i="18"/>
  <c r="AY357" i="18"/>
  <c r="AZ357" i="18"/>
  <c r="BA357" i="18"/>
  <c r="BB357" i="18"/>
  <c r="BC357" i="18"/>
  <c r="BD357" i="18"/>
  <c r="BE357" i="18"/>
  <c r="BF357" i="18"/>
  <c r="BG357" i="18"/>
  <c r="BH357" i="18"/>
  <c r="BI357" i="18"/>
  <c r="AW358" i="18"/>
  <c r="AX358" i="18"/>
  <c r="AY358" i="18"/>
  <c r="AZ358" i="18"/>
  <c r="BA358" i="18"/>
  <c r="BB358" i="18"/>
  <c r="BC358" i="18"/>
  <c r="BD358" i="18"/>
  <c r="BE358" i="18"/>
  <c r="BF358" i="18"/>
  <c r="BG358" i="18"/>
  <c r="BH358" i="18"/>
  <c r="BI358" i="18"/>
  <c r="AW359" i="18"/>
  <c r="AX359" i="18"/>
  <c r="AY359" i="18"/>
  <c r="AZ359" i="18"/>
  <c r="BA359" i="18"/>
  <c r="BB359" i="18"/>
  <c r="BC359" i="18"/>
  <c r="BD359" i="18"/>
  <c r="BE359" i="18"/>
  <c r="BF359" i="18"/>
  <c r="BG359" i="18"/>
  <c r="BH359" i="18"/>
  <c r="BI359" i="18"/>
  <c r="AW360" i="18"/>
  <c r="AX360" i="18"/>
  <c r="AY360" i="18"/>
  <c r="AZ360" i="18"/>
  <c r="BA360" i="18"/>
  <c r="BB360" i="18"/>
  <c r="BC360" i="18"/>
  <c r="BD360" i="18"/>
  <c r="BE360" i="18"/>
  <c r="BF360" i="18"/>
  <c r="BG360" i="18"/>
  <c r="BH360" i="18"/>
  <c r="BI360" i="18"/>
  <c r="AW361" i="18"/>
  <c r="AX361" i="18"/>
  <c r="AY361" i="18"/>
  <c r="AZ361" i="18"/>
  <c r="BA361" i="18"/>
  <c r="BB361" i="18"/>
  <c r="BC361" i="18"/>
  <c r="BD361" i="18"/>
  <c r="BE361" i="18"/>
  <c r="BF361" i="18"/>
  <c r="BG361" i="18"/>
  <c r="BH361" i="18"/>
  <c r="BI361" i="18"/>
  <c r="AW362" i="18"/>
  <c r="AX362" i="18"/>
  <c r="AY362" i="18"/>
  <c r="AZ362" i="18"/>
  <c r="BA362" i="18"/>
  <c r="BB362" i="18"/>
  <c r="BC362" i="18"/>
  <c r="BD362" i="18"/>
  <c r="BE362" i="18"/>
  <c r="BF362" i="18"/>
  <c r="BG362" i="18"/>
  <c r="BH362" i="18"/>
  <c r="BI362" i="18"/>
  <c r="AW363" i="18"/>
  <c r="AX363" i="18"/>
  <c r="AY363" i="18"/>
  <c r="AZ363" i="18"/>
  <c r="BA363" i="18"/>
  <c r="BB363" i="18"/>
  <c r="BC363" i="18"/>
  <c r="BD363" i="18"/>
  <c r="BE363" i="18"/>
  <c r="BF363" i="18"/>
  <c r="BG363" i="18"/>
  <c r="BH363" i="18"/>
  <c r="BI363" i="18"/>
  <c r="AW364" i="18"/>
  <c r="AX364" i="18"/>
  <c r="AY364" i="18"/>
  <c r="AZ364" i="18"/>
  <c r="BA364" i="18"/>
  <c r="BB364" i="18"/>
  <c r="BC364" i="18"/>
  <c r="BD364" i="18"/>
  <c r="BE364" i="18"/>
  <c r="BF364" i="18"/>
  <c r="BG364" i="18"/>
  <c r="BH364" i="18"/>
  <c r="BI364" i="18"/>
  <c r="AW365" i="18"/>
  <c r="AX365" i="18"/>
  <c r="AY365" i="18"/>
  <c r="AZ365" i="18"/>
  <c r="BA365" i="18"/>
  <c r="BB365" i="18"/>
  <c r="BC365" i="18"/>
  <c r="BD365" i="18"/>
  <c r="BE365" i="18"/>
  <c r="BF365" i="18"/>
  <c r="BG365" i="18"/>
  <c r="BH365" i="18"/>
  <c r="BI365" i="18"/>
  <c r="AW366" i="18"/>
  <c r="AX366" i="18"/>
  <c r="AY366" i="18"/>
  <c r="AZ366" i="18"/>
  <c r="BA366" i="18"/>
  <c r="BB366" i="18"/>
  <c r="BC366" i="18"/>
  <c r="BD366" i="18"/>
  <c r="BE366" i="18"/>
  <c r="BF366" i="18"/>
  <c r="BG366" i="18"/>
  <c r="BH366" i="18"/>
  <c r="BI366" i="18"/>
  <c r="AW367" i="18"/>
  <c r="AX367" i="18"/>
  <c r="AY367" i="18"/>
  <c r="AZ367" i="18"/>
  <c r="BA367" i="18"/>
  <c r="BB367" i="18"/>
  <c r="BC367" i="18"/>
  <c r="BD367" i="18"/>
  <c r="BE367" i="18"/>
  <c r="BF367" i="18"/>
  <c r="BG367" i="18"/>
  <c r="BH367" i="18"/>
  <c r="BI367" i="18"/>
  <c r="AW368" i="18"/>
  <c r="AX368" i="18"/>
  <c r="AY368" i="18"/>
  <c r="AZ368" i="18"/>
  <c r="BA368" i="18"/>
  <c r="BB368" i="18"/>
  <c r="BC368" i="18"/>
  <c r="BD368" i="18"/>
  <c r="BE368" i="18"/>
  <c r="BF368" i="18"/>
  <c r="BG368" i="18"/>
  <c r="BH368" i="18"/>
  <c r="BI368" i="18"/>
  <c r="AW369" i="18"/>
  <c r="AX369" i="18"/>
  <c r="AY369" i="18"/>
  <c r="AZ369" i="18"/>
  <c r="BA369" i="18"/>
  <c r="BB369" i="18"/>
  <c r="BC369" i="18"/>
  <c r="BD369" i="18"/>
  <c r="BE369" i="18"/>
  <c r="BF369" i="18"/>
  <c r="BG369" i="18"/>
  <c r="BH369" i="18"/>
  <c r="BI369" i="18"/>
  <c r="AW370" i="18"/>
  <c r="AX370" i="18"/>
  <c r="AY370" i="18"/>
  <c r="AZ370" i="18"/>
  <c r="BA370" i="18"/>
  <c r="BB370" i="18"/>
  <c r="BC370" i="18"/>
  <c r="BD370" i="18"/>
  <c r="BE370" i="18"/>
  <c r="BF370" i="18"/>
  <c r="BG370" i="18"/>
  <c r="BH370" i="18"/>
  <c r="BI370" i="18"/>
  <c r="AW371" i="18"/>
  <c r="AX371" i="18"/>
  <c r="AY371" i="18"/>
  <c r="AZ371" i="18"/>
  <c r="BA371" i="18"/>
  <c r="BB371" i="18"/>
  <c r="BC371" i="18"/>
  <c r="BD371" i="18"/>
  <c r="BE371" i="18"/>
  <c r="BF371" i="18"/>
  <c r="BG371" i="18"/>
  <c r="BH371" i="18"/>
  <c r="BI371" i="18"/>
  <c r="AW372" i="18"/>
  <c r="AX372" i="18"/>
  <c r="AY372" i="18"/>
  <c r="AZ372" i="18"/>
  <c r="BA372" i="18"/>
  <c r="BB372" i="18"/>
  <c r="BC372" i="18"/>
  <c r="BD372" i="18"/>
  <c r="BE372" i="18"/>
  <c r="BF372" i="18"/>
  <c r="BG372" i="18"/>
  <c r="BH372" i="18"/>
  <c r="BI372" i="18"/>
  <c r="AW373" i="18"/>
  <c r="AX373" i="18"/>
  <c r="AY373" i="18"/>
  <c r="AZ373" i="18"/>
  <c r="BA373" i="18"/>
  <c r="BB373" i="18"/>
  <c r="BC373" i="18"/>
  <c r="BD373" i="18"/>
  <c r="BE373" i="18"/>
  <c r="BF373" i="18"/>
  <c r="BG373" i="18"/>
  <c r="BH373" i="18"/>
  <c r="BI373" i="18"/>
  <c r="AW374" i="18"/>
  <c r="AX374" i="18"/>
  <c r="AY374" i="18"/>
  <c r="AZ374" i="18"/>
  <c r="BA374" i="18"/>
  <c r="BB374" i="18"/>
  <c r="BC374" i="18"/>
  <c r="BD374" i="18"/>
  <c r="BE374" i="18"/>
  <c r="BF374" i="18"/>
  <c r="BG374" i="18"/>
  <c r="BH374" i="18"/>
  <c r="BI374" i="18"/>
  <c r="AW375" i="18"/>
  <c r="AX375" i="18"/>
  <c r="AY375" i="18"/>
  <c r="AZ375" i="18"/>
  <c r="BA375" i="18"/>
  <c r="BB375" i="18"/>
  <c r="BC375" i="18"/>
  <c r="BD375" i="18"/>
  <c r="BE375" i="18"/>
  <c r="BF375" i="18"/>
  <c r="BG375" i="18"/>
  <c r="BH375" i="18"/>
  <c r="BI375" i="18"/>
  <c r="AW376" i="18"/>
  <c r="AX376" i="18"/>
  <c r="AY376" i="18"/>
  <c r="AZ376" i="18"/>
  <c r="BA376" i="18"/>
  <c r="BB376" i="18"/>
  <c r="BC376" i="18"/>
  <c r="BD376" i="18"/>
  <c r="BE376" i="18"/>
  <c r="BF376" i="18"/>
  <c r="BG376" i="18"/>
  <c r="BH376" i="18"/>
  <c r="BI376" i="18"/>
  <c r="AW377" i="18"/>
  <c r="AX377" i="18"/>
  <c r="AY377" i="18"/>
  <c r="AZ377" i="18"/>
  <c r="BA377" i="18"/>
  <c r="BB377" i="18"/>
  <c r="BC377" i="18"/>
  <c r="BD377" i="18"/>
  <c r="BE377" i="18"/>
  <c r="BF377" i="18"/>
  <c r="BG377" i="18"/>
  <c r="BH377" i="18"/>
  <c r="BI377" i="18"/>
  <c r="AW378" i="18"/>
  <c r="AX378" i="18"/>
  <c r="AY378" i="18"/>
  <c r="AZ378" i="18"/>
  <c r="BA378" i="18"/>
  <c r="BB378" i="18"/>
  <c r="BC378" i="18"/>
  <c r="BD378" i="18"/>
  <c r="BE378" i="18"/>
  <c r="BF378" i="18"/>
  <c r="BG378" i="18"/>
  <c r="BH378" i="18"/>
  <c r="BI378" i="18"/>
  <c r="AW379" i="18"/>
  <c r="AX379" i="18"/>
  <c r="AY379" i="18"/>
  <c r="AZ379" i="18"/>
  <c r="BA379" i="18"/>
  <c r="BB379" i="18"/>
  <c r="BC379" i="18"/>
  <c r="BD379" i="18"/>
  <c r="BE379" i="18"/>
  <c r="BF379" i="18"/>
  <c r="BG379" i="18"/>
  <c r="BH379" i="18"/>
  <c r="BI379" i="18"/>
  <c r="AW380" i="18"/>
  <c r="AX380" i="18"/>
  <c r="AY380" i="18"/>
  <c r="AZ380" i="18"/>
  <c r="BA380" i="18"/>
  <c r="BB380" i="18"/>
  <c r="BC380" i="18"/>
  <c r="BD380" i="18"/>
  <c r="BE380" i="18"/>
  <c r="BF380" i="18"/>
  <c r="BG380" i="18"/>
  <c r="BH380" i="18"/>
  <c r="BI380" i="18"/>
  <c r="AW381" i="18"/>
  <c r="AX381" i="18"/>
  <c r="AY381" i="18"/>
  <c r="AZ381" i="18"/>
  <c r="BA381" i="18"/>
  <c r="BB381" i="18"/>
  <c r="BC381" i="18"/>
  <c r="BD381" i="18"/>
  <c r="BE381" i="18"/>
  <c r="BF381" i="18"/>
  <c r="BG381" i="18"/>
  <c r="BH381" i="18"/>
  <c r="BI381" i="18"/>
  <c r="AW382" i="18"/>
  <c r="AX382" i="18"/>
  <c r="AY382" i="18"/>
  <c r="AZ382" i="18"/>
  <c r="BA382" i="18"/>
  <c r="BB382" i="18"/>
  <c r="BC382" i="18"/>
  <c r="BD382" i="18"/>
  <c r="BE382" i="18"/>
  <c r="BF382" i="18"/>
  <c r="BG382" i="18"/>
  <c r="BH382" i="18"/>
  <c r="BI382" i="18"/>
  <c r="AW383" i="18"/>
  <c r="AX383" i="18"/>
  <c r="AY383" i="18"/>
  <c r="AZ383" i="18"/>
  <c r="BA383" i="18"/>
  <c r="BB383" i="18"/>
  <c r="BC383" i="18"/>
  <c r="BD383" i="18"/>
  <c r="BE383" i="18"/>
  <c r="BF383" i="18"/>
  <c r="BG383" i="18"/>
  <c r="BH383" i="18"/>
  <c r="BI383" i="18"/>
  <c r="AW384" i="18"/>
  <c r="AX384" i="18"/>
  <c r="AY384" i="18"/>
  <c r="AZ384" i="18"/>
  <c r="BA384" i="18"/>
  <c r="BB384" i="18"/>
  <c r="BC384" i="18"/>
  <c r="BD384" i="18"/>
  <c r="BE384" i="18"/>
  <c r="BF384" i="18"/>
  <c r="BG384" i="18"/>
  <c r="BH384" i="18"/>
  <c r="BI384" i="18"/>
  <c r="AW385" i="18"/>
  <c r="AX385" i="18"/>
  <c r="AY385" i="18"/>
  <c r="AZ385" i="18"/>
  <c r="BA385" i="18"/>
  <c r="BB385" i="18"/>
  <c r="BC385" i="18"/>
  <c r="BD385" i="18"/>
  <c r="BE385" i="18"/>
  <c r="BF385" i="18"/>
  <c r="BG385" i="18"/>
  <c r="BH385" i="18"/>
  <c r="BI385" i="18"/>
  <c r="AW386" i="18"/>
  <c r="AX386" i="18"/>
  <c r="AY386" i="18"/>
  <c r="AZ386" i="18"/>
  <c r="BA386" i="18"/>
  <c r="BB386" i="18"/>
  <c r="BC386" i="18"/>
  <c r="BD386" i="18"/>
  <c r="BE386" i="18"/>
  <c r="BF386" i="18"/>
  <c r="BG386" i="18"/>
  <c r="BH386" i="18"/>
  <c r="BI386" i="18"/>
  <c r="AW387" i="18"/>
  <c r="AX387" i="18"/>
  <c r="AY387" i="18"/>
  <c r="AZ387" i="18"/>
  <c r="BA387" i="18"/>
  <c r="BB387" i="18"/>
  <c r="BC387" i="18"/>
  <c r="BD387" i="18"/>
  <c r="BE387" i="18"/>
  <c r="BF387" i="18"/>
  <c r="BG387" i="18"/>
  <c r="BH387" i="18"/>
  <c r="BI387" i="18"/>
  <c r="AW388" i="18"/>
  <c r="AX388" i="18"/>
  <c r="AY388" i="18"/>
  <c r="AZ388" i="18"/>
  <c r="BA388" i="18"/>
  <c r="BB388" i="18"/>
  <c r="BC388" i="18"/>
  <c r="BD388" i="18"/>
  <c r="BE388" i="18"/>
  <c r="BF388" i="18"/>
  <c r="BG388" i="18"/>
  <c r="BH388" i="18"/>
  <c r="BI388" i="18"/>
  <c r="AW389" i="18"/>
  <c r="AX389" i="18"/>
  <c r="AY389" i="18"/>
  <c r="AZ389" i="18"/>
  <c r="BA389" i="18"/>
  <c r="BB389" i="18"/>
  <c r="BC389" i="18"/>
  <c r="BD389" i="18"/>
  <c r="BE389" i="18"/>
  <c r="BF389" i="18"/>
  <c r="BG389" i="18"/>
  <c r="BH389" i="18"/>
  <c r="BI389" i="18"/>
  <c r="AW390" i="18"/>
  <c r="AX390" i="18"/>
  <c r="AY390" i="18"/>
  <c r="AZ390" i="18"/>
  <c r="BA390" i="18"/>
  <c r="BB390" i="18"/>
  <c r="BC390" i="18"/>
  <c r="BD390" i="18"/>
  <c r="BE390" i="18"/>
  <c r="BF390" i="18"/>
  <c r="BG390" i="18"/>
  <c r="BH390" i="18"/>
  <c r="BI390" i="18"/>
  <c r="AW391" i="18"/>
  <c r="AX391" i="18"/>
  <c r="AY391" i="18"/>
  <c r="AZ391" i="18"/>
  <c r="BA391" i="18"/>
  <c r="BB391" i="18"/>
  <c r="BC391" i="18"/>
  <c r="BD391" i="18"/>
  <c r="BE391" i="18"/>
  <c r="BF391" i="18"/>
  <c r="BG391" i="18"/>
  <c r="BH391" i="18"/>
  <c r="BI391" i="18"/>
  <c r="AW392" i="18"/>
  <c r="AX392" i="18"/>
  <c r="AY392" i="18"/>
  <c r="AZ392" i="18"/>
  <c r="BA392" i="18"/>
  <c r="BB392" i="18"/>
  <c r="BC392" i="18"/>
  <c r="BD392" i="18"/>
  <c r="BE392" i="18"/>
  <c r="BF392" i="18"/>
  <c r="BG392" i="18"/>
  <c r="BH392" i="18"/>
  <c r="BI392" i="18"/>
  <c r="AW393" i="18"/>
  <c r="AX393" i="18"/>
  <c r="AY393" i="18"/>
  <c r="AZ393" i="18"/>
  <c r="BA393" i="18"/>
  <c r="BB393" i="18"/>
  <c r="BC393" i="18"/>
  <c r="BD393" i="18"/>
  <c r="BE393" i="18"/>
  <c r="BF393" i="18"/>
  <c r="BG393" i="18"/>
  <c r="BH393" i="18"/>
  <c r="BI393" i="18"/>
  <c r="AW394" i="18"/>
  <c r="AX394" i="18"/>
  <c r="AY394" i="18"/>
  <c r="AZ394" i="18"/>
  <c r="BA394" i="18"/>
  <c r="BB394" i="18"/>
  <c r="BC394" i="18"/>
  <c r="BD394" i="18"/>
  <c r="BE394" i="18"/>
  <c r="BF394" i="18"/>
  <c r="BG394" i="18"/>
  <c r="BH394" i="18"/>
  <c r="BI394" i="18"/>
  <c r="AW395" i="18"/>
  <c r="AX395" i="18"/>
  <c r="AY395" i="18"/>
  <c r="AZ395" i="18"/>
  <c r="BA395" i="18"/>
  <c r="BB395" i="18"/>
  <c r="BC395" i="18"/>
  <c r="BD395" i="18"/>
  <c r="BE395" i="18"/>
  <c r="BF395" i="18"/>
  <c r="BG395" i="18"/>
  <c r="BH395" i="18"/>
  <c r="BI395" i="18"/>
  <c r="AW396" i="18"/>
  <c r="AX396" i="18"/>
  <c r="AY396" i="18"/>
  <c r="AZ396" i="18"/>
  <c r="BA396" i="18"/>
  <c r="BB396" i="18"/>
  <c r="BC396" i="18"/>
  <c r="BD396" i="18"/>
  <c r="BE396" i="18"/>
  <c r="BF396" i="18"/>
  <c r="BG396" i="18"/>
  <c r="BH396" i="18"/>
  <c r="BI396" i="18"/>
  <c r="AW397" i="18"/>
  <c r="AX397" i="18"/>
  <c r="AY397" i="18"/>
  <c r="AZ397" i="18"/>
  <c r="BA397" i="18"/>
  <c r="BB397" i="18"/>
  <c r="BC397" i="18"/>
  <c r="BD397" i="18"/>
  <c r="BE397" i="18"/>
  <c r="BF397" i="18"/>
  <c r="BG397" i="18"/>
  <c r="BH397" i="18"/>
  <c r="BI397" i="18"/>
  <c r="AW398" i="18"/>
  <c r="AX398" i="18"/>
  <c r="AY398" i="18"/>
  <c r="AZ398" i="18"/>
  <c r="BA398" i="18"/>
  <c r="BB398" i="18"/>
  <c r="BC398" i="18"/>
  <c r="BD398" i="18"/>
  <c r="BE398" i="18"/>
  <c r="BF398" i="18"/>
  <c r="BG398" i="18"/>
  <c r="BH398" i="18"/>
  <c r="BI398" i="18"/>
  <c r="AW399" i="18"/>
  <c r="AX399" i="18"/>
  <c r="AY399" i="18"/>
  <c r="AZ399" i="18"/>
  <c r="BA399" i="18"/>
  <c r="BB399" i="18"/>
  <c r="BC399" i="18"/>
  <c r="BD399" i="18"/>
  <c r="BE399" i="18"/>
  <c r="BF399" i="18"/>
  <c r="BG399" i="18"/>
  <c r="BH399" i="18"/>
  <c r="BI399" i="18"/>
  <c r="AW400" i="18"/>
  <c r="AX400" i="18"/>
  <c r="AY400" i="18"/>
  <c r="AZ400" i="18"/>
  <c r="BA400" i="18"/>
  <c r="BB400" i="18"/>
  <c r="BC400" i="18"/>
  <c r="BD400" i="18"/>
  <c r="BE400" i="18"/>
  <c r="BF400" i="18"/>
  <c r="BG400" i="18"/>
  <c r="BH400" i="18"/>
  <c r="BI400" i="18"/>
  <c r="AW401" i="18"/>
  <c r="AX401" i="18"/>
  <c r="AY401" i="18"/>
  <c r="AZ401" i="18"/>
  <c r="BA401" i="18"/>
  <c r="BB401" i="18"/>
  <c r="BC401" i="18"/>
  <c r="BD401" i="18"/>
  <c r="BE401" i="18"/>
  <c r="BF401" i="18"/>
  <c r="BG401" i="18"/>
  <c r="BH401" i="18"/>
  <c r="BI401" i="18"/>
  <c r="AW402" i="18"/>
  <c r="AX402" i="18"/>
  <c r="AY402" i="18"/>
  <c r="AZ402" i="18"/>
  <c r="BA402" i="18"/>
  <c r="BB402" i="18"/>
  <c r="BC402" i="18"/>
  <c r="BD402" i="18"/>
  <c r="BE402" i="18"/>
  <c r="BF402" i="18"/>
  <c r="BG402" i="18"/>
  <c r="BH402" i="18"/>
  <c r="BI402" i="18"/>
  <c r="AW403" i="18"/>
  <c r="AX403" i="18"/>
  <c r="AY403" i="18"/>
  <c r="AZ403" i="18"/>
  <c r="BA403" i="18"/>
  <c r="BB403" i="18"/>
  <c r="BC403" i="18"/>
  <c r="BD403" i="18"/>
  <c r="BE403" i="18"/>
  <c r="BF403" i="18"/>
  <c r="BG403" i="18"/>
  <c r="BH403" i="18"/>
  <c r="BI403" i="18"/>
  <c r="AW404" i="18"/>
  <c r="AX404" i="18"/>
  <c r="AY404" i="18"/>
  <c r="AZ404" i="18"/>
  <c r="BA404" i="18"/>
  <c r="BB404" i="18"/>
  <c r="BC404" i="18"/>
  <c r="BD404" i="18"/>
  <c r="BE404" i="18"/>
  <c r="BF404" i="18"/>
  <c r="BG404" i="18"/>
  <c r="BH404" i="18"/>
  <c r="BI404" i="18"/>
  <c r="AW405" i="18"/>
  <c r="AX405" i="18"/>
  <c r="AY405" i="18"/>
  <c r="AZ405" i="18"/>
  <c r="BA405" i="18"/>
  <c r="BB405" i="18"/>
  <c r="BC405" i="18"/>
  <c r="BD405" i="18"/>
  <c r="BE405" i="18"/>
  <c r="BF405" i="18"/>
  <c r="BG405" i="18"/>
  <c r="BH405" i="18"/>
  <c r="BI405" i="18"/>
  <c r="AW406" i="18"/>
  <c r="AX406" i="18"/>
  <c r="AY406" i="18"/>
  <c r="AZ406" i="18"/>
  <c r="BA406" i="18"/>
  <c r="BB406" i="18"/>
  <c r="BC406" i="18"/>
  <c r="BD406" i="18"/>
  <c r="BE406" i="18"/>
  <c r="BF406" i="18"/>
  <c r="BG406" i="18"/>
  <c r="BH406" i="18"/>
  <c r="BI406" i="18"/>
  <c r="AW407" i="18"/>
  <c r="AX407" i="18"/>
  <c r="AY407" i="18"/>
  <c r="AZ407" i="18"/>
  <c r="BA407" i="18"/>
  <c r="BB407" i="18"/>
  <c r="BC407" i="18"/>
  <c r="BD407" i="18"/>
  <c r="BE407" i="18"/>
  <c r="BF407" i="18"/>
  <c r="BG407" i="18"/>
  <c r="BH407" i="18"/>
  <c r="BI407" i="18"/>
  <c r="AW408" i="18"/>
  <c r="AX408" i="18"/>
  <c r="AY408" i="18"/>
  <c r="AZ408" i="18"/>
  <c r="BA408" i="18"/>
  <c r="BB408" i="18"/>
  <c r="BC408" i="18"/>
  <c r="BD408" i="18"/>
  <c r="BE408" i="18"/>
  <c r="BF408" i="18"/>
  <c r="BG408" i="18"/>
  <c r="BH408" i="18"/>
  <c r="BI408" i="18"/>
  <c r="AW409" i="18"/>
  <c r="AX409" i="18"/>
  <c r="AY409" i="18"/>
  <c r="AZ409" i="18"/>
  <c r="BA409" i="18"/>
  <c r="BB409" i="18"/>
  <c r="BC409" i="18"/>
  <c r="BD409" i="18"/>
  <c r="BE409" i="18"/>
  <c r="BF409" i="18"/>
  <c r="BG409" i="18"/>
  <c r="BH409" i="18"/>
  <c r="BI409" i="18"/>
  <c r="AW410" i="18"/>
  <c r="AX410" i="18"/>
  <c r="AY410" i="18"/>
  <c r="AZ410" i="18"/>
  <c r="BA410" i="18"/>
  <c r="BB410" i="18"/>
  <c r="BC410" i="18"/>
  <c r="BD410" i="18"/>
  <c r="BE410" i="18"/>
  <c r="BF410" i="18"/>
  <c r="BG410" i="18"/>
  <c r="BH410" i="18"/>
  <c r="BI410" i="18"/>
  <c r="AW411" i="18"/>
  <c r="AX411" i="18"/>
  <c r="AY411" i="18"/>
  <c r="AZ411" i="18"/>
  <c r="BA411" i="18"/>
  <c r="BB411" i="18"/>
  <c r="BC411" i="18"/>
  <c r="BD411" i="18"/>
  <c r="BE411" i="18"/>
  <c r="BF411" i="18"/>
  <c r="BG411" i="18"/>
  <c r="BH411" i="18"/>
  <c r="BI411" i="18"/>
  <c r="AW412" i="18"/>
  <c r="AX412" i="18"/>
  <c r="AY412" i="18"/>
  <c r="AZ412" i="18"/>
  <c r="BA412" i="18"/>
  <c r="BB412" i="18"/>
  <c r="BC412" i="18"/>
  <c r="BD412" i="18"/>
  <c r="BE412" i="18"/>
  <c r="BF412" i="18"/>
  <c r="BG412" i="18"/>
  <c r="BH412" i="18"/>
  <c r="BI412" i="18"/>
  <c r="AW413" i="18"/>
  <c r="AX413" i="18"/>
  <c r="AY413" i="18"/>
  <c r="AZ413" i="18"/>
  <c r="BA413" i="18"/>
  <c r="BB413" i="18"/>
  <c r="BC413" i="18"/>
  <c r="BD413" i="18"/>
  <c r="BE413" i="18"/>
  <c r="BF413" i="18"/>
  <c r="BG413" i="18"/>
  <c r="BH413" i="18"/>
  <c r="BI413" i="18"/>
  <c r="AW414" i="18"/>
  <c r="AX414" i="18"/>
  <c r="AY414" i="18"/>
  <c r="AZ414" i="18"/>
  <c r="BA414" i="18"/>
  <c r="BB414" i="18"/>
  <c r="BC414" i="18"/>
  <c r="BD414" i="18"/>
  <c r="BE414" i="18"/>
  <c r="BF414" i="18"/>
  <c r="BG414" i="18"/>
  <c r="BH414" i="18"/>
  <c r="BI414" i="18"/>
  <c r="AW415" i="18"/>
  <c r="AX415" i="18"/>
  <c r="AY415" i="18"/>
  <c r="AZ415" i="18"/>
  <c r="BA415" i="18"/>
  <c r="BB415" i="18"/>
  <c r="BC415" i="18"/>
  <c r="BD415" i="18"/>
  <c r="BE415" i="18"/>
  <c r="BF415" i="18"/>
  <c r="BG415" i="18"/>
  <c r="BH415" i="18"/>
  <c r="BI415" i="18"/>
  <c r="AW416" i="18"/>
  <c r="AX416" i="18"/>
  <c r="AY416" i="18"/>
  <c r="AZ416" i="18"/>
  <c r="BA416" i="18"/>
  <c r="BB416" i="18"/>
  <c r="BC416" i="18"/>
  <c r="BD416" i="18"/>
  <c r="BE416" i="18"/>
  <c r="BF416" i="18"/>
  <c r="BG416" i="18"/>
  <c r="BH416" i="18"/>
  <c r="BI416" i="18"/>
  <c r="AW417" i="18"/>
  <c r="AX417" i="18"/>
  <c r="AY417" i="18"/>
  <c r="AZ417" i="18"/>
  <c r="BA417" i="18"/>
  <c r="BB417" i="18"/>
  <c r="BC417" i="18"/>
  <c r="BD417" i="18"/>
  <c r="BE417" i="18"/>
  <c r="BF417" i="18"/>
  <c r="BG417" i="18"/>
  <c r="BH417" i="18"/>
  <c r="BI417" i="18"/>
  <c r="AW418" i="18"/>
  <c r="AX418" i="18"/>
  <c r="AY418" i="18"/>
  <c r="AZ418" i="18"/>
  <c r="BA418" i="18"/>
  <c r="BB418" i="18"/>
  <c r="BC418" i="18"/>
  <c r="BD418" i="18"/>
  <c r="BE418" i="18"/>
  <c r="BF418" i="18"/>
  <c r="BG418" i="18"/>
  <c r="BH418" i="18"/>
  <c r="BI418" i="18"/>
  <c r="AW419" i="18"/>
  <c r="AX419" i="18"/>
  <c r="AY419" i="18"/>
  <c r="AZ419" i="18"/>
  <c r="BA419" i="18"/>
  <c r="BB419" i="18"/>
  <c r="BC419" i="18"/>
  <c r="BD419" i="18"/>
  <c r="BE419" i="18"/>
  <c r="BF419" i="18"/>
  <c r="BG419" i="18"/>
  <c r="BH419" i="18"/>
  <c r="BI419" i="18"/>
  <c r="AW420" i="18"/>
  <c r="AX420" i="18"/>
  <c r="AY420" i="18"/>
  <c r="AZ420" i="18"/>
  <c r="BA420" i="18"/>
  <c r="BB420" i="18"/>
  <c r="BC420" i="18"/>
  <c r="BD420" i="18"/>
  <c r="BE420" i="18"/>
  <c r="BF420" i="18"/>
  <c r="BG420" i="18"/>
  <c r="BH420" i="18"/>
  <c r="BI420" i="18"/>
  <c r="AW421" i="18"/>
  <c r="AX421" i="18"/>
  <c r="AY421" i="18"/>
  <c r="AZ421" i="18"/>
  <c r="BA421" i="18"/>
  <c r="BB421" i="18"/>
  <c r="BC421" i="18"/>
  <c r="BD421" i="18"/>
  <c r="BE421" i="18"/>
  <c r="BF421" i="18"/>
  <c r="BG421" i="18"/>
  <c r="BH421" i="18"/>
  <c r="BI421" i="18"/>
  <c r="AW422" i="18"/>
  <c r="AX422" i="18"/>
  <c r="AY422" i="18"/>
  <c r="AZ422" i="18"/>
  <c r="BA422" i="18"/>
  <c r="BB422" i="18"/>
  <c r="BC422" i="18"/>
  <c r="BD422" i="18"/>
  <c r="BE422" i="18"/>
  <c r="BF422" i="18"/>
  <c r="BG422" i="18"/>
  <c r="BH422" i="18"/>
  <c r="BI422" i="18"/>
  <c r="AW423" i="18"/>
  <c r="AX423" i="18"/>
  <c r="AY423" i="18"/>
  <c r="AZ423" i="18"/>
  <c r="BA423" i="18"/>
  <c r="BB423" i="18"/>
  <c r="BC423" i="18"/>
  <c r="BD423" i="18"/>
  <c r="BE423" i="18"/>
  <c r="BF423" i="18"/>
  <c r="BG423" i="18"/>
  <c r="BH423" i="18"/>
  <c r="BI423" i="18"/>
  <c r="AW424" i="18"/>
  <c r="AX424" i="18"/>
  <c r="AY424" i="18"/>
  <c r="AZ424" i="18"/>
  <c r="BA424" i="18"/>
  <c r="BB424" i="18"/>
  <c r="BC424" i="18"/>
  <c r="BD424" i="18"/>
  <c r="BE424" i="18"/>
  <c r="BF424" i="18"/>
  <c r="BG424" i="18"/>
  <c r="BH424" i="18"/>
  <c r="BI424" i="18"/>
  <c r="AW425" i="18"/>
  <c r="AX425" i="18"/>
  <c r="AY425" i="18"/>
  <c r="AZ425" i="18"/>
  <c r="BA425" i="18"/>
  <c r="BB425" i="18"/>
  <c r="BC425" i="18"/>
  <c r="BD425" i="18"/>
  <c r="BE425" i="18"/>
  <c r="BF425" i="18"/>
  <c r="BG425" i="18"/>
  <c r="BH425" i="18"/>
  <c r="BI425" i="18"/>
  <c r="AW426" i="18"/>
  <c r="AX426" i="18"/>
  <c r="AY426" i="18"/>
  <c r="AZ426" i="18"/>
  <c r="BA426" i="18"/>
  <c r="BB426" i="18"/>
  <c r="BC426" i="18"/>
  <c r="BD426" i="18"/>
  <c r="BE426" i="18"/>
  <c r="BF426" i="18"/>
  <c r="BG426" i="18"/>
  <c r="BH426" i="18"/>
  <c r="BI426" i="18"/>
  <c r="AW427" i="18"/>
  <c r="AX427" i="18"/>
  <c r="AY427" i="18"/>
  <c r="AZ427" i="18"/>
  <c r="BA427" i="18"/>
  <c r="BB427" i="18"/>
  <c r="BC427" i="18"/>
  <c r="BD427" i="18"/>
  <c r="BE427" i="18"/>
  <c r="BF427" i="18"/>
  <c r="BG427" i="18"/>
  <c r="BH427" i="18"/>
  <c r="BI427" i="18"/>
  <c r="AW428" i="18"/>
  <c r="AX428" i="18"/>
  <c r="AY428" i="18"/>
  <c r="AZ428" i="18"/>
  <c r="BA428" i="18"/>
  <c r="BB428" i="18"/>
  <c r="BC428" i="18"/>
  <c r="BD428" i="18"/>
  <c r="BE428" i="18"/>
  <c r="BF428" i="18"/>
  <c r="BG428" i="18"/>
  <c r="BH428" i="18"/>
  <c r="BI428" i="18"/>
  <c r="AW429" i="18"/>
  <c r="AX429" i="18"/>
  <c r="AY429" i="18"/>
  <c r="AZ429" i="18"/>
  <c r="BA429" i="18"/>
  <c r="BB429" i="18"/>
  <c r="BC429" i="18"/>
  <c r="BD429" i="18"/>
  <c r="BE429" i="18"/>
  <c r="BF429" i="18"/>
  <c r="BG429" i="18"/>
  <c r="BH429" i="18"/>
  <c r="BI429" i="18"/>
  <c r="AW430" i="18"/>
  <c r="AX430" i="18"/>
  <c r="AY430" i="18"/>
  <c r="AZ430" i="18"/>
  <c r="BA430" i="18"/>
  <c r="BB430" i="18"/>
  <c r="BC430" i="18"/>
  <c r="BD430" i="18"/>
  <c r="BE430" i="18"/>
  <c r="BF430" i="18"/>
  <c r="BG430" i="18"/>
  <c r="BH430" i="18"/>
  <c r="BI430" i="18"/>
  <c r="AW431" i="18"/>
  <c r="AX431" i="18"/>
  <c r="AY431" i="18"/>
  <c r="AZ431" i="18"/>
  <c r="BA431" i="18"/>
  <c r="BB431" i="18"/>
  <c r="BC431" i="18"/>
  <c r="BD431" i="18"/>
  <c r="BE431" i="18"/>
  <c r="BF431" i="18"/>
  <c r="BG431" i="18"/>
  <c r="BH431" i="18"/>
  <c r="BI431" i="18"/>
  <c r="AW432" i="18"/>
  <c r="AX432" i="18"/>
  <c r="AY432" i="18"/>
  <c r="AZ432" i="18"/>
  <c r="BA432" i="18"/>
  <c r="BB432" i="18"/>
  <c r="BC432" i="18"/>
  <c r="BD432" i="18"/>
  <c r="BE432" i="18"/>
  <c r="BF432" i="18"/>
  <c r="BG432" i="18"/>
  <c r="BH432" i="18"/>
  <c r="BI432" i="18"/>
  <c r="AW433" i="18"/>
  <c r="AX433" i="18"/>
  <c r="AY433" i="18"/>
  <c r="AZ433" i="18"/>
  <c r="BA433" i="18"/>
  <c r="BB433" i="18"/>
  <c r="BC433" i="18"/>
  <c r="BD433" i="18"/>
  <c r="BE433" i="18"/>
  <c r="BF433" i="18"/>
  <c r="BG433" i="18"/>
  <c r="BH433" i="18"/>
  <c r="BI433" i="18"/>
  <c r="AW434" i="18"/>
  <c r="AX434" i="18"/>
  <c r="AY434" i="18"/>
  <c r="AZ434" i="18"/>
  <c r="BA434" i="18"/>
  <c r="BB434" i="18"/>
  <c r="BC434" i="18"/>
  <c r="BD434" i="18"/>
  <c r="BE434" i="18"/>
  <c r="BF434" i="18"/>
  <c r="BG434" i="18"/>
  <c r="BH434" i="18"/>
  <c r="BI434" i="18"/>
  <c r="AW435" i="18"/>
  <c r="AX435" i="18"/>
  <c r="AY435" i="18"/>
  <c r="AZ435" i="18"/>
  <c r="BA435" i="18"/>
  <c r="BB435" i="18"/>
  <c r="BC435" i="18"/>
  <c r="BD435" i="18"/>
  <c r="BE435" i="18"/>
  <c r="BF435" i="18"/>
  <c r="BG435" i="18"/>
  <c r="BH435" i="18"/>
  <c r="BI435" i="18"/>
  <c r="AW436" i="18"/>
  <c r="AX436" i="18"/>
  <c r="AY436" i="18"/>
  <c r="AZ436" i="18"/>
  <c r="BA436" i="18"/>
  <c r="BB436" i="18"/>
  <c r="BC436" i="18"/>
  <c r="BD436" i="18"/>
  <c r="BE436" i="18"/>
  <c r="BF436" i="18"/>
  <c r="BG436" i="18"/>
  <c r="BH436" i="18"/>
  <c r="BI436" i="18"/>
  <c r="AW437" i="18"/>
  <c r="AX437" i="18"/>
  <c r="AY437" i="18"/>
  <c r="AZ437" i="18"/>
  <c r="BA437" i="18"/>
  <c r="BB437" i="18"/>
  <c r="BC437" i="18"/>
  <c r="BD437" i="18"/>
  <c r="BE437" i="18"/>
  <c r="BF437" i="18"/>
  <c r="BG437" i="18"/>
  <c r="BH437" i="18"/>
  <c r="BI437" i="18"/>
  <c r="AW438" i="18"/>
  <c r="AX438" i="18"/>
  <c r="AY438" i="18"/>
  <c r="AZ438" i="18"/>
  <c r="BA438" i="18"/>
  <c r="BB438" i="18"/>
  <c r="BC438" i="18"/>
  <c r="BD438" i="18"/>
  <c r="BE438" i="18"/>
  <c r="BF438" i="18"/>
  <c r="BG438" i="18"/>
  <c r="BH438" i="18"/>
  <c r="BI438" i="18"/>
  <c r="AW439" i="18"/>
  <c r="AX439" i="18"/>
  <c r="AY439" i="18"/>
  <c r="AZ439" i="18"/>
  <c r="BA439" i="18"/>
  <c r="BB439" i="18"/>
  <c r="BC439" i="18"/>
  <c r="BD439" i="18"/>
  <c r="BE439" i="18"/>
  <c r="BF439" i="18"/>
  <c r="BG439" i="18"/>
  <c r="BH439" i="18"/>
  <c r="BI439" i="18"/>
  <c r="AW440" i="18"/>
  <c r="AX440" i="18"/>
  <c r="AY440" i="18"/>
  <c r="AZ440" i="18"/>
  <c r="BA440" i="18"/>
  <c r="BB440" i="18"/>
  <c r="BC440" i="18"/>
  <c r="BD440" i="18"/>
  <c r="BE440" i="18"/>
  <c r="BF440" i="18"/>
  <c r="BG440" i="18"/>
  <c r="BH440" i="18"/>
  <c r="BI440" i="18"/>
  <c r="AW441" i="18"/>
  <c r="AX441" i="18"/>
  <c r="AY441" i="18"/>
  <c r="AZ441" i="18"/>
  <c r="BA441" i="18"/>
  <c r="BB441" i="18"/>
  <c r="BC441" i="18"/>
  <c r="BD441" i="18"/>
  <c r="BE441" i="18"/>
  <c r="BF441" i="18"/>
  <c r="BG441" i="18"/>
  <c r="BH441" i="18"/>
  <c r="BI441" i="18"/>
  <c r="AW442" i="18"/>
  <c r="AX442" i="18"/>
  <c r="AY442" i="18"/>
  <c r="AZ442" i="18"/>
  <c r="BA442" i="18"/>
  <c r="BB442" i="18"/>
  <c r="BC442" i="18"/>
  <c r="BD442" i="18"/>
  <c r="BE442" i="18"/>
  <c r="BF442" i="18"/>
  <c r="BG442" i="18"/>
  <c r="BH442" i="18"/>
  <c r="BI442" i="18"/>
  <c r="AW443" i="18"/>
  <c r="AX443" i="18"/>
  <c r="AY443" i="18"/>
  <c r="AZ443" i="18"/>
  <c r="BA443" i="18"/>
  <c r="BB443" i="18"/>
  <c r="BC443" i="18"/>
  <c r="BD443" i="18"/>
  <c r="BE443" i="18"/>
  <c r="BF443" i="18"/>
  <c r="BG443" i="18"/>
  <c r="BH443" i="18"/>
  <c r="BI443" i="18"/>
  <c r="AW444" i="18"/>
  <c r="AX444" i="18"/>
  <c r="AY444" i="18"/>
  <c r="AZ444" i="18"/>
  <c r="BA444" i="18"/>
  <c r="BB444" i="18"/>
  <c r="BC444" i="18"/>
  <c r="BD444" i="18"/>
  <c r="BE444" i="18"/>
  <c r="BF444" i="18"/>
  <c r="BG444" i="18"/>
  <c r="BH444" i="18"/>
  <c r="BI444" i="18"/>
  <c r="AW445" i="18"/>
  <c r="AX445" i="18"/>
  <c r="AY445" i="18"/>
  <c r="AZ445" i="18"/>
  <c r="BA445" i="18"/>
  <c r="BB445" i="18"/>
  <c r="BC445" i="18"/>
  <c r="BD445" i="18"/>
  <c r="BE445" i="18"/>
  <c r="BF445" i="18"/>
  <c r="BG445" i="18"/>
  <c r="BH445" i="18"/>
  <c r="BI445" i="18"/>
  <c r="AW446" i="18"/>
  <c r="AX446" i="18"/>
  <c r="AY446" i="18"/>
  <c r="AZ446" i="18"/>
  <c r="BA446" i="18"/>
  <c r="BB446" i="18"/>
  <c r="BC446" i="18"/>
  <c r="BD446" i="18"/>
  <c r="BE446" i="18"/>
  <c r="BF446" i="18"/>
  <c r="BG446" i="18"/>
  <c r="BH446" i="18"/>
  <c r="BI446" i="18"/>
  <c r="AW447" i="18"/>
  <c r="AX447" i="18"/>
  <c r="AY447" i="18"/>
  <c r="AZ447" i="18"/>
  <c r="BA447" i="18"/>
  <c r="BB447" i="18"/>
  <c r="BC447" i="18"/>
  <c r="BD447" i="18"/>
  <c r="BE447" i="18"/>
  <c r="BF447" i="18"/>
  <c r="BG447" i="18"/>
  <c r="BH447" i="18"/>
  <c r="BI447" i="18"/>
  <c r="AW448" i="18"/>
  <c r="AX448" i="18"/>
  <c r="AY448" i="18"/>
  <c r="AZ448" i="18"/>
  <c r="BA448" i="18"/>
  <c r="BB448" i="18"/>
  <c r="BC448" i="18"/>
  <c r="BD448" i="18"/>
  <c r="BE448" i="18"/>
  <c r="BF448" i="18"/>
  <c r="BG448" i="18"/>
  <c r="BH448" i="18"/>
  <c r="BI448" i="18"/>
  <c r="AW449" i="18"/>
  <c r="AX449" i="18"/>
  <c r="AY449" i="18"/>
  <c r="AZ449" i="18"/>
  <c r="BA449" i="18"/>
  <c r="BB449" i="18"/>
  <c r="BC449" i="18"/>
  <c r="BD449" i="18"/>
  <c r="BE449" i="18"/>
  <c r="BF449" i="18"/>
  <c r="BG449" i="18"/>
  <c r="BH449" i="18"/>
  <c r="BI449" i="18"/>
  <c r="AW450" i="18"/>
  <c r="AX450" i="18"/>
  <c r="AY450" i="18"/>
  <c r="AZ450" i="18"/>
  <c r="BA450" i="18"/>
  <c r="BB450" i="18"/>
  <c r="BC450" i="18"/>
  <c r="BD450" i="18"/>
  <c r="BE450" i="18"/>
  <c r="BF450" i="18"/>
  <c r="BG450" i="18"/>
  <c r="BH450" i="18"/>
  <c r="BI450" i="18"/>
  <c r="AW451" i="18"/>
  <c r="AX451" i="18"/>
  <c r="AY451" i="18"/>
  <c r="AZ451" i="18"/>
  <c r="BA451" i="18"/>
  <c r="BB451" i="18"/>
  <c r="BC451" i="18"/>
  <c r="BD451" i="18"/>
  <c r="BE451" i="18"/>
  <c r="BF451" i="18"/>
  <c r="BG451" i="18"/>
  <c r="BH451" i="18"/>
  <c r="BI451" i="18"/>
  <c r="AW452" i="18"/>
  <c r="AX452" i="18"/>
  <c r="AY452" i="18"/>
  <c r="AZ452" i="18"/>
  <c r="BA452" i="18"/>
  <c r="BB452" i="18"/>
  <c r="BC452" i="18"/>
  <c r="BD452" i="18"/>
  <c r="BE452" i="18"/>
  <c r="BF452" i="18"/>
  <c r="BG452" i="18"/>
  <c r="BH452" i="18"/>
  <c r="BI452" i="18"/>
  <c r="AW453" i="18"/>
  <c r="AX453" i="18"/>
  <c r="AY453" i="18"/>
  <c r="AZ453" i="18"/>
  <c r="BA453" i="18"/>
  <c r="BB453" i="18"/>
  <c r="BC453" i="18"/>
  <c r="BD453" i="18"/>
  <c r="BE453" i="18"/>
  <c r="BF453" i="18"/>
  <c r="BG453" i="18"/>
  <c r="BH453" i="18"/>
  <c r="BI453" i="18"/>
  <c r="AW454" i="18"/>
  <c r="AX454" i="18"/>
  <c r="AY454" i="18"/>
  <c r="AZ454" i="18"/>
  <c r="BA454" i="18"/>
  <c r="BB454" i="18"/>
  <c r="BC454" i="18"/>
  <c r="BD454" i="18"/>
  <c r="BE454" i="18"/>
  <c r="BF454" i="18"/>
  <c r="BG454" i="18"/>
  <c r="BH454" i="18"/>
  <c r="BI454" i="18"/>
  <c r="AW455" i="18"/>
  <c r="AX455" i="18"/>
  <c r="AY455" i="18"/>
  <c r="AZ455" i="18"/>
  <c r="BA455" i="18"/>
  <c r="BB455" i="18"/>
  <c r="BC455" i="18"/>
  <c r="BD455" i="18"/>
  <c r="BE455" i="18"/>
  <c r="BF455" i="18"/>
  <c r="BG455" i="18"/>
  <c r="BH455" i="18"/>
  <c r="BI455" i="18"/>
  <c r="AW456" i="18"/>
  <c r="AX456" i="18"/>
  <c r="AY456" i="18"/>
  <c r="AZ456" i="18"/>
  <c r="BA456" i="18"/>
  <c r="BB456" i="18"/>
  <c r="BC456" i="18"/>
  <c r="BD456" i="18"/>
  <c r="BE456" i="18"/>
  <c r="BF456" i="18"/>
  <c r="BG456" i="18"/>
  <c r="BH456" i="18"/>
  <c r="BI456" i="18"/>
  <c r="AW457" i="18"/>
  <c r="AX457" i="18"/>
  <c r="AY457" i="18"/>
  <c r="AZ457" i="18"/>
  <c r="BA457" i="18"/>
  <c r="BB457" i="18"/>
  <c r="BC457" i="18"/>
  <c r="BD457" i="18"/>
  <c r="BE457" i="18"/>
  <c r="BF457" i="18"/>
  <c r="BG457" i="18"/>
  <c r="BH457" i="18"/>
  <c r="BI457" i="18"/>
  <c r="AW458" i="18"/>
  <c r="AX458" i="18"/>
  <c r="AY458" i="18"/>
  <c r="AZ458" i="18"/>
  <c r="BA458" i="18"/>
  <c r="BB458" i="18"/>
  <c r="BC458" i="18"/>
  <c r="BD458" i="18"/>
  <c r="BE458" i="18"/>
  <c r="BF458" i="18"/>
  <c r="BG458" i="18"/>
  <c r="BH458" i="18"/>
  <c r="BI458" i="18"/>
  <c r="AW459" i="18"/>
  <c r="AX459" i="18"/>
  <c r="AY459" i="18"/>
  <c r="AZ459" i="18"/>
  <c r="BA459" i="18"/>
  <c r="BB459" i="18"/>
  <c r="BC459" i="18"/>
  <c r="BD459" i="18"/>
  <c r="BE459" i="18"/>
  <c r="BF459" i="18"/>
  <c r="BG459" i="18"/>
  <c r="BH459" i="18"/>
  <c r="BI459" i="18"/>
  <c r="AW460" i="18"/>
  <c r="AX460" i="18"/>
  <c r="AY460" i="18"/>
  <c r="AZ460" i="18"/>
  <c r="BA460" i="18"/>
  <c r="BB460" i="18"/>
  <c r="BC460" i="18"/>
  <c r="BD460" i="18"/>
  <c r="BE460" i="18"/>
  <c r="BF460" i="18"/>
  <c r="BG460" i="18"/>
  <c r="BH460" i="18"/>
  <c r="BI460" i="18"/>
  <c r="AV15" i="18"/>
  <c r="AV16" i="18"/>
  <c r="AV17" i="18"/>
  <c r="AV18" i="18"/>
  <c r="AV19" i="18"/>
  <c r="AV20" i="18"/>
  <c r="AV21" i="18"/>
  <c r="AV22" i="18"/>
  <c r="AV23" i="18"/>
  <c r="AV24" i="18"/>
  <c r="AV25" i="18"/>
  <c r="AV26" i="18"/>
  <c r="AV27" i="18"/>
  <c r="AV28" i="18"/>
  <c r="AV29" i="18"/>
  <c r="AV30" i="18"/>
  <c r="AV31" i="18"/>
  <c r="AV32" i="18"/>
  <c r="AV33" i="18"/>
  <c r="AV34" i="18"/>
  <c r="AV35" i="18"/>
  <c r="AV36" i="18"/>
  <c r="AV37" i="18"/>
  <c r="AV38" i="18"/>
  <c r="AV39" i="18"/>
  <c r="AV40" i="18"/>
  <c r="AV41" i="18"/>
  <c r="AV42" i="18"/>
  <c r="AV43" i="18"/>
  <c r="AV44" i="18"/>
  <c r="AV45" i="18"/>
  <c r="AV46" i="18"/>
  <c r="AV47" i="18"/>
  <c r="AV48" i="18"/>
  <c r="AV49" i="18"/>
  <c r="AV50" i="18"/>
  <c r="AV51" i="18"/>
  <c r="AV52" i="18"/>
  <c r="AV53" i="18"/>
  <c r="AV54" i="18"/>
  <c r="AV55" i="18"/>
  <c r="AV56" i="18"/>
  <c r="AV57" i="18"/>
  <c r="AV58" i="18"/>
  <c r="AV59" i="18"/>
  <c r="AV60" i="18"/>
  <c r="AV61" i="18"/>
  <c r="AV62" i="18"/>
  <c r="AV63" i="18"/>
  <c r="AV64" i="18"/>
  <c r="AV65" i="18"/>
  <c r="AV66" i="18"/>
  <c r="AV67" i="18"/>
  <c r="AV68" i="18"/>
  <c r="AV69" i="18"/>
  <c r="AV70" i="18"/>
  <c r="AV71" i="18"/>
  <c r="AV72" i="18"/>
  <c r="AV73" i="18"/>
  <c r="AV74" i="18"/>
  <c r="AV75" i="18"/>
  <c r="AV76" i="18"/>
  <c r="AV77" i="18"/>
  <c r="AV78" i="18"/>
  <c r="AV79" i="18"/>
  <c r="AV80" i="18"/>
  <c r="AV81" i="18"/>
  <c r="AV82" i="18"/>
  <c r="AV83" i="18"/>
  <c r="AV84" i="18"/>
  <c r="AV85" i="18"/>
  <c r="AV86" i="18"/>
  <c r="AV87" i="18"/>
  <c r="AV88" i="18"/>
  <c r="AV89" i="18"/>
  <c r="AV90" i="18"/>
  <c r="AV91" i="18"/>
  <c r="AV92" i="18"/>
  <c r="AV93" i="18"/>
  <c r="AV94" i="18"/>
  <c r="AV95" i="18"/>
  <c r="AV96" i="18"/>
  <c r="AV97" i="18"/>
  <c r="AV98" i="18"/>
  <c r="AV99" i="18"/>
  <c r="AV100" i="18"/>
  <c r="AV101" i="18"/>
  <c r="AV102" i="18"/>
  <c r="AV103" i="18"/>
  <c r="AV104" i="18"/>
  <c r="AV105" i="18"/>
  <c r="AV106" i="18"/>
  <c r="AV107" i="18"/>
  <c r="AV108" i="18"/>
  <c r="AV109" i="18"/>
  <c r="AV110" i="18"/>
  <c r="AV111" i="18"/>
  <c r="AV112" i="18"/>
  <c r="AV113" i="18"/>
  <c r="AV114" i="18"/>
  <c r="AV115" i="18"/>
  <c r="AV116" i="18"/>
  <c r="AV117" i="18"/>
  <c r="AV118" i="18"/>
  <c r="AV119" i="18"/>
  <c r="AV120" i="18"/>
  <c r="AV121" i="18"/>
  <c r="AV122" i="18"/>
  <c r="AV123" i="18"/>
  <c r="AV124" i="18"/>
  <c r="AV125" i="18"/>
  <c r="AV126" i="18"/>
  <c r="AV127" i="18"/>
  <c r="AV128" i="18"/>
  <c r="AV129" i="18"/>
  <c r="AV130" i="18"/>
  <c r="AV131" i="18"/>
  <c r="AV132" i="18"/>
  <c r="AV133" i="18"/>
  <c r="AV134" i="18"/>
  <c r="AV135" i="18"/>
  <c r="AV136" i="18"/>
  <c r="AV137" i="18"/>
  <c r="AV138" i="18"/>
  <c r="AV139" i="18"/>
  <c r="AV140" i="18"/>
  <c r="AV141" i="18"/>
  <c r="AV142" i="18"/>
  <c r="AV143" i="18"/>
  <c r="AV144" i="18"/>
  <c r="AV145" i="18"/>
  <c r="AV146" i="18"/>
  <c r="AV147" i="18"/>
  <c r="AV148" i="18"/>
  <c r="AV149" i="18"/>
  <c r="AV150" i="18"/>
  <c r="AV151" i="18"/>
  <c r="AV152" i="18"/>
  <c r="AV153" i="18"/>
  <c r="AV154" i="18"/>
  <c r="AV155" i="18"/>
  <c r="AV156" i="18"/>
  <c r="AV157" i="18"/>
  <c r="AV158" i="18"/>
  <c r="AV159" i="18"/>
  <c r="AV160" i="18"/>
  <c r="AV161" i="18"/>
  <c r="AV162" i="18"/>
  <c r="AV163" i="18"/>
  <c r="AV164" i="18"/>
  <c r="AV165" i="18"/>
  <c r="AV166" i="18"/>
  <c r="AV167" i="18"/>
  <c r="AV168" i="18"/>
  <c r="AV169" i="18"/>
  <c r="AV170" i="18"/>
  <c r="AV171" i="18"/>
  <c r="AV172" i="18"/>
  <c r="AV173" i="18"/>
  <c r="AV174" i="18"/>
  <c r="AV175" i="18"/>
  <c r="AV176" i="18"/>
  <c r="AV177" i="18"/>
  <c r="AV178" i="18"/>
  <c r="AV179" i="18"/>
  <c r="AV180" i="18"/>
  <c r="AV181" i="18"/>
  <c r="AV182" i="18"/>
  <c r="AV183" i="18"/>
  <c r="AV184" i="18"/>
  <c r="AV185" i="18"/>
  <c r="AV186" i="18"/>
  <c r="AV187" i="18"/>
  <c r="AV188" i="18"/>
  <c r="AV189" i="18"/>
  <c r="AV190" i="18"/>
  <c r="AV191" i="18"/>
  <c r="AV192" i="18"/>
  <c r="AV193" i="18"/>
  <c r="AV194" i="18"/>
  <c r="AV195" i="18"/>
  <c r="AV196" i="18"/>
  <c r="AV197" i="18"/>
  <c r="AV198" i="18"/>
  <c r="AV199" i="18"/>
  <c r="AV200" i="18"/>
  <c r="AV201" i="18"/>
  <c r="AV202" i="18"/>
  <c r="AV203" i="18"/>
  <c r="AV204" i="18"/>
  <c r="AV205" i="18"/>
  <c r="AV206" i="18"/>
  <c r="AV207" i="18"/>
  <c r="AV208" i="18"/>
  <c r="AV209" i="18"/>
  <c r="AV210" i="18"/>
  <c r="AV211" i="18"/>
  <c r="AV212" i="18"/>
  <c r="AV213" i="18"/>
  <c r="AV214" i="18"/>
  <c r="AV215" i="18"/>
  <c r="AV216" i="18"/>
  <c r="AV217" i="18"/>
  <c r="AV218" i="18"/>
  <c r="AV219" i="18"/>
  <c r="AV220" i="18"/>
  <c r="AV221" i="18"/>
  <c r="AV222" i="18"/>
  <c r="AV223" i="18"/>
  <c r="AV224" i="18"/>
  <c r="AV225" i="18"/>
  <c r="AV226" i="18"/>
  <c r="AV227" i="18"/>
  <c r="AV228" i="18"/>
  <c r="AV229" i="18"/>
  <c r="AV230" i="18"/>
  <c r="AV231" i="18"/>
  <c r="AV232" i="18"/>
  <c r="AV233" i="18"/>
  <c r="AV234" i="18"/>
  <c r="AV235" i="18"/>
  <c r="AV236" i="18"/>
  <c r="AV237" i="18"/>
  <c r="AV238" i="18"/>
  <c r="AV239" i="18"/>
  <c r="AV240" i="18"/>
  <c r="AV241" i="18"/>
  <c r="AV242" i="18"/>
  <c r="AV243" i="18"/>
  <c r="AV244" i="18"/>
  <c r="AV245" i="18"/>
  <c r="AV246" i="18"/>
  <c r="AV247" i="18"/>
  <c r="AV248" i="18"/>
  <c r="AV249" i="18"/>
  <c r="AV250" i="18"/>
  <c r="AV251" i="18"/>
  <c r="AV252" i="18"/>
  <c r="AV253" i="18"/>
  <c r="AV254" i="18"/>
  <c r="AV255" i="18"/>
  <c r="AV256" i="18"/>
  <c r="AV257" i="18"/>
  <c r="AV258" i="18"/>
  <c r="AV259" i="18"/>
  <c r="AV260" i="18"/>
  <c r="AV261" i="18"/>
  <c r="AV262" i="18"/>
  <c r="AV263" i="18"/>
  <c r="AV264" i="18"/>
  <c r="AV265" i="18"/>
  <c r="AV266" i="18"/>
  <c r="AV267" i="18"/>
  <c r="AV268" i="18"/>
  <c r="AV269" i="18"/>
  <c r="AV270" i="18"/>
  <c r="AV271" i="18"/>
  <c r="AV272" i="18"/>
  <c r="AV273" i="18"/>
  <c r="AV274" i="18"/>
  <c r="AV275" i="18"/>
  <c r="AV276" i="18"/>
  <c r="AV277" i="18"/>
  <c r="AV278" i="18"/>
  <c r="AV279" i="18"/>
  <c r="AV280" i="18"/>
  <c r="AV281" i="18"/>
  <c r="AV282" i="18"/>
  <c r="AV283" i="18"/>
  <c r="AV284" i="18"/>
  <c r="AV285" i="18"/>
  <c r="AV286" i="18"/>
  <c r="AV287" i="18"/>
  <c r="AV288" i="18"/>
  <c r="AV289" i="18"/>
  <c r="AV290" i="18"/>
  <c r="AV291" i="18"/>
  <c r="AV292" i="18"/>
  <c r="AV293" i="18"/>
  <c r="AV294" i="18"/>
  <c r="AV295" i="18"/>
  <c r="AV296" i="18"/>
  <c r="AV297" i="18"/>
  <c r="AV298" i="18"/>
  <c r="AV299" i="18"/>
  <c r="AV300" i="18"/>
  <c r="AV301" i="18"/>
  <c r="AV302" i="18"/>
  <c r="AV303" i="18"/>
  <c r="AV304" i="18"/>
  <c r="AV305" i="18"/>
  <c r="AV306" i="18"/>
  <c r="AV307" i="18"/>
  <c r="AV308" i="18"/>
  <c r="AV309" i="18"/>
  <c r="AV310" i="18"/>
  <c r="AV311" i="18"/>
  <c r="AV312" i="18"/>
  <c r="AV313" i="18"/>
  <c r="AV314" i="18"/>
  <c r="AV315" i="18"/>
  <c r="AV316" i="18"/>
  <c r="AV317" i="18"/>
  <c r="AV318" i="18"/>
  <c r="AV319" i="18"/>
  <c r="AV320" i="18"/>
  <c r="AV321" i="18"/>
  <c r="AV322" i="18"/>
  <c r="AV323" i="18"/>
  <c r="AV324" i="18"/>
  <c r="AV325" i="18"/>
  <c r="AV326" i="18"/>
  <c r="AV327" i="18"/>
  <c r="AV328" i="18"/>
  <c r="AV329" i="18"/>
  <c r="AV330" i="18"/>
  <c r="AV331" i="18"/>
  <c r="AV332" i="18"/>
  <c r="AV333" i="18"/>
  <c r="AV334" i="18"/>
  <c r="AV335" i="18"/>
  <c r="AV336" i="18"/>
  <c r="AV337" i="18"/>
  <c r="AV338" i="18"/>
  <c r="AV339" i="18"/>
  <c r="AV340" i="18"/>
  <c r="AV341" i="18"/>
  <c r="AV342" i="18"/>
  <c r="AV343" i="18"/>
  <c r="AV344" i="18"/>
  <c r="AV345" i="18"/>
  <c r="AV346" i="18"/>
  <c r="AV347" i="18"/>
  <c r="AV348" i="18"/>
  <c r="AV349" i="18"/>
  <c r="AV350" i="18"/>
  <c r="AV351" i="18"/>
  <c r="AV352" i="18"/>
  <c r="AV353" i="18"/>
  <c r="AV354" i="18"/>
  <c r="AV355" i="18"/>
  <c r="AV356" i="18"/>
  <c r="AV357" i="18"/>
  <c r="AV358" i="18"/>
  <c r="AV359" i="18"/>
  <c r="AV360" i="18"/>
  <c r="AV361" i="18"/>
  <c r="AV362" i="18"/>
  <c r="AV363" i="18"/>
  <c r="AV364" i="18"/>
  <c r="AV365" i="18"/>
  <c r="AV366" i="18"/>
  <c r="AV367" i="18"/>
  <c r="AV368" i="18"/>
  <c r="AV369" i="18"/>
  <c r="AV370" i="18"/>
  <c r="AV371" i="18"/>
  <c r="AV372" i="18"/>
  <c r="AV373" i="18"/>
  <c r="AV374" i="18"/>
  <c r="AV375" i="18"/>
  <c r="AV376" i="18"/>
  <c r="AV377" i="18"/>
  <c r="AV378" i="18"/>
  <c r="AV379" i="18"/>
  <c r="AV380" i="18"/>
  <c r="AV381" i="18"/>
  <c r="AV382" i="18"/>
  <c r="AV383" i="18"/>
  <c r="AV384" i="18"/>
  <c r="AV385" i="18"/>
  <c r="AV386" i="18"/>
  <c r="AV387" i="18"/>
  <c r="AV388" i="18"/>
  <c r="AV389" i="18"/>
  <c r="AV390" i="18"/>
  <c r="AV391" i="18"/>
  <c r="AV392" i="18"/>
  <c r="AV393" i="18"/>
  <c r="AV394" i="18"/>
  <c r="AV395" i="18"/>
  <c r="AV396" i="18"/>
  <c r="AV397" i="18"/>
  <c r="AV398" i="18"/>
  <c r="AV399" i="18"/>
  <c r="AV400" i="18"/>
  <c r="AV401" i="18"/>
  <c r="AV402" i="18"/>
  <c r="AV403" i="18"/>
  <c r="AV404" i="18"/>
  <c r="AV405" i="18"/>
  <c r="AV406" i="18"/>
  <c r="AV407" i="18"/>
  <c r="AV408" i="18"/>
  <c r="AV409" i="18"/>
  <c r="AV410" i="18"/>
  <c r="AV411" i="18"/>
  <c r="AV412" i="18"/>
  <c r="AV413" i="18"/>
  <c r="AV414" i="18"/>
  <c r="AV415" i="18"/>
  <c r="AV416" i="18"/>
  <c r="AV417" i="18"/>
  <c r="AV418" i="18"/>
  <c r="AV419" i="18"/>
  <c r="AV420" i="18"/>
  <c r="AV421" i="18"/>
  <c r="AV422" i="18"/>
  <c r="AV423" i="18"/>
  <c r="AV424" i="18"/>
  <c r="AV425" i="18"/>
  <c r="AV426" i="18"/>
  <c r="AV427" i="18"/>
  <c r="AV428" i="18"/>
  <c r="AV429" i="18"/>
  <c r="AV430" i="18"/>
  <c r="AV431" i="18"/>
  <c r="AV432" i="18"/>
  <c r="AV433" i="18"/>
  <c r="AV434" i="18"/>
  <c r="AV435" i="18"/>
  <c r="AV436" i="18"/>
  <c r="AV437" i="18"/>
  <c r="AV438" i="18"/>
  <c r="AV439" i="18"/>
  <c r="AV440" i="18"/>
  <c r="AV441" i="18"/>
  <c r="AV442" i="18"/>
  <c r="AV443" i="18"/>
  <c r="AV444" i="18"/>
  <c r="AV445" i="18"/>
  <c r="AV446" i="18"/>
  <c r="AV447" i="18"/>
  <c r="AV448" i="18"/>
  <c r="AV449" i="18"/>
  <c r="AV450" i="18"/>
  <c r="AV451" i="18"/>
  <c r="AV452" i="18"/>
  <c r="AV453" i="18"/>
  <c r="AV454" i="18"/>
  <c r="AV455" i="18"/>
  <c r="AV456" i="18"/>
  <c r="AV457" i="18"/>
  <c r="AV458" i="18"/>
  <c r="AV459" i="18"/>
  <c r="AV460" i="18"/>
  <c r="AV3" i="18"/>
  <c r="AV4" i="18"/>
  <c r="AV5" i="18"/>
  <c r="AV6" i="18"/>
  <c r="AV7" i="18"/>
  <c r="AV9" i="18"/>
  <c r="AV10" i="18"/>
  <c r="AV11" i="18"/>
  <c r="AV12" i="18"/>
  <c r="AV13" i="18"/>
  <c r="AV14" i="18"/>
  <c r="AY2" i="18"/>
  <c r="AZ2" i="18"/>
  <c r="BA2" i="18"/>
  <c r="BB2" i="18"/>
  <c r="BC2" i="18"/>
  <c r="BD2" i="18"/>
  <c r="BE2" i="18"/>
  <c r="BF2" i="18"/>
  <c r="BG2" i="18"/>
  <c r="BH2" i="18"/>
  <c r="AX2" i="18"/>
  <c r="AW2" i="18"/>
  <c r="AV2" i="18"/>
  <c r="AV8" i="18"/>
  <c r="BN4" i="18" l="1"/>
  <c r="BN5" i="18"/>
  <c r="BN6" i="18"/>
  <c r="BN7" i="18"/>
  <c r="BN8" i="18"/>
  <c r="BN9" i="18"/>
  <c r="BN10" i="18"/>
  <c r="BN11" i="18"/>
  <c r="BN12" i="18"/>
  <c r="BN13" i="18"/>
  <c r="BN14" i="18"/>
  <c r="BN15" i="18"/>
  <c r="BN16" i="18"/>
  <c r="BN17" i="18"/>
  <c r="BN18" i="18"/>
  <c r="BN19" i="18"/>
  <c r="BN20" i="18"/>
  <c r="BN21" i="18"/>
  <c r="BN22" i="18"/>
  <c r="BN23" i="18"/>
  <c r="BN24" i="18"/>
  <c r="BN25" i="18"/>
  <c r="BN26" i="18"/>
  <c r="BN27" i="18"/>
  <c r="BN28" i="18"/>
  <c r="BN29" i="18"/>
  <c r="BN30" i="18"/>
  <c r="BN31" i="18"/>
  <c r="BN32" i="18"/>
  <c r="BN33" i="18"/>
  <c r="BN34" i="18"/>
  <c r="BN35" i="18"/>
  <c r="BN36" i="18"/>
  <c r="BN37" i="18"/>
  <c r="BN38" i="18"/>
  <c r="BN39" i="18"/>
  <c r="BN40" i="18"/>
  <c r="BN41" i="18"/>
  <c r="BN42" i="18"/>
  <c r="BN43" i="18"/>
  <c r="BN44" i="18"/>
  <c r="BN45" i="18"/>
  <c r="BN46" i="18"/>
  <c r="BN47" i="18"/>
  <c r="BN48" i="18"/>
  <c r="BN49" i="18"/>
  <c r="BN50" i="18"/>
  <c r="BN51" i="18"/>
  <c r="BN52" i="18"/>
  <c r="BN53" i="18"/>
  <c r="BN54" i="18"/>
  <c r="BN55" i="18"/>
  <c r="BN56" i="18"/>
  <c r="BN57" i="18"/>
  <c r="BN58" i="18"/>
  <c r="BN59" i="18"/>
  <c r="BN60" i="18"/>
  <c r="BN61" i="18"/>
  <c r="BN62" i="18"/>
  <c r="BN63" i="18"/>
  <c r="BN64" i="18"/>
  <c r="BN65" i="18"/>
  <c r="BN66" i="18"/>
  <c r="BN67" i="18"/>
  <c r="BN68" i="18"/>
  <c r="BN69" i="18"/>
  <c r="BN70" i="18"/>
  <c r="BN71" i="18"/>
  <c r="BN72" i="18"/>
  <c r="BN73" i="18"/>
  <c r="BN74" i="18"/>
  <c r="BN75" i="18"/>
  <c r="BN76" i="18"/>
  <c r="BN77" i="18"/>
  <c r="BN78" i="18"/>
  <c r="BN79" i="18"/>
  <c r="BN80" i="18"/>
  <c r="BN81" i="18"/>
  <c r="BN82" i="18"/>
  <c r="BN83" i="18"/>
  <c r="BN84" i="18"/>
  <c r="BN85" i="18"/>
  <c r="BN86" i="18"/>
  <c r="BN87" i="18"/>
  <c r="BN88" i="18"/>
  <c r="BN89" i="18"/>
  <c r="BN90" i="18"/>
  <c r="BN91" i="18"/>
  <c r="BN92" i="18"/>
  <c r="BN93" i="18"/>
  <c r="BN94" i="18"/>
  <c r="BN95" i="18"/>
  <c r="BN96" i="18"/>
  <c r="BN97" i="18"/>
  <c r="BN98" i="18"/>
  <c r="BN99" i="18"/>
  <c r="BN100" i="18"/>
  <c r="BN101" i="18"/>
  <c r="BN102" i="18"/>
  <c r="BN103" i="18"/>
  <c r="BN104" i="18"/>
  <c r="BN105" i="18"/>
  <c r="BN106" i="18"/>
  <c r="BN107" i="18"/>
  <c r="BN108" i="18"/>
  <c r="BN109" i="18"/>
  <c r="BN110" i="18"/>
  <c r="BN111" i="18"/>
  <c r="BN112" i="18"/>
  <c r="BN113" i="18"/>
  <c r="BN114" i="18"/>
  <c r="BN115" i="18"/>
  <c r="BN116" i="18"/>
  <c r="BN117" i="18"/>
  <c r="BN118" i="18"/>
  <c r="BN119" i="18"/>
  <c r="BN120" i="18"/>
  <c r="BN121" i="18"/>
  <c r="BN122" i="18"/>
  <c r="BN123" i="18"/>
  <c r="BN124" i="18"/>
  <c r="BN125" i="18"/>
  <c r="BN126" i="18"/>
  <c r="BN127" i="18"/>
  <c r="BN128" i="18"/>
  <c r="BN129" i="18"/>
  <c r="BN130" i="18"/>
  <c r="BN131" i="18"/>
  <c r="BN132" i="18"/>
  <c r="BN133" i="18"/>
  <c r="BN134" i="18"/>
  <c r="BN135" i="18"/>
  <c r="BN136" i="18"/>
  <c r="BN137" i="18"/>
  <c r="BN138" i="18"/>
  <c r="BN139" i="18"/>
  <c r="BN140" i="18"/>
  <c r="BN141" i="18"/>
  <c r="BN142" i="18"/>
  <c r="BN143" i="18"/>
  <c r="BN144" i="18"/>
  <c r="BN145" i="18"/>
  <c r="BN146" i="18"/>
  <c r="BN147" i="18"/>
  <c r="BN148" i="18"/>
  <c r="BN149" i="18"/>
  <c r="BN150" i="18"/>
  <c r="BN151" i="18"/>
  <c r="BN152" i="18"/>
  <c r="BN153" i="18"/>
  <c r="BN154" i="18"/>
  <c r="BN155" i="18"/>
  <c r="BN156" i="18"/>
  <c r="BN157" i="18"/>
  <c r="BN158" i="18"/>
  <c r="BN159" i="18"/>
  <c r="BN160" i="18"/>
  <c r="BN161" i="18"/>
  <c r="BN162" i="18"/>
  <c r="BN163" i="18"/>
  <c r="BN164" i="18"/>
  <c r="BN165" i="18"/>
  <c r="BN166" i="18"/>
  <c r="BN167" i="18"/>
  <c r="BN168" i="18"/>
  <c r="BN169" i="18"/>
  <c r="BN170" i="18"/>
  <c r="BN171" i="18"/>
  <c r="BN172" i="18"/>
  <c r="BN173" i="18"/>
  <c r="BN174" i="18"/>
  <c r="BN175" i="18"/>
  <c r="BN176" i="18"/>
  <c r="BN177" i="18"/>
  <c r="BN178" i="18"/>
  <c r="BN179" i="18"/>
  <c r="BN180" i="18"/>
  <c r="BN181" i="18"/>
  <c r="BN182" i="18"/>
  <c r="BN183" i="18"/>
  <c r="BN184" i="18"/>
  <c r="BN185" i="18"/>
  <c r="BN186" i="18"/>
  <c r="BN187" i="18"/>
  <c r="BN188" i="18"/>
  <c r="BN189" i="18"/>
  <c r="BN190" i="18"/>
  <c r="BN191" i="18"/>
  <c r="BN192" i="18"/>
  <c r="BN193" i="18"/>
  <c r="BN194" i="18"/>
  <c r="BN195" i="18"/>
  <c r="BN196" i="18"/>
  <c r="BN197" i="18"/>
  <c r="BN198" i="18"/>
  <c r="BN199" i="18"/>
  <c r="BN200" i="18"/>
  <c r="BN201" i="18"/>
  <c r="BN202" i="18"/>
  <c r="BN203" i="18"/>
  <c r="BN204" i="18"/>
  <c r="BN205" i="18"/>
  <c r="BN206" i="18"/>
  <c r="BN207" i="18"/>
  <c r="BN208" i="18"/>
  <c r="BN209" i="18"/>
  <c r="BN210" i="18"/>
  <c r="BN211" i="18"/>
  <c r="BN212" i="18"/>
  <c r="BN213" i="18"/>
  <c r="BN214" i="18"/>
  <c r="BN215" i="18"/>
  <c r="BN216" i="18"/>
  <c r="BN217" i="18"/>
  <c r="BN218" i="18"/>
  <c r="BN219" i="18"/>
  <c r="BN220" i="18"/>
  <c r="BN221" i="18"/>
  <c r="BN222" i="18"/>
  <c r="BN223" i="18"/>
  <c r="BN224" i="18"/>
  <c r="BN225" i="18"/>
  <c r="BN226" i="18"/>
  <c r="BN227" i="18"/>
  <c r="BN228" i="18"/>
  <c r="BN229" i="18"/>
  <c r="BN230" i="18"/>
  <c r="BN231" i="18"/>
  <c r="BN232" i="18"/>
  <c r="BN233" i="18"/>
  <c r="BN234" i="18"/>
  <c r="BN235" i="18"/>
  <c r="BN236" i="18"/>
  <c r="BN237" i="18"/>
  <c r="BN238" i="18"/>
  <c r="BN239" i="18"/>
  <c r="BN240" i="18"/>
  <c r="BN241" i="18"/>
  <c r="BN242" i="18"/>
  <c r="BN243" i="18"/>
  <c r="BN244" i="18"/>
  <c r="BN245" i="18"/>
  <c r="BN246" i="18"/>
  <c r="BN247" i="18"/>
  <c r="BN248" i="18"/>
  <c r="BN249" i="18"/>
  <c r="BN250" i="18"/>
  <c r="BN251" i="18"/>
  <c r="BN252" i="18"/>
  <c r="BN253" i="18"/>
  <c r="BN254" i="18"/>
  <c r="BN255" i="18"/>
  <c r="BN256" i="18"/>
  <c r="BN257" i="18"/>
  <c r="BN258" i="18"/>
  <c r="BN259" i="18"/>
  <c r="BN260" i="18"/>
  <c r="BN261" i="18"/>
  <c r="BN262" i="18"/>
  <c r="BN263" i="18"/>
  <c r="BN264" i="18"/>
  <c r="BN265" i="18"/>
  <c r="BN266" i="18"/>
  <c r="BN267" i="18"/>
  <c r="BN268" i="18"/>
  <c r="BN269" i="18"/>
  <c r="BN270" i="18"/>
  <c r="BN271" i="18"/>
  <c r="BN272" i="18"/>
  <c r="BN273" i="18"/>
  <c r="BN274" i="18"/>
  <c r="BN275" i="18"/>
  <c r="BN276" i="18"/>
  <c r="BN277" i="18"/>
  <c r="BN278" i="18"/>
  <c r="BN279" i="18"/>
  <c r="BN280" i="18"/>
  <c r="BN281" i="18"/>
  <c r="BN282" i="18"/>
  <c r="BN283" i="18"/>
  <c r="BN284" i="18"/>
  <c r="BN285" i="18"/>
  <c r="BN286" i="18"/>
  <c r="BN287" i="18"/>
  <c r="BN288" i="18"/>
  <c r="BN289" i="18"/>
  <c r="BN290" i="18"/>
  <c r="BN291" i="18"/>
  <c r="BN292" i="18"/>
  <c r="BN293" i="18"/>
  <c r="BN294" i="18"/>
  <c r="BN295" i="18"/>
  <c r="BN296" i="18"/>
  <c r="BN297" i="18"/>
  <c r="BN298" i="18"/>
  <c r="BN299" i="18"/>
  <c r="BN300" i="18"/>
  <c r="BN301" i="18"/>
  <c r="BN302" i="18"/>
  <c r="BN303" i="18"/>
  <c r="BN304" i="18"/>
  <c r="BN305" i="18"/>
  <c r="BN306" i="18"/>
  <c r="BN307" i="18"/>
  <c r="BN308" i="18"/>
  <c r="BN309" i="18"/>
  <c r="BN310" i="18"/>
  <c r="BN311" i="18"/>
  <c r="BN312" i="18"/>
  <c r="BN313" i="18"/>
  <c r="BN314" i="18"/>
  <c r="BN315" i="18"/>
  <c r="BN316" i="18"/>
  <c r="BN317" i="18"/>
  <c r="BN318" i="18"/>
  <c r="BN319" i="18"/>
  <c r="BN320" i="18"/>
  <c r="BN321" i="18"/>
  <c r="BN322" i="18"/>
  <c r="BN323" i="18"/>
  <c r="BN324" i="18"/>
  <c r="BN325" i="18"/>
  <c r="BN326" i="18"/>
  <c r="BN327" i="18"/>
  <c r="BN328" i="18"/>
  <c r="BN329" i="18"/>
  <c r="BN330" i="18"/>
  <c r="BN331" i="18"/>
  <c r="BN332" i="18"/>
  <c r="BN333" i="18"/>
  <c r="BN334" i="18"/>
  <c r="BN335" i="18"/>
  <c r="BN336" i="18"/>
  <c r="BN337" i="18"/>
  <c r="BN338" i="18"/>
  <c r="BN339" i="18"/>
  <c r="BN340" i="18"/>
  <c r="BN341" i="18"/>
  <c r="BN342" i="18"/>
  <c r="BN343" i="18"/>
  <c r="BN344" i="18"/>
  <c r="BN345" i="18"/>
  <c r="BN346" i="18"/>
  <c r="BN347" i="18"/>
  <c r="BN348" i="18"/>
  <c r="BN349" i="18"/>
  <c r="BN350" i="18"/>
  <c r="BN351" i="18"/>
  <c r="BN352" i="18"/>
  <c r="BN353" i="18"/>
  <c r="BN354" i="18"/>
  <c r="BN355" i="18"/>
  <c r="BN356" i="18"/>
  <c r="BN357" i="18"/>
  <c r="BN358" i="18"/>
  <c r="BN359" i="18"/>
  <c r="BN360" i="18"/>
  <c r="BN361" i="18"/>
  <c r="BN362" i="18"/>
  <c r="BN363" i="18"/>
  <c r="BN364" i="18"/>
  <c r="BN365" i="18"/>
  <c r="BN366" i="18"/>
  <c r="BN367" i="18"/>
  <c r="BN368" i="18"/>
  <c r="BN369" i="18"/>
  <c r="BN370" i="18"/>
  <c r="BN371" i="18"/>
  <c r="BN372" i="18"/>
  <c r="BN373" i="18"/>
  <c r="BN374" i="18"/>
  <c r="BN375" i="18"/>
  <c r="BN376" i="18"/>
  <c r="BN377" i="18"/>
  <c r="BN378" i="18"/>
  <c r="BN379" i="18"/>
  <c r="BN380" i="18"/>
  <c r="BN381" i="18"/>
  <c r="BN382" i="18"/>
  <c r="BN383" i="18"/>
  <c r="BN384" i="18"/>
  <c r="BN385" i="18"/>
  <c r="BN386" i="18"/>
  <c r="BN387" i="18"/>
  <c r="BN388" i="18"/>
  <c r="BN389" i="18"/>
  <c r="BN390" i="18"/>
  <c r="BN391" i="18"/>
  <c r="BN392" i="18"/>
  <c r="BN393" i="18"/>
  <c r="BN394" i="18"/>
  <c r="BN395" i="18"/>
  <c r="BN396" i="18"/>
  <c r="BN397" i="18"/>
  <c r="BN398" i="18"/>
  <c r="BN399" i="18"/>
  <c r="BN400" i="18"/>
  <c r="BN401" i="18"/>
  <c r="BN402" i="18"/>
  <c r="BN403" i="18"/>
  <c r="BN404" i="18"/>
  <c r="BN405" i="18"/>
  <c r="BN406" i="18"/>
  <c r="BN407" i="18"/>
  <c r="BN408" i="18"/>
  <c r="BN409" i="18"/>
  <c r="BN410" i="18"/>
  <c r="BN411" i="18"/>
  <c r="BN412" i="18"/>
  <c r="BN413" i="18"/>
  <c r="BN414" i="18"/>
  <c r="BN415" i="18"/>
  <c r="BN416" i="18"/>
  <c r="BN417" i="18"/>
  <c r="BN418" i="18"/>
  <c r="BN419" i="18"/>
  <c r="BN420" i="18"/>
  <c r="BN421" i="18"/>
  <c r="BN422" i="18"/>
  <c r="BN423" i="18"/>
  <c r="BN424" i="18"/>
  <c r="BN425" i="18"/>
  <c r="BN426" i="18"/>
  <c r="BN427" i="18"/>
  <c r="BN428" i="18"/>
  <c r="BN429" i="18"/>
  <c r="BN430" i="18"/>
  <c r="BN431" i="18"/>
  <c r="BN432" i="18"/>
  <c r="BN433" i="18"/>
  <c r="BN434" i="18"/>
  <c r="BN435" i="18"/>
  <c r="BN436" i="18"/>
  <c r="BN437" i="18"/>
  <c r="BN438" i="18"/>
  <c r="BN439" i="18"/>
  <c r="BN440" i="18"/>
  <c r="BN441" i="18"/>
  <c r="BN442" i="18"/>
  <c r="BN443" i="18"/>
  <c r="BN444" i="18"/>
  <c r="BN445" i="18"/>
  <c r="BN446" i="18"/>
  <c r="BN447" i="18"/>
  <c r="BN448" i="18"/>
  <c r="BN449" i="18"/>
  <c r="BN450" i="18"/>
  <c r="BN451" i="18"/>
  <c r="BN452" i="18"/>
  <c r="BN453" i="18"/>
  <c r="BN454" i="18"/>
  <c r="BN455" i="18"/>
  <c r="BN456" i="18"/>
  <c r="BN457" i="18"/>
  <c r="BN458" i="18"/>
  <c r="BN459" i="18"/>
  <c r="BN460" i="18"/>
  <c r="BN461" i="18"/>
  <c r="BN462" i="18"/>
  <c r="BN463" i="18"/>
  <c r="BN3" i="18"/>
  <c r="X110" i="5" l="1"/>
  <c r="Y110" i="5"/>
  <c r="Z110" i="5"/>
  <c r="AA110" i="5"/>
  <c r="AB110" i="5"/>
  <c r="AC110" i="5"/>
  <c r="AD110" i="5"/>
  <c r="AE110" i="5"/>
  <c r="AF110" i="5"/>
  <c r="AG110" i="5"/>
  <c r="AH110" i="5"/>
  <c r="AI110" i="5"/>
  <c r="Y143" i="5"/>
  <c r="Z143" i="5"/>
  <c r="AA143" i="5"/>
  <c r="AB143" i="5"/>
  <c r="AC143" i="5"/>
  <c r="AD143" i="5"/>
  <c r="AE143" i="5"/>
  <c r="AF143" i="5"/>
  <c r="AG143" i="5"/>
  <c r="AH143" i="5"/>
  <c r="AI143" i="5"/>
  <c r="X196" i="5"/>
  <c r="Y196" i="5"/>
  <c r="Z196" i="5"/>
  <c r="AA196" i="5"/>
  <c r="AB196" i="5"/>
  <c r="AC196" i="5"/>
  <c r="AD196" i="5"/>
  <c r="AE196" i="5"/>
  <c r="AF196" i="5"/>
  <c r="AG196" i="5"/>
  <c r="AH196" i="5"/>
  <c r="AI196" i="5"/>
  <c r="Z244" i="5"/>
  <c r="AI244" i="5"/>
  <c r="AA244" i="5"/>
  <c r="AB244" i="5"/>
  <c r="AC244" i="5"/>
  <c r="AD244" i="5"/>
  <c r="AE244" i="5"/>
  <c r="AF244" i="5"/>
  <c r="AG244" i="5"/>
  <c r="AH244" i="5"/>
  <c r="X244" i="5"/>
  <c r="Y244" i="5"/>
  <c r="AC201" i="18" l="1"/>
  <c r="Z201" i="18"/>
  <c r="AA201" i="18"/>
  <c r="AB201" i="18"/>
  <c r="AD201" i="18"/>
  <c r="AE201" i="18"/>
  <c r="AF201" i="18"/>
  <c r="AG201" i="18"/>
  <c r="AB22" i="5"/>
  <c r="AB56" i="18" l="1"/>
  <c r="AC56" i="18"/>
  <c r="AD56" i="18"/>
  <c r="AE56" i="18"/>
  <c r="AF56" i="18"/>
  <c r="AG56" i="18"/>
  <c r="AH56" i="18"/>
  <c r="AI56" i="18"/>
  <c r="AJ56" i="18"/>
  <c r="AA56" i="18"/>
  <c r="AA61" i="18"/>
  <c r="Z56" i="18"/>
  <c r="AA47" i="18"/>
  <c r="AB47" i="18"/>
  <c r="AC47" i="18"/>
  <c r="AA44" i="18"/>
  <c r="AA39" i="18"/>
  <c r="Z24" i="18"/>
  <c r="Z23" i="18"/>
  <c r="AH12" i="18"/>
  <c r="AG12" i="18"/>
  <c r="AJ255" i="18" l="1"/>
  <c r="AI255" i="18"/>
  <c r="AF255" i="18"/>
  <c r="AG255" i="18"/>
  <c r="AH255" i="18"/>
  <c r="AG181" i="10" l="1"/>
  <c r="W263" i="18" l="1"/>
  <c r="AK300" i="18" l="1"/>
  <c r="AM49" i="18"/>
  <c r="AL49" i="18"/>
  <c r="AJ49" i="18"/>
  <c r="AI49" i="18"/>
  <c r="AH49" i="18"/>
  <c r="AG49" i="18"/>
  <c r="AF49" i="18"/>
  <c r="AE49" i="18"/>
  <c r="AD49" i="18"/>
  <c r="AC49" i="18"/>
  <c r="AB49" i="18"/>
  <c r="AA49" i="18"/>
  <c r="Z49" i="18"/>
  <c r="Y49" i="18"/>
  <c r="Y51" i="18"/>
  <c r="Z51" i="18"/>
  <c r="AA51" i="18"/>
  <c r="AB51" i="18"/>
  <c r="AC51" i="18"/>
  <c r="AD51" i="18"/>
  <c r="AE51" i="18"/>
  <c r="AF51" i="18"/>
  <c r="AG51" i="18"/>
  <c r="AH51" i="18"/>
  <c r="AI51" i="18"/>
  <c r="AJ51" i="18"/>
  <c r="AL51" i="18"/>
  <c r="AM51" i="18"/>
  <c r="AR49" i="18" l="1"/>
  <c r="AN51" i="18"/>
  <c r="AR51" i="18"/>
  <c r="AN49" i="18"/>
  <c r="Y286" i="10"/>
  <c r="Z286" i="10"/>
  <c r="AA286" i="10"/>
  <c r="AB286" i="10"/>
  <c r="AC286" i="10"/>
  <c r="AD286" i="10"/>
  <c r="AE286" i="10"/>
  <c r="AF286" i="10"/>
  <c r="AG286" i="10"/>
  <c r="AH286" i="10"/>
  <c r="AI286" i="10"/>
  <c r="AJ286" i="10"/>
  <c r="X286" i="10"/>
  <c r="AH256" i="18" l="1"/>
  <c r="AI256" i="18"/>
  <c r="AJ256" i="18"/>
  <c r="AH181" i="10"/>
  <c r="AE182" i="10"/>
  <c r="AF182" i="10"/>
  <c r="AG182" i="10"/>
  <c r="AH182" i="10"/>
  <c r="AM218" i="18" l="1"/>
  <c r="AL218" i="18"/>
  <c r="AJ218" i="18"/>
  <c r="AI218" i="18"/>
  <c r="AH218" i="18"/>
  <c r="AG218" i="18"/>
  <c r="AF218" i="18"/>
  <c r="AE218" i="18"/>
  <c r="AD218" i="18"/>
  <c r="AC218" i="18"/>
  <c r="AB218" i="18"/>
  <c r="AA218" i="18"/>
  <c r="Z218" i="18"/>
  <c r="Y218" i="18"/>
  <c r="Y217" i="18"/>
  <c r="Z217" i="18"/>
  <c r="AA217" i="18"/>
  <c r="AB217" i="18"/>
  <c r="AC217" i="18"/>
  <c r="AD217" i="18"/>
  <c r="AE217" i="18"/>
  <c r="AF217" i="18"/>
  <c r="AG217" i="18"/>
  <c r="AH217" i="18"/>
  <c r="AM217" i="18"/>
  <c r="AL217" i="18"/>
  <c r="AJ217" i="18"/>
  <c r="AI217" i="18"/>
  <c r="Y170" i="18"/>
  <c r="Z170" i="18"/>
  <c r="AA170" i="18"/>
  <c r="AB170" i="18"/>
  <c r="AC170" i="18"/>
  <c r="AD170" i="18"/>
  <c r="AE170" i="18"/>
  <c r="AF170" i="18"/>
  <c r="AG170" i="18"/>
  <c r="AH170" i="18"/>
  <c r="AI170" i="18"/>
  <c r="AJ170" i="18"/>
  <c r="AL170" i="18"/>
  <c r="AM170" i="18"/>
  <c r="Y146" i="18"/>
  <c r="Z146" i="18"/>
  <c r="AA146" i="18"/>
  <c r="AB146" i="18"/>
  <c r="AC146" i="18"/>
  <c r="AD146" i="18"/>
  <c r="AE146" i="18"/>
  <c r="AF146" i="18"/>
  <c r="AG146" i="18"/>
  <c r="AH146" i="18"/>
  <c r="AI146" i="18"/>
  <c r="AJ146" i="18"/>
  <c r="AL146" i="18"/>
  <c r="AM146" i="18"/>
  <c r="Y197" i="18"/>
  <c r="Z197" i="18"/>
  <c r="AA197" i="18"/>
  <c r="AB197" i="18"/>
  <c r="AC197" i="18"/>
  <c r="AD197" i="18"/>
  <c r="AE197" i="18"/>
  <c r="AF197" i="18"/>
  <c r="AG197" i="18"/>
  <c r="AH197" i="18"/>
  <c r="AI197" i="18"/>
  <c r="AJ197" i="18"/>
  <c r="AL197" i="18"/>
  <c r="AM197" i="18"/>
  <c r="AR170" i="18" l="1"/>
  <c r="AR217" i="18"/>
  <c r="AR218" i="18"/>
  <c r="AN218" i="18"/>
  <c r="AN217" i="18"/>
  <c r="AR197" i="18"/>
  <c r="AR146" i="18"/>
  <c r="AN170" i="18"/>
  <c r="AN146" i="18"/>
  <c r="AN197" i="18"/>
  <c r="Y356" i="18"/>
  <c r="Z356" i="18"/>
  <c r="AA356" i="18"/>
  <c r="AB356" i="18"/>
  <c r="AC356" i="18"/>
  <c r="AD356" i="18"/>
  <c r="AE356" i="18"/>
  <c r="AF356" i="18"/>
  <c r="AG356" i="18"/>
  <c r="AH356" i="18"/>
  <c r="AI356" i="18"/>
  <c r="AJ356" i="18"/>
  <c r="AL356" i="18"/>
  <c r="AM356" i="18"/>
  <c r="AN356" i="18" l="1"/>
  <c r="AR356" i="18"/>
  <c r="Y68" i="18"/>
  <c r="Z68" i="18"/>
  <c r="AA68" i="18"/>
  <c r="AB68" i="18"/>
  <c r="AC68" i="18"/>
  <c r="AD68" i="18"/>
  <c r="AE68" i="18"/>
  <c r="AF68" i="18"/>
  <c r="AG68" i="18"/>
  <c r="AH68" i="18"/>
  <c r="AI68" i="18"/>
  <c r="AJ68" i="18"/>
  <c r="AL68" i="18"/>
  <c r="AM68" i="18"/>
  <c r="AR68" i="18" l="1"/>
  <c r="AN68" i="18"/>
  <c r="Y300" i="18"/>
  <c r="Z300" i="18"/>
  <c r="AA300" i="18"/>
  <c r="AB300" i="18"/>
  <c r="AC300" i="18"/>
  <c r="AD300" i="18"/>
  <c r="AE300" i="18"/>
  <c r="AF300" i="18"/>
  <c r="AG300" i="18"/>
  <c r="AH300" i="18"/>
  <c r="AI300" i="18"/>
  <c r="AJ300" i="18"/>
  <c r="AL300" i="18"/>
  <c r="AM300" i="18"/>
  <c r="AR300" i="18" l="1"/>
  <c r="AN300" i="18"/>
  <c r="AK317" i="18"/>
  <c r="AL317" i="18"/>
  <c r="AM317" i="18"/>
  <c r="AR317" i="18"/>
  <c r="AM319" i="18"/>
  <c r="AL319" i="18"/>
  <c r="AJ319" i="18"/>
  <c r="AI319" i="18"/>
  <c r="AH319" i="18"/>
  <c r="AG319" i="18"/>
  <c r="AF319" i="18"/>
  <c r="AE319" i="18"/>
  <c r="AD319" i="18"/>
  <c r="AC319" i="18"/>
  <c r="AB319" i="18"/>
  <c r="AA319" i="18"/>
  <c r="Z319" i="18"/>
  <c r="Y319" i="18"/>
  <c r="AR319" i="18" l="1"/>
  <c r="AN317" i="18"/>
  <c r="AN319" i="18"/>
  <c r="D13" i="6"/>
  <c r="Y40" i="18" l="1"/>
  <c r="Z40" i="18"/>
  <c r="AA40" i="18"/>
  <c r="AB40" i="18"/>
  <c r="AC40" i="18"/>
  <c r="AD40" i="18"/>
  <c r="AE40" i="18"/>
  <c r="AF40" i="18"/>
  <c r="AG40" i="18"/>
  <c r="AH40" i="18"/>
  <c r="AI40" i="18"/>
  <c r="AJ40" i="18"/>
  <c r="AL40" i="18"/>
  <c r="AM40" i="18"/>
  <c r="Y196" i="18"/>
  <c r="Z196" i="18"/>
  <c r="AA196" i="18"/>
  <c r="AB196" i="18"/>
  <c r="AC196" i="18"/>
  <c r="AD196" i="18"/>
  <c r="AE196" i="18"/>
  <c r="AF196" i="18"/>
  <c r="AG196" i="18"/>
  <c r="AH196" i="18"/>
  <c r="AI196" i="18"/>
  <c r="AJ196" i="18"/>
  <c r="AL196" i="18"/>
  <c r="AM196" i="18"/>
  <c r="AR40" i="18" l="1"/>
  <c r="AN40" i="18"/>
  <c r="AR196" i="18"/>
  <c r="AN196" i="18"/>
  <c r="Y75" i="18" l="1"/>
  <c r="Z75" i="18"/>
  <c r="AA75" i="18"/>
  <c r="AB75" i="18"/>
  <c r="AC75" i="18"/>
  <c r="AD75" i="18"/>
  <c r="AE75" i="18"/>
  <c r="AF75" i="18"/>
  <c r="AG75" i="18"/>
  <c r="AH75" i="18"/>
  <c r="AI75" i="18"/>
  <c r="AJ75" i="18"/>
  <c r="AL75" i="18"/>
  <c r="AM75" i="18"/>
  <c r="AR75" i="18" l="1"/>
  <c r="AN75" i="18"/>
  <c r="Y199" i="18"/>
  <c r="Z199" i="18"/>
  <c r="AA199" i="18"/>
  <c r="AB199" i="18"/>
  <c r="AC199" i="18"/>
  <c r="AD199" i="18"/>
  <c r="AE199" i="18"/>
  <c r="AF199" i="18"/>
  <c r="AG199" i="18"/>
  <c r="AH199" i="18"/>
  <c r="AI199" i="18"/>
  <c r="AJ199" i="18"/>
  <c r="AL199" i="18"/>
  <c r="AM199" i="18"/>
  <c r="AR199" i="18" l="1"/>
  <c r="AN199" i="18"/>
  <c r="Y9" i="18"/>
  <c r="Z9" i="18"/>
  <c r="AA9" i="18"/>
  <c r="AB9" i="18"/>
  <c r="AC9" i="18"/>
  <c r="AD9" i="18"/>
  <c r="AE9" i="18"/>
  <c r="AF9" i="18"/>
  <c r="AG9" i="18"/>
  <c r="AH9" i="18"/>
  <c r="AI9" i="18"/>
  <c r="AJ9" i="18"/>
  <c r="AL9" i="18"/>
  <c r="AM9" i="18"/>
  <c r="AR9" i="18" l="1"/>
  <c r="AN9" i="18"/>
  <c r="Y43" i="18" l="1"/>
  <c r="Z43" i="18"/>
  <c r="AA43" i="18"/>
  <c r="AB43" i="18"/>
  <c r="AC43" i="18"/>
  <c r="AD43" i="18"/>
  <c r="AE43" i="18"/>
  <c r="AF43" i="18"/>
  <c r="AG43" i="18"/>
  <c r="AH43" i="18"/>
  <c r="AI43" i="18"/>
  <c r="AJ43" i="18"/>
  <c r="AL43" i="18"/>
  <c r="AM43" i="18"/>
  <c r="Y8" i="18"/>
  <c r="Z8" i="18"/>
  <c r="AA8" i="18"/>
  <c r="AB8" i="18"/>
  <c r="AC8" i="18"/>
  <c r="AD8" i="18"/>
  <c r="AE8" i="18"/>
  <c r="AF8" i="18"/>
  <c r="AG8" i="18"/>
  <c r="AH8" i="18"/>
  <c r="AI8" i="18"/>
  <c r="AJ8" i="18"/>
  <c r="AL8" i="18"/>
  <c r="AM8" i="18"/>
  <c r="AR43" i="18" l="1"/>
  <c r="AR8" i="18"/>
  <c r="AN43" i="18"/>
  <c r="AN8" i="18"/>
  <c r="Y242" i="10" l="1"/>
  <c r="Z242" i="10"/>
  <c r="AA242" i="10"/>
  <c r="AB242" i="10"/>
  <c r="AC242" i="10"/>
  <c r="AD242" i="10"/>
  <c r="I12" i="6" s="1"/>
  <c r="AE242" i="10"/>
  <c r="AF242" i="10"/>
  <c r="AG242" i="10"/>
  <c r="AH242" i="10"/>
  <c r="AI242" i="10"/>
  <c r="X242" i="10"/>
  <c r="Y194" i="18" l="1"/>
  <c r="Z194" i="18"/>
  <c r="AA194" i="18"/>
  <c r="AB194" i="18"/>
  <c r="AC194" i="18"/>
  <c r="AD194" i="18"/>
  <c r="AE194" i="18"/>
  <c r="AF194" i="18"/>
  <c r="AG194" i="18"/>
  <c r="AH194" i="18"/>
  <c r="AI194" i="18"/>
  <c r="AJ194" i="18"/>
  <c r="AL194" i="18"/>
  <c r="AM194" i="18"/>
  <c r="Y193" i="18"/>
  <c r="Z193" i="18"/>
  <c r="AA193" i="18"/>
  <c r="AB193" i="18"/>
  <c r="AC193" i="18"/>
  <c r="AD193" i="18"/>
  <c r="AE193" i="18"/>
  <c r="AF193" i="18"/>
  <c r="AG193" i="18"/>
  <c r="AH193" i="18"/>
  <c r="AI193" i="18"/>
  <c r="AJ193" i="18"/>
  <c r="AL193" i="18"/>
  <c r="AM193" i="18"/>
  <c r="Y192" i="18"/>
  <c r="Z192" i="18"/>
  <c r="AA192" i="18"/>
  <c r="AB192" i="18"/>
  <c r="AC192" i="18"/>
  <c r="AD192" i="18"/>
  <c r="AE192" i="18"/>
  <c r="AF192" i="18"/>
  <c r="AG192" i="18"/>
  <c r="AH192" i="18"/>
  <c r="AI192" i="18"/>
  <c r="AJ192" i="18"/>
  <c r="AL192" i="18"/>
  <c r="AM192" i="18"/>
  <c r="AR193" i="18" l="1"/>
  <c r="AR194" i="18"/>
  <c r="AR192" i="18"/>
  <c r="AN194" i="18"/>
  <c r="AN193" i="18"/>
  <c r="AN192" i="18"/>
  <c r="AC244" i="18"/>
  <c r="AD244" i="18"/>
  <c r="AC245" i="18"/>
  <c r="AD245" i="18"/>
  <c r="AC246" i="18"/>
  <c r="AD246" i="18"/>
  <c r="AC247" i="18"/>
  <c r="AD247" i="18"/>
  <c r="AC248" i="18"/>
  <c r="AD248" i="18"/>
  <c r="AC249" i="18"/>
  <c r="AD249" i="18"/>
  <c r="Y92" i="18"/>
  <c r="Z92" i="18"/>
  <c r="AA92" i="18"/>
  <c r="AB92" i="18"/>
  <c r="AC92" i="18"/>
  <c r="AD92" i="18"/>
  <c r="AE92" i="18"/>
  <c r="AF92" i="18"/>
  <c r="AG92" i="18"/>
  <c r="AH92" i="18"/>
  <c r="AI92" i="18"/>
  <c r="AJ92" i="18"/>
  <c r="AL92" i="18"/>
  <c r="AM92" i="18"/>
  <c r="AR92" i="18" l="1"/>
  <c r="AN92" i="18"/>
  <c r="Y315" i="18"/>
  <c r="Z315" i="18"/>
  <c r="AA315" i="18"/>
  <c r="AB315" i="18"/>
  <c r="AC315" i="18"/>
  <c r="AD315" i="18"/>
  <c r="AE315" i="18"/>
  <c r="AF315" i="18"/>
  <c r="AG315" i="18"/>
  <c r="AH315" i="18"/>
  <c r="AI315" i="18"/>
  <c r="AJ315" i="18"/>
  <c r="AL315" i="18"/>
  <c r="AM315" i="18"/>
  <c r="Y312" i="18"/>
  <c r="Z312" i="18"/>
  <c r="AA312" i="18"/>
  <c r="AB312" i="18"/>
  <c r="AC312" i="18"/>
  <c r="AD312" i="18"/>
  <c r="AE312" i="18"/>
  <c r="AF312" i="18"/>
  <c r="AG312" i="18"/>
  <c r="AH312" i="18"/>
  <c r="AI312" i="18"/>
  <c r="AJ312" i="18"/>
  <c r="AL312" i="18"/>
  <c r="AM312" i="18"/>
  <c r="Y316" i="18"/>
  <c r="Z316" i="18"/>
  <c r="AA316" i="18"/>
  <c r="AB316" i="18"/>
  <c r="AC316" i="18"/>
  <c r="AD316" i="18"/>
  <c r="AE316" i="18"/>
  <c r="AF316" i="18"/>
  <c r="AG316" i="18"/>
  <c r="AH316" i="18"/>
  <c r="AI316" i="18"/>
  <c r="AJ316" i="18"/>
  <c r="AL316" i="18"/>
  <c r="AM316" i="18"/>
  <c r="Y311" i="18"/>
  <c r="Z311" i="18"/>
  <c r="AA311" i="18"/>
  <c r="AB311" i="18"/>
  <c r="AC311" i="18"/>
  <c r="AD311" i="18"/>
  <c r="AE311" i="18"/>
  <c r="AF311" i="18"/>
  <c r="AG311" i="18"/>
  <c r="AH311" i="18"/>
  <c r="AI311" i="18"/>
  <c r="AJ311" i="18"/>
  <c r="AL311" i="18"/>
  <c r="AM311" i="18"/>
  <c r="AR316" i="18" l="1"/>
  <c r="AR315" i="18"/>
  <c r="AR311" i="18"/>
  <c r="AR312" i="18"/>
  <c r="AN315" i="18"/>
  <c r="AN312" i="18"/>
  <c r="AN316" i="18"/>
  <c r="AN311" i="18"/>
  <c r="Y346" i="18" l="1"/>
  <c r="Z346" i="18"/>
  <c r="AA346" i="18"/>
  <c r="AB346" i="18"/>
  <c r="AC346" i="18"/>
  <c r="AD346" i="18"/>
  <c r="AE346" i="18"/>
  <c r="AF346" i="18"/>
  <c r="AG346" i="18"/>
  <c r="AH346" i="18"/>
  <c r="AI346" i="18"/>
  <c r="AJ346" i="18"/>
  <c r="AL346" i="18"/>
  <c r="AM346" i="18"/>
  <c r="AN346" i="18" l="1"/>
  <c r="AR346" i="18"/>
  <c r="F2" i="24"/>
  <c r="E2" i="24"/>
  <c r="D2" i="24"/>
  <c r="C2" i="24"/>
  <c r="B2" i="24"/>
  <c r="A2" i="24"/>
  <c r="B8" i="24"/>
  <c r="C8" i="24"/>
  <c r="D8" i="24"/>
  <c r="B12" i="24"/>
  <c r="C12" i="24"/>
  <c r="B16" i="24"/>
  <c r="C16" i="24" s="1"/>
  <c r="B4" i="24" l="1"/>
  <c r="F4" i="24"/>
  <c r="D4" i="24"/>
  <c r="Y445" i="18"/>
  <c r="Z445" i="18"/>
  <c r="AA445" i="18"/>
  <c r="AB445" i="18"/>
  <c r="AC445" i="18"/>
  <c r="AD445" i="18"/>
  <c r="AE445" i="18"/>
  <c r="AF445" i="18"/>
  <c r="AG445" i="18"/>
  <c r="AH445" i="18"/>
  <c r="AI445" i="18"/>
  <c r="AJ445" i="18"/>
  <c r="AL445" i="18"/>
  <c r="AM445" i="18"/>
  <c r="AR445" i="18" l="1"/>
  <c r="AN445" i="18"/>
  <c r="AE215" i="18"/>
  <c r="AA347" i="18" l="1"/>
  <c r="AB347" i="18"/>
  <c r="AC243" i="18"/>
  <c r="AB243" i="18"/>
  <c r="AA243" i="18"/>
  <c r="Z243" i="18"/>
  <c r="AC242" i="18"/>
  <c r="AB242" i="18"/>
  <c r="AA242" i="18"/>
  <c r="Z242" i="18"/>
  <c r="AC241" i="18"/>
  <c r="AB241" i="18"/>
  <c r="AA241" i="18"/>
  <c r="Z241" i="18"/>
  <c r="AC276" i="18"/>
  <c r="AB276" i="18"/>
  <c r="AA276" i="18"/>
  <c r="Z276" i="18"/>
  <c r="AC341" i="18"/>
  <c r="AB341" i="18"/>
  <c r="AA341" i="18"/>
  <c r="Z341" i="18"/>
  <c r="AC347" i="18"/>
  <c r="Z347" i="18"/>
  <c r="Z155" i="18"/>
  <c r="AA155" i="18"/>
  <c r="AB155" i="18"/>
  <c r="AC155" i="18"/>
  <c r="Z156" i="18"/>
  <c r="AA156" i="18"/>
  <c r="AB156" i="18"/>
  <c r="AC156" i="18"/>
  <c r="Z157" i="18"/>
  <c r="AA157" i="18"/>
  <c r="AB157" i="18"/>
  <c r="AC157" i="18"/>
  <c r="Z158" i="18"/>
  <c r="AA158" i="18"/>
  <c r="AB158" i="18"/>
  <c r="AC158" i="18"/>
  <c r="Z159" i="18"/>
  <c r="AA159" i="18"/>
  <c r="AB159" i="18"/>
  <c r="AC159" i="18"/>
  <c r="Z160" i="18"/>
  <c r="AA160" i="18"/>
  <c r="AB160" i="18"/>
  <c r="AC160" i="18"/>
  <c r="Z161" i="18"/>
  <c r="AA161" i="18"/>
  <c r="AB161" i="18"/>
  <c r="AC161" i="18"/>
  <c r="Z162" i="18"/>
  <c r="AA162" i="18"/>
  <c r="AB162" i="18"/>
  <c r="AC162" i="18"/>
  <c r="Z151" i="18"/>
  <c r="AA151" i="18"/>
  <c r="AB151" i="18"/>
  <c r="AC151" i="18"/>
  <c r="Z152" i="18"/>
  <c r="AA152" i="18"/>
  <c r="AB152" i="18"/>
  <c r="AC152" i="18"/>
  <c r="Z153" i="18"/>
  <c r="AA153" i="18"/>
  <c r="AB153" i="18"/>
  <c r="AC153" i="18"/>
  <c r="Z154" i="18"/>
  <c r="AA154" i="18"/>
  <c r="AB154" i="18"/>
  <c r="AC154" i="18"/>
  <c r="Z149" i="18"/>
  <c r="AA149" i="18"/>
  <c r="AB149" i="18"/>
  <c r="AC149" i="18"/>
  <c r="Z150" i="18"/>
  <c r="AA150" i="18"/>
  <c r="AB150" i="18"/>
  <c r="AC150" i="18"/>
  <c r="AC239" i="18" l="1"/>
  <c r="AC240" i="18"/>
  <c r="AC250" i="18"/>
  <c r="AC251" i="18"/>
  <c r="AC252" i="18"/>
  <c r="AC45" i="18" l="1"/>
  <c r="AB45" i="18"/>
  <c r="AA45" i="18"/>
  <c r="AC44" i="18"/>
  <c r="AB44" i="18"/>
  <c r="AC42" i="18"/>
  <c r="AB42" i="18"/>
  <c r="AA42" i="18"/>
  <c r="AC39" i="18"/>
  <c r="AB39" i="18"/>
  <c r="AC41" i="18"/>
  <c r="AB41" i="18"/>
  <c r="AA41" i="18"/>
  <c r="AC37" i="18"/>
  <c r="AB37" i="18"/>
  <c r="AA37" i="18"/>
  <c r="AC36" i="18"/>
  <c r="AB36" i="18"/>
  <c r="AA36" i="18"/>
  <c r="AC35" i="18"/>
  <c r="AB35" i="18"/>
  <c r="AA35" i="18"/>
  <c r="AC34" i="18"/>
  <c r="AB34" i="18"/>
  <c r="AA34" i="18"/>
  <c r="AC33" i="18"/>
  <c r="AB33" i="18"/>
  <c r="AA33" i="18"/>
  <c r="AC32" i="18"/>
  <c r="AB32" i="18"/>
  <c r="AA32" i="18"/>
  <c r="AC31" i="18"/>
  <c r="AB31" i="18"/>
  <c r="AA31" i="18"/>
  <c r="AC30" i="18"/>
  <c r="AB30" i="18"/>
  <c r="AA30" i="18"/>
  <c r="AC29" i="18"/>
  <c r="AB29" i="18"/>
  <c r="AA29" i="18"/>
  <c r="AC28" i="18"/>
  <c r="AB28" i="18"/>
  <c r="AA28" i="18"/>
  <c r="AC27" i="18"/>
  <c r="AB27" i="18"/>
  <c r="AA27" i="18"/>
  <c r="AC26" i="18"/>
  <c r="AB26" i="18"/>
  <c r="AA26" i="18"/>
  <c r="AC25" i="18"/>
  <c r="AB25" i="18"/>
  <c r="AA25" i="18"/>
  <c r="AC24" i="18"/>
  <c r="AB24" i="18"/>
  <c r="AA24" i="18"/>
  <c r="AC23" i="18"/>
  <c r="AB23" i="18"/>
  <c r="AA23" i="18"/>
  <c r="AC22" i="18"/>
  <c r="AB22" i="18"/>
  <c r="AA22" i="18"/>
  <c r="AC21" i="18"/>
  <c r="AB21" i="18"/>
  <c r="AA21" i="18"/>
  <c r="AC20" i="18"/>
  <c r="AB20" i="18"/>
  <c r="AA20" i="18"/>
  <c r="AC19" i="18"/>
  <c r="AB19" i="18"/>
  <c r="AA19" i="18"/>
  <c r="AC18" i="18"/>
  <c r="AB18" i="18"/>
  <c r="AA18" i="18"/>
  <c r="AC14" i="18"/>
  <c r="AB14" i="18"/>
  <c r="AA14" i="18"/>
  <c r="AC13" i="18"/>
  <c r="AB13" i="18"/>
  <c r="AA13" i="18"/>
  <c r="AC12" i="18"/>
  <c r="AB12" i="18"/>
  <c r="AA12" i="18"/>
  <c r="AC11" i="18"/>
  <c r="AB11" i="18"/>
  <c r="AA11" i="18"/>
  <c r="AC10" i="18"/>
  <c r="AB10" i="18"/>
  <c r="AA10" i="18"/>
  <c r="AC7" i="18"/>
  <c r="AB7" i="18"/>
  <c r="AA7" i="18"/>
  <c r="AA3" i="18"/>
  <c r="AB3" i="18"/>
  <c r="Y160" i="18" l="1"/>
  <c r="AD160" i="18"/>
  <c r="AE160" i="18"/>
  <c r="AF160" i="18"/>
  <c r="AG160" i="18"/>
  <c r="AH160" i="18"/>
  <c r="AI160" i="18"/>
  <c r="AJ160" i="18"/>
  <c r="AL160" i="18"/>
  <c r="AM160" i="18"/>
  <c r="Y155" i="18"/>
  <c r="Y156" i="18"/>
  <c r="Y157" i="18"/>
  <c r="Y158" i="18"/>
  <c r="Y159" i="18"/>
  <c r="Y161" i="18"/>
  <c r="Y162" i="18"/>
  <c r="Y151" i="18"/>
  <c r="AD155" i="18"/>
  <c r="AD156" i="18"/>
  <c r="AD157" i="18"/>
  <c r="AD158" i="18"/>
  <c r="AD159" i="18"/>
  <c r="AD161" i="18"/>
  <c r="AD162" i="18"/>
  <c r="AD151" i="18"/>
  <c r="AE155" i="18"/>
  <c r="AE156" i="18"/>
  <c r="AE157" i="18"/>
  <c r="AE158" i="18"/>
  <c r="AE159" i="18"/>
  <c r="AE161" i="18"/>
  <c r="AE162" i="18"/>
  <c r="AE151" i="18"/>
  <c r="AF155" i="18"/>
  <c r="AF156" i="18"/>
  <c r="AF157" i="18"/>
  <c r="AF158" i="18"/>
  <c r="AF159" i="18"/>
  <c r="AF161" i="18"/>
  <c r="AF162" i="18"/>
  <c r="AF151" i="18"/>
  <c r="AG155" i="18"/>
  <c r="AG156" i="18"/>
  <c r="AG157" i="18"/>
  <c r="AG158" i="18"/>
  <c r="AG159" i="18"/>
  <c r="AG161" i="18"/>
  <c r="AG162" i="18"/>
  <c r="AG151" i="18"/>
  <c r="AH155" i="18"/>
  <c r="AH156" i="18"/>
  <c r="AH157" i="18"/>
  <c r="AH158" i="18"/>
  <c r="AH159" i="18"/>
  <c r="AH161" i="18"/>
  <c r="AH162" i="18"/>
  <c r="AH151" i="18"/>
  <c r="AI155" i="18"/>
  <c r="AI156" i="18"/>
  <c r="AI157" i="18"/>
  <c r="AI158" i="18"/>
  <c r="AI159" i="18"/>
  <c r="AI161" i="18"/>
  <c r="AI162" i="18"/>
  <c r="AI151" i="18"/>
  <c r="AJ155" i="18"/>
  <c r="AJ156" i="18"/>
  <c r="AJ157" i="18"/>
  <c r="AJ158" i="18"/>
  <c r="AJ159" i="18"/>
  <c r="AJ161" i="18"/>
  <c r="AJ162" i="18"/>
  <c r="AJ151" i="18"/>
  <c r="AL155" i="18"/>
  <c r="AL156" i="18"/>
  <c r="AL157" i="18"/>
  <c r="AL158" i="18"/>
  <c r="AL159" i="18"/>
  <c r="AL161" i="18"/>
  <c r="AL162" i="18"/>
  <c r="AL151" i="18"/>
  <c r="AM155" i="18"/>
  <c r="AM156" i="18"/>
  <c r="AM157" i="18"/>
  <c r="AM158" i="18"/>
  <c r="AM159" i="18"/>
  <c r="AM161" i="18"/>
  <c r="AM162" i="18"/>
  <c r="AM151" i="18"/>
  <c r="Y152" i="18"/>
  <c r="Y153" i="18"/>
  <c r="Y154" i="18"/>
  <c r="AD152" i="18"/>
  <c r="AD153" i="18"/>
  <c r="AD154" i="18"/>
  <c r="AE152" i="18"/>
  <c r="AE153" i="18"/>
  <c r="AE154" i="18"/>
  <c r="AF152" i="18"/>
  <c r="AF153" i="18"/>
  <c r="AF154" i="18"/>
  <c r="AG152" i="18"/>
  <c r="AG153" i="18"/>
  <c r="AG154" i="18"/>
  <c r="AH152" i="18"/>
  <c r="AH153" i="18"/>
  <c r="AH154" i="18"/>
  <c r="AI152" i="18"/>
  <c r="AI153" i="18"/>
  <c r="AI154" i="18"/>
  <c r="AJ152" i="18"/>
  <c r="AJ153" i="18"/>
  <c r="AJ154" i="18"/>
  <c r="AL152" i="18"/>
  <c r="AL153" i="18"/>
  <c r="AL154" i="18"/>
  <c r="AM152" i="18"/>
  <c r="AM153" i="18"/>
  <c r="AM154" i="18"/>
  <c r="AN158" i="18" l="1"/>
  <c r="AN162" i="18"/>
  <c r="AN151" i="18"/>
  <c r="AN159" i="18"/>
  <c r="AR162" i="18"/>
  <c r="AR157" i="18"/>
  <c r="AN157" i="18"/>
  <c r="AR156" i="18"/>
  <c r="AN155" i="18"/>
  <c r="AR159" i="18"/>
  <c r="AR160" i="18"/>
  <c r="AN161" i="18"/>
  <c r="AR161" i="18"/>
  <c r="AR155" i="18"/>
  <c r="AR154" i="18"/>
  <c r="AN154" i="18"/>
  <c r="AN153" i="18"/>
  <c r="AR151" i="18"/>
  <c r="AR158" i="18"/>
  <c r="AN152" i="18"/>
  <c r="AN160" i="18"/>
  <c r="AR152" i="18"/>
  <c r="AN156" i="18"/>
  <c r="AR153" i="18"/>
  <c r="K13" i="6"/>
  <c r="L13" i="6"/>
  <c r="M89" i="18" l="1"/>
  <c r="AB109" i="18" l="1"/>
  <c r="AB111" i="18"/>
  <c r="AB110" i="18"/>
  <c r="AB112" i="18"/>
  <c r="AB114" i="18"/>
  <c r="AB113" i="18"/>
  <c r="AB115" i="18"/>
  <c r="AB117" i="18"/>
  <c r="AB118" i="18"/>
  <c r="AB119" i="18"/>
  <c r="AB120" i="18"/>
  <c r="AB358" i="18" l="1"/>
  <c r="AB357" i="18"/>
  <c r="AB366" i="18"/>
  <c r="AB361" i="18"/>
  <c r="AB362" i="18"/>
  <c r="AB363" i="18"/>
  <c r="AB364" i="18"/>
  <c r="AC211" i="18" l="1"/>
  <c r="AC213" i="18"/>
  <c r="AC210" i="18"/>
  <c r="AC209" i="18"/>
  <c r="AC207" i="18"/>
  <c r="AC206" i="18"/>
  <c r="AC204" i="18"/>
  <c r="AC205" i="18"/>
  <c r="AC203" i="18"/>
  <c r="AC202" i="18"/>
  <c r="AC200" i="18"/>
  <c r="AC198" i="18"/>
  <c r="AC195" i="18"/>
  <c r="AB213" i="18"/>
  <c r="AB210" i="18"/>
  <c r="AB209" i="18"/>
  <c r="AB207" i="18"/>
  <c r="AB206" i="18"/>
  <c r="AB204" i="18"/>
  <c r="AB205" i="18"/>
  <c r="AB203" i="18"/>
  <c r="AB202" i="18"/>
  <c r="AB336" i="18" l="1"/>
  <c r="AB282" i="18"/>
  <c r="Y362" i="18" l="1"/>
  <c r="Z362" i="18"/>
  <c r="AA362" i="18"/>
  <c r="AC362" i="18"/>
  <c r="AD362" i="18"/>
  <c r="AE362" i="18"/>
  <c r="AF362" i="18"/>
  <c r="AG362" i="18"/>
  <c r="AH362" i="18"/>
  <c r="AI362" i="18"/>
  <c r="AJ362" i="18"/>
  <c r="AL362" i="18"/>
  <c r="AM362" i="18"/>
  <c r="AN362" i="18" l="1"/>
  <c r="AR362" i="18"/>
  <c r="Y206" i="18"/>
  <c r="Z206" i="18"/>
  <c r="AA206" i="18"/>
  <c r="AD206" i="18"/>
  <c r="AE206" i="18"/>
  <c r="AF206" i="18"/>
  <c r="AG206" i="18"/>
  <c r="AH206" i="18"/>
  <c r="AI206" i="18"/>
  <c r="AJ206" i="18"/>
  <c r="AL206" i="18"/>
  <c r="AM206" i="18"/>
  <c r="Y215" i="18"/>
  <c r="Y203" i="18"/>
  <c r="Y202" i="18"/>
  <c r="Z215" i="18"/>
  <c r="Z203" i="18"/>
  <c r="Z202" i="18"/>
  <c r="AA215" i="18"/>
  <c r="AA203" i="18"/>
  <c r="AA202" i="18"/>
  <c r="AB215" i="18"/>
  <c r="AC215" i="18"/>
  <c r="AD215" i="18"/>
  <c r="AD203" i="18"/>
  <c r="AD202" i="18"/>
  <c r="AE203" i="18"/>
  <c r="AE202" i="18"/>
  <c r="AF215" i="18"/>
  <c r="AF203" i="18"/>
  <c r="AF202" i="18"/>
  <c r="AG215" i="18"/>
  <c r="AG203" i="18"/>
  <c r="AG202" i="18"/>
  <c r="AH215" i="18"/>
  <c r="AH203" i="18"/>
  <c r="AH202" i="18"/>
  <c r="AI215" i="18"/>
  <c r="AI203" i="18"/>
  <c r="AI202" i="18"/>
  <c r="AJ215" i="18"/>
  <c r="AJ203" i="18"/>
  <c r="AJ202" i="18"/>
  <c r="AL215" i="18"/>
  <c r="AL203" i="18"/>
  <c r="AL202" i="18"/>
  <c r="AM215" i="18"/>
  <c r="AM203" i="18"/>
  <c r="AM202" i="18"/>
  <c r="AR202" i="18" l="1"/>
  <c r="AN206" i="18"/>
  <c r="AR206" i="18"/>
  <c r="AR203" i="18"/>
  <c r="AR215" i="18"/>
  <c r="AN203" i="18"/>
  <c r="AN215" i="18"/>
  <c r="AN202" i="18"/>
  <c r="AJ160" i="5"/>
  <c r="AJ161" i="5"/>
  <c r="AJ162" i="5"/>
  <c r="AJ163" i="5"/>
  <c r="AJ164" i="5"/>
  <c r="AJ165" i="5"/>
  <c r="AJ166" i="5"/>
  <c r="AJ167" i="5"/>
  <c r="AJ168" i="5"/>
  <c r="AJ169" i="5"/>
  <c r="AJ170" i="5"/>
  <c r="AJ171" i="5"/>
  <c r="AJ172" i="5"/>
  <c r="AJ173" i="5"/>
  <c r="AJ174" i="5"/>
  <c r="AJ175" i="5"/>
  <c r="AJ176" i="5"/>
  <c r="AJ177" i="5"/>
  <c r="AJ178" i="5"/>
  <c r="AJ179" i="5"/>
  <c r="AJ180" i="5"/>
  <c r="AJ181" i="5"/>
  <c r="AJ182" i="5"/>
  <c r="AJ183" i="5"/>
  <c r="AJ184" i="5"/>
  <c r="AJ185" i="5"/>
  <c r="AJ186" i="5"/>
  <c r="AJ187" i="5"/>
  <c r="AJ188" i="5"/>
  <c r="AJ189" i="5"/>
  <c r="AA113" i="18" l="1"/>
  <c r="AA108" i="18"/>
  <c r="AA107" i="18"/>
  <c r="AA112" i="18"/>
  <c r="AA110" i="18"/>
  <c r="Z118" i="18"/>
  <c r="AA118" i="18"/>
  <c r="AC118" i="18"/>
  <c r="Y113" i="18"/>
  <c r="Z113" i="18"/>
  <c r="AC113" i="18"/>
  <c r="AD113" i="18"/>
  <c r="AE113" i="18"/>
  <c r="AF113" i="18"/>
  <c r="AG113" i="18"/>
  <c r="AH113" i="18"/>
  <c r="AI113" i="18"/>
  <c r="AJ113" i="18"/>
  <c r="AL113" i="18"/>
  <c r="AM113" i="18"/>
  <c r="Y110" i="18"/>
  <c r="Z110" i="18"/>
  <c r="AC110" i="18"/>
  <c r="AD110" i="18"/>
  <c r="AE110" i="18"/>
  <c r="AF110" i="18"/>
  <c r="AG110" i="18"/>
  <c r="AH110" i="18"/>
  <c r="AI110" i="18"/>
  <c r="AJ110" i="18"/>
  <c r="AL110" i="18"/>
  <c r="AM110" i="18"/>
  <c r="AR110" i="18" l="1"/>
  <c r="AR113" i="18"/>
  <c r="AN113" i="18"/>
  <c r="AN110" i="18"/>
  <c r="L67" i="18" l="1"/>
  <c r="AB352" i="18" l="1"/>
  <c r="AA352" i="18"/>
  <c r="Z352" i="18"/>
  <c r="AB351" i="18"/>
  <c r="AA351" i="18"/>
  <c r="Z351" i="18"/>
  <c r="AB348" i="18"/>
  <c r="AA348" i="18"/>
  <c r="Z348" i="18"/>
  <c r="AB350" i="18"/>
  <c r="AA350" i="18"/>
  <c r="Z350" i="18"/>
  <c r="AB349" i="18"/>
  <c r="AA349" i="18"/>
  <c r="Z349" i="18"/>
  <c r="AB340" i="18"/>
  <c r="AA340" i="18"/>
  <c r="Z340" i="18"/>
  <c r="AB344" i="18"/>
  <c r="AA344" i="18"/>
  <c r="Z344" i="18"/>
  <c r="AB342" i="18"/>
  <c r="AA342" i="18"/>
  <c r="Z342" i="18"/>
  <c r="AB343" i="18"/>
  <c r="AA343" i="18"/>
  <c r="Z343" i="18"/>
  <c r="AB337" i="18"/>
  <c r="AA337" i="18"/>
  <c r="Z337" i="18"/>
  <c r="AB338" i="18"/>
  <c r="AA338" i="18"/>
  <c r="Z338" i="18"/>
  <c r="AA336" i="18"/>
  <c r="Z336" i="18"/>
  <c r="AB339" i="18"/>
  <c r="AA339" i="18"/>
  <c r="Z339" i="18"/>
  <c r="Z286" i="18"/>
  <c r="AA286" i="18"/>
  <c r="Z287" i="18"/>
  <c r="AA287" i="18"/>
  <c r="Z291" i="18"/>
  <c r="AA291" i="18"/>
  <c r="AB292" i="18"/>
  <c r="AA292" i="18"/>
  <c r="Z292" i="18"/>
  <c r="AB291" i="18"/>
  <c r="AB287" i="18"/>
  <c r="AB286" i="18"/>
  <c r="AB288" i="18"/>
  <c r="AA288" i="18"/>
  <c r="Z288" i="18"/>
  <c r="AB289" i="18"/>
  <c r="AA289" i="18"/>
  <c r="Z289" i="18"/>
  <c r="AB285" i="18"/>
  <c r="AA285" i="18"/>
  <c r="Z285" i="18"/>
  <c r="AB296" i="18"/>
  <c r="AA296" i="18"/>
  <c r="Z296" i="18"/>
  <c r="Y120" i="18" l="1"/>
  <c r="Z120" i="18"/>
  <c r="AA120" i="18"/>
  <c r="AC120" i="18"/>
  <c r="AD120" i="18"/>
  <c r="AE120" i="18"/>
  <c r="AF120" i="18"/>
  <c r="AG120" i="18"/>
  <c r="AH120" i="18"/>
  <c r="AI120" i="18"/>
  <c r="AJ120" i="18"/>
  <c r="AL120" i="18"/>
  <c r="AM120" i="18"/>
  <c r="Y109" i="18"/>
  <c r="Z109" i="18"/>
  <c r="AA109" i="18"/>
  <c r="AC109" i="18"/>
  <c r="AD109" i="18"/>
  <c r="AE109" i="18"/>
  <c r="AF109" i="18"/>
  <c r="AG109" i="18"/>
  <c r="AH109" i="18"/>
  <c r="AI109" i="18"/>
  <c r="AJ109" i="18"/>
  <c r="AL109" i="18"/>
  <c r="AM109" i="18"/>
  <c r="Y142" i="18"/>
  <c r="Z142" i="18"/>
  <c r="AA142" i="18"/>
  <c r="AB142" i="18"/>
  <c r="AC142" i="18"/>
  <c r="AD142" i="18"/>
  <c r="AE142" i="18"/>
  <c r="AF142" i="18"/>
  <c r="AG142" i="18"/>
  <c r="AH142" i="18"/>
  <c r="AI142" i="18"/>
  <c r="AJ142" i="18"/>
  <c r="AL142" i="18"/>
  <c r="AM142" i="18"/>
  <c r="Y143" i="18"/>
  <c r="Z143" i="18"/>
  <c r="AA143" i="18"/>
  <c r="AB143" i="18"/>
  <c r="AC143" i="18"/>
  <c r="AD143" i="18"/>
  <c r="AE143" i="18"/>
  <c r="AF143" i="18"/>
  <c r="AG143" i="18"/>
  <c r="AH143" i="18"/>
  <c r="AI143" i="18"/>
  <c r="AJ143" i="18"/>
  <c r="AL143" i="18"/>
  <c r="AM143" i="18"/>
  <c r="Y176" i="18"/>
  <c r="Z176" i="18"/>
  <c r="AA176" i="18"/>
  <c r="AB176" i="18"/>
  <c r="AC176" i="18"/>
  <c r="AD176" i="18"/>
  <c r="AE176" i="18"/>
  <c r="AF176" i="18"/>
  <c r="AG176" i="18"/>
  <c r="AH176" i="18"/>
  <c r="AI176" i="18"/>
  <c r="AJ176" i="18"/>
  <c r="AL176" i="18"/>
  <c r="AM176" i="18"/>
  <c r="Y177" i="18"/>
  <c r="Z177" i="18"/>
  <c r="AA177" i="18"/>
  <c r="AB177" i="18"/>
  <c r="AC177" i="18"/>
  <c r="AD177" i="18"/>
  <c r="AE177" i="18"/>
  <c r="AF177" i="18"/>
  <c r="AG177" i="18"/>
  <c r="AH177" i="18"/>
  <c r="AI177" i="18"/>
  <c r="AJ177" i="18"/>
  <c r="AL177" i="18"/>
  <c r="AM177" i="18"/>
  <c r="Y179" i="18"/>
  <c r="Z179" i="18"/>
  <c r="AA179" i="18"/>
  <c r="AB179" i="18"/>
  <c r="AC179" i="18"/>
  <c r="AD179" i="18"/>
  <c r="AE179" i="18"/>
  <c r="AF179" i="18"/>
  <c r="AG179" i="18"/>
  <c r="AH179" i="18"/>
  <c r="AI179" i="18"/>
  <c r="AJ179" i="18"/>
  <c r="AL179" i="18"/>
  <c r="AM179" i="18"/>
  <c r="Y180" i="18"/>
  <c r="Z180" i="18"/>
  <c r="AA180" i="18"/>
  <c r="AB180" i="18"/>
  <c r="AC180" i="18"/>
  <c r="AD180" i="18"/>
  <c r="AE180" i="18"/>
  <c r="AF180" i="18"/>
  <c r="AG180" i="18"/>
  <c r="AH180" i="18"/>
  <c r="AI180" i="18"/>
  <c r="AJ180" i="18"/>
  <c r="AL180" i="18"/>
  <c r="AM180" i="18"/>
  <c r="Y178" i="18"/>
  <c r="Z178" i="18"/>
  <c r="AA178" i="18"/>
  <c r="AB178" i="18"/>
  <c r="AC178" i="18"/>
  <c r="AD178" i="18"/>
  <c r="AE178" i="18"/>
  <c r="AF178" i="18"/>
  <c r="AG178" i="18"/>
  <c r="AH178" i="18"/>
  <c r="AI178" i="18"/>
  <c r="AJ178" i="18"/>
  <c r="AL178" i="18"/>
  <c r="AM178" i="18"/>
  <c r="AR142" i="18" l="1"/>
  <c r="AR180" i="18"/>
  <c r="AR143" i="18"/>
  <c r="AR179" i="18"/>
  <c r="AR178" i="18"/>
  <c r="AR177" i="18"/>
  <c r="AR120" i="18"/>
  <c r="AR109" i="18"/>
  <c r="AR176" i="18"/>
  <c r="AN120" i="18"/>
  <c r="AN109" i="18"/>
  <c r="AN142" i="18"/>
  <c r="AN143" i="18"/>
  <c r="AN176" i="18"/>
  <c r="AN177" i="18"/>
  <c r="AN179" i="18"/>
  <c r="AN180" i="18"/>
  <c r="AN178" i="18"/>
  <c r="Y78" i="18"/>
  <c r="Z78" i="18"/>
  <c r="AA78" i="18"/>
  <c r="AB78" i="18"/>
  <c r="AC78" i="18"/>
  <c r="AD78" i="18"/>
  <c r="AE78" i="18"/>
  <c r="AF78" i="18"/>
  <c r="AG78" i="18"/>
  <c r="AH78" i="18"/>
  <c r="AI78" i="18"/>
  <c r="AJ78" i="18"/>
  <c r="AL78" i="18"/>
  <c r="AM78" i="18"/>
  <c r="AR78" i="18" l="1"/>
  <c r="AN78" i="18"/>
  <c r="Y313" i="18"/>
  <c r="Z313" i="18"/>
  <c r="Y182" i="10"/>
  <c r="AA69" i="18"/>
  <c r="Z69" i="18"/>
  <c r="Y69" i="18"/>
  <c r="AA70" i="18"/>
  <c r="Z70" i="18"/>
  <c r="Y70" i="18"/>
  <c r="AA73" i="18"/>
  <c r="Z73" i="18"/>
  <c r="Y73" i="18"/>
  <c r="AA72" i="18"/>
  <c r="Z72" i="18"/>
  <c r="Y72" i="18"/>
  <c r="AA115" i="18"/>
  <c r="Z115" i="18"/>
  <c r="Y115" i="18"/>
  <c r="Y105" i="18"/>
  <c r="Z105" i="18"/>
  <c r="AA105" i="18"/>
  <c r="Y107" i="18"/>
  <c r="Z107" i="18"/>
  <c r="Y145" i="18"/>
  <c r="Z145" i="18"/>
  <c r="AA145" i="18"/>
  <c r="AB145" i="18"/>
  <c r="Y147" i="18"/>
  <c r="Z147" i="18"/>
  <c r="AA147" i="18"/>
  <c r="AB147" i="18"/>
  <c r="Y148" i="18"/>
  <c r="Z148" i="18"/>
  <c r="AA148" i="18"/>
  <c r="AB148" i="18"/>
  <c r="Y150" i="18"/>
  <c r="Y149" i="18"/>
  <c r="Y163" i="18"/>
  <c r="Z163" i="18"/>
  <c r="AA163" i="18"/>
  <c r="AB163" i="18"/>
  <c r="Y164" i="18"/>
  <c r="Z164" i="18"/>
  <c r="AA164" i="18"/>
  <c r="AB164" i="18"/>
  <c r="Y165" i="18"/>
  <c r="Z165" i="18"/>
  <c r="AA165" i="18"/>
  <c r="AB165" i="18"/>
  <c r="Y167" i="18"/>
  <c r="Z167" i="18"/>
  <c r="AA167" i="18"/>
  <c r="AB167" i="18"/>
  <c r="Z144" i="18"/>
  <c r="AA144" i="18"/>
  <c r="AB144" i="18"/>
  <c r="J12" i="19" l="1"/>
  <c r="Y460" i="18"/>
  <c r="Z460" i="18"/>
  <c r="AA460" i="18"/>
  <c r="AB460" i="18"/>
  <c r="AC460" i="18"/>
  <c r="AD460" i="18"/>
  <c r="AE460" i="18"/>
  <c r="AF460" i="18"/>
  <c r="AG460" i="18"/>
  <c r="AH460" i="18"/>
  <c r="AI460" i="18"/>
  <c r="AJ460" i="18"/>
  <c r="AL460" i="18"/>
  <c r="AM460" i="18"/>
  <c r="Y26" i="18"/>
  <c r="Z26" i="18"/>
  <c r="Y27" i="18"/>
  <c r="Z27" i="18"/>
  <c r="Y28" i="18"/>
  <c r="Z28" i="18"/>
  <c r="Y29" i="18"/>
  <c r="Z29" i="18"/>
  <c r="Y30" i="18"/>
  <c r="Z30" i="18"/>
  <c r="Y31" i="18"/>
  <c r="Z31" i="18"/>
  <c r="Y32" i="18"/>
  <c r="Z32" i="18"/>
  <c r="Y33" i="18"/>
  <c r="Z33" i="18"/>
  <c r="Y34" i="18"/>
  <c r="Z34" i="18"/>
  <c r="Y35" i="18"/>
  <c r="Z35" i="18"/>
  <c r="Y36" i="18"/>
  <c r="Z36" i="18"/>
  <c r="AR460" i="18" l="1"/>
  <c r="AN460" i="18"/>
  <c r="AL3" i="18"/>
  <c r="AL4" i="18"/>
  <c r="AL5" i="18"/>
  <c r="AL6" i="18"/>
  <c r="AL327" i="18"/>
  <c r="AL7" i="18"/>
  <c r="AL20" i="18"/>
  <c r="AL24" i="18"/>
  <c r="AL36" i="18"/>
  <c r="AL12" i="18"/>
  <c r="AL41" i="18"/>
  <c r="AL10" i="18"/>
  <c r="AL38" i="18"/>
  <c r="AL37" i="18"/>
  <c r="AL28" i="18"/>
  <c r="AL13" i="18"/>
  <c r="AL18" i="18"/>
  <c r="AL22" i="18"/>
  <c r="AL14" i="18"/>
  <c r="AL15" i="18"/>
  <c r="AL16" i="18"/>
  <c r="AL17" i="18"/>
  <c r="AL21" i="18"/>
  <c r="AL11" i="18"/>
  <c r="AL23" i="18"/>
  <c r="AL25" i="18"/>
  <c r="AL26" i="18"/>
  <c r="AL27" i="18"/>
  <c r="AL29" i="18"/>
  <c r="AL30" i="18"/>
  <c r="AL31" i="18"/>
  <c r="AL32" i="18"/>
  <c r="AL33" i="18"/>
  <c r="AL34" i="18"/>
  <c r="AL35" i="18"/>
  <c r="AL39" i="18"/>
  <c r="AL19" i="18"/>
  <c r="AL45" i="18"/>
  <c r="AL46" i="18"/>
  <c r="AL47" i="18"/>
  <c r="AL50" i="18"/>
  <c r="AL55" i="18"/>
  <c r="AL42" i="18"/>
  <c r="AL44" i="18"/>
  <c r="AL48" i="18"/>
  <c r="AL52" i="18"/>
  <c r="AL53" i="18"/>
  <c r="AL54" i="18"/>
  <c r="AL56" i="18"/>
  <c r="AL61" i="18"/>
  <c r="AL62" i="18"/>
  <c r="AL60" i="18"/>
  <c r="AL57" i="18"/>
  <c r="AL58" i="18"/>
  <c r="AL63" i="18"/>
  <c r="AL59" i="18"/>
  <c r="AL64" i="18"/>
  <c r="AL65" i="18"/>
  <c r="AL66" i="18"/>
  <c r="AL67" i="18"/>
  <c r="AL71" i="18"/>
  <c r="AL70" i="18"/>
  <c r="AL72" i="18"/>
  <c r="AL69" i="18"/>
  <c r="AL77" i="18"/>
  <c r="AL73" i="18"/>
  <c r="AL76" i="18"/>
  <c r="AL74" i="18"/>
  <c r="AL94" i="18"/>
  <c r="AL93" i="18"/>
  <c r="AL84" i="18"/>
  <c r="AL80" i="18"/>
  <c r="AL86" i="18"/>
  <c r="AL88" i="18"/>
  <c r="AL96" i="18"/>
  <c r="AL81" i="18"/>
  <c r="AL99" i="18"/>
  <c r="AL89" i="18"/>
  <c r="AL97" i="18"/>
  <c r="AL85" i="18"/>
  <c r="AL98" i="18"/>
  <c r="AL101" i="18"/>
  <c r="AL87" i="18"/>
  <c r="AL79" i="18"/>
  <c r="AL90" i="18"/>
  <c r="AL91" i="18"/>
  <c r="AL102" i="18"/>
  <c r="AL95" i="18"/>
  <c r="AL82" i="18"/>
  <c r="AL83" i="18"/>
  <c r="AL100" i="18"/>
  <c r="AL103" i="18"/>
  <c r="AL104" i="18"/>
  <c r="AL105" i="18"/>
  <c r="AL117" i="18"/>
  <c r="AL119" i="18"/>
  <c r="AL106" i="18"/>
  <c r="AL121" i="18"/>
  <c r="AL115" i="18"/>
  <c r="AL118" i="18"/>
  <c r="AL108" i="18"/>
  <c r="AL107" i="18"/>
  <c r="AL111" i="18"/>
  <c r="AL112" i="18"/>
  <c r="AL114" i="18"/>
  <c r="AL122" i="18"/>
  <c r="AL125" i="18"/>
  <c r="AL123" i="18"/>
  <c r="AL130" i="18"/>
  <c r="AL127" i="18"/>
  <c r="AL129" i="18"/>
  <c r="AL126" i="18"/>
  <c r="AL124" i="18"/>
  <c r="AL128" i="18"/>
  <c r="AL139" i="18"/>
  <c r="AL134" i="18"/>
  <c r="AL131" i="18"/>
  <c r="AL132" i="18"/>
  <c r="AL133" i="18"/>
  <c r="AL136" i="18"/>
  <c r="AL137" i="18"/>
  <c r="AL135" i="18"/>
  <c r="AL141" i="18"/>
  <c r="AL140" i="18"/>
  <c r="AL144" i="18"/>
  <c r="AL145" i="18"/>
  <c r="AL148" i="18"/>
  <c r="AL147" i="18"/>
  <c r="AL149" i="18"/>
  <c r="AL150" i="18"/>
  <c r="AL163" i="18"/>
  <c r="AL167" i="18"/>
  <c r="AL164" i="18"/>
  <c r="AL165" i="18"/>
  <c r="AL169" i="18"/>
  <c r="AL166" i="18"/>
  <c r="AL168" i="18"/>
  <c r="AL175" i="18"/>
  <c r="AL172" i="18"/>
  <c r="AL173" i="18"/>
  <c r="AL174" i="18"/>
  <c r="AL171" i="18"/>
  <c r="AL182" i="18"/>
  <c r="AL181" i="18"/>
  <c r="AL184" i="18"/>
  <c r="AL183" i="18"/>
  <c r="AL185" i="18"/>
  <c r="AL188" i="18"/>
  <c r="AL221" i="18"/>
  <c r="AL219" i="18"/>
  <c r="AL220" i="18"/>
  <c r="AL222" i="18"/>
  <c r="AL187" i="18"/>
  <c r="AL186" i="18"/>
  <c r="AL189" i="18"/>
  <c r="AL190" i="18"/>
  <c r="AL207" i="18"/>
  <c r="AL216" i="18"/>
  <c r="AL214" i="18"/>
  <c r="AL212" i="18"/>
  <c r="AL208" i="18"/>
  <c r="AL191" i="18"/>
  <c r="AL200" i="18"/>
  <c r="AL195" i="18"/>
  <c r="AL198" i="18"/>
  <c r="AL205" i="18"/>
  <c r="AL213" i="18"/>
  <c r="AL211" i="18"/>
  <c r="AL209" i="18"/>
  <c r="AL204" i="18"/>
  <c r="AL210" i="18"/>
  <c r="AL201" i="18"/>
  <c r="AL223" i="18"/>
  <c r="AL224" i="18"/>
  <c r="AL225" i="18"/>
  <c r="AL226" i="18"/>
  <c r="AL227" i="18"/>
  <c r="AL231" i="18"/>
  <c r="AL230" i="18"/>
  <c r="AL229" i="18"/>
  <c r="AL228" i="18"/>
  <c r="AL232" i="18"/>
  <c r="AL233" i="18"/>
  <c r="AL234" i="18"/>
  <c r="AL235" i="18"/>
  <c r="AL236" i="18"/>
  <c r="AL237" i="18"/>
  <c r="AL245" i="18"/>
  <c r="AL238" i="18"/>
  <c r="AL243" i="18"/>
  <c r="AL242" i="18"/>
  <c r="AL241" i="18"/>
  <c r="AL240" i="18"/>
  <c r="AL244" i="18"/>
  <c r="AL239" i="18"/>
  <c r="AL246" i="18"/>
  <c r="AL248" i="18"/>
  <c r="AL252" i="18"/>
  <c r="AL256" i="18"/>
  <c r="AL255" i="18"/>
  <c r="AL259" i="18"/>
  <c r="AL260" i="18"/>
  <c r="AL261" i="18"/>
  <c r="AL254" i="18"/>
  <c r="AL249" i="18"/>
  <c r="AL251" i="18"/>
  <c r="AL257" i="18"/>
  <c r="AL247" i="18"/>
  <c r="AL250" i="18"/>
  <c r="AL258" i="18"/>
  <c r="AL253" i="18"/>
  <c r="AL262" i="18"/>
  <c r="AL265" i="18"/>
  <c r="AL264" i="18"/>
  <c r="AL266" i="18"/>
  <c r="AL268" i="18"/>
  <c r="AL267" i="18"/>
  <c r="AL277" i="18"/>
  <c r="AL283" i="18"/>
  <c r="AL280" i="18"/>
  <c r="AL270" i="18"/>
  <c r="AL282" i="18"/>
  <c r="AL272" i="18"/>
  <c r="AL281" i="18"/>
  <c r="AL271" i="18"/>
  <c r="AL274" i="18"/>
  <c r="AL275" i="18"/>
  <c r="AL278" i="18"/>
  <c r="AL279" i="18"/>
  <c r="AL269" i="18"/>
  <c r="AL276" i="18"/>
  <c r="AL273" i="18"/>
  <c r="AL287" i="18"/>
  <c r="AL285" i="18"/>
  <c r="AL284" i="18"/>
  <c r="AL289" i="18"/>
  <c r="AL288" i="18"/>
  <c r="AL286" i="18"/>
  <c r="AL290" i="18"/>
  <c r="AL291" i="18"/>
  <c r="AL292" i="18"/>
  <c r="AL299" i="18"/>
  <c r="AL298" i="18"/>
  <c r="AL296" i="18"/>
  <c r="AL295" i="18"/>
  <c r="AL294" i="18"/>
  <c r="AL293" i="18"/>
  <c r="AL297" i="18"/>
  <c r="AL307" i="18"/>
  <c r="AL302" i="18"/>
  <c r="AL306" i="18"/>
  <c r="AL305" i="18"/>
  <c r="AL308" i="18"/>
  <c r="AL309" i="18"/>
  <c r="AL301" i="18"/>
  <c r="AL303" i="18"/>
  <c r="AL304" i="18"/>
  <c r="AL310" i="18"/>
  <c r="AL313" i="18"/>
  <c r="AL318" i="18"/>
  <c r="AL314" i="18"/>
  <c r="AL335" i="18"/>
  <c r="AL330" i="18"/>
  <c r="AL331" i="18"/>
  <c r="AL321" i="18"/>
  <c r="AL323" i="18"/>
  <c r="AL328" i="18"/>
  <c r="AL333" i="18"/>
  <c r="AL332" i="18"/>
  <c r="AL329" i="18"/>
  <c r="AL322" i="18"/>
  <c r="AL325" i="18"/>
  <c r="AL326" i="18"/>
  <c r="AL324" i="18"/>
  <c r="AL320" i="18"/>
  <c r="AL334" i="18"/>
  <c r="AL339" i="18"/>
  <c r="AL336" i="18"/>
  <c r="AL338" i="18"/>
  <c r="AL337" i="18"/>
  <c r="AL343" i="18"/>
  <c r="AL341" i="18"/>
  <c r="AL340" i="18"/>
  <c r="AL344" i="18"/>
  <c r="AL342" i="18"/>
  <c r="AL352" i="18"/>
  <c r="AL348" i="18"/>
  <c r="AL349" i="18"/>
  <c r="AL350" i="18"/>
  <c r="AL347" i="18"/>
  <c r="AL351" i="18"/>
  <c r="AL345" i="18"/>
  <c r="AL373" i="18"/>
  <c r="AL353" i="18"/>
  <c r="AL354" i="18"/>
  <c r="AL371" i="18"/>
  <c r="AL359" i="18"/>
  <c r="AL372" i="18"/>
  <c r="AL364" i="18"/>
  <c r="AL358" i="18"/>
  <c r="AL357" i="18"/>
  <c r="AL370" i="18"/>
  <c r="AL365" i="18"/>
  <c r="AL367" i="18"/>
  <c r="AL366" i="18"/>
  <c r="AL368" i="18"/>
  <c r="AL360" i="18"/>
  <c r="AL363" i="18"/>
  <c r="AL361" i="18"/>
  <c r="AL355" i="18"/>
  <c r="AL375" i="18"/>
  <c r="AL369" i="18"/>
  <c r="AL374" i="18"/>
  <c r="AL379" i="18"/>
  <c r="AL378" i="18"/>
  <c r="AL377" i="18"/>
  <c r="AL376" i="18"/>
  <c r="AL385" i="18"/>
  <c r="AL381" i="18"/>
  <c r="AL383" i="18"/>
  <c r="AL380" i="18"/>
  <c r="AL382" i="18"/>
  <c r="AL384" i="18"/>
  <c r="AL386" i="18"/>
  <c r="AL387" i="18"/>
  <c r="AL388" i="18"/>
  <c r="AL397" i="18"/>
  <c r="AL395" i="18"/>
  <c r="AL394" i="18"/>
  <c r="AL392" i="18"/>
  <c r="AL389" i="18"/>
  <c r="AL396" i="18"/>
  <c r="AL390" i="18"/>
  <c r="AL393" i="18"/>
  <c r="AL391" i="18"/>
  <c r="AL408" i="18"/>
  <c r="AL407" i="18"/>
  <c r="AL409" i="18"/>
  <c r="AL402" i="18"/>
  <c r="AL399" i="18"/>
  <c r="AL400" i="18"/>
  <c r="AL401" i="18"/>
  <c r="AL404" i="18"/>
  <c r="AL406" i="18"/>
  <c r="AL405" i="18"/>
  <c r="AL403" i="18"/>
  <c r="AL398" i="18"/>
  <c r="AL423" i="18"/>
  <c r="AL420" i="18"/>
  <c r="AL421" i="18"/>
  <c r="AL422" i="18"/>
  <c r="AL416" i="18"/>
  <c r="AL413" i="18"/>
  <c r="AL414" i="18"/>
  <c r="AL417" i="18"/>
  <c r="AL418" i="18"/>
  <c r="AL419" i="18"/>
  <c r="AL410" i="18"/>
  <c r="AL411" i="18"/>
  <c r="AL412" i="18"/>
  <c r="AL415" i="18"/>
  <c r="AL433" i="18"/>
  <c r="AL426" i="18"/>
  <c r="AL429" i="18"/>
  <c r="AL428" i="18"/>
  <c r="AL425" i="18"/>
  <c r="AL431" i="18"/>
  <c r="AL424" i="18"/>
  <c r="AL430" i="18"/>
  <c r="AL427" i="18"/>
  <c r="AL432" i="18"/>
  <c r="AL437" i="18"/>
  <c r="AL438" i="18"/>
  <c r="AL436" i="18"/>
  <c r="AL435" i="18"/>
  <c r="AL434" i="18"/>
  <c r="AL446" i="18"/>
  <c r="AL441" i="18"/>
  <c r="AL447" i="18"/>
  <c r="AL444" i="18"/>
  <c r="AL439" i="18"/>
  <c r="AL440" i="18"/>
  <c r="AL442" i="18"/>
  <c r="AL443" i="18"/>
  <c r="AL454" i="18"/>
  <c r="AL453" i="18"/>
  <c r="AL452" i="18"/>
  <c r="AL448" i="18"/>
  <c r="AL449" i="18"/>
  <c r="AL450" i="18"/>
  <c r="AL451" i="18"/>
  <c r="AL455" i="18"/>
  <c r="AL456" i="18"/>
  <c r="AL457" i="18"/>
  <c r="AL458" i="18"/>
  <c r="AL459" i="18"/>
  <c r="AL116" i="18"/>
  <c r="AL138" i="18"/>
  <c r="AL461" i="18"/>
  <c r="AL462" i="18"/>
  <c r="AL463" i="18"/>
  <c r="AM3" i="18"/>
  <c r="AM4" i="18"/>
  <c r="AM5" i="18"/>
  <c r="AM6" i="18"/>
  <c r="AM327" i="18"/>
  <c r="AM7" i="18"/>
  <c r="AM20" i="18"/>
  <c r="AM24" i="18"/>
  <c r="AM36" i="18"/>
  <c r="AM12" i="18"/>
  <c r="AM41" i="18"/>
  <c r="AM10" i="18"/>
  <c r="AM38" i="18"/>
  <c r="AM37" i="18"/>
  <c r="AM28" i="18"/>
  <c r="AM13" i="18"/>
  <c r="AM18" i="18"/>
  <c r="AM22" i="18"/>
  <c r="AM14" i="18"/>
  <c r="AM15" i="18"/>
  <c r="AM16" i="18"/>
  <c r="AM17" i="18"/>
  <c r="AM21" i="18"/>
  <c r="AM11" i="18"/>
  <c r="AM23" i="18"/>
  <c r="AM25" i="18"/>
  <c r="AM26" i="18"/>
  <c r="AM27" i="18"/>
  <c r="AM29" i="18"/>
  <c r="AM30" i="18"/>
  <c r="AM31" i="18"/>
  <c r="AM32" i="18"/>
  <c r="AM33" i="18"/>
  <c r="AM34" i="18"/>
  <c r="AM35" i="18"/>
  <c r="AM39" i="18"/>
  <c r="AM19" i="18"/>
  <c r="AM45" i="18"/>
  <c r="AM46" i="18"/>
  <c r="AM47" i="18"/>
  <c r="AM50" i="18"/>
  <c r="AM55" i="18"/>
  <c r="AM42" i="18"/>
  <c r="AM44" i="18"/>
  <c r="AM48" i="18"/>
  <c r="AM52" i="18"/>
  <c r="AM53" i="18"/>
  <c r="AM54" i="18"/>
  <c r="AM56" i="18"/>
  <c r="AM61" i="18"/>
  <c r="AM62" i="18"/>
  <c r="AM60" i="18"/>
  <c r="AM57" i="18"/>
  <c r="AM58" i="18"/>
  <c r="AM63" i="18"/>
  <c r="AM59" i="18"/>
  <c r="AM64" i="18"/>
  <c r="AM65" i="18"/>
  <c r="AM66" i="18"/>
  <c r="AM67" i="18"/>
  <c r="AM71" i="18"/>
  <c r="AM70" i="18"/>
  <c r="AM72" i="18"/>
  <c r="AM69" i="18"/>
  <c r="AM77" i="18"/>
  <c r="AM73" i="18"/>
  <c r="AM76" i="18"/>
  <c r="AM74" i="18"/>
  <c r="AM94" i="18"/>
  <c r="AM93" i="18"/>
  <c r="AM84" i="18"/>
  <c r="AM80" i="18"/>
  <c r="AM86" i="18"/>
  <c r="AM88" i="18"/>
  <c r="AM96" i="18"/>
  <c r="AM81" i="18"/>
  <c r="AM99" i="18"/>
  <c r="AM89" i="18"/>
  <c r="AM97" i="18"/>
  <c r="AM85" i="18"/>
  <c r="AM98" i="18"/>
  <c r="AM101" i="18"/>
  <c r="AM87" i="18"/>
  <c r="AM79" i="18"/>
  <c r="AM90" i="18"/>
  <c r="AM91" i="18"/>
  <c r="AM102" i="18"/>
  <c r="AM95" i="18"/>
  <c r="AM82" i="18"/>
  <c r="AM83" i="18"/>
  <c r="AM100" i="18"/>
  <c r="AM103" i="18"/>
  <c r="AM104" i="18"/>
  <c r="AM105" i="18"/>
  <c r="AM117" i="18"/>
  <c r="AM119" i="18"/>
  <c r="AM106" i="18"/>
  <c r="AM121" i="18"/>
  <c r="AM115" i="18"/>
  <c r="AM118" i="18"/>
  <c r="AM108" i="18"/>
  <c r="AM107" i="18"/>
  <c r="AM111" i="18"/>
  <c r="AM112" i="18"/>
  <c r="AM114" i="18"/>
  <c r="AM122" i="18"/>
  <c r="AM125" i="18"/>
  <c r="AM123" i="18"/>
  <c r="AM130" i="18"/>
  <c r="AM127" i="18"/>
  <c r="AM129" i="18"/>
  <c r="AM126" i="18"/>
  <c r="AM124" i="18"/>
  <c r="AM128" i="18"/>
  <c r="AM139" i="18"/>
  <c r="AM134" i="18"/>
  <c r="AM131" i="18"/>
  <c r="AM132" i="18"/>
  <c r="AM133" i="18"/>
  <c r="AM136" i="18"/>
  <c r="AM137" i="18"/>
  <c r="AM135" i="18"/>
  <c r="AM141" i="18"/>
  <c r="AM140" i="18"/>
  <c r="AM144" i="18"/>
  <c r="AM145" i="18"/>
  <c r="AM148" i="18"/>
  <c r="AM147" i="18"/>
  <c r="AM149" i="18"/>
  <c r="AM150" i="18"/>
  <c r="AM163" i="18"/>
  <c r="AM167" i="18"/>
  <c r="AM164" i="18"/>
  <c r="AM165" i="18"/>
  <c r="AM169" i="18"/>
  <c r="AM166" i="18"/>
  <c r="AM168" i="18"/>
  <c r="AM175" i="18"/>
  <c r="AM172" i="18"/>
  <c r="AM173" i="18"/>
  <c r="AM174" i="18"/>
  <c r="AM171" i="18"/>
  <c r="AM182" i="18"/>
  <c r="AM181" i="18"/>
  <c r="AM184" i="18"/>
  <c r="AM183" i="18"/>
  <c r="AM185" i="18"/>
  <c r="AM188" i="18"/>
  <c r="AM221" i="18"/>
  <c r="AM219" i="18"/>
  <c r="AM220" i="18"/>
  <c r="AM222" i="18"/>
  <c r="AM187" i="18"/>
  <c r="AM186" i="18"/>
  <c r="AM189" i="18"/>
  <c r="AM190" i="18"/>
  <c r="AM207" i="18"/>
  <c r="AM216" i="18"/>
  <c r="AM214" i="18"/>
  <c r="AM212" i="18"/>
  <c r="AM208" i="18"/>
  <c r="AM191" i="18"/>
  <c r="AM200" i="18"/>
  <c r="AM195" i="18"/>
  <c r="AM198" i="18"/>
  <c r="AM205" i="18"/>
  <c r="AM213" i="18"/>
  <c r="AM211" i="18"/>
  <c r="AM209" i="18"/>
  <c r="AM204" i="18"/>
  <c r="AM210" i="18"/>
  <c r="AM201" i="18"/>
  <c r="AM223" i="18"/>
  <c r="AM224" i="18"/>
  <c r="AM225" i="18"/>
  <c r="AM226" i="18"/>
  <c r="AM227" i="18"/>
  <c r="AM231" i="18"/>
  <c r="AM230" i="18"/>
  <c r="AM229" i="18"/>
  <c r="AM228" i="18"/>
  <c r="AM232" i="18"/>
  <c r="AM233" i="18"/>
  <c r="AM234" i="18"/>
  <c r="AM235" i="18"/>
  <c r="AM236" i="18"/>
  <c r="AM237" i="18"/>
  <c r="AM245" i="18"/>
  <c r="AM238" i="18"/>
  <c r="AM243" i="18"/>
  <c r="AM242" i="18"/>
  <c r="AM241" i="18"/>
  <c r="AM240" i="18"/>
  <c r="AM244" i="18"/>
  <c r="AM239" i="18"/>
  <c r="AM246" i="18"/>
  <c r="AM248" i="18"/>
  <c r="AM252" i="18"/>
  <c r="AM256" i="18"/>
  <c r="AM255" i="18"/>
  <c r="AM259" i="18"/>
  <c r="AM260" i="18"/>
  <c r="AM261" i="18"/>
  <c r="AM254" i="18"/>
  <c r="AM249" i="18"/>
  <c r="AM251" i="18"/>
  <c r="AM257" i="18"/>
  <c r="AM247" i="18"/>
  <c r="AM250" i="18"/>
  <c r="AM258" i="18"/>
  <c r="AM253" i="18"/>
  <c r="AM262" i="18"/>
  <c r="AM265" i="18"/>
  <c r="AM264" i="18"/>
  <c r="AM266" i="18"/>
  <c r="AM268" i="18"/>
  <c r="AM267" i="18"/>
  <c r="AM277" i="18"/>
  <c r="AM283" i="18"/>
  <c r="AM280" i="18"/>
  <c r="AM270" i="18"/>
  <c r="AM282" i="18"/>
  <c r="AM272" i="18"/>
  <c r="AM281" i="18"/>
  <c r="AM271" i="18"/>
  <c r="AM274" i="18"/>
  <c r="AM275" i="18"/>
  <c r="AM278" i="18"/>
  <c r="AM279" i="18"/>
  <c r="AM269" i="18"/>
  <c r="AM276" i="18"/>
  <c r="AM273" i="18"/>
  <c r="AM287" i="18"/>
  <c r="AM285" i="18"/>
  <c r="AM284" i="18"/>
  <c r="AM289" i="18"/>
  <c r="AM288" i="18"/>
  <c r="AM286" i="18"/>
  <c r="AM290" i="18"/>
  <c r="AM291" i="18"/>
  <c r="AM292" i="18"/>
  <c r="AM299" i="18"/>
  <c r="AM298" i="18"/>
  <c r="AM296" i="18"/>
  <c r="AM295" i="18"/>
  <c r="AM294" i="18"/>
  <c r="AM293" i="18"/>
  <c r="AM297" i="18"/>
  <c r="AM307" i="18"/>
  <c r="AM302" i="18"/>
  <c r="AM306" i="18"/>
  <c r="AM305" i="18"/>
  <c r="AM308" i="18"/>
  <c r="AM309" i="18"/>
  <c r="AM301" i="18"/>
  <c r="AM303" i="18"/>
  <c r="AM304" i="18"/>
  <c r="AM310" i="18"/>
  <c r="AM313" i="18"/>
  <c r="AM318" i="18"/>
  <c r="AM314" i="18"/>
  <c r="AM335" i="18"/>
  <c r="AM330" i="18"/>
  <c r="AM331" i="18"/>
  <c r="AM321" i="18"/>
  <c r="AM323" i="18"/>
  <c r="AM328" i="18"/>
  <c r="AM333" i="18"/>
  <c r="AM332" i="18"/>
  <c r="AM329" i="18"/>
  <c r="AM322" i="18"/>
  <c r="AM325" i="18"/>
  <c r="AM326" i="18"/>
  <c r="AM324" i="18"/>
  <c r="AM320" i="18"/>
  <c r="AM334" i="18"/>
  <c r="AM339" i="18"/>
  <c r="AM336" i="18"/>
  <c r="AM338" i="18"/>
  <c r="AM337" i="18"/>
  <c r="AM343" i="18"/>
  <c r="AM341" i="18"/>
  <c r="AM340" i="18"/>
  <c r="AM344" i="18"/>
  <c r="AM342" i="18"/>
  <c r="AM352" i="18"/>
  <c r="AM348" i="18"/>
  <c r="AM349" i="18"/>
  <c r="AM350" i="18"/>
  <c r="AM347" i="18"/>
  <c r="AM351" i="18"/>
  <c r="AM345" i="18"/>
  <c r="AM373" i="18"/>
  <c r="AM353" i="18"/>
  <c r="AM354" i="18"/>
  <c r="AM371" i="18"/>
  <c r="AM359" i="18"/>
  <c r="AM372" i="18"/>
  <c r="AM364" i="18"/>
  <c r="AM358" i="18"/>
  <c r="AM357" i="18"/>
  <c r="AM370" i="18"/>
  <c r="AM365" i="18"/>
  <c r="AM367" i="18"/>
  <c r="AM366" i="18"/>
  <c r="AM368" i="18"/>
  <c r="AM360" i="18"/>
  <c r="AM363" i="18"/>
  <c r="AM361" i="18"/>
  <c r="AM355" i="18"/>
  <c r="AM375" i="18"/>
  <c r="AM369" i="18"/>
  <c r="AM374" i="18"/>
  <c r="AM379" i="18"/>
  <c r="AM378" i="18"/>
  <c r="AM377" i="18"/>
  <c r="AM376" i="18"/>
  <c r="AM385" i="18"/>
  <c r="AM381" i="18"/>
  <c r="AM383" i="18"/>
  <c r="AM380" i="18"/>
  <c r="AM382" i="18"/>
  <c r="AM384" i="18"/>
  <c r="AM386" i="18"/>
  <c r="AM387" i="18"/>
  <c r="AM388" i="18"/>
  <c r="AM397" i="18"/>
  <c r="AM395" i="18"/>
  <c r="AM394" i="18"/>
  <c r="AM392" i="18"/>
  <c r="AM389" i="18"/>
  <c r="AM396" i="18"/>
  <c r="AM390" i="18"/>
  <c r="AM393" i="18"/>
  <c r="AM391" i="18"/>
  <c r="AM408" i="18"/>
  <c r="AM407" i="18"/>
  <c r="AM409" i="18"/>
  <c r="AM402" i="18"/>
  <c r="AM399" i="18"/>
  <c r="AM400" i="18"/>
  <c r="AM401" i="18"/>
  <c r="AM404" i="18"/>
  <c r="AM406" i="18"/>
  <c r="AM405" i="18"/>
  <c r="AM403" i="18"/>
  <c r="AM398" i="18"/>
  <c r="AM423" i="18"/>
  <c r="AM420" i="18"/>
  <c r="AM421" i="18"/>
  <c r="AM422" i="18"/>
  <c r="AM416" i="18"/>
  <c r="AM413" i="18"/>
  <c r="AM414" i="18"/>
  <c r="AM417" i="18"/>
  <c r="AM418" i="18"/>
  <c r="AM419" i="18"/>
  <c r="AM410" i="18"/>
  <c r="AM411" i="18"/>
  <c r="AM412" i="18"/>
  <c r="AM415" i="18"/>
  <c r="AM433" i="18"/>
  <c r="AM426" i="18"/>
  <c r="AM429" i="18"/>
  <c r="AM428" i="18"/>
  <c r="AM425" i="18"/>
  <c r="AM431" i="18"/>
  <c r="AM424" i="18"/>
  <c r="AM430" i="18"/>
  <c r="AM427" i="18"/>
  <c r="AM432" i="18"/>
  <c r="AM437" i="18"/>
  <c r="AM438" i="18"/>
  <c r="AM436" i="18"/>
  <c r="AM435" i="18"/>
  <c r="AM434" i="18"/>
  <c r="AM446" i="18"/>
  <c r="AM441" i="18"/>
  <c r="AM447" i="18"/>
  <c r="AM444" i="18"/>
  <c r="AM439" i="18"/>
  <c r="AM440" i="18"/>
  <c r="AM442" i="18"/>
  <c r="AM443" i="18"/>
  <c r="AM454" i="18"/>
  <c r="AM453" i="18"/>
  <c r="AM452" i="18"/>
  <c r="AM448" i="18"/>
  <c r="AM449" i="18"/>
  <c r="AM450" i="18"/>
  <c r="AM451" i="18"/>
  <c r="AM455" i="18"/>
  <c r="AM456" i="18"/>
  <c r="AM457" i="18"/>
  <c r="AM458" i="18"/>
  <c r="AM459" i="18"/>
  <c r="AM116" i="18"/>
  <c r="AM138" i="18"/>
  <c r="AM461" i="18"/>
  <c r="AM462" i="18"/>
  <c r="AM463" i="18"/>
  <c r="Y87" i="18"/>
  <c r="Z87" i="18"/>
  <c r="AA87" i="18"/>
  <c r="AB87" i="18"/>
  <c r="Y79" i="18"/>
  <c r="Z79" i="18"/>
  <c r="AA79" i="18"/>
  <c r="AB79" i="18"/>
  <c r="Y90" i="18"/>
  <c r="Z90" i="18"/>
  <c r="AA90" i="18"/>
  <c r="AB90" i="18"/>
  <c r="Y91" i="18"/>
  <c r="Z91" i="18"/>
  <c r="AA91" i="18"/>
  <c r="AB91" i="18"/>
  <c r="Y102" i="18"/>
  <c r="Z102" i="18"/>
  <c r="AA102" i="18"/>
  <c r="AB102" i="18"/>
  <c r="Y95" i="18"/>
  <c r="Z95" i="18"/>
  <c r="AA95" i="18"/>
  <c r="AB95" i="18"/>
  <c r="Y82" i="18"/>
  <c r="Z82" i="18"/>
  <c r="AA82" i="18"/>
  <c r="AB82" i="18"/>
  <c r="Y83" i="18"/>
  <c r="Z83" i="18"/>
  <c r="AA83" i="18"/>
  <c r="AB83" i="18"/>
  <c r="Y100" i="18"/>
  <c r="Z100" i="18"/>
  <c r="AA100" i="18"/>
  <c r="AB100" i="18"/>
  <c r="Y103" i="18"/>
  <c r="Z103" i="18"/>
  <c r="AA103" i="18"/>
  <c r="AB103" i="18"/>
  <c r="Y104" i="18"/>
  <c r="Z104" i="18"/>
  <c r="AA104" i="18"/>
  <c r="AB104" i="18"/>
  <c r="Y452" i="18" l="1"/>
  <c r="Z452" i="18"/>
  <c r="AA452" i="18"/>
  <c r="AB452" i="18"/>
  <c r="Y448" i="18"/>
  <c r="Z448" i="18"/>
  <c r="AA448" i="18"/>
  <c r="AB448" i="18"/>
  <c r="Y449" i="18"/>
  <c r="Z449" i="18"/>
  <c r="AA449" i="18"/>
  <c r="AB449" i="18"/>
  <c r="Y450" i="18"/>
  <c r="Z450" i="18"/>
  <c r="AA450" i="18"/>
  <c r="AB450" i="18"/>
  <c r="Y451" i="18"/>
  <c r="Z451" i="18"/>
  <c r="AA451" i="18"/>
  <c r="AB451" i="18"/>
  <c r="Y453" i="18"/>
  <c r="Z453" i="18"/>
  <c r="AA453" i="18"/>
  <c r="AB453" i="18"/>
  <c r="Y454" i="18"/>
  <c r="Z454" i="18"/>
  <c r="AA454" i="18"/>
  <c r="AB454" i="18"/>
  <c r="Y457" i="18"/>
  <c r="Z457" i="18"/>
  <c r="AA457" i="18"/>
  <c r="AB457" i="18"/>
  <c r="Y455" i="18"/>
  <c r="Z455" i="18"/>
  <c r="AA455" i="18"/>
  <c r="AB455" i="18"/>
  <c r="Y456" i="18"/>
  <c r="Z456" i="18"/>
  <c r="AA456" i="18"/>
  <c r="AB456" i="18"/>
  <c r="Y459" i="18"/>
  <c r="Z459" i="18"/>
  <c r="AA459" i="18"/>
  <c r="AB459" i="18"/>
  <c r="Y458" i="18"/>
  <c r="Z458" i="18"/>
  <c r="AA458" i="18"/>
  <c r="AB458" i="18"/>
  <c r="Y363" i="18" l="1"/>
  <c r="Z363" i="18"/>
  <c r="AA363" i="18"/>
  <c r="AC363" i="18"/>
  <c r="AD363" i="18"/>
  <c r="AE363" i="18"/>
  <c r="AF363" i="18"/>
  <c r="AG363" i="18"/>
  <c r="AH363" i="18"/>
  <c r="AI363" i="18"/>
  <c r="AJ363" i="18"/>
  <c r="AN363" i="18"/>
  <c r="AR363" i="18" l="1"/>
  <c r="I1" i="13" l="1"/>
  <c r="AM1" i="18"/>
  <c r="Y435" i="18"/>
  <c r="Y434" i="18"/>
  <c r="Y437" i="18"/>
  <c r="Y185" i="18"/>
  <c r="AM263" i="18" l="1"/>
  <c r="AL263" i="18"/>
  <c r="Z168" i="18"/>
  <c r="AA168" i="18"/>
  <c r="Z171" i="18"/>
  <c r="AA171" i="18"/>
  <c r="Z172" i="18"/>
  <c r="AA172" i="18"/>
  <c r="Y141" i="18"/>
  <c r="Z141" i="18"/>
  <c r="Y144" i="18"/>
  <c r="Y169" i="18"/>
  <c r="Z169" i="18"/>
  <c r="Y166" i="18"/>
  <c r="Z166" i="18"/>
  <c r="Y168" i="18"/>
  <c r="Z132" i="18"/>
  <c r="Y132" i="18"/>
  <c r="Z130" i="18"/>
  <c r="Y130" i="18"/>
  <c r="Z123" i="18"/>
  <c r="Y123" i="18"/>
  <c r="Z125" i="18"/>
  <c r="Y125" i="18"/>
  <c r="Z129" i="18"/>
  <c r="Y129" i="18"/>
  <c r="Z128" i="18"/>
  <c r="Y128" i="18"/>
  <c r="Z127" i="18"/>
  <c r="Y127" i="18"/>
  <c r="Z126" i="18"/>
  <c r="Y126" i="18"/>
  <c r="Z124" i="18"/>
  <c r="Y124" i="18"/>
  <c r="Z122" i="18"/>
  <c r="Y122" i="18"/>
  <c r="Z121" i="18"/>
  <c r="Y121" i="18"/>
  <c r="Z106" i="18"/>
  <c r="Y106" i="18"/>
  <c r="Z119" i="18"/>
  <c r="Y119" i="18"/>
  <c r="Z117" i="18"/>
  <c r="Y117" i="18"/>
  <c r="Y118" i="18"/>
  <c r="Z114" i="18"/>
  <c r="Y114" i="18"/>
  <c r="Z112" i="18"/>
  <c r="Y112" i="18"/>
  <c r="Z182" i="18"/>
  <c r="Y182" i="18"/>
  <c r="Z175" i="18"/>
  <c r="Y175" i="18"/>
  <c r="Z174" i="18"/>
  <c r="Y174" i="18"/>
  <c r="Z173" i="18"/>
  <c r="Y173" i="18"/>
  <c r="Y172" i="18"/>
  <c r="Y171" i="18"/>
  <c r="Z140" i="18"/>
  <c r="Y140" i="18"/>
  <c r="Z131" i="18"/>
  <c r="Y131" i="18"/>
  <c r="Z134" i="18"/>
  <c r="Y134" i="18"/>
  <c r="Z139" i="18"/>
  <c r="Y139" i="18"/>
  <c r="Z137" i="18"/>
  <c r="Y137" i="18"/>
  <c r="Z136" i="18"/>
  <c r="Y136" i="18"/>
  <c r="Z135" i="18"/>
  <c r="Y135" i="18"/>
  <c r="Y181" i="18"/>
  <c r="Z181" i="18"/>
  <c r="AN137" i="18" l="1"/>
  <c r="AN133" i="18"/>
  <c r="AN70" i="18"/>
  <c r="AN136" i="18"/>
  <c r="AN135" i="18"/>
  <c r="Z38" i="18" l="1"/>
  <c r="AA38" i="18"/>
  <c r="AB38" i="18"/>
  <c r="Z37" i="18"/>
  <c r="Z41" i="18"/>
  <c r="Z39" i="18"/>
  <c r="Z42" i="18"/>
  <c r="Z44" i="18"/>
  <c r="Z45" i="18"/>
  <c r="Z46" i="18"/>
  <c r="AA46" i="18"/>
  <c r="AB46" i="18"/>
  <c r="Z47" i="18"/>
  <c r="Z48" i="18"/>
  <c r="AA48" i="18"/>
  <c r="AB48" i="18"/>
  <c r="Z50" i="18"/>
  <c r="AA50" i="18"/>
  <c r="AB50" i="18"/>
  <c r="Z52" i="18"/>
  <c r="AA52" i="18"/>
  <c r="AB52" i="18"/>
  <c r="Z53" i="18"/>
  <c r="AA53" i="18"/>
  <c r="AB53" i="18"/>
  <c r="Z54" i="18"/>
  <c r="AA54" i="18"/>
  <c r="AB54" i="18"/>
  <c r="Z55" i="18"/>
  <c r="AA55" i="18"/>
  <c r="AB55" i="18"/>
  <c r="Y38" i="18"/>
  <c r="Y37" i="18"/>
  <c r="Y41" i="18"/>
  <c r="Y39" i="18"/>
  <c r="Y42" i="18"/>
  <c r="Y44" i="18"/>
  <c r="Y45" i="18"/>
  <c r="Y46" i="18"/>
  <c r="Y47" i="18"/>
  <c r="Y48" i="18"/>
  <c r="Y50" i="18"/>
  <c r="Y52" i="18"/>
  <c r="Y53" i="18"/>
  <c r="Y54" i="18"/>
  <c r="Y55" i="18"/>
  <c r="Y77" i="18" l="1"/>
  <c r="AC87" i="18"/>
  <c r="AD87" i="18"/>
  <c r="AE87" i="18"/>
  <c r="AF87" i="18"/>
  <c r="AG87" i="18"/>
  <c r="AC79" i="18"/>
  <c r="AD79" i="18"/>
  <c r="AE79" i="18"/>
  <c r="AF79" i="18"/>
  <c r="AG79" i="18"/>
  <c r="AC90" i="18"/>
  <c r="AD90" i="18"/>
  <c r="AE90" i="18"/>
  <c r="AF90" i="18"/>
  <c r="AG90" i="18"/>
  <c r="AB72" i="18"/>
  <c r="AC72" i="18"/>
  <c r="AD72" i="18"/>
  <c r="AE72" i="18"/>
  <c r="AF72" i="18"/>
  <c r="AG72" i="18"/>
  <c r="AC91" i="18"/>
  <c r="AD91" i="18"/>
  <c r="AE91" i="18"/>
  <c r="AF91" i="18"/>
  <c r="AG91" i="18"/>
  <c r="AB69" i="18"/>
  <c r="AC69" i="18"/>
  <c r="AD69" i="18"/>
  <c r="AE69" i="18"/>
  <c r="AF69" i="18"/>
  <c r="AG69" i="18"/>
  <c r="AC102" i="18"/>
  <c r="AD102" i="18"/>
  <c r="AE102" i="18"/>
  <c r="AF102" i="18"/>
  <c r="AG102" i="18"/>
  <c r="AC95" i="18"/>
  <c r="AD95" i="18"/>
  <c r="AE95" i="18"/>
  <c r="AF95" i="18"/>
  <c r="AG95" i="18"/>
  <c r="AC82" i="18"/>
  <c r="AD82" i="18"/>
  <c r="AE82" i="18"/>
  <c r="AF82" i="18"/>
  <c r="AG82" i="18"/>
  <c r="AC83" i="18"/>
  <c r="AD83" i="18"/>
  <c r="AE83" i="18"/>
  <c r="AF83" i="18"/>
  <c r="AG83" i="18"/>
  <c r="AC100" i="18"/>
  <c r="AD100" i="18"/>
  <c r="AE100" i="18"/>
  <c r="AF100" i="18"/>
  <c r="AG100" i="18"/>
  <c r="Y56" i="18"/>
  <c r="Z77" i="18"/>
  <c r="AA77" i="18"/>
  <c r="AB77" i="18"/>
  <c r="AC77" i="18"/>
  <c r="AD77" i="18"/>
  <c r="AE77" i="18"/>
  <c r="AF77" i="18"/>
  <c r="AG77" i="18"/>
  <c r="AB73" i="18"/>
  <c r="AC73" i="18"/>
  <c r="AD73" i="18"/>
  <c r="AE73" i="18"/>
  <c r="AF73" i="18"/>
  <c r="AG73" i="18"/>
  <c r="Y76" i="18"/>
  <c r="Z76" i="18"/>
  <c r="AA76" i="18"/>
  <c r="AB76" i="18"/>
  <c r="AC76" i="18"/>
  <c r="AD76" i="18"/>
  <c r="AE76" i="18"/>
  <c r="AF76" i="18"/>
  <c r="AG76" i="18"/>
  <c r="Z245" i="18" l="1"/>
  <c r="AA245" i="18"/>
  <c r="Y240" i="18"/>
  <c r="Z240" i="18"/>
  <c r="Y245" i="18"/>
  <c r="Y347" i="18" l="1"/>
  <c r="Y348" i="18"/>
  <c r="Y349" i="18"/>
  <c r="AN132" i="18"/>
  <c r="Z3" i="18" l="1"/>
  <c r="AC3" i="18"/>
  <c r="AD3" i="18"/>
  <c r="AE3" i="18"/>
  <c r="AF3" i="18"/>
  <c r="AG3" i="18"/>
  <c r="AH3" i="18"/>
  <c r="AI3" i="18"/>
  <c r="AJ3" i="18"/>
  <c r="Z4" i="18"/>
  <c r="AA4" i="18"/>
  <c r="AB4" i="18"/>
  <c r="AC4" i="18"/>
  <c r="AD4" i="18"/>
  <c r="AE4" i="18"/>
  <c r="AF4" i="18"/>
  <c r="AG4" i="18"/>
  <c r="AH4" i="18"/>
  <c r="AI4" i="18"/>
  <c r="AJ4" i="18"/>
  <c r="Z5" i="18"/>
  <c r="AA5" i="18"/>
  <c r="AB5" i="18"/>
  <c r="AC5" i="18"/>
  <c r="AD5" i="18"/>
  <c r="AE5" i="18"/>
  <c r="AF5" i="18"/>
  <c r="AG5" i="18"/>
  <c r="AH5" i="18"/>
  <c r="AI5" i="18"/>
  <c r="AJ5" i="18"/>
  <c r="Z6" i="18"/>
  <c r="AA6" i="18"/>
  <c r="AB6" i="18"/>
  <c r="AC6" i="18"/>
  <c r="AD6" i="18"/>
  <c r="AE6" i="18"/>
  <c r="AF6" i="18"/>
  <c r="AG6" i="18"/>
  <c r="AH6" i="18"/>
  <c r="AI6" i="18"/>
  <c r="AJ6" i="18"/>
  <c r="Z7" i="18"/>
  <c r="AD7" i="18"/>
  <c r="AE7" i="18"/>
  <c r="AF7" i="18"/>
  <c r="AG7" i="18"/>
  <c r="AH7" i="18"/>
  <c r="AI7" i="18"/>
  <c r="AJ7" i="18"/>
  <c r="Z19" i="18"/>
  <c r="AD19" i="18"/>
  <c r="AE19" i="18"/>
  <c r="AF19" i="18"/>
  <c r="AG19" i="18"/>
  <c r="AH19" i="18"/>
  <c r="AI19" i="18"/>
  <c r="AJ19" i="18"/>
  <c r="Z20" i="18"/>
  <c r="AD20" i="18"/>
  <c r="AE20" i="18"/>
  <c r="AF20" i="18"/>
  <c r="AG20" i="18"/>
  <c r="AH20" i="18"/>
  <c r="AI20" i="18"/>
  <c r="AJ20" i="18"/>
  <c r="AD24" i="18"/>
  <c r="AE24" i="18"/>
  <c r="AF24" i="18"/>
  <c r="AG24" i="18"/>
  <c r="AH24" i="18"/>
  <c r="AI24" i="18"/>
  <c r="AJ24" i="18"/>
  <c r="AD34" i="18"/>
  <c r="AE34" i="18"/>
  <c r="AF34" i="18"/>
  <c r="AG34" i="18"/>
  <c r="AH34" i="18"/>
  <c r="AI34" i="18"/>
  <c r="AJ34" i="18"/>
  <c r="AD36" i="18"/>
  <c r="AE36" i="18"/>
  <c r="AF36" i="18"/>
  <c r="AG36" i="18"/>
  <c r="AH36" i="18"/>
  <c r="AI36" i="18"/>
  <c r="AJ36" i="18"/>
  <c r="AD23" i="18"/>
  <c r="AE23" i="18"/>
  <c r="AF23" i="18"/>
  <c r="AG23" i="18"/>
  <c r="AH23" i="18"/>
  <c r="AI23" i="18"/>
  <c r="AJ23" i="18"/>
  <c r="Z25" i="18"/>
  <c r="AD25" i="18"/>
  <c r="AE25" i="18"/>
  <c r="AF25" i="18"/>
  <c r="AG25" i="18"/>
  <c r="AH25" i="18"/>
  <c r="AI25" i="18"/>
  <c r="AJ25" i="18"/>
  <c r="AD26" i="18"/>
  <c r="AE26" i="18"/>
  <c r="AF26" i="18"/>
  <c r="AG26" i="18"/>
  <c r="AH26" i="18"/>
  <c r="AI26" i="18"/>
  <c r="AJ26" i="18"/>
  <c r="AD27" i="18"/>
  <c r="AE27" i="18"/>
  <c r="AF27" i="18"/>
  <c r="AG27" i="18"/>
  <c r="AH27" i="18"/>
  <c r="AI27" i="18"/>
  <c r="AJ27" i="18"/>
  <c r="AD29" i="18"/>
  <c r="AE29" i="18"/>
  <c r="AF29" i="18"/>
  <c r="AG29" i="18"/>
  <c r="AH29" i="18"/>
  <c r="AI29" i="18"/>
  <c r="AJ29" i="18"/>
  <c r="AD30" i="18"/>
  <c r="AE30" i="18"/>
  <c r="AF30" i="18"/>
  <c r="AG30" i="18"/>
  <c r="AH30" i="18"/>
  <c r="AI30" i="18"/>
  <c r="AJ30" i="18"/>
  <c r="AD31" i="18"/>
  <c r="AE31" i="18"/>
  <c r="AF31" i="18"/>
  <c r="AG31" i="18"/>
  <c r="AH31" i="18"/>
  <c r="AI31" i="18"/>
  <c r="AJ31" i="18"/>
  <c r="AD32" i="18"/>
  <c r="AE32" i="18"/>
  <c r="AF32" i="18"/>
  <c r="AG32" i="18"/>
  <c r="AH32" i="18"/>
  <c r="AI32" i="18"/>
  <c r="AJ32" i="18"/>
  <c r="AD33" i="18"/>
  <c r="AE33" i="18"/>
  <c r="AF33" i="18"/>
  <c r="AG33" i="18"/>
  <c r="AH33" i="18"/>
  <c r="AI33" i="18"/>
  <c r="AJ33" i="18"/>
  <c r="AD35" i="18"/>
  <c r="AE35" i="18"/>
  <c r="AF35" i="18"/>
  <c r="AG35" i="18"/>
  <c r="AH35" i="18"/>
  <c r="AI35" i="18"/>
  <c r="AJ35" i="18"/>
  <c r="AD39" i="18"/>
  <c r="AE39" i="18"/>
  <c r="AF39" i="18"/>
  <c r="AG39" i="18"/>
  <c r="AH39" i="18"/>
  <c r="AI39" i="18"/>
  <c r="AJ39" i="18"/>
  <c r="Z12" i="18"/>
  <c r="AD12" i="18"/>
  <c r="AE12" i="18"/>
  <c r="AF12" i="18"/>
  <c r="AI12" i="18"/>
  <c r="AJ12" i="18"/>
  <c r="AD41" i="18"/>
  <c r="AE41" i="18"/>
  <c r="AF41" i="18"/>
  <c r="AG41" i="18"/>
  <c r="AH41" i="18"/>
  <c r="AI41" i="18"/>
  <c r="AJ41" i="18"/>
  <c r="Z10" i="18"/>
  <c r="AD10" i="18"/>
  <c r="AE10" i="18"/>
  <c r="AF10" i="18"/>
  <c r="AG10" i="18"/>
  <c r="AH10" i="18"/>
  <c r="AI10" i="18"/>
  <c r="AJ10" i="18"/>
  <c r="AC38" i="18"/>
  <c r="AD38" i="18"/>
  <c r="AE38" i="18"/>
  <c r="AF38" i="18"/>
  <c r="AG38" i="18"/>
  <c r="AH38" i="18"/>
  <c r="AI38" i="18"/>
  <c r="AJ38" i="18"/>
  <c r="AD37" i="18"/>
  <c r="AE37" i="18"/>
  <c r="AF37" i="18"/>
  <c r="AG37" i="18"/>
  <c r="AH37" i="18"/>
  <c r="AI37" i="18"/>
  <c r="AJ37" i="18"/>
  <c r="AD28" i="18"/>
  <c r="AE28" i="18"/>
  <c r="AF28" i="18"/>
  <c r="AG28" i="18"/>
  <c r="AH28" i="18"/>
  <c r="AI28" i="18"/>
  <c r="AJ28" i="18"/>
  <c r="Z13" i="18"/>
  <c r="AD13" i="18"/>
  <c r="AE13" i="18"/>
  <c r="AF13" i="18"/>
  <c r="AG13" i="18"/>
  <c r="AH13" i="18"/>
  <c r="AI13" i="18"/>
  <c r="AJ13" i="18"/>
  <c r="Z18" i="18"/>
  <c r="AD18" i="18"/>
  <c r="AE18" i="18"/>
  <c r="AF18" i="18"/>
  <c r="AG18" i="18"/>
  <c r="AH18" i="18"/>
  <c r="AI18" i="18"/>
  <c r="AJ18" i="18"/>
  <c r="Z22" i="18"/>
  <c r="AD22" i="18"/>
  <c r="AE22" i="18"/>
  <c r="AF22" i="18"/>
  <c r="AG22" i="18"/>
  <c r="AH22" i="18"/>
  <c r="AI22" i="18"/>
  <c r="AJ22" i="18"/>
  <c r="Z14" i="18"/>
  <c r="AD14" i="18"/>
  <c r="AE14" i="18"/>
  <c r="AF14" i="18"/>
  <c r="AG14" i="18"/>
  <c r="AH14" i="18"/>
  <c r="AI14" i="18"/>
  <c r="AJ14" i="18"/>
  <c r="Z15" i="18"/>
  <c r="AA15" i="18"/>
  <c r="AB15" i="18"/>
  <c r="AC15" i="18"/>
  <c r="AD15" i="18"/>
  <c r="AE15" i="18"/>
  <c r="AF15" i="18"/>
  <c r="AG15" i="18"/>
  <c r="AH15" i="18"/>
  <c r="AI15" i="18"/>
  <c r="AJ15" i="18"/>
  <c r="Z16" i="18"/>
  <c r="AA16" i="18"/>
  <c r="AB16" i="18"/>
  <c r="AC16" i="18"/>
  <c r="AD16" i="18"/>
  <c r="AE16" i="18"/>
  <c r="AF16" i="18"/>
  <c r="AG16" i="18"/>
  <c r="AH16" i="18"/>
  <c r="AI16" i="18"/>
  <c r="AJ16" i="18"/>
  <c r="Z17" i="18"/>
  <c r="AA17" i="18"/>
  <c r="AB17" i="18"/>
  <c r="AC17" i="18"/>
  <c r="AD17" i="18"/>
  <c r="AE17" i="18"/>
  <c r="AF17" i="18"/>
  <c r="AG17" i="18"/>
  <c r="AH17" i="18"/>
  <c r="AI17" i="18"/>
  <c r="AJ17" i="18"/>
  <c r="Z21" i="18"/>
  <c r="AD21" i="18"/>
  <c r="AE21" i="18"/>
  <c r="AF21" i="18"/>
  <c r="AG21" i="18"/>
  <c r="AH21" i="18"/>
  <c r="AI21" i="18"/>
  <c r="AJ21" i="18"/>
  <c r="Z11" i="18"/>
  <c r="AD11" i="18"/>
  <c r="AE11" i="18"/>
  <c r="AF11" i="18"/>
  <c r="AG11" i="18"/>
  <c r="AH11" i="18"/>
  <c r="AI11" i="18"/>
  <c r="AJ11" i="18"/>
  <c r="AC54" i="18"/>
  <c r="AD54" i="18"/>
  <c r="AE54" i="18"/>
  <c r="AF54" i="18"/>
  <c r="AG54" i="18"/>
  <c r="AH54" i="18"/>
  <c r="AI54" i="18"/>
  <c r="AJ54" i="18"/>
  <c r="AD45" i="18"/>
  <c r="AE45" i="18"/>
  <c r="AF45" i="18"/>
  <c r="AG45" i="18"/>
  <c r="AH45" i="18"/>
  <c r="AI45" i="18"/>
  <c r="AJ45" i="18"/>
  <c r="AC46" i="18"/>
  <c r="AD46" i="18"/>
  <c r="AE46" i="18"/>
  <c r="AF46" i="18"/>
  <c r="AG46" i="18"/>
  <c r="AH46" i="18"/>
  <c r="AI46" i="18"/>
  <c r="AJ46" i="18"/>
  <c r="AD44" i="18"/>
  <c r="AE44" i="18"/>
  <c r="AF44" i="18"/>
  <c r="AG44" i="18"/>
  <c r="AH44" i="18"/>
  <c r="AI44" i="18"/>
  <c r="AJ44" i="18"/>
  <c r="AD47" i="18"/>
  <c r="AE47" i="18"/>
  <c r="AF47" i="18"/>
  <c r="AG47" i="18"/>
  <c r="AH47" i="18"/>
  <c r="AI47" i="18"/>
  <c r="AJ47" i="18"/>
  <c r="AC48" i="18"/>
  <c r="AD48" i="18"/>
  <c r="AE48" i="18"/>
  <c r="AF48" i="18"/>
  <c r="AG48" i="18"/>
  <c r="AH48" i="18"/>
  <c r="AI48" i="18"/>
  <c r="AJ48" i="18"/>
  <c r="AC50" i="18"/>
  <c r="AD50" i="18"/>
  <c r="AE50" i="18"/>
  <c r="AF50" i="18"/>
  <c r="AG50" i="18"/>
  <c r="AH50" i="18"/>
  <c r="AI50" i="18"/>
  <c r="AJ50" i="18"/>
  <c r="AC55" i="18"/>
  <c r="AD55" i="18"/>
  <c r="AE55" i="18"/>
  <c r="AF55" i="18"/>
  <c r="AG55" i="18"/>
  <c r="AH55" i="18"/>
  <c r="AI55" i="18"/>
  <c r="AJ55" i="18"/>
  <c r="AC52" i="18"/>
  <c r="AD52" i="18"/>
  <c r="AE52" i="18"/>
  <c r="AF52" i="18"/>
  <c r="AG52" i="18"/>
  <c r="AH52" i="18"/>
  <c r="AI52" i="18"/>
  <c r="AJ52" i="18"/>
  <c r="AC53" i="18"/>
  <c r="AD53" i="18"/>
  <c r="AE53" i="18"/>
  <c r="AF53" i="18"/>
  <c r="AG53" i="18"/>
  <c r="AH53" i="18"/>
  <c r="AI53" i="18"/>
  <c r="AJ53" i="18"/>
  <c r="AD42" i="18"/>
  <c r="AE42" i="18"/>
  <c r="AF42" i="18"/>
  <c r="AG42" i="18"/>
  <c r="AH42" i="18"/>
  <c r="AI42" i="18"/>
  <c r="AJ42" i="18"/>
  <c r="Z61" i="18"/>
  <c r="AB61" i="18"/>
  <c r="AC61" i="18"/>
  <c r="AD61" i="18"/>
  <c r="AE61" i="18"/>
  <c r="AF61" i="18"/>
  <c r="AG61" i="18"/>
  <c r="AH61" i="18"/>
  <c r="AI61" i="18"/>
  <c r="AJ61" i="18"/>
  <c r="Z62" i="18"/>
  <c r="AA62" i="18"/>
  <c r="AB62" i="18"/>
  <c r="AC62" i="18"/>
  <c r="AD62" i="18"/>
  <c r="AE62" i="18"/>
  <c r="AF62" i="18"/>
  <c r="AG62" i="18"/>
  <c r="AH62" i="18"/>
  <c r="AI62" i="18"/>
  <c r="AJ62" i="18"/>
  <c r="Z63" i="18"/>
  <c r="AA63" i="18"/>
  <c r="AB63" i="18"/>
  <c r="AC63" i="18"/>
  <c r="AD63" i="18"/>
  <c r="AE63" i="18"/>
  <c r="AF63" i="18"/>
  <c r="AG63" i="18"/>
  <c r="AH63" i="18"/>
  <c r="AI63" i="18"/>
  <c r="AJ63" i="18"/>
  <c r="Z60" i="18"/>
  <c r="AA60" i="18"/>
  <c r="AB60" i="18"/>
  <c r="AC60" i="18"/>
  <c r="AD60" i="18"/>
  <c r="AE60" i="18"/>
  <c r="AF60" i="18"/>
  <c r="AG60" i="18"/>
  <c r="AH60" i="18"/>
  <c r="AI60" i="18"/>
  <c r="AJ60" i="18"/>
  <c r="Z59" i="18"/>
  <c r="AA59" i="18"/>
  <c r="AB59" i="18"/>
  <c r="AC59" i="18"/>
  <c r="AD59" i="18"/>
  <c r="AE59" i="18"/>
  <c r="AF59" i="18"/>
  <c r="AG59" i="18"/>
  <c r="AH59" i="18"/>
  <c r="AI59" i="18"/>
  <c r="AJ59" i="18"/>
  <c r="Z57" i="18"/>
  <c r="AA57" i="18"/>
  <c r="AB57" i="18"/>
  <c r="AC57" i="18"/>
  <c r="AD57" i="18"/>
  <c r="AE57" i="18"/>
  <c r="AF57" i="18"/>
  <c r="AG57" i="18"/>
  <c r="AH57" i="18"/>
  <c r="AI57" i="18"/>
  <c r="AJ57" i="18"/>
  <c r="Z58" i="18"/>
  <c r="AA58" i="18"/>
  <c r="AB58" i="18"/>
  <c r="AC58" i="18"/>
  <c r="AD58" i="18"/>
  <c r="AE58" i="18"/>
  <c r="AF58" i="18"/>
  <c r="AG58" i="18"/>
  <c r="AH58" i="18"/>
  <c r="AI58" i="18"/>
  <c r="AJ58" i="18"/>
  <c r="Z64" i="18"/>
  <c r="AA64" i="18"/>
  <c r="AB64" i="18"/>
  <c r="AC64" i="18"/>
  <c r="AD64" i="18"/>
  <c r="AE64" i="18"/>
  <c r="AF64" i="18"/>
  <c r="AG64" i="18"/>
  <c r="AH64" i="18"/>
  <c r="AI64" i="18"/>
  <c r="AJ64" i="18"/>
  <c r="Z65" i="18"/>
  <c r="AA65" i="18"/>
  <c r="AB65" i="18"/>
  <c r="AC65" i="18"/>
  <c r="AD65" i="18"/>
  <c r="AE65" i="18"/>
  <c r="AF65" i="18"/>
  <c r="AG65" i="18"/>
  <c r="AH65" i="18"/>
  <c r="AI65" i="18"/>
  <c r="AJ65" i="18"/>
  <c r="Z66" i="18"/>
  <c r="AA66" i="18"/>
  <c r="AB66" i="18"/>
  <c r="AC66" i="18"/>
  <c r="AD66" i="18"/>
  <c r="AE66" i="18"/>
  <c r="AF66" i="18"/>
  <c r="AG66" i="18"/>
  <c r="AH66" i="18"/>
  <c r="AI66" i="18"/>
  <c r="AJ66" i="18"/>
  <c r="Z67" i="18"/>
  <c r="AA67" i="18"/>
  <c r="AB67" i="18"/>
  <c r="AC67" i="18"/>
  <c r="AD67" i="18"/>
  <c r="AE67" i="18"/>
  <c r="AF67" i="18"/>
  <c r="AG67" i="18"/>
  <c r="AH67" i="18"/>
  <c r="AI67" i="18"/>
  <c r="AJ67" i="18"/>
  <c r="Z74" i="18"/>
  <c r="AA74" i="18"/>
  <c r="AB74" i="18"/>
  <c r="AC74" i="18"/>
  <c r="AD74" i="18"/>
  <c r="AE74" i="18"/>
  <c r="AF74" i="18"/>
  <c r="AG74" i="18"/>
  <c r="AH74" i="18"/>
  <c r="AI74" i="18"/>
  <c r="AJ74" i="18"/>
  <c r="AH76" i="18"/>
  <c r="AI76" i="18"/>
  <c r="AJ76" i="18"/>
  <c r="AH69" i="18"/>
  <c r="AI69" i="18"/>
  <c r="AJ69" i="18"/>
  <c r="AH72" i="18"/>
  <c r="AI72" i="18"/>
  <c r="AJ72" i="18"/>
  <c r="AH73" i="18"/>
  <c r="AI73" i="18"/>
  <c r="AJ73" i="18"/>
  <c r="Z71" i="18"/>
  <c r="AA71" i="18"/>
  <c r="AB71" i="18"/>
  <c r="AC71" i="18"/>
  <c r="AD71" i="18"/>
  <c r="AE71" i="18"/>
  <c r="AF71" i="18"/>
  <c r="AG71" i="18"/>
  <c r="AH71" i="18"/>
  <c r="AI71" i="18"/>
  <c r="AJ71" i="18"/>
  <c r="AH77" i="18"/>
  <c r="AI77" i="18"/>
  <c r="AJ77" i="18"/>
  <c r="AH83" i="18"/>
  <c r="AI83" i="18"/>
  <c r="AJ83" i="18"/>
  <c r="Z99" i="18"/>
  <c r="AA99" i="18"/>
  <c r="AB99" i="18"/>
  <c r="AC99" i="18"/>
  <c r="AD99" i="18"/>
  <c r="AE99" i="18"/>
  <c r="AF99" i="18"/>
  <c r="AG99" i="18"/>
  <c r="AH99" i="18"/>
  <c r="AI99" i="18"/>
  <c r="AJ99" i="18"/>
  <c r="Z94" i="18"/>
  <c r="AA94" i="18"/>
  <c r="AB94" i="18"/>
  <c r="AC94" i="18"/>
  <c r="AD94" i="18"/>
  <c r="AE94" i="18"/>
  <c r="AF94" i="18"/>
  <c r="AG94" i="18"/>
  <c r="AH94" i="18"/>
  <c r="AI94" i="18"/>
  <c r="AJ94" i="18"/>
  <c r="Z93" i="18"/>
  <c r="AA93" i="18"/>
  <c r="AB93" i="18"/>
  <c r="AC93" i="18"/>
  <c r="AD93" i="18"/>
  <c r="AE93" i="18"/>
  <c r="AF93" i="18"/>
  <c r="AG93" i="18"/>
  <c r="AH93" i="18"/>
  <c r="AI93" i="18"/>
  <c r="AJ93" i="18"/>
  <c r="AH90" i="18"/>
  <c r="AI90" i="18"/>
  <c r="AJ90" i="18"/>
  <c r="Z84" i="18"/>
  <c r="AA84" i="18"/>
  <c r="AB84" i="18"/>
  <c r="AC84" i="18"/>
  <c r="AD84" i="18"/>
  <c r="AE84" i="18"/>
  <c r="AF84" i="18"/>
  <c r="AG84" i="18"/>
  <c r="AH84" i="18"/>
  <c r="AI84" i="18"/>
  <c r="AJ84" i="18"/>
  <c r="Z101" i="18"/>
  <c r="AA101" i="18"/>
  <c r="AB101" i="18"/>
  <c r="AC101" i="18"/>
  <c r="AD101" i="18"/>
  <c r="AE101" i="18"/>
  <c r="AF101" i="18"/>
  <c r="AG101" i="18"/>
  <c r="AH101" i="18"/>
  <c r="AI101" i="18"/>
  <c r="AJ101" i="18"/>
  <c r="Z88" i="18"/>
  <c r="AA88" i="18"/>
  <c r="AB88" i="18"/>
  <c r="AC88" i="18"/>
  <c r="AD88" i="18"/>
  <c r="AE88" i="18"/>
  <c r="AF88" i="18"/>
  <c r="AG88" i="18"/>
  <c r="AH88" i="18"/>
  <c r="AI88" i="18"/>
  <c r="AJ88" i="18"/>
  <c r="AH87" i="18"/>
  <c r="AI87" i="18"/>
  <c r="AJ87" i="18"/>
  <c r="AH79" i="18"/>
  <c r="AI79" i="18"/>
  <c r="AJ79" i="18"/>
  <c r="Z97" i="18"/>
  <c r="AA97" i="18"/>
  <c r="AB97" i="18"/>
  <c r="AC97" i="18"/>
  <c r="AD97" i="18"/>
  <c r="AE97" i="18"/>
  <c r="AF97" i="18"/>
  <c r="AG97" i="18"/>
  <c r="AH97" i="18"/>
  <c r="AI97" i="18"/>
  <c r="AJ97" i="18"/>
  <c r="AH91" i="18"/>
  <c r="AI91" i="18"/>
  <c r="AJ91" i="18"/>
  <c r="Z89" i="18"/>
  <c r="AA89" i="18"/>
  <c r="AB89" i="18"/>
  <c r="AC89" i="18"/>
  <c r="AD89" i="18"/>
  <c r="AE89" i="18"/>
  <c r="AF89" i="18"/>
  <c r="AG89" i="18"/>
  <c r="AH89" i="18"/>
  <c r="AI89" i="18"/>
  <c r="AJ89" i="18"/>
  <c r="AH82" i="18"/>
  <c r="AI82" i="18"/>
  <c r="AJ82" i="18"/>
  <c r="Z80" i="18"/>
  <c r="AA80" i="18"/>
  <c r="AB80" i="18"/>
  <c r="AC80" i="18"/>
  <c r="AD80" i="18"/>
  <c r="AE80" i="18"/>
  <c r="AF80" i="18"/>
  <c r="AG80" i="18"/>
  <c r="AH80" i="18"/>
  <c r="AI80" i="18"/>
  <c r="AJ80" i="18"/>
  <c r="Z86" i="18"/>
  <c r="AA86" i="18"/>
  <c r="AB86" i="18"/>
  <c r="AC86" i="18"/>
  <c r="AD86" i="18"/>
  <c r="AE86" i="18"/>
  <c r="AF86" i="18"/>
  <c r="AG86" i="18"/>
  <c r="AH86" i="18"/>
  <c r="AI86" i="18"/>
  <c r="AJ86" i="18"/>
  <c r="AH95" i="18"/>
  <c r="AI95" i="18"/>
  <c r="AJ95" i="18"/>
  <c r="Z98" i="18"/>
  <c r="AA98" i="18"/>
  <c r="AB98" i="18"/>
  <c r="AC98" i="18"/>
  <c r="AD98" i="18"/>
  <c r="AE98" i="18"/>
  <c r="AF98" i="18"/>
  <c r="AG98" i="18"/>
  <c r="AH98" i="18"/>
  <c r="AI98" i="18"/>
  <c r="AJ98" i="18"/>
  <c r="AH102" i="18"/>
  <c r="AI102" i="18"/>
  <c r="AJ102" i="18"/>
  <c r="Z81" i="18"/>
  <c r="AA81" i="18"/>
  <c r="AB81" i="18"/>
  <c r="AC81" i="18"/>
  <c r="AD81" i="18"/>
  <c r="AE81" i="18"/>
  <c r="AF81" i="18"/>
  <c r="AG81" i="18"/>
  <c r="AH81" i="18"/>
  <c r="AI81" i="18"/>
  <c r="AJ81" i="18"/>
  <c r="Z85" i="18"/>
  <c r="AA85" i="18"/>
  <c r="AB85" i="18"/>
  <c r="AC85" i="18"/>
  <c r="AD85" i="18"/>
  <c r="AE85" i="18"/>
  <c r="AF85" i="18"/>
  <c r="AG85" i="18"/>
  <c r="AH85" i="18"/>
  <c r="AI85" i="18"/>
  <c r="AJ85" i="18"/>
  <c r="AH100" i="18"/>
  <c r="AI100" i="18"/>
  <c r="AJ100" i="18"/>
  <c r="Z96" i="18"/>
  <c r="AA96" i="18"/>
  <c r="AB96" i="18"/>
  <c r="AC96" i="18"/>
  <c r="AD96" i="18"/>
  <c r="AE96" i="18"/>
  <c r="AF96" i="18"/>
  <c r="AG96" i="18"/>
  <c r="AH96" i="18"/>
  <c r="AI96" i="18"/>
  <c r="AJ96" i="18"/>
  <c r="AC103" i="18"/>
  <c r="AD103" i="18"/>
  <c r="AE103" i="18"/>
  <c r="AF103" i="18"/>
  <c r="AG103" i="18"/>
  <c r="AH103" i="18"/>
  <c r="AI103" i="18"/>
  <c r="AJ103" i="18"/>
  <c r="AC104" i="18"/>
  <c r="AD104" i="18"/>
  <c r="AE104" i="18"/>
  <c r="AF104" i="18"/>
  <c r="AG104" i="18"/>
  <c r="AH104" i="18"/>
  <c r="AI104" i="18"/>
  <c r="AJ104" i="18"/>
  <c r="AB105" i="18"/>
  <c r="AC105" i="18"/>
  <c r="AD105" i="18"/>
  <c r="AE105" i="18"/>
  <c r="AF105" i="18"/>
  <c r="AG105" i="18"/>
  <c r="AH105" i="18"/>
  <c r="AI105" i="18"/>
  <c r="AJ105" i="18"/>
  <c r="AC115" i="18"/>
  <c r="AD115" i="18"/>
  <c r="AE115" i="18"/>
  <c r="AF115" i="18"/>
  <c r="AG115" i="18"/>
  <c r="AH115" i="18"/>
  <c r="AI115" i="18"/>
  <c r="AJ115" i="18"/>
  <c r="AA117" i="18"/>
  <c r="AC117" i="18"/>
  <c r="AD117" i="18"/>
  <c r="AE117" i="18"/>
  <c r="AF117" i="18"/>
  <c r="AG117" i="18"/>
  <c r="AH117" i="18"/>
  <c r="AI117" i="18"/>
  <c r="AJ117" i="18"/>
  <c r="AA119" i="18"/>
  <c r="AC119" i="18"/>
  <c r="AD119" i="18"/>
  <c r="AE119" i="18"/>
  <c r="AF119" i="18"/>
  <c r="AG119" i="18"/>
  <c r="AH119" i="18"/>
  <c r="AI119" i="18"/>
  <c r="AJ119" i="18"/>
  <c r="AD118" i="18"/>
  <c r="AE118" i="18"/>
  <c r="AF118" i="18"/>
  <c r="AG118" i="18"/>
  <c r="AH118" i="18"/>
  <c r="AI118" i="18"/>
  <c r="AJ118" i="18"/>
  <c r="Z108" i="18"/>
  <c r="AB108" i="18"/>
  <c r="AC108" i="18"/>
  <c r="AD108" i="18"/>
  <c r="AE108" i="18"/>
  <c r="AF108" i="18"/>
  <c r="AG108" i="18"/>
  <c r="AH108" i="18"/>
  <c r="AI108" i="18"/>
  <c r="AJ108" i="18"/>
  <c r="AB107" i="18"/>
  <c r="AC107" i="18"/>
  <c r="AD107" i="18"/>
  <c r="AE107" i="18"/>
  <c r="AF107" i="18"/>
  <c r="AG107" i="18"/>
  <c r="AH107" i="18"/>
  <c r="AI107" i="18"/>
  <c r="AJ107" i="18"/>
  <c r="AC112" i="18"/>
  <c r="AD112" i="18"/>
  <c r="AE112" i="18"/>
  <c r="AF112" i="18"/>
  <c r="AG112" i="18"/>
  <c r="AH112" i="18"/>
  <c r="AI112" i="18"/>
  <c r="AJ112" i="18"/>
  <c r="Z111" i="18"/>
  <c r="AA111" i="18"/>
  <c r="AC111" i="18"/>
  <c r="AD111" i="18"/>
  <c r="AE111" i="18"/>
  <c r="AF111" i="18"/>
  <c r="AG111" i="18"/>
  <c r="AH111" i="18"/>
  <c r="AI111" i="18"/>
  <c r="AJ111" i="18"/>
  <c r="AA114" i="18"/>
  <c r="AC114" i="18"/>
  <c r="AD114" i="18"/>
  <c r="AE114" i="18"/>
  <c r="AF114" i="18"/>
  <c r="AG114" i="18"/>
  <c r="AH114" i="18"/>
  <c r="AI114" i="18"/>
  <c r="AJ114" i="18"/>
  <c r="AA106" i="18"/>
  <c r="AB106" i="18"/>
  <c r="AC106" i="18"/>
  <c r="AD106" i="18"/>
  <c r="AE106" i="18"/>
  <c r="AF106" i="18"/>
  <c r="AG106" i="18"/>
  <c r="AH106" i="18"/>
  <c r="AI106" i="18"/>
  <c r="AJ106" i="18"/>
  <c r="AA121" i="18"/>
  <c r="AB121" i="18"/>
  <c r="AC121" i="18"/>
  <c r="AD121" i="18"/>
  <c r="AE121" i="18"/>
  <c r="AF121" i="18"/>
  <c r="AG121" i="18"/>
  <c r="AH121" i="18"/>
  <c r="AI121" i="18"/>
  <c r="AJ121" i="18"/>
  <c r="AA122" i="18"/>
  <c r="AB122" i="18"/>
  <c r="AC122" i="18"/>
  <c r="AD122" i="18"/>
  <c r="AE122" i="18"/>
  <c r="AF122" i="18"/>
  <c r="AG122" i="18"/>
  <c r="AH122" i="18"/>
  <c r="AI122" i="18"/>
  <c r="AJ122" i="18"/>
  <c r="AA127" i="18"/>
  <c r="AB127" i="18"/>
  <c r="AC127" i="18"/>
  <c r="AD127" i="18"/>
  <c r="AE127" i="18"/>
  <c r="AF127" i="18"/>
  <c r="AG127" i="18"/>
  <c r="AH127" i="18"/>
  <c r="AI127" i="18"/>
  <c r="AJ127" i="18"/>
  <c r="AA129" i="18"/>
  <c r="AB129" i="18"/>
  <c r="AC129" i="18"/>
  <c r="AD129" i="18"/>
  <c r="AE129" i="18"/>
  <c r="AF129" i="18"/>
  <c r="AG129" i="18"/>
  <c r="AH129" i="18"/>
  <c r="AI129" i="18"/>
  <c r="AJ129" i="18"/>
  <c r="AA126" i="18"/>
  <c r="AB126" i="18"/>
  <c r="AC126" i="18"/>
  <c r="AD126" i="18"/>
  <c r="AE126" i="18"/>
  <c r="AF126" i="18"/>
  <c r="AG126" i="18"/>
  <c r="AH126" i="18"/>
  <c r="AI126" i="18"/>
  <c r="AJ126" i="18"/>
  <c r="AA124" i="18"/>
  <c r="AB124" i="18"/>
  <c r="AC124" i="18"/>
  <c r="AD124" i="18"/>
  <c r="AE124" i="18"/>
  <c r="AF124" i="18"/>
  <c r="AG124" i="18"/>
  <c r="AH124" i="18"/>
  <c r="AI124" i="18"/>
  <c r="AJ124" i="18"/>
  <c r="AA128" i="18"/>
  <c r="AB128" i="18"/>
  <c r="AC128" i="18"/>
  <c r="AD128" i="18"/>
  <c r="AE128" i="18"/>
  <c r="AF128" i="18"/>
  <c r="AG128" i="18"/>
  <c r="AH128" i="18"/>
  <c r="AI128" i="18"/>
  <c r="AJ128" i="18"/>
  <c r="AA125" i="18"/>
  <c r="AB125" i="18"/>
  <c r="AC125" i="18"/>
  <c r="AD125" i="18"/>
  <c r="AE125" i="18"/>
  <c r="AF125" i="18"/>
  <c r="AG125" i="18"/>
  <c r="AH125" i="18"/>
  <c r="AI125" i="18"/>
  <c r="AJ125" i="18"/>
  <c r="AA123" i="18"/>
  <c r="AB123" i="18"/>
  <c r="AC123" i="18"/>
  <c r="AD123" i="18"/>
  <c r="AE123" i="18"/>
  <c r="AF123" i="18"/>
  <c r="AG123" i="18"/>
  <c r="AH123" i="18"/>
  <c r="AI123" i="18"/>
  <c r="AJ123" i="18"/>
  <c r="AA130" i="18"/>
  <c r="AB130" i="18"/>
  <c r="AC130" i="18"/>
  <c r="AD130" i="18"/>
  <c r="AE130" i="18"/>
  <c r="AF130" i="18"/>
  <c r="AG130" i="18"/>
  <c r="AH130" i="18"/>
  <c r="AI130" i="18"/>
  <c r="AJ130" i="18"/>
  <c r="AA132" i="18"/>
  <c r="AB132" i="18"/>
  <c r="AC132" i="18"/>
  <c r="AD132" i="18"/>
  <c r="AE132" i="18"/>
  <c r="AF132" i="18"/>
  <c r="AG132" i="18"/>
  <c r="AH132" i="18"/>
  <c r="AI132" i="18"/>
  <c r="AJ132" i="18"/>
  <c r="Z133" i="18"/>
  <c r="AA133" i="18"/>
  <c r="AB133" i="18"/>
  <c r="AC133" i="18"/>
  <c r="AD133" i="18"/>
  <c r="AE133" i="18"/>
  <c r="AF133" i="18"/>
  <c r="AG133" i="18"/>
  <c r="AH133" i="18"/>
  <c r="AI133" i="18"/>
  <c r="AJ133" i="18"/>
  <c r="AA136" i="18"/>
  <c r="AB136" i="18"/>
  <c r="AC136" i="18"/>
  <c r="AD136" i="18"/>
  <c r="AE136" i="18"/>
  <c r="AF136" i="18"/>
  <c r="AG136" i="18"/>
  <c r="AH136" i="18"/>
  <c r="AI136" i="18"/>
  <c r="AJ136" i="18"/>
  <c r="AA137" i="18"/>
  <c r="AB137" i="18"/>
  <c r="AC137" i="18"/>
  <c r="AD137" i="18"/>
  <c r="AE137" i="18"/>
  <c r="AF137" i="18"/>
  <c r="AG137" i="18"/>
  <c r="AH137" i="18"/>
  <c r="AI137" i="18"/>
  <c r="AJ137" i="18"/>
  <c r="AA135" i="18"/>
  <c r="AB135" i="18"/>
  <c r="AC135" i="18"/>
  <c r="AD135" i="18"/>
  <c r="AE135" i="18"/>
  <c r="AF135" i="18"/>
  <c r="AG135" i="18"/>
  <c r="AH135" i="18"/>
  <c r="AI135" i="18"/>
  <c r="AJ135" i="18"/>
  <c r="AB70" i="18"/>
  <c r="AC70" i="18"/>
  <c r="AD70" i="18"/>
  <c r="AE70" i="18"/>
  <c r="AF70" i="18"/>
  <c r="AG70" i="18"/>
  <c r="AI70" i="18"/>
  <c r="AJ70" i="18"/>
  <c r="AA139" i="18"/>
  <c r="AB139" i="18"/>
  <c r="AC139" i="18"/>
  <c r="AD139" i="18"/>
  <c r="AE139" i="18"/>
  <c r="AF139" i="18"/>
  <c r="AG139" i="18"/>
  <c r="AH139" i="18"/>
  <c r="AI139" i="18"/>
  <c r="AJ139" i="18"/>
  <c r="AA134" i="18"/>
  <c r="AB134" i="18"/>
  <c r="AC134" i="18"/>
  <c r="AD134" i="18"/>
  <c r="AE134" i="18"/>
  <c r="AF134" i="18"/>
  <c r="AG134" i="18"/>
  <c r="AH134" i="18"/>
  <c r="AI134" i="18"/>
  <c r="AJ134" i="18"/>
  <c r="AA131" i="18"/>
  <c r="AB131" i="18"/>
  <c r="AC131" i="18"/>
  <c r="AD131" i="18"/>
  <c r="AE131" i="18"/>
  <c r="AF131" i="18"/>
  <c r="AG131" i="18"/>
  <c r="AH131" i="18"/>
  <c r="AI131" i="18"/>
  <c r="AJ131" i="18"/>
  <c r="AA140" i="18"/>
  <c r="AB140" i="18"/>
  <c r="AC140" i="18"/>
  <c r="AD140" i="18"/>
  <c r="AE140" i="18"/>
  <c r="AF140" i="18"/>
  <c r="AG140" i="18"/>
  <c r="AH140" i="18"/>
  <c r="AI140" i="18"/>
  <c r="AJ140" i="18"/>
  <c r="AA141" i="18"/>
  <c r="AB141" i="18"/>
  <c r="AC141" i="18"/>
  <c r="AD141" i="18"/>
  <c r="AE141" i="18"/>
  <c r="AF141" i="18"/>
  <c r="AG141" i="18"/>
  <c r="AH141" i="18"/>
  <c r="AI141" i="18"/>
  <c r="AJ141" i="18"/>
  <c r="AC144" i="18"/>
  <c r="AD144" i="18"/>
  <c r="AE144" i="18"/>
  <c r="AF144" i="18"/>
  <c r="AG144" i="18"/>
  <c r="AH144" i="18"/>
  <c r="AI144" i="18"/>
  <c r="AJ144" i="18"/>
  <c r="AC145" i="18"/>
  <c r="AD145" i="18"/>
  <c r="AE145" i="18"/>
  <c r="AF145" i="18"/>
  <c r="AG145" i="18"/>
  <c r="AH145" i="18"/>
  <c r="AI145" i="18"/>
  <c r="AJ145" i="18"/>
  <c r="AC147" i="18"/>
  <c r="AD147" i="18"/>
  <c r="AE147" i="18"/>
  <c r="AF147" i="18"/>
  <c r="AG147" i="18"/>
  <c r="AH147" i="18"/>
  <c r="AI147" i="18"/>
  <c r="AJ147" i="18"/>
  <c r="AC148" i="18"/>
  <c r="AD148" i="18"/>
  <c r="AE148" i="18"/>
  <c r="AF148" i="18"/>
  <c r="AG148" i="18"/>
  <c r="AH148" i="18"/>
  <c r="AI148" i="18"/>
  <c r="AJ148" i="18"/>
  <c r="AD150" i="18"/>
  <c r="AE150" i="18"/>
  <c r="AF150" i="18"/>
  <c r="AG150" i="18"/>
  <c r="AH150" i="18"/>
  <c r="AI150" i="18"/>
  <c r="AJ150" i="18"/>
  <c r="AD149" i="18"/>
  <c r="AE149" i="18"/>
  <c r="AF149" i="18"/>
  <c r="AG149" i="18"/>
  <c r="AH149" i="18"/>
  <c r="AI149" i="18"/>
  <c r="AJ149" i="18"/>
  <c r="AC163" i="18"/>
  <c r="AD163" i="18"/>
  <c r="AE163" i="18"/>
  <c r="AF163" i="18"/>
  <c r="AG163" i="18"/>
  <c r="AH163" i="18"/>
  <c r="AI163" i="18"/>
  <c r="AJ163" i="18"/>
  <c r="AC167" i="18"/>
  <c r="AD167" i="18"/>
  <c r="AE167" i="18"/>
  <c r="AF167" i="18"/>
  <c r="AG167" i="18"/>
  <c r="AH167" i="18"/>
  <c r="AI167" i="18"/>
  <c r="AJ167" i="18"/>
  <c r="AC164" i="18"/>
  <c r="AD164" i="18"/>
  <c r="AE164" i="18"/>
  <c r="AF164" i="18"/>
  <c r="AG164" i="18"/>
  <c r="AH164" i="18"/>
  <c r="AI164" i="18"/>
  <c r="AJ164" i="18"/>
  <c r="AC165" i="18"/>
  <c r="AD165" i="18"/>
  <c r="AE165" i="18"/>
  <c r="AF165" i="18"/>
  <c r="AG165" i="18"/>
  <c r="AH165" i="18"/>
  <c r="AI165" i="18"/>
  <c r="AJ165" i="18"/>
  <c r="AA169" i="18"/>
  <c r="AB169" i="18"/>
  <c r="AC169" i="18"/>
  <c r="AD169" i="18"/>
  <c r="AE169" i="18"/>
  <c r="AF169" i="18"/>
  <c r="AG169" i="18"/>
  <c r="AH169" i="18"/>
  <c r="AI169" i="18"/>
  <c r="AJ169" i="18"/>
  <c r="AA166" i="18"/>
  <c r="AB166" i="18"/>
  <c r="AC166" i="18"/>
  <c r="AD166" i="18"/>
  <c r="AE166" i="18"/>
  <c r="AF166" i="18"/>
  <c r="AG166" i="18"/>
  <c r="AH166" i="18"/>
  <c r="AI166" i="18"/>
  <c r="AJ166" i="18"/>
  <c r="AB168" i="18"/>
  <c r="AC168" i="18"/>
  <c r="AD168" i="18"/>
  <c r="AE168" i="18"/>
  <c r="AF168" i="18"/>
  <c r="AG168" i="18"/>
  <c r="AH168" i="18"/>
  <c r="AI168" i="18"/>
  <c r="AJ168" i="18"/>
  <c r="AB172" i="18"/>
  <c r="AC172" i="18"/>
  <c r="AD172" i="18"/>
  <c r="AE172" i="18"/>
  <c r="AF172" i="18"/>
  <c r="AG172" i="18"/>
  <c r="AH172" i="18"/>
  <c r="AI172" i="18"/>
  <c r="AJ172" i="18"/>
  <c r="AA174" i="18"/>
  <c r="AB174" i="18"/>
  <c r="AC174" i="18"/>
  <c r="AD174" i="18"/>
  <c r="AE174" i="18"/>
  <c r="AF174" i="18"/>
  <c r="AG174" i="18"/>
  <c r="AH174" i="18"/>
  <c r="AI174" i="18"/>
  <c r="AJ174" i="18"/>
  <c r="AA173" i="18"/>
  <c r="AB173" i="18"/>
  <c r="AC173" i="18"/>
  <c r="AD173" i="18"/>
  <c r="AE173" i="18"/>
  <c r="AF173" i="18"/>
  <c r="AG173" i="18"/>
  <c r="AH173" i="18"/>
  <c r="AI173" i="18"/>
  <c r="AJ173" i="18"/>
  <c r="AB171" i="18"/>
  <c r="AC171" i="18"/>
  <c r="AD171" i="18"/>
  <c r="AE171" i="18"/>
  <c r="AF171" i="18"/>
  <c r="AG171" i="18"/>
  <c r="AH171" i="18"/>
  <c r="AI171" i="18"/>
  <c r="AJ171" i="18"/>
  <c r="AA175" i="18"/>
  <c r="AB175" i="18"/>
  <c r="AC175" i="18"/>
  <c r="AD175" i="18"/>
  <c r="AE175" i="18"/>
  <c r="AF175" i="18"/>
  <c r="AG175" i="18"/>
  <c r="AH175" i="18"/>
  <c r="AI175" i="18"/>
  <c r="AJ175" i="18"/>
  <c r="AA182" i="18"/>
  <c r="AB182" i="18"/>
  <c r="AC182" i="18"/>
  <c r="AD182" i="18"/>
  <c r="AE182" i="18"/>
  <c r="AF182" i="18"/>
  <c r="AG182" i="18"/>
  <c r="AH182" i="18"/>
  <c r="AI182" i="18"/>
  <c r="AJ182" i="18"/>
  <c r="AA181" i="18"/>
  <c r="AB181" i="18"/>
  <c r="AC181" i="18"/>
  <c r="AD181" i="18"/>
  <c r="AE181" i="18"/>
  <c r="AF181" i="18"/>
  <c r="AG181" i="18"/>
  <c r="AH181" i="18"/>
  <c r="AI181" i="18"/>
  <c r="AJ181" i="18"/>
  <c r="Z183" i="18"/>
  <c r="AA183" i="18"/>
  <c r="AB183" i="18"/>
  <c r="AC183" i="18"/>
  <c r="AD183" i="18"/>
  <c r="AE183" i="18"/>
  <c r="AF183" i="18"/>
  <c r="AG183" i="18"/>
  <c r="AH183" i="18"/>
  <c r="AI183" i="18"/>
  <c r="AJ183" i="18"/>
  <c r="Z184" i="18"/>
  <c r="AA184" i="18"/>
  <c r="AB184" i="18"/>
  <c r="AC184" i="18"/>
  <c r="AD184" i="18"/>
  <c r="AE184" i="18"/>
  <c r="AF184" i="18"/>
  <c r="AG184" i="18"/>
  <c r="AH184" i="18"/>
  <c r="AI184" i="18"/>
  <c r="AJ184" i="18"/>
  <c r="Z185" i="18"/>
  <c r="AA185" i="18"/>
  <c r="AB185" i="18"/>
  <c r="AC185" i="18"/>
  <c r="AD185" i="18"/>
  <c r="AE185" i="18"/>
  <c r="AF185" i="18"/>
  <c r="AG185" i="18"/>
  <c r="AH185" i="18"/>
  <c r="AI185" i="18"/>
  <c r="AJ185" i="18"/>
  <c r="Z187" i="18"/>
  <c r="AA187" i="18"/>
  <c r="AB187" i="18"/>
  <c r="AC187" i="18"/>
  <c r="AD187" i="18"/>
  <c r="AE187" i="18"/>
  <c r="AF187" i="18"/>
  <c r="AG187" i="18"/>
  <c r="AH187" i="18"/>
  <c r="AI187" i="18"/>
  <c r="AJ187" i="18"/>
  <c r="Z186" i="18"/>
  <c r="AA186" i="18"/>
  <c r="AB186" i="18"/>
  <c r="AC186" i="18"/>
  <c r="AD186" i="18"/>
  <c r="AE186" i="18"/>
  <c r="AF186" i="18"/>
  <c r="AG186" i="18"/>
  <c r="AH186" i="18"/>
  <c r="AI186" i="18"/>
  <c r="AJ186" i="18"/>
  <c r="Z189" i="18"/>
  <c r="AA189" i="18"/>
  <c r="AB189" i="18"/>
  <c r="AC189" i="18"/>
  <c r="AD189" i="18"/>
  <c r="AE189" i="18"/>
  <c r="AF189" i="18"/>
  <c r="AG189" i="18"/>
  <c r="AH189" i="18"/>
  <c r="AI189" i="18"/>
  <c r="AJ189" i="18"/>
  <c r="Z190" i="18"/>
  <c r="AA190" i="18"/>
  <c r="AB190" i="18"/>
  <c r="AC190" i="18"/>
  <c r="AD190" i="18"/>
  <c r="AE190" i="18"/>
  <c r="AF190" i="18"/>
  <c r="AG190" i="18"/>
  <c r="AH190" i="18"/>
  <c r="AI190" i="18"/>
  <c r="AJ190" i="18"/>
  <c r="Z188" i="18"/>
  <c r="AA188" i="18"/>
  <c r="AB188" i="18"/>
  <c r="AC188" i="18"/>
  <c r="AD188" i="18"/>
  <c r="AE188" i="18"/>
  <c r="AF188" i="18"/>
  <c r="AG188" i="18"/>
  <c r="AH188" i="18"/>
  <c r="AI188" i="18"/>
  <c r="AJ188" i="18"/>
  <c r="Z221" i="18"/>
  <c r="AA221" i="18"/>
  <c r="AB221" i="18"/>
  <c r="AC221" i="18"/>
  <c r="AD221" i="18"/>
  <c r="AE221" i="18"/>
  <c r="AF221" i="18"/>
  <c r="AG221" i="18"/>
  <c r="AH221" i="18"/>
  <c r="AI221" i="18"/>
  <c r="AJ221" i="18"/>
  <c r="Z207" i="18"/>
  <c r="AA207" i="18"/>
  <c r="AD207" i="18"/>
  <c r="AE207" i="18"/>
  <c r="AF207" i="18"/>
  <c r="AG207" i="18"/>
  <c r="AH207" i="18"/>
  <c r="AI207" i="18"/>
  <c r="AJ207" i="18"/>
  <c r="Z216" i="18"/>
  <c r="AA216" i="18"/>
  <c r="AB216" i="18"/>
  <c r="AC216" i="18"/>
  <c r="AD216" i="18"/>
  <c r="AE216" i="18"/>
  <c r="AF216" i="18"/>
  <c r="AG216" i="18"/>
  <c r="AH216" i="18"/>
  <c r="AI216" i="18"/>
  <c r="AJ216" i="18"/>
  <c r="Z214" i="18"/>
  <c r="AA214" i="18"/>
  <c r="AB214" i="18"/>
  <c r="AC214" i="18"/>
  <c r="AD214" i="18"/>
  <c r="AE214" i="18"/>
  <c r="AF214" i="18"/>
  <c r="AG214" i="18"/>
  <c r="AH214" i="18"/>
  <c r="AI214" i="18"/>
  <c r="AJ214" i="18"/>
  <c r="Z212" i="18"/>
  <c r="AA212" i="18"/>
  <c r="AB212" i="18"/>
  <c r="AC212" i="18"/>
  <c r="AD212" i="18"/>
  <c r="AE212" i="18"/>
  <c r="AF212" i="18"/>
  <c r="AG212" i="18"/>
  <c r="AH212" i="18"/>
  <c r="AI212" i="18"/>
  <c r="AJ212" i="18"/>
  <c r="Z208" i="18"/>
  <c r="AA208" i="18"/>
  <c r="AB208" i="18"/>
  <c r="AC208" i="18"/>
  <c r="AD208" i="18"/>
  <c r="AE208" i="18"/>
  <c r="AF208" i="18"/>
  <c r="AG208" i="18"/>
  <c r="AH208" i="18"/>
  <c r="AI208" i="18"/>
  <c r="AJ208" i="18"/>
  <c r="Z205" i="18"/>
  <c r="AA205" i="18"/>
  <c r="AD205" i="18"/>
  <c r="AE205" i="18"/>
  <c r="AF205" i="18"/>
  <c r="AG205" i="18"/>
  <c r="AH205" i="18"/>
  <c r="AI205" i="18"/>
  <c r="AJ205" i="18"/>
  <c r="Z213" i="18"/>
  <c r="AA213" i="18"/>
  <c r="AD213" i="18"/>
  <c r="AE213" i="18"/>
  <c r="AF213" i="18"/>
  <c r="AG213" i="18"/>
  <c r="AH213" i="18"/>
  <c r="AI213" i="18"/>
  <c r="AJ213" i="18"/>
  <c r="Z211" i="18"/>
  <c r="AA211" i="18"/>
  <c r="AB211" i="18"/>
  <c r="AD211" i="18"/>
  <c r="AE211" i="18"/>
  <c r="AF211" i="18"/>
  <c r="AG211" i="18"/>
  <c r="AH211" i="18"/>
  <c r="AI211" i="18"/>
  <c r="AJ211" i="18"/>
  <c r="Z209" i="18"/>
  <c r="AA209" i="18"/>
  <c r="AD209" i="18"/>
  <c r="AE209" i="18"/>
  <c r="AF209" i="18"/>
  <c r="AG209" i="18"/>
  <c r="AH209" i="18"/>
  <c r="AI209" i="18"/>
  <c r="AJ209" i="18"/>
  <c r="Z204" i="18"/>
  <c r="AA204" i="18"/>
  <c r="AD204" i="18"/>
  <c r="AE204" i="18"/>
  <c r="AF204" i="18"/>
  <c r="AG204" i="18"/>
  <c r="AH204" i="18"/>
  <c r="AI204" i="18"/>
  <c r="AJ204" i="18"/>
  <c r="Z210" i="18"/>
  <c r="AA210" i="18"/>
  <c r="AD210" i="18"/>
  <c r="AE210" i="18"/>
  <c r="AF210" i="18"/>
  <c r="AG210" i="18"/>
  <c r="AH210" i="18"/>
  <c r="AI210" i="18"/>
  <c r="AJ210" i="18"/>
  <c r="Z191" i="18"/>
  <c r="AA191" i="18"/>
  <c r="AB191" i="18"/>
  <c r="AC191" i="18"/>
  <c r="AD191" i="18"/>
  <c r="AE191" i="18"/>
  <c r="AF191" i="18"/>
  <c r="AG191" i="18"/>
  <c r="AH191" i="18"/>
  <c r="AI191" i="18"/>
  <c r="AJ191" i="18"/>
  <c r="Z200" i="18"/>
  <c r="AA200" i="18"/>
  <c r="AB200" i="18"/>
  <c r="AD200" i="18"/>
  <c r="AE200" i="18"/>
  <c r="AF200" i="18"/>
  <c r="AG200" i="18"/>
  <c r="AH200" i="18"/>
  <c r="AI200" i="18"/>
  <c r="AJ200" i="18"/>
  <c r="Z195" i="18"/>
  <c r="AA195" i="18"/>
  <c r="AB195" i="18"/>
  <c r="AD195" i="18"/>
  <c r="AE195" i="18"/>
  <c r="AF195" i="18"/>
  <c r="AG195" i="18"/>
  <c r="AH195" i="18"/>
  <c r="AI195" i="18"/>
  <c r="AJ195" i="18"/>
  <c r="Z198" i="18"/>
  <c r="AA198" i="18"/>
  <c r="AB198" i="18"/>
  <c r="AD198" i="18"/>
  <c r="AE198" i="18"/>
  <c r="AF198" i="18"/>
  <c r="AG198" i="18"/>
  <c r="AH198" i="18"/>
  <c r="AI198" i="18"/>
  <c r="AJ198" i="18"/>
  <c r="Z223" i="18"/>
  <c r="AA223" i="18"/>
  <c r="AB223" i="18"/>
  <c r="AC223" i="18"/>
  <c r="AD223" i="18"/>
  <c r="AE223" i="18"/>
  <c r="AF223" i="18"/>
  <c r="AG223" i="18"/>
  <c r="AH223" i="18"/>
  <c r="AI223" i="18"/>
  <c r="AJ223" i="18"/>
  <c r="Z219" i="18"/>
  <c r="AA219" i="18"/>
  <c r="AB219" i="18"/>
  <c r="AC219" i="18"/>
  <c r="AD219" i="18"/>
  <c r="AE219" i="18"/>
  <c r="AF219" i="18"/>
  <c r="AG219" i="18"/>
  <c r="AH219" i="18"/>
  <c r="AI219" i="18"/>
  <c r="AJ219" i="18"/>
  <c r="Z220" i="18"/>
  <c r="AA220" i="18"/>
  <c r="AB220" i="18"/>
  <c r="AC220" i="18"/>
  <c r="AD220" i="18"/>
  <c r="AE220" i="18"/>
  <c r="AF220" i="18"/>
  <c r="AG220" i="18"/>
  <c r="AH220" i="18"/>
  <c r="AI220" i="18"/>
  <c r="AJ220" i="18"/>
  <c r="Z222" i="18"/>
  <c r="AA222" i="18"/>
  <c r="AB222" i="18"/>
  <c r="AC222" i="18"/>
  <c r="AD222" i="18"/>
  <c r="AE222" i="18"/>
  <c r="AF222" i="18"/>
  <c r="AG222" i="18"/>
  <c r="AH222" i="18"/>
  <c r="AI222" i="18"/>
  <c r="AJ222" i="18"/>
  <c r="AH201" i="18"/>
  <c r="AI201" i="18"/>
  <c r="AJ201" i="18"/>
  <c r="Z224" i="18"/>
  <c r="AA224" i="18"/>
  <c r="AB224" i="18"/>
  <c r="AC224" i="18"/>
  <c r="AD224" i="18"/>
  <c r="AE224" i="18"/>
  <c r="AF224" i="18"/>
  <c r="AG224" i="18"/>
  <c r="AH224" i="18"/>
  <c r="AI224" i="18"/>
  <c r="AJ224" i="18"/>
  <c r="Z225" i="18"/>
  <c r="AA225" i="18"/>
  <c r="AB225" i="18"/>
  <c r="AC225" i="18"/>
  <c r="AD225" i="18"/>
  <c r="AE225" i="18"/>
  <c r="AF225" i="18"/>
  <c r="AG225" i="18"/>
  <c r="AH225" i="18"/>
  <c r="AI225" i="18"/>
  <c r="AJ225" i="18"/>
  <c r="Z226" i="18"/>
  <c r="AA226" i="18"/>
  <c r="AB226" i="18"/>
  <c r="AC226" i="18"/>
  <c r="AD226" i="18"/>
  <c r="AE226" i="18"/>
  <c r="AF226" i="18"/>
  <c r="AG226" i="18"/>
  <c r="AH226" i="18"/>
  <c r="AI226" i="18"/>
  <c r="AJ226" i="18"/>
  <c r="Z227" i="18"/>
  <c r="AA227" i="18"/>
  <c r="AB227" i="18"/>
  <c r="AC227" i="18"/>
  <c r="AD227" i="18"/>
  <c r="AE227" i="18"/>
  <c r="AF227" i="18"/>
  <c r="AG227" i="18"/>
  <c r="AH227" i="18"/>
  <c r="AI227" i="18"/>
  <c r="AJ227" i="18"/>
  <c r="Z231" i="18"/>
  <c r="AA231" i="18"/>
  <c r="AB231" i="18"/>
  <c r="AC231" i="18"/>
  <c r="AD231" i="18"/>
  <c r="AE231" i="18"/>
  <c r="AF231" i="18"/>
  <c r="AG231" i="18"/>
  <c r="AH231" i="18"/>
  <c r="AI231" i="18"/>
  <c r="AJ231" i="18"/>
  <c r="Z230" i="18"/>
  <c r="AA230" i="18"/>
  <c r="AB230" i="18"/>
  <c r="AC230" i="18"/>
  <c r="AD230" i="18"/>
  <c r="AE230" i="18"/>
  <c r="AF230" i="18"/>
  <c r="AG230" i="18"/>
  <c r="AH230" i="18"/>
  <c r="AI230" i="18"/>
  <c r="AJ230" i="18"/>
  <c r="Z229" i="18"/>
  <c r="AA229" i="18"/>
  <c r="AB229" i="18"/>
  <c r="AC229" i="18"/>
  <c r="AD229" i="18"/>
  <c r="AE229" i="18"/>
  <c r="AF229" i="18"/>
  <c r="AG229" i="18"/>
  <c r="AH229" i="18"/>
  <c r="AI229" i="18"/>
  <c r="AJ229" i="18"/>
  <c r="Z228" i="18"/>
  <c r="AA228" i="18"/>
  <c r="AB228" i="18"/>
  <c r="AC228" i="18"/>
  <c r="AD228" i="18"/>
  <c r="AE228" i="18"/>
  <c r="AF228" i="18"/>
  <c r="AG228" i="18"/>
  <c r="AH228" i="18"/>
  <c r="AI228" i="18"/>
  <c r="AJ228" i="18"/>
  <c r="Z232" i="18"/>
  <c r="AA232" i="18"/>
  <c r="AB232" i="18"/>
  <c r="AC232" i="18"/>
  <c r="AD232" i="18"/>
  <c r="AE232" i="18"/>
  <c r="AF232" i="18"/>
  <c r="AG232" i="18"/>
  <c r="AH232" i="18"/>
  <c r="AI232" i="18"/>
  <c r="AJ232" i="18"/>
  <c r="Z233" i="18"/>
  <c r="AA233" i="18"/>
  <c r="AB233" i="18"/>
  <c r="AC233" i="18"/>
  <c r="AD233" i="18"/>
  <c r="AE233" i="18"/>
  <c r="AF233" i="18"/>
  <c r="AG233" i="18"/>
  <c r="AH233" i="18"/>
  <c r="AI233" i="18"/>
  <c r="AJ233" i="18"/>
  <c r="Z234" i="18"/>
  <c r="AA234" i="18"/>
  <c r="AB234" i="18"/>
  <c r="AC234" i="18"/>
  <c r="AD234" i="18"/>
  <c r="AE234" i="18"/>
  <c r="AF234" i="18"/>
  <c r="AG234" i="18"/>
  <c r="AH234" i="18"/>
  <c r="AI234" i="18"/>
  <c r="AJ234" i="18"/>
  <c r="Z235" i="18"/>
  <c r="AA235" i="18"/>
  <c r="AB235" i="18"/>
  <c r="AC235" i="18"/>
  <c r="AD235" i="18"/>
  <c r="AE235" i="18"/>
  <c r="AF235" i="18"/>
  <c r="AG235" i="18"/>
  <c r="AH235" i="18"/>
  <c r="AI235" i="18"/>
  <c r="AJ235" i="18"/>
  <c r="Z236" i="18"/>
  <c r="AA236" i="18"/>
  <c r="AB236" i="18"/>
  <c r="AC236" i="18"/>
  <c r="AD236" i="18"/>
  <c r="AE236" i="18"/>
  <c r="AF236" i="18"/>
  <c r="AG236" i="18"/>
  <c r="AH236" i="18"/>
  <c r="AI236" i="18"/>
  <c r="AJ236" i="18"/>
  <c r="Z237" i="18"/>
  <c r="AA237" i="18"/>
  <c r="AB237" i="18"/>
  <c r="AC237" i="18"/>
  <c r="AD237" i="18"/>
  <c r="AE237" i="18"/>
  <c r="AF237" i="18"/>
  <c r="AG237" i="18"/>
  <c r="AH237" i="18"/>
  <c r="AI237" i="18"/>
  <c r="AJ237" i="18"/>
  <c r="Z239" i="18"/>
  <c r="AA239" i="18"/>
  <c r="AB239" i="18"/>
  <c r="AD239" i="18"/>
  <c r="AE239" i="18"/>
  <c r="AF239" i="18"/>
  <c r="AG239" i="18"/>
  <c r="AH239" i="18"/>
  <c r="AI239" i="18"/>
  <c r="AJ239" i="18"/>
  <c r="Z244" i="18"/>
  <c r="AA244" i="18"/>
  <c r="AB244" i="18"/>
  <c r="AE244" i="18"/>
  <c r="AF244" i="18"/>
  <c r="AG244" i="18"/>
  <c r="AH244" i="18"/>
  <c r="AI244" i="18"/>
  <c r="AJ244" i="18"/>
  <c r="Z238" i="18"/>
  <c r="AA238" i="18"/>
  <c r="AB238" i="18"/>
  <c r="AC238" i="18"/>
  <c r="AD238" i="18"/>
  <c r="AE238" i="18"/>
  <c r="AF238" i="18"/>
  <c r="AG238" i="18"/>
  <c r="AH238" i="18"/>
  <c r="AI238" i="18"/>
  <c r="AJ238" i="18"/>
  <c r="AD243" i="18"/>
  <c r="AE243" i="18"/>
  <c r="AF243" i="18"/>
  <c r="AG243" i="18"/>
  <c r="AH243" i="18"/>
  <c r="AI243" i="18"/>
  <c r="AJ243" i="18"/>
  <c r="AD242" i="18"/>
  <c r="AE242" i="18"/>
  <c r="AF242" i="18"/>
  <c r="AG242" i="18"/>
  <c r="AH242" i="18"/>
  <c r="AI242" i="18"/>
  <c r="AJ242" i="18"/>
  <c r="AA240" i="18"/>
  <c r="AB240" i="18"/>
  <c r="AD240" i="18"/>
  <c r="AE240" i="18"/>
  <c r="AF240" i="18"/>
  <c r="AG240" i="18"/>
  <c r="AH240" i="18"/>
  <c r="AI240" i="18"/>
  <c r="AJ240" i="18"/>
  <c r="AB245" i="18"/>
  <c r="AE245" i="18"/>
  <c r="AF245" i="18"/>
  <c r="AG245" i="18"/>
  <c r="AH245" i="18"/>
  <c r="AI245" i="18"/>
  <c r="AJ245" i="18"/>
  <c r="AD241" i="18"/>
  <c r="AE241" i="18"/>
  <c r="AF241" i="18"/>
  <c r="AG241" i="18"/>
  <c r="AH241" i="18"/>
  <c r="AI241" i="18"/>
  <c r="AJ241" i="18"/>
  <c r="Z246" i="18"/>
  <c r="AA246" i="18"/>
  <c r="AB246" i="18"/>
  <c r="AE246" i="18"/>
  <c r="AF246" i="18"/>
  <c r="AG246" i="18"/>
  <c r="AH246" i="18"/>
  <c r="AI246" i="18"/>
  <c r="AJ246" i="18"/>
  <c r="Z252" i="18"/>
  <c r="AA252" i="18"/>
  <c r="AB252" i="18"/>
  <c r="AD252" i="18"/>
  <c r="AE252" i="18"/>
  <c r="AF252" i="18"/>
  <c r="AG252" i="18"/>
  <c r="AH252" i="18"/>
  <c r="AI252" i="18"/>
  <c r="AJ252" i="18"/>
  <c r="Z256" i="18"/>
  <c r="AA256" i="18"/>
  <c r="AB256" i="18"/>
  <c r="AC256" i="18"/>
  <c r="AD256" i="18"/>
  <c r="AE256" i="18"/>
  <c r="AF256" i="18"/>
  <c r="AG256" i="18"/>
  <c r="Z249" i="18"/>
  <c r="AA249" i="18"/>
  <c r="AB249" i="18"/>
  <c r="AE249" i="18"/>
  <c r="AF249" i="18"/>
  <c r="AG249" i="18"/>
  <c r="AH249" i="18"/>
  <c r="AI249" i="18"/>
  <c r="AJ249" i="18"/>
  <c r="Z251" i="18"/>
  <c r="AA251" i="18"/>
  <c r="AB251" i="18"/>
  <c r="AD251" i="18"/>
  <c r="AE251" i="18"/>
  <c r="AF251" i="18"/>
  <c r="AG251" i="18"/>
  <c r="AH251" i="18"/>
  <c r="AI251" i="18"/>
  <c r="AJ251" i="18"/>
  <c r="Z253" i="18"/>
  <c r="AA253" i="18"/>
  <c r="AB253" i="18"/>
  <c r="AC253" i="18"/>
  <c r="AD253" i="18"/>
  <c r="AE253" i="18"/>
  <c r="AF253" i="18"/>
  <c r="AG253" i="18"/>
  <c r="AH253" i="18"/>
  <c r="AI253" i="18"/>
  <c r="AJ253" i="18"/>
  <c r="Z255" i="18"/>
  <c r="AA255" i="18"/>
  <c r="AB255" i="18"/>
  <c r="AC255" i="18"/>
  <c r="AD255" i="18"/>
  <c r="AE255" i="18"/>
  <c r="Z257" i="18"/>
  <c r="AA257" i="18"/>
  <c r="AB257" i="18"/>
  <c r="AC257" i="18"/>
  <c r="AD257" i="18"/>
  <c r="AE257" i="18"/>
  <c r="AF257" i="18"/>
  <c r="AG257" i="18"/>
  <c r="AH257" i="18"/>
  <c r="AI257" i="18"/>
  <c r="AJ257" i="18"/>
  <c r="Z247" i="18"/>
  <c r="AA247" i="18"/>
  <c r="AB247" i="18"/>
  <c r="AE247" i="18"/>
  <c r="AF247" i="18"/>
  <c r="AG247" i="18"/>
  <c r="AH247" i="18"/>
  <c r="AI247" i="18"/>
  <c r="AJ247" i="18"/>
  <c r="Z248" i="18"/>
  <c r="AA248" i="18"/>
  <c r="AB248" i="18"/>
  <c r="AE248" i="18"/>
  <c r="AF248" i="18"/>
  <c r="AG248" i="18"/>
  <c r="AH248" i="18"/>
  <c r="AI248" i="18"/>
  <c r="AJ248" i="18"/>
  <c r="Z250" i="18"/>
  <c r="AA250" i="18"/>
  <c r="AB250" i="18"/>
  <c r="AD250" i="18"/>
  <c r="AE250" i="18"/>
  <c r="AF250" i="18"/>
  <c r="AG250" i="18"/>
  <c r="AH250" i="18"/>
  <c r="AI250" i="18"/>
  <c r="AJ250" i="18"/>
  <c r="Z258" i="18"/>
  <c r="AA258" i="18"/>
  <c r="AB258" i="18"/>
  <c r="AC258" i="18"/>
  <c r="AD258" i="18"/>
  <c r="AE258" i="18"/>
  <c r="AF258" i="18"/>
  <c r="AG258" i="18"/>
  <c r="AH258" i="18"/>
  <c r="AI258" i="18"/>
  <c r="AJ258" i="18"/>
  <c r="Z259" i="18"/>
  <c r="AA259" i="18"/>
  <c r="AB259" i="18"/>
  <c r="AC259" i="18"/>
  <c r="AD259" i="18"/>
  <c r="AE259" i="18"/>
  <c r="AF259" i="18"/>
  <c r="AG259" i="18"/>
  <c r="AH259" i="18"/>
  <c r="AI259" i="18"/>
  <c r="AJ259" i="18"/>
  <c r="Z260" i="18"/>
  <c r="AA260" i="18"/>
  <c r="AB260" i="18"/>
  <c r="AC260" i="18"/>
  <c r="AD260" i="18"/>
  <c r="AE260" i="18"/>
  <c r="AF260" i="18"/>
  <c r="AG260" i="18"/>
  <c r="AH260" i="18"/>
  <c r="AI260" i="18"/>
  <c r="AJ260" i="18"/>
  <c r="Z261" i="18"/>
  <c r="AA261" i="18"/>
  <c r="AB261" i="18"/>
  <c r="AC261" i="18"/>
  <c r="AD261" i="18"/>
  <c r="AE261" i="18"/>
  <c r="AF261" i="18"/>
  <c r="AG261" i="18"/>
  <c r="AH261" i="18"/>
  <c r="AI261" i="18"/>
  <c r="AJ261" i="18"/>
  <c r="Z254" i="18"/>
  <c r="AA254" i="18"/>
  <c r="AB254" i="18"/>
  <c r="AC254" i="18"/>
  <c r="AD254" i="18"/>
  <c r="AE254" i="18"/>
  <c r="AF254" i="18"/>
  <c r="AG254" i="18"/>
  <c r="AH254" i="18"/>
  <c r="AI254" i="18"/>
  <c r="AJ254" i="18"/>
  <c r="Z262" i="18"/>
  <c r="AA262" i="18"/>
  <c r="AB262" i="18"/>
  <c r="AC262" i="18"/>
  <c r="AD262" i="18"/>
  <c r="AE262" i="18"/>
  <c r="AF262" i="18"/>
  <c r="AG262" i="18"/>
  <c r="AH262" i="18"/>
  <c r="AI262" i="18"/>
  <c r="AJ262" i="18"/>
  <c r="Z263" i="18"/>
  <c r="AA263" i="18"/>
  <c r="AB263" i="18"/>
  <c r="AC263" i="18"/>
  <c r="AD263" i="18"/>
  <c r="AE263" i="18"/>
  <c r="AF263" i="18"/>
  <c r="AG263" i="18"/>
  <c r="AH263" i="18"/>
  <c r="AI263" i="18"/>
  <c r="AJ263" i="18"/>
  <c r="Z265" i="18"/>
  <c r="AA265" i="18"/>
  <c r="AB265" i="18"/>
  <c r="AC265" i="18"/>
  <c r="AD265" i="18"/>
  <c r="AE265" i="18"/>
  <c r="AF265" i="18"/>
  <c r="AG265" i="18"/>
  <c r="AH265" i="18"/>
  <c r="AI265" i="18"/>
  <c r="AJ265" i="18"/>
  <c r="Z264" i="18"/>
  <c r="AA264" i="18"/>
  <c r="AB264" i="18"/>
  <c r="AC264" i="18"/>
  <c r="AD264" i="18"/>
  <c r="AE264" i="18"/>
  <c r="AF264" i="18"/>
  <c r="AG264" i="18"/>
  <c r="AH264" i="18"/>
  <c r="AI264" i="18"/>
  <c r="AJ264" i="18"/>
  <c r="Z267" i="18"/>
  <c r="AA267" i="18"/>
  <c r="AB267" i="18"/>
  <c r="AC267" i="18"/>
  <c r="AD267" i="18"/>
  <c r="AE267" i="18"/>
  <c r="AF267" i="18"/>
  <c r="AG267" i="18"/>
  <c r="AH267" i="18"/>
  <c r="AI267" i="18"/>
  <c r="AJ267" i="18"/>
  <c r="Z266" i="18"/>
  <c r="AA266" i="18"/>
  <c r="AB266" i="18"/>
  <c r="AC266" i="18"/>
  <c r="AD266" i="18"/>
  <c r="AE266" i="18"/>
  <c r="AF266" i="18"/>
  <c r="AG266" i="18"/>
  <c r="AH266" i="18"/>
  <c r="AI266" i="18"/>
  <c r="AJ266" i="18"/>
  <c r="Z268" i="18"/>
  <c r="AA268" i="18"/>
  <c r="AB268" i="18"/>
  <c r="AC268" i="18"/>
  <c r="AD268" i="18"/>
  <c r="AE268" i="18"/>
  <c r="AF268" i="18"/>
  <c r="AG268" i="18"/>
  <c r="AH268" i="18"/>
  <c r="AI268" i="18"/>
  <c r="AJ268" i="18"/>
  <c r="Z283" i="18"/>
  <c r="AA283" i="18"/>
  <c r="AB283" i="18"/>
  <c r="AC283" i="18"/>
  <c r="AD283" i="18"/>
  <c r="AE283" i="18"/>
  <c r="AF283" i="18"/>
  <c r="AG283" i="18"/>
  <c r="AH283" i="18"/>
  <c r="AI283" i="18"/>
  <c r="AJ283" i="18"/>
  <c r="Z280" i="18"/>
  <c r="AA280" i="18"/>
  <c r="AB280" i="18"/>
  <c r="AC280" i="18"/>
  <c r="AD280" i="18"/>
  <c r="AE280" i="18"/>
  <c r="AF280" i="18"/>
  <c r="AG280" i="18"/>
  <c r="AH280" i="18"/>
  <c r="AI280" i="18"/>
  <c r="AJ280" i="18"/>
  <c r="Z270" i="18"/>
  <c r="AA270" i="18"/>
  <c r="AB270" i="18"/>
  <c r="AC270" i="18"/>
  <c r="AD270" i="18"/>
  <c r="AE270" i="18"/>
  <c r="AF270" i="18"/>
  <c r="AG270" i="18"/>
  <c r="AH270" i="18"/>
  <c r="AI270" i="18"/>
  <c r="AJ270" i="18"/>
  <c r="Z282" i="18"/>
  <c r="AA282" i="18"/>
  <c r="AC282" i="18"/>
  <c r="AD282" i="18"/>
  <c r="AE282" i="18"/>
  <c r="AF282" i="18"/>
  <c r="AG282" i="18"/>
  <c r="AH282" i="18"/>
  <c r="AI282" i="18"/>
  <c r="AJ282" i="18"/>
  <c r="Z272" i="18"/>
  <c r="AA272" i="18"/>
  <c r="AB272" i="18"/>
  <c r="AC272" i="18"/>
  <c r="AD272" i="18"/>
  <c r="AE272" i="18"/>
  <c r="AF272" i="18"/>
  <c r="AG272" i="18"/>
  <c r="AH272" i="18"/>
  <c r="AI272" i="18"/>
  <c r="AJ272" i="18"/>
  <c r="Z281" i="18"/>
  <c r="AA281" i="18"/>
  <c r="AB281" i="18"/>
  <c r="AC281" i="18"/>
  <c r="AD281" i="18"/>
  <c r="AE281" i="18"/>
  <c r="AF281" i="18"/>
  <c r="AG281" i="18"/>
  <c r="AH281" i="18"/>
  <c r="AI281" i="18"/>
  <c r="AJ281" i="18"/>
  <c r="Z271" i="18"/>
  <c r="AA271" i="18"/>
  <c r="AB271" i="18"/>
  <c r="AC271" i="18"/>
  <c r="AD271" i="18"/>
  <c r="AE271" i="18"/>
  <c r="AF271" i="18"/>
  <c r="AG271" i="18"/>
  <c r="AH271" i="18"/>
  <c r="AI271" i="18"/>
  <c r="AJ271" i="18"/>
  <c r="Z274" i="18"/>
  <c r="AA274" i="18"/>
  <c r="AB274" i="18"/>
  <c r="AC274" i="18"/>
  <c r="AD274" i="18"/>
  <c r="AE274" i="18"/>
  <c r="AF274" i="18"/>
  <c r="AG274" i="18"/>
  <c r="AH274" i="18"/>
  <c r="AI274" i="18"/>
  <c r="AJ274" i="18"/>
  <c r="Z275" i="18"/>
  <c r="AA275" i="18"/>
  <c r="AB275" i="18"/>
  <c r="AC275" i="18"/>
  <c r="AD275" i="18"/>
  <c r="AE275" i="18"/>
  <c r="AF275" i="18"/>
  <c r="AG275" i="18"/>
  <c r="AH275" i="18"/>
  <c r="AI275" i="18"/>
  <c r="AJ275" i="18"/>
  <c r="Z278" i="18"/>
  <c r="AA278" i="18"/>
  <c r="AB278" i="18"/>
  <c r="AC278" i="18"/>
  <c r="AD278" i="18"/>
  <c r="AE278" i="18"/>
  <c r="AF278" i="18"/>
  <c r="AG278" i="18"/>
  <c r="AH278" i="18"/>
  <c r="AI278" i="18"/>
  <c r="AJ278" i="18"/>
  <c r="AD276" i="18"/>
  <c r="AE276" i="18"/>
  <c r="AF276" i="18"/>
  <c r="AG276" i="18"/>
  <c r="AH276" i="18"/>
  <c r="AI276" i="18"/>
  <c r="AJ276" i="18"/>
  <c r="Z277" i="18"/>
  <c r="AA277" i="18"/>
  <c r="AB277" i="18"/>
  <c r="AC277" i="18"/>
  <c r="AD277" i="18"/>
  <c r="AE277" i="18"/>
  <c r="AF277" i="18"/>
  <c r="AG277" i="18"/>
  <c r="AH277" i="18"/>
  <c r="AI277" i="18"/>
  <c r="AJ277" i="18"/>
  <c r="Z273" i="18"/>
  <c r="AA273" i="18"/>
  <c r="AB273" i="18"/>
  <c r="AC273" i="18"/>
  <c r="AD273" i="18"/>
  <c r="AE273" i="18"/>
  <c r="AF273" i="18"/>
  <c r="AG273" i="18"/>
  <c r="AH273" i="18"/>
  <c r="AI273" i="18"/>
  <c r="AJ273" i="18"/>
  <c r="Z279" i="18"/>
  <c r="AA279" i="18"/>
  <c r="AB279" i="18"/>
  <c r="AC279" i="18"/>
  <c r="AD279" i="18"/>
  <c r="AE279" i="18"/>
  <c r="AF279" i="18"/>
  <c r="AG279" i="18"/>
  <c r="AH279" i="18"/>
  <c r="AI279" i="18"/>
  <c r="AJ279" i="18"/>
  <c r="Z269" i="18"/>
  <c r="AA269" i="18"/>
  <c r="AB269" i="18"/>
  <c r="AC269" i="18"/>
  <c r="AD269" i="18"/>
  <c r="AE269" i="18"/>
  <c r="AF269" i="18"/>
  <c r="AG269" i="18"/>
  <c r="AH269" i="18"/>
  <c r="AI269" i="18"/>
  <c r="AJ269" i="18"/>
  <c r="AC285" i="18"/>
  <c r="AD285" i="18"/>
  <c r="AE285" i="18"/>
  <c r="AF285" i="18"/>
  <c r="AG285" i="18"/>
  <c r="AH285" i="18"/>
  <c r="AI285" i="18"/>
  <c r="AJ285" i="18"/>
  <c r="Z284" i="18"/>
  <c r="AA284" i="18"/>
  <c r="AB284" i="18"/>
  <c r="AC284" i="18"/>
  <c r="AD284" i="18"/>
  <c r="AE284" i="18"/>
  <c r="AF284" i="18"/>
  <c r="AG284" i="18"/>
  <c r="AH284" i="18"/>
  <c r="AI284" i="18"/>
  <c r="AJ284" i="18"/>
  <c r="AC289" i="18"/>
  <c r="AD289" i="18"/>
  <c r="AE289" i="18"/>
  <c r="AF289" i="18"/>
  <c r="AG289" i="18"/>
  <c r="AH289" i="18"/>
  <c r="AI289" i="18"/>
  <c r="AJ289" i="18"/>
  <c r="AC288" i="18"/>
  <c r="AD288" i="18"/>
  <c r="AE288" i="18"/>
  <c r="AF288" i="18"/>
  <c r="AG288" i="18"/>
  <c r="AH288" i="18"/>
  <c r="AI288" i="18"/>
  <c r="AJ288" i="18"/>
  <c r="AC286" i="18"/>
  <c r="AD286" i="18"/>
  <c r="AE286" i="18"/>
  <c r="AF286" i="18"/>
  <c r="AG286" i="18"/>
  <c r="AH286" i="18"/>
  <c r="AI286" i="18"/>
  <c r="AJ286" i="18"/>
  <c r="AC287" i="18"/>
  <c r="AD287" i="18"/>
  <c r="AE287" i="18"/>
  <c r="AF287" i="18"/>
  <c r="AG287" i="18"/>
  <c r="AH287" i="18"/>
  <c r="AI287" i="18"/>
  <c r="AJ287" i="18"/>
  <c r="Z290" i="18"/>
  <c r="AA290" i="18"/>
  <c r="AB290" i="18"/>
  <c r="AC290" i="18"/>
  <c r="AD290" i="18"/>
  <c r="AE290" i="18"/>
  <c r="AF290" i="18"/>
  <c r="AG290" i="18"/>
  <c r="AH290" i="18"/>
  <c r="AI290" i="18"/>
  <c r="AJ290" i="18"/>
  <c r="AC291" i="18"/>
  <c r="AD291" i="18"/>
  <c r="AE291" i="18"/>
  <c r="AF291" i="18"/>
  <c r="AG291" i="18"/>
  <c r="AH291" i="18"/>
  <c r="AI291" i="18"/>
  <c r="AJ291" i="18"/>
  <c r="AC292" i="18"/>
  <c r="AD292" i="18"/>
  <c r="AE292" i="18"/>
  <c r="AF292" i="18"/>
  <c r="AG292" i="18"/>
  <c r="AH292" i="18"/>
  <c r="AI292" i="18"/>
  <c r="AJ292" i="18"/>
  <c r="AC296" i="18"/>
  <c r="AD296" i="18"/>
  <c r="AE296" i="18"/>
  <c r="AF296" i="18"/>
  <c r="AG296" i="18"/>
  <c r="AH296" i="18"/>
  <c r="AI296" i="18"/>
  <c r="AJ296" i="18"/>
  <c r="Z297" i="18"/>
  <c r="AA297" i="18"/>
  <c r="AB297" i="18"/>
  <c r="AC297" i="18"/>
  <c r="AD297" i="18"/>
  <c r="AE297" i="18"/>
  <c r="AF297" i="18"/>
  <c r="AG297" i="18"/>
  <c r="AH297" i="18"/>
  <c r="AI297" i="18"/>
  <c r="AJ297" i="18"/>
  <c r="Z295" i="18"/>
  <c r="AA295" i="18"/>
  <c r="AB295" i="18"/>
  <c r="AC295" i="18"/>
  <c r="AD295" i="18"/>
  <c r="AE295" i="18"/>
  <c r="AF295" i="18"/>
  <c r="AG295" i="18"/>
  <c r="AH295" i="18"/>
  <c r="AI295" i="18"/>
  <c r="AJ295" i="18"/>
  <c r="Z299" i="18"/>
  <c r="AA299" i="18"/>
  <c r="AB299" i="18"/>
  <c r="AC299" i="18"/>
  <c r="AD299" i="18"/>
  <c r="AE299" i="18"/>
  <c r="AF299" i="18"/>
  <c r="AG299" i="18"/>
  <c r="AH299" i="18"/>
  <c r="AI299" i="18"/>
  <c r="AJ299" i="18"/>
  <c r="Z298" i="18"/>
  <c r="AA298" i="18"/>
  <c r="AB298" i="18"/>
  <c r="AC298" i="18"/>
  <c r="AD298" i="18"/>
  <c r="AE298" i="18"/>
  <c r="AF298" i="18"/>
  <c r="AG298" i="18"/>
  <c r="AH298" i="18"/>
  <c r="AI298" i="18"/>
  <c r="AJ298" i="18"/>
  <c r="Z294" i="18"/>
  <c r="AA294" i="18"/>
  <c r="AB294" i="18"/>
  <c r="AC294" i="18"/>
  <c r="AD294" i="18"/>
  <c r="AE294" i="18"/>
  <c r="AF294" i="18"/>
  <c r="AG294" i="18"/>
  <c r="AH294" i="18"/>
  <c r="AI294" i="18"/>
  <c r="AJ294" i="18"/>
  <c r="Z293" i="18"/>
  <c r="AA293" i="18"/>
  <c r="AB293" i="18"/>
  <c r="AC293" i="18"/>
  <c r="AD293" i="18"/>
  <c r="AE293" i="18"/>
  <c r="AF293" i="18"/>
  <c r="AG293" i="18"/>
  <c r="AH293" i="18"/>
  <c r="AI293" i="18"/>
  <c r="AJ293" i="18"/>
  <c r="Z306" i="18"/>
  <c r="AA306" i="18"/>
  <c r="AB306" i="18"/>
  <c r="AC306" i="18"/>
  <c r="AD306" i="18"/>
  <c r="AE306" i="18"/>
  <c r="AF306" i="18"/>
  <c r="AG306" i="18"/>
  <c r="AH306" i="18"/>
  <c r="AI306" i="18"/>
  <c r="AJ306" i="18"/>
  <c r="Z305" i="18"/>
  <c r="AA305" i="18"/>
  <c r="AB305" i="18"/>
  <c r="AC305" i="18"/>
  <c r="AD305" i="18"/>
  <c r="AE305" i="18"/>
  <c r="AF305" i="18"/>
  <c r="AG305" i="18"/>
  <c r="AH305" i="18"/>
  <c r="AI305" i="18"/>
  <c r="AJ305" i="18"/>
  <c r="Z303" i="18"/>
  <c r="AA303" i="18"/>
  <c r="AB303" i="18"/>
  <c r="AC303" i="18"/>
  <c r="AD303" i="18"/>
  <c r="AE303" i="18"/>
  <c r="AF303" i="18"/>
  <c r="AG303" i="18"/>
  <c r="AH303" i="18"/>
  <c r="AI303" i="18"/>
  <c r="AJ303" i="18"/>
  <c r="Z304" i="18"/>
  <c r="AA304" i="18"/>
  <c r="AB304" i="18"/>
  <c r="AC304" i="18"/>
  <c r="AD304" i="18"/>
  <c r="AE304" i="18"/>
  <c r="AF304" i="18"/>
  <c r="AG304" i="18"/>
  <c r="AH304" i="18"/>
  <c r="AI304" i="18"/>
  <c r="AJ304" i="18"/>
  <c r="Z307" i="18"/>
  <c r="AA307" i="18"/>
  <c r="AB307" i="18"/>
  <c r="AC307" i="18"/>
  <c r="AD307" i="18"/>
  <c r="AE307" i="18"/>
  <c r="AF307" i="18"/>
  <c r="AG307" i="18"/>
  <c r="AH307" i="18"/>
  <c r="AI307" i="18"/>
  <c r="AJ307" i="18"/>
  <c r="Z302" i="18"/>
  <c r="AA302" i="18"/>
  <c r="AB302" i="18"/>
  <c r="AC302" i="18"/>
  <c r="AD302" i="18"/>
  <c r="AE302" i="18"/>
  <c r="AF302" i="18"/>
  <c r="AG302" i="18"/>
  <c r="AH302" i="18"/>
  <c r="AI302" i="18"/>
  <c r="AJ302" i="18"/>
  <c r="Z308" i="18"/>
  <c r="AA308" i="18"/>
  <c r="AB308" i="18"/>
  <c r="AC308" i="18"/>
  <c r="AD308" i="18"/>
  <c r="AE308" i="18"/>
  <c r="AF308" i="18"/>
  <c r="AG308" i="18"/>
  <c r="AH308" i="18"/>
  <c r="AI308" i="18"/>
  <c r="AJ308" i="18"/>
  <c r="Z309" i="18"/>
  <c r="AA309" i="18"/>
  <c r="AB309" i="18"/>
  <c r="AC309" i="18"/>
  <c r="AD309" i="18"/>
  <c r="AE309" i="18"/>
  <c r="AF309" i="18"/>
  <c r="AG309" i="18"/>
  <c r="AH309" i="18"/>
  <c r="AI309" i="18"/>
  <c r="AJ309" i="18"/>
  <c r="Z301" i="18"/>
  <c r="AA301" i="18"/>
  <c r="AB301" i="18"/>
  <c r="AC301" i="18"/>
  <c r="AD301" i="18"/>
  <c r="AE301" i="18"/>
  <c r="AF301" i="18"/>
  <c r="AG301" i="18"/>
  <c r="AH301" i="18"/>
  <c r="AI301" i="18"/>
  <c r="AJ301" i="18"/>
  <c r="Z310" i="18"/>
  <c r="AA310" i="18"/>
  <c r="AB310" i="18"/>
  <c r="AC310" i="18"/>
  <c r="AD310" i="18"/>
  <c r="AE310" i="18"/>
  <c r="AF310" i="18"/>
  <c r="AG310" i="18"/>
  <c r="AH310" i="18"/>
  <c r="AI310" i="18"/>
  <c r="AJ310" i="18"/>
  <c r="AA313" i="18"/>
  <c r="AB313" i="18"/>
  <c r="AC313" i="18"/>
  <c r="AD313" i="18"/>
  <c r="AE313" i="18"/>
  <c r="AF313" i="18"/>
  <c r="AG313" i="18"/>
  <c r="AH313" i="18"/>
  <c r="AI313" i="18"/>
  <c r="AJ313" i="18"/>
  <c r="Z318" i="18"/>
  <c r="AA318" i="18"/>
  <c r="AB318" i="18"/>
  <c r="AC318" i="18"/>
  <c r="AD318" i="18"/>
  <c r="AE318" i="18"/>
  <c r="AF318" i="18"/>
  <c r="AG318" i="18"/>
  <c r="AH318" i="18"/>
  <c r="AI318" i="18"/>
  <c r="AJ318" i="18"/>
  <c r="Z314" i="18"/>
  <c r="AA314" i="18"/>
  <c r="AB314" i="18"/>
  <c r="AC314" i="18"/>
  <c r="AD314" i="18"/>
  <c r="AE314" i="18"/>
  <c r="AF314" i="18"/>
  <c r="AG314" i="18"/>
  <c r="AH314" i="18"/>
  <c r="AI314" i="18"/>
  <c r="AJ314" i="18"/>
  <c r="Z333" i="18"/>
  <c r="AA333" i="18"/>
  <c r="AB333" i="18"/>
  <c r="AC333" i="18"/>
  <c r="AD333" i="18"/>
  <c r="AE333" i="18"/>
  <c r="AF333" i="18"/>
  <c r="AG333" i="18"/>
  <c r="AH333" i="18"/>
  <c r="AI333" i="18"/>
  <c r="AJ333" i="18"/>
  <c r="Z321" i="18"/>
  <c r="AA321" i="18"/>
  <c r="AB321" i="18"/>
  <c r="AC321" i="18"/>
  <c r="AD321" i="18"/>
  <c r="AE321" i="18"/>
  <c r="AF321" i="18"/>
  <c r="AG321" i="18"/>
  <c r="AH321" i="18"/>
  <c r="AI321" i="18"/>
  <c r="AJ321" i="18"/>
  <c r="Z323" i="18"/>
  <c r="AA323" i="18"/>
  <c r="AB323" i="18"/>
  <c r="AC323" i="18"/>
  <c r="AD323" i="18"/>
  <c r="AE323" i="18"/>
  <c r="AF323" i="18"/>
  <c r="AG323" i="18"/>
  <c r="AH323" i="18"/>
  <c r="AI323" i="18"/>
  <c r="AJ323" i="18"/>
  <c r="Z328" i="18"/>
  <c r="AA328" i="18"/>
  <c r="AB328" i="18"/>
  <c r="AC328" i="18"/>
  <c r="AD328" i="18"/>
  <c r="AE328" i="18"/>
  <c r="AF328" i="18"/>
  <c r="AG328" i="18"/>
  <c r="AH328" i="18"/>
  <c r="AI328" i="18"/>
  <c r="AJ328" i="18"/>
  <c r="Z332" i="18"/>
  <c r="AA332" i="18"/>
  <c r="AB332" i="18"/>
  <c r="AC332" i="18"/>
  <c r="AD332" i="18"/>
  <c r="AE332" i="18"/>
  <c r="AF332" i="18"/>
  <c r="AG332" i="18"/>
  <c r="AH332" i="18"/>
  <c r="AI332" i="18"/>
  <c r="AJ332" i="18"/>
  <c r="Z324" i="18"/>
  <c r="AA324" i="18"/>
  <c r="AB324" i="18"/>
  <c r="AC324" i="18"/>
  <c r="AD324" i="18"/>
  <c r="AE324" i="18"/>
  <c r="AF324" i="18"/>
  <c r="AG324" i="18"/>
  <c r="AH324" i="18"/>
  <c r="AI324" i="18"/>
  <c r="AJ324" i="18"/>
  <c r="Z320" i="18"/>
  <c r="AA320" i="18"/>
  <c r="AB320" i="18"/>
  <c r="AC320" i="18"/>
  <c r="AD320" i="18"/>
  <c r="AE320" i="18"/>
  <c r="AF320" i="18"/>
  <c r="AG320" i="18"/>
  <c r="AH320" i="18"/>
  <c r="AI320" i="18"/>
  <c r="AJ320" i="18"/>
  <c r="Z331" i="18"/>
  <c r="AA331" i="18"/>
  <c r="AB331" i="18"/>
  <c r="AC331" i="18"/>
  <c r="AD331" i="18"/>
  <c r="AE331" i="18"/>
  <c r="AF331" i="18"/>
  <c r="AG331" i="18"/>
  <c r="AH331" i="18"/>
  <c r="AI331" i="18"/>
  <c r="AJ331" i="18"/>
  <c r="Z330" i="18"/>
  <c r="AA330" i="18"/>
  <c r="AB330" i="18"/>
  <c r="AC330" i="18"/>
  <c r="AD330" i="18"/>
  <c r="AE330" i="18"/>
  <c r="AF330" i="18"/>
  <c r="AG330" i="18"/>
  <c r="AH330" i="18"/>
  <c r="AI330" i="18"/>
  <c r="AJ330" i="18"/>
  <c r="Z334" i="18"/>
  <c r="AA334" i="18"/>
  <c r="AB334" i="18"/>
  <c r="AC334" i="18"/>
  <c r="AD334" i="18"/>
  <c r="AE334" i="18"/>
  <c r="AF334" i="18"/>
  <c r="AG334" i="18"/>
  <c r="AH334" i="18"/>
  <c r="AI334" i="18"/>
  <c r="AJ334" i="18"/>
  <c r="Z329" i="18"/>
  <c r="AA329" i="18"/>
  <c r="AB329" i="18"/>
  <c r="AC329" i="18"/>
  <c r="AD329" i="18"/>
  <c r="AE329" i="18"/>
  <c r="AF329" i="18"/>
  <c r="AG329" i="18"/>
  <c r="AH329" i="18"/>
  <c r="AI329" i="18"/>
  <c r="AJ329" i="18"/>
  <c r="Z322" i="18"/>
  <c r="AA322" i="18"/>
  <c r="AB322" i="18"/>
  <c r="AC322" i="18"/>
  <c r="AD322" i="18"/>
  <c r="AE322" i="18"/>
  <c r="AF322" i="18"/>
  <c r="AG322" i="18"/>
  <c r="AH322" i="18"/>
  <c r="AI322" i="18"/>
  <c r="AJ322" i="18"/>
  <c r="Z325" i="18"/>
  <c r="AA325" i="18"/>
  <c r="AB325" i="18"/>
  <c r="AC325" i="18"/>
  <c r="AD325" i="18"/>
  <c r="AE325" i="18"/>
  <c r="AF325" i="18"/>
  <c r="AG325" i="18"/>
  <c r="AH325" i="18"/>
  <c r="AI325" i="18"/>
  <c r="AJ325" i="18"/>
  <c r="Z327" i="18"/>
  <c r="AA327" i="18"/>
  <c r="AB327" i="18"/>
  <c r="AC327" i="18"/>
  <c r="AD327" i="18"/>
  <c r="AE327" i="18"/>
  <c r="AF327" i="18"/>
  <c r="AG327" i="18"/>
  <c r="AH327" i="18"/>
  <c r="AI327" i="18"/>
  <c r="AJ327" i="18"/>
  <c r="Z326" i="18"/>
  <c r="AA326" i="18"/>
  <c r="AB326" i="18"/>
  <c r="AC326" i="18"/>
  <c r="AD326" i="18"/>
  <c r="AE326" i="18"/>
  <c r="AF326" i="18"/>
  <c r="AG326" i="18"/>
  <c r="AH326" i="18"/>
  <c r="AI326" i="18"/>
  <c r="AJ326" i="18"/>
  <c r="Z335" i="18"/>
  <c r="AA335" i="18"/>
  <c r="AB335" i="18"/>
  <c r="AC335" i="18"/>
  <c r="AD335" i="18"/>
  <c r="AE335" i="18"/>
  <c r="AF335" i="18"/>
  <c r="AG335" i="18"/>
  <c r="AH335" i="18"/>
  <c r="AI335" i="18"/>
  <c r="AJ335" i="18"/>
  <c r="AC339" i="18"/>
  <c r="AD339" i="18"/>
  <c r="AE339" i="18"/>
  <c r="AF339" i="18"/>
  <c r="AG339" i="18"/>
  <c r="AH339" i="18"/>
  <c r="AI339" i="18"/>
  <c r="AJ339" i="18"/>
  <c r="AC336" i="18"/>
  <c r="AD336" i="18"/>
  <c r="AE336" i="18"/>
  <c r="AF336" i="18"/>
  <c r="AG336" i="18"/>
  <c r="AH336" i="18"/>
  <c r="AI336" i="18"/>
  <c r="AJ336" i="18"/>
  <c r="AC338" i="18"/>
  <c r="AD338" i="18"/>
  <c r="AE338" i="18"/>
  <c r="AF338" i="18"/>
  <c r="AG338" i="18"/>
  <c r="AH338" i="18"/>
  <c r="AI338" i="18"/>
  <c r="AJ338" i="18"/>
  <c r="AC337" i="18"/>
  <c r="AD337" i="18"/>
  <c r="AE337" i="18"/>
  <c r="AF337" i="18"/>
  <c r="AG337" i="18"/>
  <c r="AH337" i="18"/>
  <c r="AI337" i="18"/>
  <c r="AJ337" i="18"/>
  <c r="AC343" i="18"/>
  <c r="AD343" i="18"/>
  <c r="AE343" i="18"/>
  <c r="AF343" i="18"/>
  <c r="AG343" i="18"/>
  <c r="AH343" i="18"/>
  <c r="AI343" i="18"/>
  <c r="AJ343" i="18"/>
  <c r="AD341" i="18"/>
  <c r="AE341" i="18"/>
  <c r="AF341" i="18"/>
  <c r="AG341" i="18"/>
  <c r="AH341" i="18"/>
  <c r="AI341" i="18"/>
  <c r="AJ341" i="18"/>
  <c r="AC342" i="18"/>
  <c r="AD342" i="18"/>
  <c r="AE342" i="18"/>
  <c r="AF342" i="18"/>
  <c r="AG342" i="18"/>
  <c r="AH342" i="18"/>
  <c r="AI342" i="18"/>
  <c r="AJ342" i="18"/>
  <c r="AC344" i="18"/>
  <c r="AD344" i="18"/>
  <c r="AE344" i="18"/>
  <c r="AF344" i="18"/>
  <c r="AG344" i="18"/>
  <c r="AH344" i="18"/>
  <c r="AI344" i="18"/>
  <c r="AJ344" i="18"/>
  <c r="AC340" i="18"/>
  <c r="AD340" i="18"/>
  <c r="AE340" i="18"/>
  <c r="AF340" i="18"/>
  <c r="AG340" i="18"/>
  <c r="AH340" i="18"/>
  <c r="AI340" i="18"/>
  <c r="AJ340" i="18"/>
  <c r="AD347" i="18"/>
  <c r="AE347" i="18"/>
  <c r="AF347" i="18"/>
  <c r="AG347" i="18"/>
  <c r="AH347" i="18"/>
  <c r="AI347" i="18"/>
  <c r="AJ347" i="18"/>
  <c r="AC348" i="18"/>
  <c r="AD348" i="18"/>
  <c r="AE348" i="18"/>
  <c r="AF348" i="18"/>
  <c r="AG348" i="18"/>
  <c r="AH348" i="18"/>
  <c r="AI348" i="18"/>
  <c r="AJ348" i="18"/>
  <c r="AC349" i="18"/>
  <c r="AD349" i="18"/>
  <c r="AE349" i="18"/>
  <c r="AF349" i="18"/>
  <c r="AG349" i="18"/>
  <c r="AH349" i="18"/>
  <c r="AI349" i="18"/>
  <c r="AJ349" i="18"/>
  <c r="AC350" i="18"/>
  <c r="AD350" i="18"/>
  <c r="AE350" i="18"/>
  <c r="AF350" i="18"/>
  <c r="AG350" i="18"/>
  <c r="AH350" i="18"/>
  <c r="AI350" i="18"/>
  <c r="AJ350" i="18"/>
  <c r="AC351" i="18"/>
  <c r="AD351" i="18"/>
  <c r="AE351" i="18"/>
  <c r="AF351" i="18"/>
  <c r="AG351" i="18"/>
  <c r="AH351" i="18"/>
  <c r="AI351" i="18"/>
  <c r="AJ351" i="18"/>
  <c r="Z345" i="18"/>
  <c r="AA345" i="18"/>
  <c r="AB345" i="18"/>
  <c r="AC345" i="18"/>
  <c r="AD345" i="18"/>
  <c r="AE345" i="18"/>
  <c r="AF345" i="18"/>
  <c r="AG345" i="18"/>
  <c r="AH345" i="18"/>
  <c r="AI345" i="18"/>
  <c r="AJ345" i="18"/>
  <c r="AC352" i="18"/>
  <c r="AD352" i="18"/>
  <c r="AE352" i="18"/>
  <c r="AF352" i="18"/>
  <c r="AG352" i="18"/>
  <c r="AH352" i="18"/>
  <c r="AI352" i="18"/>
  <c r="AJ352" i="18"/>
  <c r="Z353" i="18"/>
  <c r="AA353" i="18"/>
  <c r="AB353" i="18"/>
  <c r="AC353" i="18"/>
  <c r="AD353" i="18"/>
  <c r="AE353" i="18"/>
  <c r="AF353" i="18"/>
  <c r="AG353" i="18"/>
  <c r="AH353" i="18"/>
  <c r="AI353" i="18"/>
  <c r="AJ353" i="18"/>
  <c r="Z354" i="18"/>
  <c r="AA354" i="18"/>
  <c r="AB354" i="18"/>
  <c r="AC354" i="18"/>
  <c r="AD354" i="18"/>
  <c r="AE354" i="18"/>
  <c r="AF354" i="18"/>
  <c r="AG354" i="18"/>
  <c r="AH354" i="18"/>
  <c r="AI354" i="18"/>
  <c r="AJ354" i="18"/>
  <c r="Z371" i="18"/>
  <c r="AA371" i="18"/>
  <c r="AB371" i="18"/>
  <c r="AC371" i="18"/>
  <c r="AD371" i="18"/>
  <c r="AE371" i="18"/>
  <c r="AF371" i="18"/>
  <c r="AG371" i="18"/>
  <c r="AH371" i="18"/>
  <c r="AI371" i="18"/>
  <c r="AJ371" i="18"/>
  <c r="Z369" i="18"/>
  <c r="AA369" i="18"/>
  <c r="AB369" i="18"/>
  <c r="AC369" i="18"/>
  <c r="AD369" i="18"/>
  <c r="AE369" i="18"/>
  <c r="AF369" i="18"/>
  <c r="AG369" i="18"/>
  <c r="AH369" i="18"/>
  <c r="AI369" i="18"/>
  <c r="AJ369" i="18"/>
  <c r="Z359" i="18"/>
  <c r="AA359" i="18"/>
  <c r="AB359" i="18"/>
  <c r="AC359" i="18"/>
  <c r="AD359" i="18"/>
  <c r="AE359" i="18"/>
  <c r="AF359" i="18"/>
  <c r="AG359" i="18"/>
  <c r="AH359" i="18"/>
  <c r="AI359" i="18"/>
  <c r="AJ359" i="18"/>
  <c r="Z372" i="18"/>
  <c r="AA372" i="18"/>
  <c r="AB372" i="18"/>
  <c r="AC372" i="18"/>
  <c r="AD372" i="18"/>
  <c r="AE372" i="18"/>
  <c r="AF372" i="18"/>
  <c r="AG372" i="18"/>
  <c r="AH372" i="18"/>
  <c r="AI372" i="18"/>
  <c r="AJ372" i="18"/>
  <c r="Z364" i="18"/>
  <c r="AA364" i="18"/>
  <c r="AC364" i="18"/>
  <c r="AD364" i="18"/>
  <c r="AE364" i="18"/>
  <c r="AF364" i="18"/>
  <c r="AG364" i="18"/>
  <c r="AH364" i="18"/>
  <c r="AI364" i="18"/>
  <c r="AJ364" i="18"/>
  <c r="Z358" i="18"/>
  <c r="AA358" i="18"/>
  <c r="AC358" i="18"/>
  <c r="AD358" i="18"/>
  <c r="AE358" i="18"/>
  <c r="AF358" i="18"/>
  <c r="AG358" i="18"/>
  <c r="AH358" i="18"/>
  <c r="AI358" i="18"/>
  <c r="AJ358" i="18"/>
  <c r="Z357" i="18"/>
  <c r="AA357" i="18"/>
  <c r="AC357" i="18"/>
  <c r="AD357" i="18"/>
  <c r="AE357" i="18"/>
  <c r="AF357" i="18"/>
  <c r="AG357" i="18"/>
  <c r="AH357" i="18"/>
  <c r="AI357" i="18"/>
  <c r="AJ357" i="18"/>
  <c r="Z370" i="18"/>
  <c r="AA370" i="18"/>
  <c r="AB370" i="18"/>
  <c r="AC370" i="18"/>
  <c r="AD370" i="18"/>
  <c r="AE370" i="18"/>
  <c r="AF370" i="18"/>
  <c r="AG370" i="18"/>
  <c r="AH370" i="18"/>
  <c r="AI370" i="18"/>
  <c r="AJ370" i="18"/>
  <c r="Z365" i="18"/>
  <c r="AA365" i="18"/>
  <c r="AB365" i="18"/>
  <c r="AC365" i="18"/>
  <c r="AD365" i="18"/>
  <c r="AE365" i="18"/>
  <c r="AF365" i="18"/>
  <c r="AG365" i="18"/>
  <c r="AH365" i="18"/>
  <c r="AI365" i="18"/>
  <c r="AJ365" i="18"/>
  <c r="Z367" i="18"/>
  <c r="AA367" i="18"/>
  <c r="AB367" i="18"/>
  <c r="AC367" i="18"/>
  <c r="AD367" i="18"/>
  <c r="AE367" i="18"/>
  <c r="AF367" i="18"/>
  <c r="AG367" i="18"/>
  <c r="AH367" i="18"/>
  <c r="AI367" i="18"/>
  <c r="AJ367" i="18"/>
  <c r="Z374" i="18"/>
  <c r="AA374" i="18"/>
  <c r="AB374" i="18"/>
  <c r="AC374" i="18"/>
  <c r="AD374" i="18"/>
  <c r="AE374" i="18"/>
  <c r="AF374" i="18"/>
  <c r="AG374" i="18"/>
  <c r="AH374" i="18"/>
  <c r="AI374" i="18"/>
  <c r="AJ374" i="18"/>
  <c r="Z366" i="18"/>
  <c r="AA366" i="18"/>
  <c r="AC366" i="18"/>
  <c r="AD366" i="18"/>
  <c r="AE366" i="18"/>
  <c r="AF366" i="18"/>
  <c r="AG366" i="18"/>
  <c r="AH366" i="18"/>
  <c r="AI366" i="18"/>
  <c r="AJ366" i="18"/>
  <c r="Z373" i="18"/>
  <c r="AA373" i="18"/>
  <c r="AB373" i="18"/>
  <c r="AC373" i="18"/>
  <c r="AD373" i="18"/>
  <c r="AE373" i="18"/>
  <c r="AF373" i="18"/>
  <c r="AG373" i="18"/>
  <c r="AH373" i="18"/>
  <c r="AI373" i="18"/>
  <c r="AJ373" i="18"/>
  <c r="Z368" i="18"/>
  <c r="AA368" i="18"/>
  <c r="AB368" i="18"/>
  <c r="AC368" i="18"/>
  <c r="AD368" i="18"/>
  <c r="AE368" i="18"/>
  <c r="AF368" i="18"/>
  <c r="AG368" i="18"/>
  <c r="AH368" i="18"/>
  <c r="AI368" i="18"/>
  <c r="AJ368" i="18"/>
  <c r="Z360" i="18"/>
  <c r="AA360" i="18"/>
  <c r="AB360" i="18"/>
  <c r="AC360" i="18"/>
  <c r="AD360" i="18"/>
  <c r="AE360" i="18"/>
  <c r="AF360" i="18"/>
  <c r="AG360" i="18"/>
  <c r="AH360" i="18"/>
  <c r="AI360" i="18"/>
  <c r="AJ360" i="18"/>
  <c r="Z361" i="18"/>
  <c r="AA361" i="18"/>
  <c r="AC361" i="18"/>
  <c r="AD361" i="18"/>
  <c r="AE361" i="18"/>
  <c r="AF361" i="18"/>
  <c r="AG361" i="18"/>
  <c r="AH361" i="18"/>
  <c r="AI361" i="18"/>
  <c r="AJ361" i="18"/>
  <c r="Z355" i="18"/>
  <c r="AA355" i="18"/>
  <c r="AB355" i="18"/>
  <c r="AC355" i="18"/>
  <c r="AD355" i="18"/>
  <c r="AE355" i="18"/>
  <c r="AF355" i="18"/>
  <c r="AG355" i="18"/>
  <c r="AH355" i="18"/>
  <c r="AI355" i="18"/>
  <c r="AJ355" i="18"/>
  <c r="Z375" i="18"/>
  <c r="AA375" i="18"/>
  <c r="AB375" i="18"/>
  <c r="AC375" i="18"/>
  <c r="AD375" i="18"/>
  <c r="AE375" i="18"/>
  <c r="AF375" i="18"/>
  <c r="AG375" i="18"/>
  <c r="AH375" i="18"/>
  <c r="AI375" i="18"/>
  <c r="AJ375" i="18"/>
  <c r="Z378" i="18"/>
  <c r="AA378" i="18"/>
  <c r="AB378" i="18"/>
  <c r="AC378" i="18"/>
  <c r="AD378" i="18"/>
  <c r="AE378" i="18"/>
  <c r="AF378" i="18"/>
  <c r="AG378" i="18"/>
  <c r="AH378" i="18"/>
  <c r="AI378" i="18"/>
  <c r="AJ378" i="18"/>
  <c r="Z379" i="18"/>
  <c r="AA379" i="18"/>
  <c r="AB379" i="18"/>
  <c r="AC379" i="18"/>
  <c r="AD379" i="18"/>
  <c r="AE379" i="18"/>
  <c r="AF379" i="18"/>
  <c r="AG379" i="18"/>
  <c r="AH379" i="18"/>
  <c r="AI379" i="18"/>
  <c r="AJ379" i="18"/>
  <c r="Z376" i="18"/>
  <c r="AA376" i="18"/>
  <c r="AB376" i="18"/>
  <c r="AC376" i="18"/>
  <c r="AD376" i="18"/>
  <c r="AE376" i="18"/>
  <c r="AF376" i="18"/>
  <c r="AG376" i="18"/>
  <c r="AH376" i="18"/>
  <c r="AI376" i="18"/>
  <c r="AJ376" i="18"/>
  <c r="Z377" i="18"/>
  <c r="AA377" i="18"/>
  <c r="AB377" i="18"/>
  <c r="AC377" i="18"/>
  <c r="AD377" i="18"/>
  <c r="AE377" i="18"/>
  <c r="AF377" i="18"/>
  <c r="AG377" i="18"/>
  <c r="AH377" i="18"/>
  <c r="AI377" i="18"/>
  <c r="AJ377" i="18"/>
  <c r="Z384" i="18"/>
  <c r="AA384" i="18"/>
  <c r="AB384" i="18"/>
  <c r="AC384" i="18"/>
  <c r="AD384" i="18"/>
  <c r="AE384" i="18"/>
  <c r="AF384" i="18"/>
  <c r="AG384" i="18"/>
  <c r="AH384" i="18"/>
  <c r="AI384" i="18"/>
  <c r="AJ384" i="18"/>
  <c r="Z380" i="18"/>
  <c r="AA380" i="18"/>
  <c r="AB380" i="18"/>
  <c r="AC380" i="18"/>
  <c r="AD380" i="18"/>
  <c r="AE380" i="18"/>
  <c r="AF380" i="18"/>
  <c r="AG380" i="18"/>
  <c r="AH380" i="18"/>
  <c r="AI380" i="18"/>
  <c r="AJ380" i="18"/>
  <c r="Z381" i="18"/>
  <c r="AA381" i="18"/>
  <c r="AB381" i="18"/>
  <c r="AC381" i="18"/>
  <c r="AD381" i="18"/>
  <c r="AE381" i="18"/>
  <c r="AF381" i="18"/>
  <c r="AG381" i="18"/>
  <c r="AH381" i="18"/>
  <c r="AI381" i="18"/>
  <c r="AJ381" i="18"/>
  <c r="Z382" i="18"/>
  <c r="AA382" i="18"/>
  <c r="AB382" i="18"/>
  <c r="AC382" i="18"/>
  <c r="AD382" i="18"/>
  <c r="AE382" i="18"/>
  <c r="AF382" i="18"/>
  <c r="AG382" i="18"/>
  <c r="AH382" i="18"/>
  <c r="AI382" i="18"/>
  <c r="AJ382" i="18"/>
  <c r="Z385" i="18"/>
  <c r="AA385" i="18"/>
  <c r="AB385" i="18"/>
  <c r="AC385" i="18"/>
  <c r="AD385" i="18"/>
  <c r="AE385" i="18"/>
  <c r="AF385" i="18"/>
  <c r="AG385" i="18"/>
  <c r="AH385" i="18"/>
  <c r="AI385" i="18"/>
  <c r="AJ385" i="18"/>
  <c r="Z383" i="18"/>
  <c r="AA383" i="18"/>
  <c r="AB383" i="18"/>
  <c r="AC383" i="18"/>
  <c r="AD383" i="18"/>
  <c r="AE383" i="18"/>
  <c r="AF383" i="18"/>
  <c r="AG383" i="18"/>
  <c r="AH383" i="18"/>
  <c r="AI383" i="18"/>
  <c r="AJ383" i="18"/>
  <c r="Z386" i="18"/>
  <c r="AA386" i="18"/>
  <c r="AB386" i="18"/>
  <c r="AC386" i="18"/>
  <c r="AD386" i="18"/>
  <c r="AE386" i="18"/>
  <c r="AF386" i="18"/>
  <c r="AG386" i="18"/>
  <c r="AH386" i="18"/>
  <c r="AI386" i="18"/>
  <c r="AJ386" i="18"/>
  <c r="Z387" i="18"/>
  <c r="AA387" i="18"/>
  <c r="AB387" i="18"/>
  <c r="AC387" i="18"/>
  <c r="AD387" i="18"/>
  <c r="AE387" i="18"/>
  <c r="AF387" i="18"/>
  <c r="AG387" i="18"/>
  <c r="AH387" i="18"/>
  <c r="AI387" i="18"/>
  <c r="AJ387" i="18"/>
  <c r="Z388" i="18"/>
  <c r="AA388" i="18"/>
  <c r="AB388" i="18"/>
  <c r="AC388" i="18"/>
  <c r="AD388" i="18"/>
  <c r="AE388" i="18"/>
  <c r="AF388" i="18"/>
  <c r="AG388" i="18"/>
  <c r="AH388" i="18"/>
  <c r="AI388" i="18"/>
  <c r="AJ388" i="18"/>
  <c r="Z397" i="18"/>
  <c r="AA397" i="18"/>
  <c r="AB397" i="18"/>
  <c r="AC397" i="18"/>
  <c r="AD397" i="18"/>
  <c r="AE397" i="18"/>
  <c r="AF397" i="18"/>
  <c r="AG397" i="18"/>
  <c r="AH397" i="18"/>
  <c r="AI397" i="18"/>
  <c r="AJ397" i="18"/>
  <c r="Z395" i="18"/>
  <c r="AA395" i="18"/>
  <c r="AB395" i="18"/>
  <c r="AC395" i="18"/>
  <c r="AD395" i="18"/>
  <c r="AE395" i="18"/>
  <c r="AF395" i="18"/>
  <c r="AG395" i="18"/>
  <c r="AH395" i="18"/>
  <c r="AI395" i="18"/>
  <c r="AJ395" i="18"/>
  <c r="Z394" i="18"/>
  <c r="AA394" i="18"/>
  <c r="AB394" i="18"/>
  <c r="AC394" i="18"/>
  <c r="AD394" i="18"/>
  <c r="AE394" i="18"/>
  <c r="AF394" i="18"/>
  <c r="AG394" i="18"/>
  <c r="AH394" i="18"/>
  <c r="AI394" i="18"/>
  <c r="AJ394" i="18"/>
  <c r="Z392" i="18"/>
  <c r="AA392" i="18"/>
  <c r="AB392" i="18"/>
  <c r="AC392" i="18"/>
  <c r="AD392" i="18"/>
  <c r="AE392" i="18"/>
  <c r="AF392" i="18"/>
  <c r="AG392" i="18"/>
  <c r="AH392" i="18"/>
  <c r="AI392" i="18"/>
  <c r="AJ392" i="18"/>
  <c r="Z389" i="18"/>
  <c r="AA389" i="18"/>
  <c r="AB389" i="18"/>
  <c r="AC389" i="18"/>
  <c r="AD389" i="18"/>
  <c r="AE389" i="18"/>
  <c r="AF389" i="18"/>
  <c r="AG389" i="18"/>
  <c r="AH389" i="18"/>
  <c r="AI389" i="18"/>
  <c r="AJ389" i="18"/>
  <c r="Z396" i="18"/>
  <c r="AA396" i="18"/>
  <c r="AB396" i="18"/>
  <c r="AC396" i="18"/>
  <c r="AD396" i="18"/>
  <c r="AE396" i="18"/>
  <c r="AF396" i="18"/>
  <c r="AG396" i="18"/>
  <c r="AH396" i="18"/>
  <c r="AI396" i="18"/>
  <c r="AJ396" i="18"/>
  <c r="Z390" i="18"/>
  <c r="AA390" i="18"/>
  <c r="AB390" i="18"/>
  <c r="AC390" i="18"/>
  <c r="AD390" i="18"/>
  <c r="AE390" i="18"/>
  <c r="AF390" i="18"/>
  <c r="AG390" i="18"/>
  <c r="AH390" i="18"/>
  <c r="AI390" i="18"/>
  <c r="AJ390" i="18"/>
  <c r="Z393" i="18"/>
  <c r="AA393" i="18"/>
  <c r="AB393" i="18"/>
  <c r="AC393" i="18"/>
  <c r="AD393" i="18"/>
  <c r="AE393" i="18"/>
  <c r="AF393" i="18"/>
  <c r="AG393" i="18"/>
  <c r="AH393" i="18"/>
  <c r="AI393" i="18"/>
  <c r="AJ393" i="18"/>
  <c r="Z391" i="18"/>
  <c r="AA391" i="18"/>
  <c r="AB391" i="18"/>
  <c r="AC391" i="18"/>
  <c r="AD391" i="18"/>
  <c r="AE391" i="18"/>
  <c r="AF391" i="18"/>
  <c r="AG391" i="18"/>
  <c r="AH391" i="18"/>
  <c r="AI391" i="18"/>
  <c r="AJ391" i="18"/>
  <c r="Z408" i="18"/>
  <c r="AA408" i="18"/>
  <c r="AB408" i="18"/>
  <c r="AC408" i="18"/>
  <c r="AD408" i="18"/>
  <c r="AE408" i="18"/>
  <c r="AF408" i="18"/>
  <c r="AG408" i="18"/>
  <c r="AH408" i="18"/>
  <c r="AI408" i="18"/>
  <c r="AJ408" i="18"/>
  <c r="Z407" i="18"/>
  <c r="AA407" i="18"/>
  <c r="AB407" i="18"/>
  <c r="AC407" i="18"/>
  <c r="AD407" i="18"/>
  <c r="AE407" i="18"/>
  <c r="AF407" i="18"/>
  <c r="AG407" i="18"/>
  <c r="AH407" i="18"/>
  <c r="AI407" i="18"/>
  <c r="AJ407" i="18"/>
  <c r="Z409" i="18"/>
  <c r="AA409" i="18"/>
  <c r="AB409" i="18"/>
  <c r="AC409" i="18"/>
  <c r="AD409" i="18"/>
  <c r="AE409" i="18"/>
  <c r="AF409" i="18"/>
  <c r="AG409" i="18"/>
  <c r="AH409" i="18"/>
  <c r="AI409" i="18"/>
  <c r="AJ409" i="18"/>
  <c r="Z402" i="18"/>
  <c r="AA402" i="18"/>
  <c r="AB402" i="18"/>
  <c r="AC402" i="18"/>
  <c r="AD402" i="18"/>
  <c r="AE402" i="18"/>
  <c r="AF402" i="18"/>
  <c r="AG402" i="18"/>
  <c r="AH402" i="18"/>
  <c r="AI402" i="18"/>
  <c r="AJ402" i="18"/>
  <c r="Z399" i="18"/>
  <c r="AA399" i="18"/>
  <c r="AB399" i="18"/>
  <c r="AC399" i="18"/>
  <c r="AD399" i="18"/>
  <c r="AE399" i="18"/>
  <c r="AF399" i="18"/>
  <c r="AG399" i="18"/>
  <c r="AH399" i="18"/>
  <c r="AI399" i="18"/>
  <c r="AJ399" i="18"/>
  <c r="Z400" i="18"/>
  <c r="AA400" i="18"/>
  <c r="AB400" i="18"/>
  <c r="AC400" i="18"/>
  <c r="AD400" i="18"/>
  <c r="AE400" i="18"/>
  <c r="AF400" i="18"/>
  <c r="AG400" i="18"/>
  <c r="AH400" i="18"/>
  <c r="AI400" i="18"/>
  <c r="AJ400" i="18"/>
  <c r="Z401" i="18"/>
  <c r="AA401" i="18"/>
  <c r="AB401" i="18"/>
  <c r="AC401" i="18"/>
  <c r="AD401" i="18"/>
  <c r="AE401" i="18"/>
  <c r="AF401" i="18"/>
  <c r="AG401" i="18"/>
  <c r="AH401" i="18"/>
  <c r="AI401" i="18"/>
  <c r="AJ401" i="18"/>
  <c r="Z404" i="18"/>
  <c r="AA404" i="18"/>
  <c r="AB404" i="18"/>
  <c r="AC404" i="18"/>
  <c r="AD404" i="18"/>
  <c r="AE404" i="18"/>
  <c r="AF404" i="18"/>
  <c r="AG404" i="18"/>
  <c r="AH404" i="18"/>
  <c r="AI404" i="18"/>
  <c r="AJ404" i="18"/>
  <c r="Z406" i="18"/>
  <c r="AA406" i="18"/>
  <c r="AB406" i="18"/>
  <c r="AC406" i="18"/>
  <c r="AD406" i="18"/>
  <c r="AE406" i="18"/>
  <c r="AF406" i="18"/>
  <c r="AG406" i="18"/>
  <c r="AH406" i="18"/>
  <c r="AI406" i="18"/>
  <c r="AJ406" i="18"/>
  <c r="Z405" i="18"/>
  <c r="AA405" i="18"/>
  <c r="AB405" i="18"/>
  <c r="AC405" i="18"/>
  <c r="AD405" i="18"/>
  <c r="AE405" i="18"/>
  <c r="AF405" i="18"/>
  <c r="AG405" i="18"/>
  <c r="AH405" i="18"/>
  <c r="AI405" i="18"/>
  <c r="AJ405" i="18"/>
  <c r="Z403" i="18"/>
  <c r="AA403" i="18"/>
  <c r="AB403" i="18"/>
  <c r="AC403" i="18"/>
  <c r="AD403" i="18"/>
  <c r="AE403" i="18"/>
  <c r="AF403" i="18"/>
  <c r="AG403" i="18"/>
  <c r="AH403" i="18"/>
  <c r="AI403" i="18"/>
  <c r="AJ403" i="18"/>
  <c r="Z398" i="18"/>
  <c r="AA398" i="18"/>
  <c r="AB398" i="18"/>
  <c r="AC398" i="18"/>
  <c r="AD398" i="18"/>
  <c r="AE398" i="18"/>
  <c r="AF398" i="18"/>
  <c r="AG398" i="18"/>
  <c r="AH398" i="18"/>
  <c r="AI398" i="18"/>
  <c r="AJ398" i="18"/>
  <c r="Z423" i="18"/>
  <c r="AA423" i="18"/>
  <c r="AB423" i="18"/>
  <c r="AC423" i="18"/>
  <c r="AD423" i="18"/>
  <c r="AE423" i="18"/>
  <c r="AF423" i="18"/>
  <c r="AG423" i="18"/>
  <c r="AH423" i="18"/>
  <c r="AI423" i="18"/>
  <c r="AJ423" i="18"/>
  <c r="Z420" i="18"/>
  <c r="AA420" i="18"/>
  <c r="AB420" i="18"/>
  <c r="AC420" i="18"/>
  <c r="AD420" i="18"/>
  <c r="AE420" i="18"/>
  <c r="AF420" i="18"/>
  <c r="AG420" i="18"/>
  <c r="AH420" i="18"/>
  <c r="AI420" i="18"/>
  <c r="AJ420" i="18"/>
  <c r="Z421" i="18"/>
  <c r="AA421" i="18"/>
  <c r="AB421" i="18"/>
  <c r="AC421" i="18"/>
  <c r="AD421" i="18"/>
  <c r="AE421" i="18"/>
  <c r="AF421" i="18"/>
  <c r="AG421" i="18"/>
  <c r="AH421" i="18"/>
  <c r="AI421" i="18"/>
  <c r="AJ421" i="18"/>
  <c r="Z422" i="18"/>
  <c r="AA422" i="18"/>
  <c r="AB422" i="18"/>
  <c r="AC422" i="18"/>
  <c r="AD422" i="18"/>
  <c r="AE422" i="18"/>
  <c r="AF422" i="18"/>
  <c r="AG422" i="18"/>
  <c r="AH422" i="18"/>
  <c r="AI422" i="18"/>
  <c r="AJ422" i="18"/>
  <c r="Z416" i="18"/>
  <c r="AA416" i="18"/>
  <c r="AB416" i="18"/>
  <c r="AC416" i="18"/>
  <c r="AD416" i="18"/>
  <c r="AE416" i="18"/>
  <c r="AF416" i="18"/>
  <c r="AG416" i="18"/>
  <c r="AH416" i="18"/>
  <c r="AI416" i="18"/>
  <c r="AJ416" i="18"/>
  <c r="Z413" i="18"/>
  <c r="AA413" i="18"/>
  <c r="AB413" i="18"/>
  <c r="AC413" i="18"/>
  <c r="AD413" i="18"/>
  <c r="AE413" i="18"/>
  <c r="AF413" i="18"/>
  <c r="AG413" i="18"/>
  <c r="AH413" i="18"/>
  <c r="AI413" i="18"/>
  <c r="AJ413" i="18"/>
  <c r="Z414" i="18"/>
  <c r="AA414" i="18"/>
  <c r="AB414" i="18"/>
  <c r="AC414" i="18"/>
  <c r="AD414" i="18"/>
  <c r="AE414" i="18"/>
  <c r="AF414" i="18"/>
  <c r="AG414" i="18"/>
  <c r="AH414" i="18"/>
  <c r="AI414" i="18"/>
  <c r="AJ414" i="18"/>
  <c r="Z417" i="18"/>
  <c r="AA417" i="18"/>
  <c r="AB417" i="18"/>
  <c r="AC417" i="18"/>
  <c r="AD417" i="18"/>
  <c r="AE417" i="18"/>
  <c r="AF417" i="18"/>
  <c r="AG417" i="18"/>
  <c r="AH417" i="18"/>
  <c r="AI417" i="18"/>
  <c r="AJ417" i="18"/>
  <c r="Z418" i="18"/>
  <c r="AA418" i="18"/>
  <c r="AB418" i="18"/>
  <c r="AC418" i="18"/>
  <c r="AD418" i="18"/>
  <c r="AE418" i="18"/>
  <c r="AF418" i="18"/>
  <c r="AG418" i="18"/>
  <c r="AH418" i="18"/>
  <c r="AI418" i="18"/>
  <c r="AJ418" i="18"/>
  <c r="Z419" i="18"/>
  <c r="AA419" i="18"/>
  <c r="AB419" i="18"/>
  <c r="AC419" i="18"/>
  <c r="AD419" i="18"/>
  <c r="AE419" i="18"/>
  <c r="AF419" i="18"/>
  <c r="AG419" i="18"/>
  <c r="AH419" i="18"/>
  <c r="AI419" i="18"/>
  <c r="AJ419" i="18"/>
  <c r="Z410" i="18"/>
  <c r="AA410" i="18"/>
  <c r="AB410" i="18"/>
  <c r="AC410" i="18"/>
  <c r="AD410" i="18"/>
  <c r="AE410" i="18"/>
  <c r="AF410" i="18"/>
  <c r="AG410" i="18"/>
  <c r="AH410" i="18"/>
  <c r="AI410" i="18"/>
  <c r="AJ410" i="18"/>
  <c r="Z411" i="18"/>
  <c r="AA411" i="18"/>
  <c r="AB411" i="18"/>
  <c r="AC411" i="18"/>
  <c r="AD411" i="18"/>
  <c r="AE411" i="18"/>
  <c r="AF411" i="18"/>
  <c r="AG411" i="18"/>
  <c r="AH411" i="18"/>
  <c r="AI411" i="18"/>
  <c r="AJ411" i="18"/>
  <c r="Z412" i="18"/>
  <c r="AA412" i="18"/>
  <c r="AB412" i="18"/>
  <c r="AC412" i="18"/>
  <c r="AD412" i="18"/>
  <c r="AE412" i="18"/>
  <c r="AF412" i="18"/>
  <c r="AG412" i="18"/>
  <c r="AH412" i="18"/>
  <c r="AI412" i="18"/>
  <c r="AJ412" i="18"/>
  <c r="Z415" i="18"/>
  <c r="AA415" i="18"/>
  <c r="AB415" i="18"/>
  <c r="AC415" i="18"/>
  <c r="AD415" i="18"/>
  <c r="AE415" i="18"/>
  <c r="AF415" i="18"/>
  <c r="AG415" i="18"/>
  <c r="AH415" i="18"/>
  <c r="AI415" i="18"/>
  <c r="AJ415" i="18"/>
  <c r="Z425" i="18"/>
  <c r="AA425" i="18"/>
  <c r="AB425" i="18"/>
  <c r="AC425" i="18"/>
  <c r="AD425" i="18"/>
  <c r="AE425" i="18"/>
  <c r="AF425" i="18"/>
  <c r="AG425" i="18"/>
  <c r="AH425" i="18"/>
  <c r="AI425" i="18"/>
  <c r="AJ425" i="18"/>
  <c r="Z431" i="18"/>
  <c r="AA431" i="18"/>
  <c r="AB431" i="18"/>
  <c r="AC431" i="18"/>
  <c r="AD431" i="18"/>
  <c r="AE431" i="18"/>
  <c r="AF431" i="18"/>
  <c r="AG431" i="18"/>
  <c r="AH431" i="18"/>
  <c r="AI431" i="18"/>
  <c r="AJ431" i="18"/>
  <c r="Z426" i="18"/>
  <c r="AA426" i="18"/>
  <c r="AB426" i="18"/>
  <c r="AC426" i="18"/>
  <c r="AD426" i="18"/>
  <c r="AE426" i="18"/>
  <c r="AF426" i="18"/>
  <c r="AG426" i="18"/>
  <c r="AH426" i="18"/>
  <c r="AI426" i="18"/>
  <c r="AJ426" i="18"/>
  <c r="Z424" i="18"/>
  <c r="AA424" i="18"/>
  <c r="AB424" i="18"/>
  <c r="AC424" i="18"/>
  <c r="AD424" i="18"/>
  <c r="AE424" i="18"/>
  <c r="AF424" i="18"/>
  <c r="AG424" i="18"/>
  <c r="AH424" i="18"/>
  <c r="AI424" i="18"/>
  <c r="AJ424" i="18"/>
  <c r="Z430" i="18"/>
  <c r="AA430" i="18"/>
  <c r="AB430" i="18"/>
  <c r="AC430" i="18"/>
  <c r="AD430" i="18"/>
  <c r="AE430" i="18"/>
  <c r="AF430" i="18"/>
  <c r="AG430" i="18"/>
  <c r="AH430" i="18"/>
  <c r="AI430" i="18"/>
  <c r="AJ430" i="18"/>
  <c r="Z427" i="18"/>
  <c r="AA427" i="18"/>
  <c r="AB427" i="18"/>
  <c r="AC427" i="18"/>
  <c r="AD427" i="18"/>
  <c r="AE427" i="18"/>
  <c r="AF427" i="18"/>
  <c r="AG427" i="18"/>
  <c r="AH427" i="18"/>
  <c r="AI427" i="18"/>
  <c r="AJ427" i="18"/>
  <c r="Z429" i="18"/>
  <c r="AA429" i="18"/>
  <c r="AB429" i="18"/>
  <c r="AC429" i="18"/>
  <c r="AD429" i="18"/>
  <c r="AE429" i="18"/>
  <c r="AF429" i="18"/>
  <c r="AG429" i="18"/>
  <c r="AH429" i="18"/>
  <c r="AI429" i="18"/>
  <c r="AJ429" i="18"/>
  <c r="Z428" i="18"/>
  <c r="AA428" i="18"/>
  <c r="AB428" i="18"/>
  <c r="AC428" i="18"/>
  <c r="AD428" i="18"/>
  <c r="AE428" i="18"/>
  <c r="AF428" i="18"/>
  <c r="AG428" i="18"/>
  <c r="AH428" i="18"/>
  <c r="AI428" i="18"/>
  <c r="AJ428" i="18"/>
  <c r="Z433" i="18"/>
  <c r="AA433" i="18"/>
  <c r="AB433" i="18"/>
  <c r="AC433" i="18"/>
  <c r="AD433" i="18"/>
  <c r="AE433" i="18"/>
  <c r="AF433" i="18"/>
  <c r="AG433" i="18"/>
  <c r="AH433" i="18"/>
  <c r="AI433" i="18"/>
  <c r="AJ433" i="18"/>
  <c r="Z432" i="18"/>
  <c r="AA432" i="18"/>
  <c r="AB432" i="18"/>
  <c r="AC432" i="18"/>
  <c r="AD432" i="18"/>
  <c r="AE432" i="18"/>
  <c r="AF432" i="18"/>
  <c r="AG432" i="18"/>
  <c r="AH432" i="18"/>
  <c r="AI432" i="18"/>
  <c r="AJ432" i="18"/>
  <c r="Z436" i="18"/>
  <c r="AA436" i="18"/>
  <c r="AB436" i="18"/>
  <c r="AC436" i="18"/>
  <c r="AD436" i="18"/>
  <c r="AE436" i="18"/>
  <c r="AF436" i="18"/>
  <c r="AG436" i="18"/>
  <c r="AH436" i="18"/>
  <c r="AI436" i="18"/>
  <c r="AJ436" i="18"/>
  <c r="Z435" i="18"/>
  <c r="AA435" i="18"/>
  <c r="AB435" i="18"/>
  <c r="AC435" i="18"/>
  <c r="AD435" i="18"/>
  <c r="AE435" i="18"/>
  <c r="AF435" i="18"/>
  <c r="AG435" i="18"/>
  <c r="AH435" i="18"/>
  <c r="AI435" i="18"/>
  <c r="AJ435" i="18"/>
  <c r="Z434" i="18"/>
  <c r="AA434" i="18"/>
  <c r="AB434" i="18"/>
  <c r="AC434" i="18"/>
  <c r="AD434" i="18"/>
  <c r="AE434" i="18"/>
  <c r="AF434" i="18"/>
  <c r="AG434" i="18"/>
  <c r="AH434" i="18"/>
  <c r="AI434" i="18"/>
  <c r="AJ434" i="18"/>
  <c r="Z437" i="18"/>
  <c r="AA437" i="18"/>
  <c r="AB437" i="18"/>
  <c r="AC437" i="18"/>
  <c r="AD437" i="18"/>
  <c r="AE437" i="18"/>
  <c r="AF437" i="18"/>
  <c r="AG437" i="18"/>
  <c r="AH437" i="18"/>
  <c r="AI437" i="18"/>
  <c r="AJ437" i="18"/>
  <c r="Z438" i="18"/>
  <c r="AA438" i="18"/>
  <c r="AB438" i="18"/>
  <c r="AC438" i="18"/>
  <c r="AD438" i="18"/>
  <c r="AE438" i="18"/>
  <c r="AF438" i="18"/>
  <c r="AG438" i="18"/>
  <c r="AH438" i="18"/>
  <c r="AI438" i="18"/>
  <c r="AJ438" i="18"/>
  <c r="Z444" i="18"/>
  <c r="AA444" i="18"/>
  <c r="AB444" i="18"/>
  <c r="AC444" i="18"/>
  <c r="AD444" i="18"/>
  <c r="AE444" i="18"/>
  <c r="AF444" i="18"/>
  <c r="AG444" i="18"/>
  <c r="AH444" i="18"/>
  <c r="AI444" i="18"/>
  <c r="AJ444" i="18"/>
  <c r="Z439" i="18"/>
  <c r="AA439" i="18"/>
  <c r="AB439" i="18"/>
  <c r="AC439" i="18"/>
  <c r="AD439" i="18"/>
  <c r="AE439" i="18"/>
  <c r="AF439" i="18"/>
  <c r="AG439" i="18"/>
  <c r="AH439" i="18"/>
  <c r="AI439" i="18"/>
  <c r="AJ439" i="18"/>
  <c r="Z440" i="18"/>
  <c r="AA440" i="18"/>
  <c r="AB440" i="18"/>
  <c r="AC440" i="18"/>
  <c r="AD440" i="18"/>
  <c r="AE440" i="18"/>
  <c r="AF440" i="18"/>
  <c r="AG440" i="18"/>
  <c r="AH440" i="18"/>
  <c r="AI440" i="18"/>
  <c r="AJ440" i="18"/>
  <c r="Z441" i="18"/>
  <c r="AA441" i="18"/>
  <c r="AB441" i="18"/>
  <c r="AC441" i="18"/>
  <c r="AD441" i="18"/>
  <c r="AE441" i="18"/>
  <c r="AF441" i="18"/>
  <c r="AG441" i="18"/>
  <c r="AH441" i="18"/>
  <c r="AI441" i="18"/>
  <c r="AJ441" i="18"/>
  <c r="Z442" i="18"/>
  <c r="AA442" i="18"/>
  <c r="AB442" i="18"/>
  <c r="AC442" i="18"/>
  <c r="AD442" i="18"/>
  <c r="AE442" i="18"/>
  <c r="AF442" i="18"/>
  <c r="AG442" i="18"/>
  <c r="AH442" i="18"/>
  <c r="AI442" i="18"/>
  <c r="AJ442" i="18"/>
  <c r="Z443" i="18"/>
  <c r="AA443" i="18"/>
  <c r="AB443" i="18"/>
  <c r="AC443" i="18"/>
  <c r="AD443" i="18"/>
  <c r="AE443" i="18"/>
  <c r="AF443" i="18"/>
  <c r="AG443" i="18"/>
  <c r="AH443" i="18"/>
  <c r="AI443" i="18"/>
  <c r="AJ443" i="18"/>
  <c r="Z446" i="18"/>
  <c r="AA446" i="18"/>
  <c r="AB446" i="18"/>
  <c r="AC446" i="18"/>
  <c r="AD446" i="18"/>
  <c r="AE446" i="18"/>
  <c r="AF446" i="18"/>
  <c r="AG446" i="18"/>
  <c r="AH446" i="18"/>
  <c r="AI446" i="18"/>
  <c r="AJ446" i="18"/>
  <c r="Z447" i="18"/>
  <c r="AA447" i="18"/>
  <c r="AB447" i="18"/>
  <c r="AC447" i="18"/>
  <c r="AD447" i="18"/>
  <c r="AE447" i="18"/>
  <c r="AF447" i="18"/>
  <c r="AG447" i="18"/>
  <c r="AH447" i="18"/>
  <c r="AI447" i="18"/>
  <c r="AJ447" i="18"/>
  <c r="AC452" i="18"/>
  <c r="AD452" i="18"/>
  <c r="AE452" i="18"/>
  <c r="AF452" i="18"/>
  <c r="AG452" i="18"/>
  <c r="AH452" i="18"/>
  <c r="AI452" i="18"/>
  <c r="AJ452" i="18"/>
  <c r="AC448" i="18"/>
  <c r="AD448" i="18"/>
  <c r="AE448" i="18"/>
  <c r="AF448" i="18"/>
  <c r="AG448" i="18"/>
  <c r="AH448" i="18"/>
  <c r="AI448" i="18"/>
  <c r="AJ448" i="18"/>
  <c r="AC449" i="18"/>
  <c r="AD449" i="18"/>
  <c r="AE449" i="18"/>
  <c r="AF449" i="18"/>
  <c r="AG449" i="18"/>
  <c r="AH449" i="18"/>
  <c r="AI449" i="18"/>
  <c r="AJ449" i="18"/>
  <c r="AC450" i="18"/>
  <c r="AD450" i="18"/>
  <c r="AE450" i="18"/>
  <c r="AF450" i="18"/>
  <c r="AG450" i="18"/>
  <c r="AH450" i="18"/>
  <c r="AI450" i="18"/>
  <c r="AJ450" i="18"/>
  <c r="AC451" i="18"/>
  <c r="AD451" i="18"/>
  <c r="AE451" i="18"/>
  <c r="AF451" i="18"/>
  <c r="AG451" i="18"/>
  <c r="AH451" i="18"/>
  <c r="AI451" i="18"/>
  <c r="AJ451" i="18"/>
  <c r="AC453" i="18"/>
  <c r="AD453" i="18"/>
  <c r="AE453" i="18"/>
  <c r="AF453" i="18"/>
  <c r="AG453" i="18"/>
  <c r="AH453" i="18"/>
  <c r="AI453" i="18"/>
  <c r="AJ453" i="18"/>
  <c r="AC454" i="18"/>
  <c r="AD454" i="18"/>
  <c r="AE454" i="18"/>
  <c r="AF454" i="18"/>
  <c r="AG454" i="18"/>
  <c r="AH454" i="18"/>
  <c r="AI454" i="18"/>
  <c r="AJ454" i="18"/>
  <c r="AC457" i="18"/>
  <c r="AD457" i="18"/>
  <c r="AE457" i="18"/>
  <c r="AF457" i="18"/>
  <c r="AG457" i="18"/>
  <c r="AH457" i="18"/>
  <c r="AI457" i="18"/>
  <c r="AJ457" i="18"/>
  <c r="AC455" i="18"/>
  <c r="AD455" i="18"/>
  <c r="AE455" i="18"/>
  <c r="AF455" i="18"/>
  <c r="AG455" i="18"/>
  <c r="AH455" i="18"/>
  <c r="AI455" i="18"/>
  <c r="AJ455" i="18"/>
  <c r="AC456" i="18"/>
  <c r="AD456" i="18"/>
  <c r="AE456" i="18"/>
  <c r="AF456" i="18"/>
  <c r="AG456" i="18"/>
  <c r="AH456" i="18"/>
  <c r="AI456" i="18"/>
  <c r="AJ456" i="18"/>
  <c r="AC459" i="18"/>
  <c r="AD459" i="18"/>
  <c r="AE459" i="18"/>
  <c r="AF459" i="18"/>
  <c r="AG459" i="18"/>
  <c r="AH459" i="18"/>
  <c r="AI459" i="18"/>
  <c r="AJ459" i="18"/>
  <c r="AC458" i="18"/>
  <c r="AD458" i="18"/>
  <c r="AE458" i="18"/>
  <c r="AF458" i="18"/>
  <c r="AG458" i="18"/>
  <c r="AH458" i="18"/>
  <c r="AI458" i="18"/>
  <c r="AJ458" i="18"/>
  <c r="Z116" i="18"/>
  <c r="AA116" i="18"/>
  <c r="AB116" i="18"/>
  <c r="AC116" i="18"/>
  <c r="AD116" i="18"/>
  <c r="AE116" i="18"/>
  <c r="AF116" i="18"/>
  <c r="AG116" i="18"/>
  <c r="AH116" i="18"/>
  <c r="AI116" i="18"/>
  <c r="AJ116" i="18"/>
  <c r="Z138" i="18"/>
  <c r="AA138" i="18"/>
  <c r="AB138" i="18"/>
  <c r="AC138" i="18"/>
  <c r="AD138" i="18"/>
  <c r="AE138" i="18"/>
  <c r="AF138" i="18"/>
  <c r="AG138" i="18"/>
  <c r="AH138" i="18"/>
  <c r="AI138" i="18"/>
  <c r="AJ138" i="18"/>
  <c r="Z461" i="18"/>
  <c r="AA461" i="18"/>
  <c r="AB461" i="18"/>
  <c r="AC461" i="18"/>
  <c r="AD461" i="18"/>
  <c r="AE461" i="18"/>
  <c r="AF461" i="18"/>
  <c r="AG461" i="18"/>
  <c r="AH461" i="18"/>
  <c r="AI461" i="18"/>
  <c r="AJ461" i="18"/>
  <c r="Z462" i="18"/>
  <c r="AA462" i="18"/>
  <c r="AB462" i="18"/>
  <c r="AC462" i="18"/>
  <c r="AD462" i="18"/>
  <c r="AE462" i="18"/>
  <c r="AF462" i="18"/>
  <c r="AG462" i="18"/>
  <c r="AH462" i="18"/>
  <c r="AI462" i="18"/>
  <c r="AJ462" i="18"/>
  <c r="Z463" i="18"/>
  <c r="AA463" i="18"/>
  <c r="AB463" i="18"/>
  <c r="AC463" i="18"/>
  <c r="AD463" i="18"/>
  <c r="AE463" i="18"/>
  <c r="AF463" i="18"/>
  <c r="AG463" i="18"/>
  <c r="AH463" i="18"/>
  <c r="AI463" i="18"/>
  <c r="AJ463" i="18"/>
  <c r="Y4" i="18"/>
  <c r="Y5" i="18"/>
  <c r="Y6" i="18"/>
  <c r="Y7" i="18"/>
  <c r="Y19" i="18"/>
  <c r="Y20" i="18"/>
  <c r="Y24" i="18"/>
  <c r="Y23" i="18"/>
  <c r="Y25" i="18"/>
  <c r="Y12" i="18"/>
  <c r="Y10" i="18"/>
  <c r="Y13" i="18"/>
  <c r="Y18" i="18"/>
  <c r="Y22" i="18"/>
  <c r="Y14" i="18"/>
  <c r="Y15" i="18"/>
  <c r="Y16" i="18"/>
  <c r="Y17" i="18"/>
  <c r="Y21" i="18"/>
  <c r="Y11" i="18"/>
  <c r="Y61" i="18"/>
  <c r="Y62" i="18"/>
  <c r="Y63" i="18"/>
  <c r="Y60" i="18"/>
  <c r="Y59" i="18"/>
  <c r="Y58" i="18"/>
  <c r="Y64" i="18"/>
  <c r="Y65" i="18"/>
  <c r="Y66" i="18"/>
  <c r="Y67" i="18"/>
  <c r="Y74" i="18"/>
  <c r="Y71" i="18"/>
  <c r="Y99" i="18"/>
  <c r="Y94" i="18"/>
  <c r="Y93" i="18"/>
  <c r="Y84" i="18"/>
  <c r="Y101" i="18"/>
  <c r="Y88" i="18"/>
  <c r="Y97" i="18"/>
  <c r="Y89" i="18"/>
  <c r="Y80" i="18"/>
  <c r="Y86" i="18"/>
  <c r="Y98" i="18"/>
  <c r="Y81" i="18"/>
  <c r="Y85" i="18"/>
  <c r="Y96" i="18"/>
  <c r="Y108" i="18"/>
  <c r="Y111" i="18"/>
  <c r="Y133" i="18"/>
  <c r="Y183" i="18"/>
  <c r="Y184" i="18"/>
  <c r="Y187" i="18"/>
  <c r="Y186" i="18"/>
  <c r="Y189" i="18"/>
  <c r="Y190" i="18"/>
  <c r="Y188" i="18"/>
  <c r="Y221" i="18"/>
  <c r="Y207" i="18"/>
  <c r="Y216" i="18"/>
  <c r="Y214" i="18"/>
  <c r="Y212" i="18"/>
  <c r="Y208" i="18"/>
  <c r="Y205" i="18"/>
  <c r="Y213" i="18"/>
  <c r="Y211" i="18"/>
  <c r="Y209" i="18"/>
  <c r="Y204" i="18"/>
  <c r="Y210" i="18"/>
  <c r="Y191" i="18"/>
  <c r="Y200" i="18"/>
  <c r="Y195" i="18"/>
  <c r="Y198" i="18"/>
  <c r="Y223" i="18"/>
  <c r="Y219" i="18"/>
  <c r="Y220" i="18"/>
  <c r="Y222" i="18"/>
  <c r="Y201" i="18"/>
  <c r="Y224" i="18"/>
  <c r="Y225" i="18"/>
  <c r="Y226" i="18"/>
  <c r="Y227" i="18"/>
  <c r="Y231" i="18"/>
  <c r="Y230" i="18"/>
  <c r="Y229" i="18"/>
  <c r="Y228" i="18"/>
  <c r="Y232" i="18"/>
  <c r="Y233" i="18"/>
  <c r="Y234" i="18"/>
  <c r="Y235" i="18"/>
  <c r="Y236" i="18"/>
  <c r="Y237" i="18"/>
  <c r="Y239" i="18"/>
  <c r="Y244" i="18"/>
  <c r="Y238" i="18"/>
  <c r="Y243" i="18"/>
  <c r="Y242" i="18"/>
  <c r="Y241" i="18"/>
  <c r="Y246" i="18"/>
  <c r="Y252" i="18"/>
  <c r="Y256" i="18"/>
  <c r="Y249" i="18"/>
  <c r="Y251" i="18"/>
  <c r="Y253" i="18"/>
  <c r="Y255" i="18"/>
  <c r="Y257" i="18"/>
  <c r="Y247" i="18"/>
  <c r="Y248" i="18"/>
  <c r="Y250" i="18"/>
  <c r="Y258" i="18"/>
  <c r="Y259" i="18"/>
  <c r="Y260" i="18"/>
  <c r="Y261" i="18"/>
  <c r="Y254" i="18"/>
  <c r="Y262" i="18"/>
  <c r="Y263" i="18"/>
  <c r="Y265" i="18"/>
  <c r="Y264" i="18"/>
  <c r="Y267" i="18"/>
  <c r="Y266" i="18"/>
  <c r="Y268" i="18"/>
  <c r="Y283" i="18"/>
  <c r="Y280" i="18"/>
  <c r="Y270" i="18"/>
  <c r="Y282" i="18"/>
  <c r="Y272" i="18"/>
  <c r="Y281" i="18"/>
  <c r="Y271" i="18"/>
  <c r="Y274" i="18"/>
  <c r="Y275" i="18"/>
  <c r="Y278" i="18"/>
  <c r="Y276" i="18"/>
  <c r="Y277" i="18"/>
  <c r="Y273" i="18"/>
  <c r="Y279" i="18"/>
  <c r="Y269" i="18"/>
  <c r="Y285" i="18"/>
  <c r="Y284" i="18"/>
  <c r="Y289" i="18"/>
  <c r="Y288" i="18"/>
  <c r="Y286" i="18"/>
  <c r="Y287" i="18"/>
  <c r="Y290" i="18"/>
  <c r="Y291" i="18"/>
  <c r="Y292" i="18"/>
  <c r="Y296" i="18"/>
  <c r="Y297" i="18"/>
  <c r="Y295" i="18"/>
  <c r="Y299" i="18"/>
  <c r="Y298" i="18"/>
  <c r="Y294" i="18"/>
  <c r="Y293" i="18"/>
  <c r="Y306" i="18"/>
  <c r="Y305" i="18"/>
  <c r="Y303" i="18"/>
  <c r="Y304" i="18"/>
  <c r="Y307" i="18"/>
  <c r="Y302" i="18"/>
  <c r="Y308" i="18"/>
  <c r="Y309" i="18"/>
  <c r="Y301" i="18"/>
  <c r="Y310" i="18"/>
  <c r="Y318" i="18"/>
  <c r="Y314" i="18"/>
  <c r="Y333" i="18"/>
  <c r="Y321" i="18"/>
  <c r="Y323" i="18"/>
  <c r="Y328" i="18"/>
  <c r="Y332" i="18"/>
  <c r="Y324" i="18"/>
  <c r="Y320" i="18"/>
  <c r="Y331" i="18"/>
  <c r="Y330" i="18"/>
  <c r="Y334" i="18"/>
  <c r="Y329" i="18"/>
  <c r="Y322" i="18"/>
  <c r="Y325" i="18"/>
  <c r="Y327" i="18"/>
  <c r="Y326" i="18"/>
  <c r="Y335" i="18"/>
  <c r="Y339" i="18"/>
  <c r="Y336" i="18"/>
  <c r="Y338" i="18"/>
  <c r="Y337" i="18"/>
  <c r="Y343" i="18"/>
  <c r="Y341" i="18"/>
  <c r="Y342" i="18"/>
  <c r="Y344" i="18"/>
  <c r="Y340" i="18"/>
  <c r="Y350" i="18"/>
  <c r="Y351" i="18"/>
  <c r="Y345" i="18"/>
  <c r="Y352" i="18"/>
  <c r="Y353" i="18"/>
  <c r="Y354" i="18"/>
  <c r="Y371" i="18"/>
  <c r="Y369" i="18"/>
  <c r="Y359" i="18"/>
  <c r="Y372" i="18"/>
  <c r="Y364" i="18"/>
  <c r="Y358" i="18"/>
  <c r="Y357" i="18"/>
  <c r="Y370" i="18"/>
  <c r="Y365" i="18"/>
  <c r="Y367" i="18"/>
  <c r="Y374" i="18"/>
  <c r="Y366" i="18"/>
  <c r="Y373" i="18"/>
  <c r="Y368" i="18"/>
  <c r="Y360" i="18"/>
  <c r="Y361" i="18"/>
  <c r="Y355" i="18"/>
  <c r="Y375" i="18"/>
  <c r="Y378" i="18"/>
  <c r="Y379" i="18"/>
  <c r="Y376" i="18"/>
  <c r="Y377" i="18"/>
  <c r="Y384" i="18"/>
  <c r="Y380" i="18"/>
  <c r="Y381" i="18"/>
  <c r="Y382" i="18"/>
  <c r="Y385" i="18"/>
  <c r="Y383" i="18"/>
  <c r="Y386" i="18"/>
  <c r="Y387" i="18"/>
  <c r="Y388" i="18"/>
  <c r="Y397" i="18"/>
  <c r="Y395" i="18"/>
  <c r="Y394" i="18"/>
  <c r="Y392" i="18"/>
  <c r="Y389" i="18"/>
  <c r="Y396" i="18"/>
  <c r="Y390" i="18"/>
  <c r="Y393" i="18"/>
  <c r="Y391" i="18"/>
  <c r="Y408" i="18"/>
  <c r="Y407" i="18"/>
  <c r="Y409" i="18"/>
  <c r="Y402" i="18"/>
  <c r="Y399" i="18"/>
  <c r="Y400" i="18"/>
  <c r="Y401" i="18"/>
  <c r="Y404" i="18"/>
  <c r="Y406" i="18"/>
  <c r="Y405" i="18"/>
  <c r="Y403" i="18"/>
  <c r="Y398" i="18"/>
  <c r="Y423" i="18"/>
  <c r="Y420" i="18"/>
  <c r="Y421" i="18"/>
  <c r="Y422" i="18"/>
  <c r="Y416" i="18"/>
  <c r="Y413" i="18"/>
  <c r="Y414" i="18"/>
  <c r="Y417" i="18"/>
  <c r="Y418" i="18"/>
  <c r="Y419" i="18"/>
  <c r="Y410" i="18"/>
  <c r="Y411" i="18"/>
  <c r="Y412" i="18"/>
  <c r="Y415" i="18"/>
  <c r="Y425" i="18"/>
  <c r="Y431" i="18"/>
  <c r="Y426" i="18"/>
  <c r="Y424" i="18"/>
  <c r="Y430" i="18"/>
  <c r="Y427" i="18"/>
  <c r="Y429" i="18"/>
  <c r="Y428" i="18"/>
  <c r="Y433" i="18"/>
  <c r="Y432" i="18"/>
  <c r="Y436" i="18"/>
  <c r="Y438" i="18"/>
  <c r="Y444" i="18"/>
  <c r="Y439" i="18"/>
  <c r="Y440" i="18"/>
  <c r="Y441" i="18"/>
  <c r="Y442" i="18"/>
  <c r="Y443" i="18"/>
  <c r="Y446" i="18"/>
  <c r="Y447" i="18"/>
  <c r="Y116" i="18"/>
  <c r="Y138" i="18"/>
  <c r="Y461" i="18"/>
  <c r="Y462" i="18"/>
  <c r="Y463" i="18"/>
  <c r="Y3" i="18"/>
  <c r="AT192" i="18" l="1"/>
  <c r="AT158" i="18"/>
  <c r="AT50" i="18"/>
  <c r="AT142" i="18"/>
  <c r="AT49" i="18"/>
  <c r="AT48" i="18"/>
  <c r="AT47" i="18"/>
  <c r="AT146" i="18"/>
  <c r="AT8" i="18"/>
  <c r="AT176" i="18"/>
  <c r="AT95" i="18"/>
  <c r="AT90" i="18"/>
  <c r="AT83" i="18"/>
  <c r="AT104" i="18"/>
  <c r="AT80" i="18"/>
  <c r="AT77" i="18"/>
  <c r="AT124" i="18"/>
  <c r="AT100" i="18"/>
  <c r="AT443" i="18"/>
  <c r="AT112" i="18"/>
  <c r="AT107" i="18"/>
  <c r="AT115" i="18"/>
  <c r="AT105" i="18"/>
  <c r="AT102" i="18"/>
  <c r="AT147" i="18"/>
  <c r="AT458" i="18"/>
  <c r="AT459" i="18"/>
  <c r="AT286" i="18"/>
  <c r="AT216" i="18"/>
  <c r="AT154" i="18"/>
  <c r="AT315" i="18"/>
  <c r="AT156" i="18"/>
  <c r="AT345" i="18"/>
  <c r="AT441" i="18"/>
  <c r="AT347" i="18"/>
  <c r="AT462" i="18"/>
  <c r="AT455" i="18"/>
  <c r="AT450" i="18"/>
  <c r="AT355" i="18"/>
  <c r="AT212" i="18"/>
  <c r="AT123" i="18"/>
  <c r="AT121" i="18"/>
  <c r="AT108" i="18"/>
  <c r="AT103" i="18"/>
  <c r="AT71" i="18"/>
  <c r="AT61" i="18"/>
  <c r="AT259" i="18"/>
  <c r="AT14" i="18"/>
  <c r="AT13" i="18"/>
  <c r="AT199" i="18"/>
  <c r="AT312" i="18"/>
  <c r="AT451" i="18"/>
  <c r="AT438" i="18"/>
  <c r="AT429" i="18"/>
  <c r="AT412" i="18"/>
  <c r="AT399" i="18"/>
  <c r="AT408" i="18"/>
  <c r="AT386" i="18"/>
  <c r="AT381" i="18"/>
  <c r="AT376" i="18"/>
  <c r="AT357" i="18"/>
  <c r="AT364" i="18"/>
  <c r="AT369" i="18"/>
  <c r="AT323" i="18"/>
  <c r="AT307" i="18"/>
  <c r="AT277" i="18"/>
  <c r="AT274" i="18"/>
  <c r="AT283" i="18"/>
  <c r="AT264" i="18"/>
  <c r="AT254" i="18"/>
  <c r="AT184" i="18"/>
  <c r="AT300" i="18"/>
  <c r="AT456" i="18"/>
  <c r="AT452" i="18"/>
  <c r="AT447" i="18"/>
  <c r="AT445" i="18"/>
  <c r="AT436" i="18"/>
  <c r="AT365" i="18"/>
  <c r="AT260" i="18"/>
  <c r="AT208" i="18"/>
  <c r="AT163" i="18"/>
  <c r="AT193" i="18"/>
  <c r="AT179" i="18"/>
  <c r="AT449" i="18"/>
  <c r="AT404" i="18"/>
  <c r="AT356" i="18"/>
  <c r="AT285" i="18"/>
  <c r="AT363" i="18"/>
  <c r="AT261" i="18"/>
  <c r="AT221" i="18"/>
  <c r="AT457" i="18"/>
  <c r="AT454" i="18"/>
  <c r="AT453" i="18"/>
  <c r="AT448" i="18"/>
  <c r="AT426" i="18"/>
  <c r="AT423" i="18"/>
  <c r="AT374" i="18"/>
  <c r="AT318" i="18"/>
  <c r="AT316" i="18"/>
  <c r="AT284" i="18"/>
  <c r="AT282" i="18"/>
  <c r="AT223" i="18"/>
  <c r="AT189" i="18"/>
  <c r="AT418" i="18"/>
  <c r="AT116" i="18"/>
  <c r="AT159" i="18"/>
  <c r="AT150" i="18"/>
  <c r="AT151" i="18"/>
  <c r="AT362" i="18"/>
  <c r="AT161" i="18"/>
  <c r="AT157" i="18"/>
  <c r="AT292" i="18"/>
  <c r="AT273" i="18"/>
  <c r="AT319" i="18"/>
  <c r="AT207" i="18"/>
  <c r="AT311" i="18"/>
  <c r="AT143" i="18"/>
  <c r="AT87" i="18"/>
  <c r="AT209" i="18"/>
  <c r="AT72" i="18"/>
  <c r="AT53" i="18"/>
  <c r="AT202" i="18"/>
  <c r="AT52" i="18"/>
  <c r="AT204" i="18"/>
  <c r="AT198" i="18"/>
  <c r="AT194" i="18"/>
  <c r="AT31" i="18"/>
  <c r="AT178" i="18"/>
  <c r="AT162" i="18"/>
  <c r="AT308" i="18"/>
  <c r="AT294" i="18"/>
  <c r="AT239" i="18"/>
  <c r="AT40" i="18"/>
  <c r="AT235" i="18"/>
  <c r="AT78" i="18"/>
  <c r="AT149" i="18"/>
  <c r="AT109" i="18"/>
  <c r="AT70" i="18"/>
  <c r="AT9" i="18"/>
  <c r="AT117" i="18"/>
  <c r="AT160" i="18"/>
  <c r="AT82" i="18"/>
  <c r="AT113" i="18"/>
  <c r="AT79" i="18"/>
  <c r="AT110" i="18"/>
  <c r="AT73" i="18"/>
  <c r="AT56" i="18"/>
  <c r="AT148" i="18"/>
  <c r="AT75" i="18"/>
  <c r="AT64" i="18"/>
  <c r="AT203" i="18"/>
  <c r="AT92" i="18"/>
  <c r="AT37" i="18"/>
  <c r="AT416" i="18"/>
  <c r="AT406" i="18"/>
  <c r="AT155" i="18"/>
  <c r="AT396" i="18"/>
  <c r="AT153" i="18"/>
  <c r="AT395" i="18"/>
  <c r="AT152" i="18"/>
  <c r="AT368" i="18"/>
  <c r="AT317" i="18"/>
  <c r="AT352" i="18"/>
  <c r="AT326" i="18"/>
  <c r="AT329" i="18"/>
  <c r="AT320" i="18"/>
  <c r="AT301" i="18"/>
  <c r="AT306" i="18"/>
  <c r="AT299" i="18"/>
  <c r="AT287" i="18"/>
  <c r="AT288" i="18"/>
  <c r="AT289" i="18"/>
  <c r="AT258" i="18"/>
  <c r="AT251" i="18"/>
  <c r="AT246" i="18"/>
  <c r="AT245" i="18"/>
  <c r="AT242" i="18"/>
  <c r="AT237" i="18"/>
  <c r="AT233" i="18"/>
  <c r="AT230" i="18"/>
  <c r="AT225" i="18"/>
  <c r="AT182" i="18"/>
  <c r="AT460" i="18"/>
  <c r="AT171" i="18"/>
  <c r="AT43" i="18"/>
  <c r="AT132" i="18"/>
  <c r="AT128" i="18"/>
  <c r="AT126" i="18"/>
  <c r="AT127" i="18"/>
  <c r="AT114" i="18"/>
  <c r="AT120" i="18"/>
  <c r="AT96" i="18"/>
  <c r="AT217" i="18"/>
  <c r="AT91" i="18"/>
  <c r="AT97" i="18"/>
  <c r="AT101" i="18"/>
  <c r="AT94" i="18"/>
  <c r="AT69" i="18"/>
  <c r="AT65" i="18"/>
  <c r="AT59" i="18"/>
  <c r="AT76" i="18"/>
  <c r="AT46" i="18"/>
  <c r="AT196" i="18"/>
  <c r="AT45" i="18"/>
  <c r="AT22" i="18"/>
  <c r="AT18" i="18"/>
  <c r="AT68" i="18"/>
  <c r="AT28" i="18"/>
  <c r="AT180" i="18"/>
  <c r="AT35" i="18"/>
  <c r="AT30" i="18"/>
  <c r="AT25" i="18"/>
  <c r="AT177" i="18"/>
  <c r="AT23" i="18"/>
  <c r="AT36" i="18"/>
  <c r="AT4" i="18"/>
  <c r="AT463" i="18"/>
  <c r="AT444" i="18"/>
  <c r="AT425" i="18"/>
  <c r="AT400" i="18"/>
  <c r="AT360" i="18"/>
  <c r="AT370" i="18"/>
  <c r="AT359" i="18"/>
  <c r="AT353" i="18"/>
  <c r="AT343" i="18"/>
  <c r="AT337" i="18"/>
  <c r="AT338" i="18"/>
  <c r="AT336" i="18"/>
  <c r="AT339" i="18"/>
  <c r="AT335" i="18"/>
  <c r="AT322" i="18"/>
  <c r="AT331" i="18"/>
  <c r="AT328" i="18"/>
  <c r="AT314" i="18"/>
  <c r="AT310" i="18"/>
  <c r="AT302" i="18"/>
  <c r="AT305" i="18"/>
  <c r="AT298" i="18"/>
  <c r="AT296" i="18"/>
  <c r="AT291" i="18"/>
  <c r="AT290" i="18"/>
  <c r="AT275" i="18"/>
  <c r="AT272" i="18"/>
  <c r="AT280" i="18"/>
  <c r="AT267" i="18"/>
  <c r="AT262" i="18"/>
  <c r="AT248" i="18"/>
  <c r="AT253" i="18"/>
  <c r="AT241" i="18"/>
  <c r="AT244" i="18"/>
  <c r="AT234" i="18"/>
  <c r="AT229" i="18"/>
  <c r="AT226" i="18"/>
  <c r="AT219" i="18"/>
  <c r="AT195" i="18"/>
  <c r="AT191" i="18"/>
  <c r="AT205" i="18"/>
  <c r="AT215" i="18"/>
  <c r="AT214" i="18"/>
  <c r="AT190" i="18"/>
  <c r="AT185" i="18"/>
  <c r="AT173" i="18"/>
  <c r="AT172" i="18"/>
  <c r="AT170" i="18"/>
  <c r="AT145" i="18"/>
  <c r="AT144" i="18"/>
  <c r="AT141" i="18"/>
  <c r="AT131" i="18"/>
  <c r="AT139" i="18"/>
  <c r="AT137" i="18"/>
  <c r="AT133" i="18"/>
  <c r="AT111" i="18"/>
  <c r="AT119" i="18"/>
  <c r="AT81" i="18"/>
  <c r="AT86" i="18"/>
  <c r="AT88" i="18"/>
  <c r="AT93" i="18"/>
  <c r="AT66" i="18"/>
  <c r="AT57" i="18"/>
  <c r="AT62" i="18"/>
  <c r="AT55" i="18"/>
  <c r="AT51" i="18"/>
  <c r="AT44" i="18"/>
  <c r="AT15" i="18"/>
  <c r="AT12" i="18"/>
  <c r="AT39" i="18"/>
  <c r="AT26" i="18"/>
  <c r="AT5" i="18"/>
  <c r="AT442" i="18"/>
  <c r="AT419" i="18"/>
  <c r="AT420" i="18"/>
  <c r="AT394" i="18"/>
  <c r="AT377" i="18"/>
  <c r="AT435" i="18"/>
  <c r="AT428" i="18"/>
  <c r="AT415" i="18"/>
  <c r="AT413" i="18"/>
  <c r="AT405" i="18"/>
  <c r="AT407" i="18"/>
  <c r="AT390" i="18"/>
  <c r="AT387" i="18"/>
  <c r="AT382" i="18"/>
  <c r="AT375" i="18"/>
  <c r="AT439" i="18"/>
  <c r="AT434" i="18"/>
  <c r="AT430" i="18"/>
  <c r="AT424" i="18"/>
  <c r="AT403" i="18"/>
  <c r="AT409" i="18"/>
  <c r="AT393" i="18"/>
  <c r="AT385" i="18"/>
  <c r="AT378" i="18"/>
  <c r="AT358" i="18"/>
  <c r="AT354" i="18"/>
  <c r="AT344" i="18"/>
  <c r="AT342" i="18"/>
  <c r="AT332" i="18"/>
  <c r="AT303" i="18"/>
  <c r="AT297" i="18"/>
  <c r="AT279" i="18"/>
  <c r="AT138" i="18"/>
  <c r="AT433" i="18"/>
  <c r="AT410" i="18"/>
  <c r="AT421" i="18"/>
  <c r="AT392" i="18"/>
  <c r="AT366" i="18"/>
  <c r="AT372" i="18"/>
  <c r="AT340" i="18"/>
  <c r="AT341" i="18"/>
  <c r="AT325" i="18"/>
  <c r="AT330" i="18"/>
  <c r="AT333" i="18"/>
  <c r="AT278" i="18"/>
  <c r="AT281" i="18"/>
  <c r="AT414" i="18"/>
  <c r="AT401" i="18"/>
  <c r="AT388" i="18"/>
  <c r="AT384" i="18"/>
  <c r="AT266" i="18"/>
  <c r="AT263" i="18"/>
  <c r="AT247" i="18"/>
  <c r="AT228" i="18"/>
  <c r="AT227" i="18"/>
  <c r="AT201" i="18"/>
  <c r="AT220" i="18"/>
  <c r="AT211" i="18"/>
  <c r="AT206" i="18"/>
  <c r="AT188" i="18"/>
  <c r="AT187" i="18"/>
  <c r="AT181" i="18"/>
  <c r="AT175" i="18"/>
  <c r="AT169" i="18"/>
  <c r="AT130" i="18"/>
  <c r="AT125" i="18"/>
  <c r="AT129" i="18"/>
  <c r="AT122" i="18"/>
  <c r="AT106" i="18"/>
  <c r="AT118" i="18"/>
  <c r="AT85" i="18"/>
  <c r="AT89" i="18"/>
  <c r="AT67" i="18"/>
  <c r="AT58" i="18"/>
  <c r="AT63" i="18"/>
  <c r="AT42" i="18"/>
  <c r="AT16" i="18"/>
  <c r="AT38" i="18"/>
  <c r="AT10" i="18"/>
  <c r="AT41" i="18"/>
  <c r="AT32" i="18"/>
  <c r="AT27" i="18"/>
  <c r="AT24" i="18"/>
  <c r="AT20" i="18"/>
  <c r="AT19" i="18"/>
  <c r="AT7" i="18"/>
  <c r="AT6" i="18"/>
  <c r="AT270" i="18"/>
  <c r="AT255" i="18"/>
  <c r="AT249" i="18"/>
  <c r="AT252" i="18"/>
  <c r="AT238" i="18"/>
  <c r="AT461" i="18"/>
  <c r="AT446" i="18"/>
  <c r="AT440" i="18"/>
  <c r="AT437" i="18"/>
  <c r="AT432" i="18"/>
  <c r="AT427" i="18"/>
  <c r="AT431" i="18"/>
  <c r="AT411" i="18"/>
  <c r="AT417" i="18"/>
  <c r="AT422" i="18"/>
  <c r="AT398" i="18"/>
  <c r="AT402" i="18"/>
  <c r="AT391" i="18"/>
  <c r="AT389" i="18"/>
  <c r="AT397" i="18"/>
  <c r="AT383" i="18"/>
  <c r="AT380" i="18"/>
  <c r="AT379" i="18"/>
  <c r="AT361" i="18"/>
  <c r="AT373" i="18"/>
  <c r="AT367" i="18"/>
  <c r="AT371" i="18"/>
  <c r="AT351" i="18"/>
  <c r="AT350" i="18"/>
  <c r="AT349" i="18"/>
  <c r="AT348" i="18"/>
  <c r="AT346" i="18"/>
  <c r="AT327" i="18"/>
  <c r="AT334" i="18"/>
  <c r="AT324" i="18"/>
  <c r="AT321" i="18"/>
  <c r="AT313" i="18"/>
  <c r="AT309" i="18"/>
  <c r="AT304" i="18"/>
  <c r="AT293" i="18"/>
  <c r="AT295" i="18"/>
  <c r="AT269" i="18"/>
  <c r="AT276" i="18"/>
  <c r="AT271" i="18"/>
  <c r="AT268" i="18"/>
  <c r="AT265" i="18"/>
  <c r="AT250" i="18"/>
  <c r="AT257" i="18"/>
  <c r="AT256" i="18"/>
  <c r="AT240" i="18"/>
  <c r="AT243" i="18"/>
  <c r="AT236" i="18"/>
  <c r="AT232" i="18"/>
  <c r="AT231" i="18"/>
  <c r="AT224" i="18"/>
  <c r="AT222" i="18"/>
  <c r="AT197" i="18"/>
  <c r="AT200" i="18"/>
  <c r="AT213" i="18"/>
  <c r="AT210" i="18"/>
  <c r="AT218" i="18"/>
  <c r="AT186" i="18"/>
  <c r="AT183" i="18"/>
  <c r="AT174" i="18"/>
  <c r="AT167" i="18"/>
  <c r="AT166" i="18"/>
  <c r="AT165" i="18"/>
  <c r="AT168" i="18"/>
  <c r="AT164" i="18"/>
  <c r="AT140" i="18"/>
  <c r="AT134" i="18"/>
  <c r="AT135" i="18"/>
  <c r="AT136" i="18"/>
  <c r="AT98" i="18"/>
  <c r="AT84" i="18"/>
  <c r="AT99" i="18"/>
  <c r="AT74" i="18"/>
  <c r="AT60" i="18"/>
  <c r="AT54" i="18"/>
  <c r="AT11" i="18"/>
  <c r="AT21" i="18"/>
  <c r="AT17" i="18"/>
  <c r="AT33" i="18"/>
  <c r="AT29" i="18"/>
  <c r="AT34" i="18"/>
  <c r="AT3" i="18"/>
  <c r="AR263" i="18"/>
  <c r="AR435" i="18"/>
  <c r="AR361" i="18"/>
  <c r="AR360" i="18"/>
  <c r="C13" i="6"/>
  <c r="K21" i="6"/>
  <c r="L21" i="6"/>
  <c r="AJ151" i="5"/>
  <c r="AJ152" i="5"/>
  <c r="AJ153" i="5"/>
  <c r="AJ154" i="5"/>
  <c r="AJ155" i="5"/>
  <c r="AJ156" i="5"/>
  <c r="AJ157" i="5"/>
  <c r="AJ158" i="5"/>
  <c r="AJ159" i="5"/>
  <c r="AJ190" i="5"/>
  <c r="AJ191" i="5"/>
  <c r="AJ192" i="5"/>
  <c r="AJ193" i="5"/>
  <c r="AJ194" i="5"/>
  <c r="AJ195" i="5"/>
  <c r="AJ135" i="5"/>
  <c r="AJ136" i="5"/>
  <c r="AJ137" i="5"/>
  <c r="AJ138" i="5"/>
  <c r="AJ139" i="5"/>
  <c r="AJ140" i="5"/>
  <c r="AJ99" i="5"/>
  <c r="AJ100" i="5"/>
  <c r="AJ101" i="5"/>
  <c r="AJ102" i="5"/>
  <c r="AJ103" i="5"/>
  <c r="AJ104" i="5"/>
  <c r="AJ105" i="5"/>
  <c r="AJ106" i="5"/>
  <c r="AJ107" i="5"/>
  <c r="AJ108" i="5"/>
  <c r="AJ109" i="5"/>
  <c r="AJ116" i="5"/>
  <c r="AJ117" i="5"/>
  <c r="AJ118" i="5"/>
  <c r="AJ119" i="5"/>
  <c r="AJ120" i="5"/>
  <c r="AJ121" i="5"/>
  <c r="AJ122" i="5"/>
  <c r="AJ123" i="5"/>
  <c r="AJ124" i="5"/>
  <c r="AJ125" i="5"/>
  <c r="AJ126" i="5"/>
  <c r="AJ127" i="5"/>
  <c r="AR164" i="18" l="1"/>
  <c r="AR144" i="18"/>
  <c r="AR165" i="18"/>
  <c r="AN361" i="18" l="1"/>
  <c r="AN184" i="18"/>
  <c r="AN144" i="18"/>
  <c r="AN360" i="18"/>
  <c r="AN165" i="18"/>
  <c r="AN164" i="18"/>
  <c r="AN183" i="18"/>
  <c r="AR70" i="18" l="1"/>
  <c r="AR136" i="18"/>
  <c r="AR133" i="18"/>
  <c r="AR366" i="18" l="1"/>
  <c r="J1" i="13" l="1"/>
  <c r="AR375" i="18" l="1"/>
  <c r="AN366" i="18" l="1"/>
  <c r="AN375" i="18"/>
  <c r="AN292" i="18"/>
  <c r="AR365" i="18" l="1"/>
  <c r="AR37" i="18" l="1"/>
  <c r="AR251" i="18" l="1"/>
  <c r="AR249" i="18"/>
  <c r="AR292" i="18" l="1"/>
  <c r="AR429" i="18" l="1"/>
  <c r="AA22" i="5" l="1"/>
  <c r="Z182" i="10"/>
  <c r="AA182" i="10"/>
  <c r="AB182" i="10"/>
  <c r="AC182" i="10"/>
  <c r="AD182" i="10"/>
  <c r="X182" i="10"/>
  <c r="AR240" i="18" l="1"/>
  <c r="N21" i="6"/>
  <c r="AJ206" i="5"/>
  <c r="AJ207" i="5"/>
  <c r="AJ208" i="5"/>
  <c r="AJ209" i="5"/>
  <c r="AJ210" i="5"/>
  <c r="AJ211" i="5"/>
  <c r="AJ212" i="5"/>
  <c r="AJ213" i="5"/>
  <c r="AJ214" i="5"/>
  <c r="AJ215" i="5"/>
  <c r="AJ216" i="5"/>
  <c r="AJ217" i="5"/>
  <c r="AJ218" i="5"/>
  <c r="AJ219" i="5"/>
  <c r="AJ220" i="5"/>
  <c r="AJ221" i="5"/>
  <c r="AJ222" i="5"/>
  <c r="AJ223" i="5"/>
  <c r="AJ224" i="5"/>
  <c r="AJ225" i="5"/>
  <c r="AJ226" i="5"/>
  <c r="AJ227" i="5"/>
  <c r="AJ228" i="5"/>
  <c r="AJ229" i="5"/>
  <c r="AJ230" i="5"/>
  <c r="AJ231" i="5"/>
  <c r="AJ232" i="5"/>
  <c r="AJ233" i="5"/>
  <c r="AJ234" i="5"/>
  <c r="AJ235" i="5"/>
  <c r="AJ236" i="5"/>
  <c r="AJ237" i="5"/>
  <c r="AJ238" i="5"/>
  <c r="AJ239" i="5"/>
  <c r="AJ240" i="5"/>
  <c r="AJ241" i="5"/>
  <c r="AJ242" i="5"/>
  <c r="AJ243" i="5"/>
  <c r="N13" i="6"/>
  <c r="AJ205" i="5"/>
  <c r="AJ150" i="5"/>
  <c r="AJ196" i="5" s="1"/>
  <c r="AJ134" i="5"/>
  <c r="AJ141" i="5" s="1"/>
  <c r="AJ115" i="5"/>
  <c r="AJ128" i="5" s="1"/>
  <c r="AJ98" i="5"/>
  <c r="AJ97" i="5"/>
  <c r="AJ96" i="5"/>
  <c r="AJ95" i="5"/>
  <c r="AJ94" i="5"/>
  <c r="AJ93" i="5"/>
  <c r="AJ92" i="5"/>
  <c r="AJ91" i="5"/>
  <c r="AJ90" i="5"/>
  <c r="AJ89" i="5"/>
  <c r="AJ88" i="5"/>
  <c r="AJ87" i="5"/>
  <c r="AJ86" i="5"/>
  <c r="AJ85" i="5"/>
  <c r="AJ84" i="5"/>
  <c r="AJ83" i="5"/>
  <c r="AJ82" i="5"/>
  <c r="AJ81" i="5"/>
  <c r="AJ80" i="5"/>
  <c r="AJ79" i="5"/>
  <c r="AJ78" i="5"/>
  <c r="AJ77" i="5"/>
  <c r="AJ76" i="5"/>
  <c r="AJ75" i="5"/>
  <c r="AJ74" i="5"/>
  <c r="AJ73" i="5"/>
  <c r="AJ72" i="5"/>
  <c r="AJ6" i="5"/>
  <c r="AJ7" i="5"/>
  <c r="AJ8" i="5"/>
  <c r="AJ9" i="5"/>
  <c r="AJ10" i="5"/>
  <c r="AJ11" i="5"/>
  <c r="AJ12" i="5"/>
  <c r="AJ13" i="5"/>
  <c r="AJ14" i="5"/>
  <c r="AJ15" i="5"/>
  <c r="AJ16" i="5"/>
  <c r="AJ17" i="5"/>
  <c r="AJ18" i="5"/>
  <c r="AJ19" i="5"/>
  <c r="AJ20" i="5"/>
  <c r="AJ21" i="5"/>
  <c r="AJ5" i="5"/>
  <c r="AJ38" i="5"/>
  <c r="AJ39" i="5"/>
  <c r="AJ40" i="5"/>
  <c r="AJ41" i="5"/>
  <c r="AJ42" i="5"/>
  <c r="AJ43" i="5"/>
  <c r="AJ44" i="5"/>
  <c r="AJ45" i="5"/>
  <c r="AJ46" i="5"/>
  <c r="AJ37" i="5"/>
  <c r="AJ36" i="5"/>
  <c r="AJ35" i="5"/>
  <c r="AJ34" i="5"/>
  <c r="AJ33" i="5"/>
  <c r="AJ32" i="5"/>
  <c r="AJ31" i="5"/>
  <c r="AJ30" i="5"/>
  <c r="AJ29" i="5"/>
  <c r="AJ28" i="5"/>
  <c r="AJ27" i="5"/>
  <c r="AJ53" i="5"/>
  <c r="AJ54" i="5"/>
  <c r="AJ55" i="5"/>
  <c r="AJ56" i="5"/>
  <c r="AJ57" i="5"/>
  <c r="AJ58" i="5"/>
  <c r="AJ59" i="5"/>
  <c r="AJ60" i="5"/>
  <c r="AJ65" i="5"/>
  <c r="AJ66" i="5"/>
  <c r="AJ52" i="5"/>
  <c r="AI67" i="5"/>
  <c r="AI47" i="5"/>
  <c r="AI22" i="5"/>
  <c r="AJ244" i="5" l="1"/>
  <c r="AJ22" i="5"/>
  <c r="AJ110" i="5"/>
  <c r="AJ47" i="5"/>
  <c r="AJ67" i="5"/>
  <c r="AJ143" i="5" l="1"/>
  <c r="W67" i="5"/>
  <c r="W47" i="5"/>
  <c r="Y47" i="5"/>
  <c r="Z47" i="5"/>
  <c r="AA47" i="5"/>
  <c r="AB47" i="5"/>
  <c r="AC47" i="5"/>
  <c r="AD47" i="5"/>
  <c r="AE47" i="5"/>
  <c r="AF47" i="5"/>
  <c r="AG47" i="5"/>
  <c r="AH47" i="5"/>
  <c r="W22" i="5"/>
  <c r="X22" i="5"/>
  <c r="Y22" i="5"/>
  <c r="Z22" i="5"/>
  <c r="AC22" i="5"/>
  <c r="AD22" i="5"/>
  <c r="AE22" i="5"/>
  <c r="AF22" i="5"/>
  <c r="AG22" i="5"/>
  <c r="AH22" i="5"/>
  <c r="K20" i="6" l="1"/>
  <c r="K22" i="6" s="1"/>
  <c r="L20" i="6"/>
  <c r="L22" i="6" s="1"/>
  <c r="N20" i="6"/>
  <c r="N22" i="6" l="1"/>
  <c r="N23" i="6" s="1"/>
  <c r="N24" i="6"/>
  <c r="AR247" i="18" l="1"/>
  <c r="AR250" i="18"/>
  <c r="AR248" i="18"/>
  <c r="AR358" i="18" l="1"/>
  <c r="AR58" i="18" l="1"/>
  <c r="AR12" i="18" l="1"/>
  <c r="AR359" i="18" l="1"/>
  <c r="AR348" i="18" l="1"/>
  <c r="AR424" i="18" l="1"/>
  <c r="AR14" i="18"/>
  <c r="E13" i="6"/>
  <c r="F13" i="6"/>
  <c r="G13" i="6"/>
  <c r="H13" i="6"/>
  <c r="I13" i="6"/>
  <c r="J13" i="6"/>
  <c r="M13" i="6"/>
  <c r="X181" i="10"/>
  <c r="C4" i="6" s="1"/>
  <c r="Y181" i="10"/>
  <c r="Z181" i="10"/>
  <c r="AA181" i="10"/>
  <c r="AB181" i="10"/>
  <c r="AC181" i="10"/>
  <c r="AC183" i="10" s="1"/>
  <c r="AD181" i="10"/>
  <c r="AE181" i="10"/>
  <c r="AF181" i="10"/>
  <c r="AH183" i="10"/>
  <c r="AI181" i="10"/>
  <c r="N4" i="6" s="1"/>
  <c r="D20" i="6"/>
  <c r="E20" i="6"/>
  <c r="F20" i="6"/>
  <c r="G20" i="6"/>
  <c r="H20" i="6"/>
  <c r="C20" i="6"/>
  <c r="C12" i="6"/>
  <c r="D12" i="6"/>
  <c r="E12" i="6"/>
  <c r="Y141" i="5"/>
  <c r="Z141" i="5"/>
  <c r="AA141" i="5"/>
  <c r="AB141" i="5"/>
  <c r="AC141" i="5"/>
  <c r="AD141" i="5"/>
  <c r="AE141" i="5"/>
  <c r="AF141" i="5"/>
  <c r="AG141" i="5"/>
  <c r="AH141" i="5"/>
  <c r="M20" i="6"/>
  <c r="J20" i="6"/>
  <c r="I20" i="6"/>
  <c r="F12" i="6"/>
  <c r="G12" i="6"/>
  <c r="H12" i="6"/>
  <c r="J12" i="6"/>
  <c r="K12" i="6"/>
  <c r="K14" i="6" s="1"/>
  <c r="L12" i="6"/>
  <c r="L14" i="6" s="1"/>
  <c r="N12" i="6"/>
  <c r="G67" i="5"/>
  <c r="G21" i="6"/>
  <c r="E21" i="6"/>
  <c r="C21" i="6"/>
  <c r="M21" i="6"/>
  <c r="I21" i="6"/>
  <c r="J21" i="6"/>
  <c r="H21" i="6"/>
  <c r="F21" i="6"/>
  <c r="D21" i="6"/>
  <c r="AG128" i="5"/>
  <c r="AE128" i="5"/>
  <c r="AC128" i="5"/>
  <c r="AA128" i="5"/>
  <c r="Y128" i="5"/>
  <c r="AG67" i="5"/>
  <c r="AE67" i="5"/>
  <c r="AC67" i="5"/>
  <c r="AA67" i="5"/>
  <c r="Y67" i="5"/>
  <c r="AF67" i="5"/>
  <c r="AD67" i="5"/>
  <c r="AB67" i="5"/>
  <c r="Z67" i="5"/>
  <c r="X67" i="5"/>
  <c r="AH128" i="5"/>
  <c r="AF128" i="5"/>
  <c r="AD128" i="5"/>
  <c r="AB128" i="5"/>
  <c r="Z128" i="5"/>
  <c r="X128" i="5"/>
  <c r="X47" i="5"/>
  <c r="AH67" i="5"/>
  <c r="O19" i="6"/>
  <c r="O11" i="6"/>
  <c r="O3" i="6"/>
  <c r="G47" i="5"/>
  <c r="G128" i="5"/>
  <c r="H128" i="5"/>
  <c r="E5" i="6" l="1"/>
  <c r="M5" i="6"/>
  <c r="D5" i="6"/>
  <c r="J5" i="6"/>
  <c r="L5" i="6"/>
  <c r="L4" i="6"/>
  <c r="AG183" i="10"/>
  <c r="K4" i="6"/>
  <c r="AF183" i="10"/>
  <c r="J4" i="6"/>
  <c r="AE183" i="10"/>
  <c r="X141" i="5"/>
  <c r="X143" i="5" s="1"/>
  <c r="G16" i="6"/>
  <c r="M12" i="6"/>
  <c r="M16" i="6" s="1"/>
  <c r="M4" i="6"/>
  <c r="K16" i="6"/>
  <c r="J16" i="6"/>
  <c r="H16" i="6"/>
  <c r="F16" i="6"/>
  <c r="D16" i="6"/>
  <c r="L16" i="6"/>
  <c r="I16" i="6"/>
  <c r="E16" i="6"/>
  <c r="AN37" i="18"/>
  <c r="AN365" i="18"/>
  <c r="K24" i="6"/>
  <c r="H24" i="6"/>
  <c r="D24" i="6"/>
  <c r="C16" i="6"/>
  <c r="I24" i="6"/>
  <c r="M24" i="6"/>
  <c r="F24" i="6"/>
  <c r="J24" i="6"/>
  <c r="L24" i="6"/>
  <c r="C24" i="6"/>
  <c r="G24" i="6"/>
  <c r="E24" i="6"/>
  <c r="N14" i="6"/>
  <c r="N15" i="6" s="1"/>
  <c r="N16" i="6"/>
  <c r="AD183" i="10"/>
  <c r="I4" i="6"/>
  <c r="AN249" i="18"/>
  <c r="AN251" i="18"/>
  <c r="AN240" i="18"/>
  <c r="AN429" i="18"/>
  <c r="G4" i="6"/>
  <c r="AB183" i="10"/>
  <c r="E4" i="6"/>
  <c r="Z183" i="10"/>
  <c r="X183" i="10"/>
  <c r="F4" i="6"/>
  <c r="AA183" i="10"/>
  <c r="D4" i="6"/>
  <c r="Y183" i="10"/>
  <c r="AD185" i="10"/>
  <c r="L23" i="6"/>
  <c r="H4" i="6"/>
  <c r="AN16" i="18"/>
  <c r="AN15" i="18"/>
  <c r="AN17" i="18"/>
  <c r="AN250" i="18"/>
  <c r="AN247" i="18"/>
  <c r="AN248" i="18"/>
  <c r="AI141" i="5"/>
  <c r="AN58" i="18"/>
  <c r="AN358" i="18"/>
  <c r="AN12" i="18"/>
  <c r="AN348" i="18"/>
  <c r="AN359" i="18"/>
  <c r="K23" i="6"/>
  <c r="J22" i="6"/>
  <c r="J23" i="6" s="1"/>
  <c r="I22" i="6"/>
  <c r="I23" i="6" s="1"/>
  <c r="M22" i="6"/>
  <c r="M23" i="6" s="1"/>
  <c r="AI128" i="5"/>
  <c r="G14" i="6"/>
  <c r="G15" i="6" s="1"/>
  <c r="C14" i="6"/>
  <c r="C15" i="6" s="1"/>
  <c r="O21" i="6"/>
  <c r="G22" i="6"/>
  <c r="G23" i="6" s="1"/>
  <c r="H22" i="6"/>
  <c r="H23" i="6" s="1"/>
  <c r="J14" i="6"/>
  <c r="J15" i="6" s="1"/>
  <c r="O13" i="6"/>
  <c r="F14" i="6"/>
  <c r="F15" i="6" s="1"/>
  <c r="I14" i="6"/>
  <c r="I15" i="6" s="1"/>
  <c r="D14" i="6"/>
  <c r="D15" i="6" s="1"/>
  <c r="L15" i="6"/>
  <c r="H14" i="6"/>
  <c r="H15" i="6" s="1"/>
  <c r="I5" i="6"/>
  <c r="K5" i="6"/>
  <c r="G5" i="6"/>
  <c r="H5" i="6"/>
  <c r="AR462" i="18"/>
  <c r="AR138" i="18"/>
  <c r="AR458" i="18"/>
  <c r="AR457" i="18"/>
  <c r="AR66" i="18"/>
  <c r="AR64" i="18"/>
  <c r="AR62" i="18"/>
  <c r="AR60" i="18"/>
  <c r="AR57" i="18"/>
  <c r="AR55" i="18"/>
  <c r="AR53" i="18"/>
  <c r="AR50" i="18"/>
  <c r="AR47" i="18"/>
  <c r="AR45" i="18"/>
  <c r="AR42" i="18"/>
  <c r="AR39" i="18"/>
  <c r="AR38" i="18"/>
  <c r="AR35" i="18"/>
  <c r="AR33" i="18"/>
  <c r="AR31" i="18"/>
  <c r="AR29" i="18"/>
  <c r="AR27" i="18"/>
  <c r="AR25" i="18"/>
  <c r="AR23" i="18"/>
  <c r="AR21" i="18"/>
  <c r="AR19" i="18"/>
  <c r="AR17" i="18"/>
  <c r="F22" i="6"/>
  <c r="F23" i="6" s="1"/>
  <c r="D22" i="6"/>
  <c r="D23" i="6" s="1"/>
  <c r="AR69" i="18"/>
  <c r="AR77" i="18"/>
  <c r="AR74" i="18"/>
  <c r="AR72" i="18"/>
  <c r="AR463" i="18"/>
  <c r="AR461" i="18"/>
  <c r="AR459" i="18"/>
  <c r="AR456" i="18"/>
  <c r="AR454" i="18"/>
  <c r="AR89" i="18"/>
  <c r="AR76" i="18"/>
  <c r="AR73" i="18"/>
  <c r="AR71" i="18"/>
  <c r="AR67" i="18"/>
  <c r="AR65" i="18"/>
  <c r="AR63" i="18"/>
  <c r="AR61" i="18"/>
  <c r="AR59" i="18"/>
  <c r="AR56" i="18"/>
  <c r="AR54" i="18"/>
  <c r="AR52" i="18"/>
  <c r="AR48" i="18"/>
  <c r="AR46" i="18"/>
  <c r="AR44" i="18"/>
  <c r="AR11" i="18"/>
  <c r="AR41" i="18"/>
  <c r="AR36" i="18"/>
  <c r="AR34" i="18"/>
  <c r="AR32" i="18"/>
  <c r="AR30" i="18"/>
  <c r="AR28" i="18"/>
  <c r="AR26" i="18"/>
  <c r="AR24" i="18"/>
  <c r="AR22" i="18"/>
  <c r="AR20" i="18"/>
  <c r="AR18" i="18"/>
  <c r="AR16" i="18"/>
  <c r="AR13" i="18"/>
  <c r="AR3" i="18"/>
  <c r="AR90" i="18"/>
  <c r="AR102" i="18"/>
  <c r="AR91" i="18"/>
  <c r="AR15" i="18"/>
  <c r="AR10" i="18"/>
  <c r="AR455" i="18"/>
  <c r="AN138" i="18"/>
  <c r="AN461" i="18"/>
  <c r="AN462" i="18"/>
  <c r="AN463" i="18"/>
  <c r="AN454" i="18"/>
  <c r="AN455" i="18"/>
  <c r="AN456" i="18"/>
  <c r="AN457" i="18"/>
  <c r="AN459" i="18"/>
  <c r="AN458" i="18"/>
  <c r="AN3" i="18"/>
  <c r="AN10" i="18"/>
  <c r="AN13" i="18"/>
  <c r="AN14" i="18"/>
  <c r="AN18" i="18"/>
  <c r="AN19" i="18"/>
  <c r="AN20" i="18"/>
  <c r="AN21" i="18"/>
  <c r="AN22" i="18"/>
  <c r="AN23" i="18"/>
  <c r="AN24" i="18"/>
  <c r="AN25" i="18"/>
  <c r="AN26" i="18"/>
  <c r="AN27" i="18"/>
  <c r="AN28" i="18"/>
  <c r="AN29" i="18"/>
  <c r="AN30" i="18"/>
  <c r="AN31" i="18"/>
  <c r="AN32" i="18"/>
  <c r="AN33" i="18"/>
  <c r="AN34" i="18"/>
  <c r="AN35" i="18"/>
  <c r="AN36" i="18"/>
  <c r="AN38" i="18"/>
  <c r="AN41" i="18"/>
  <c r="AN39" i="18"/>
  <c r="AN11" i="18"/>
  <c r="AN42" i="18"/>
  <c r="AN44" i="18"/>
  <c r="AN45" i="18"/>
  <c r="AN46" i="18"/>
  <c r="AN47" i="18"/>
  <c r="AN48" i="18"/>
  <c r="AN50" i="18"/>
  <c r="AN52" i="18"/>
  <c r="AN53" i="18"/>
  <c r="AN54" i="18"/>
  <c r="AN55" i="18"/>
  <c r="AN56" i="18"/>
  <c r="AN57" i="18"/>
  <c r="AN59" i="18"/>
  <c r="AN60" i="18"/>
  <c r="AN61" i="18"/>
  <c r="AN62" i="18"/>
  <c r="AN63" i="18"/>
  <c r="AN64" i="18"/>
  <c r="AN65" i="18"/>
  <c r="AN66" i="18"/>
  <c r="AN67" i="18"/>
  <c r="AN69" i="18"/>
  <c r="AN71" i="18"/>
  <c r="AN72" i="18"/>
  <c r="AN73" i="18"/>
  <c r="AN74" i="18"/>
  <c r="AN76" i="18"/>
  <c r="AN77" i="18"/>
  <c r="AN102" i="18"/>
  <c r="AN89" i="18"/>
  <c r="AN90" i="18"/>
  <c r="AN91" i="18"/>
  <c r="AN424" i="18"/>
  <c r="AN332" i="18"/>
  <c r="AN256" i="18"/>
  <c r="AN222" i="18"/>
  <c r="AN413" i="18"/>
  <c r="AN115" i="18"/>
  <c r="AR231" i="18"/>
  <c r="AR190" i="18"/>
  <c r="AR235" i="18"/>
  <c r="AR230" i="18"/>
  <c r="AR228" i="18"/>
  <c r="AR419" i="18"/>
  <c r="AR289" i="18"/>
  <c r="AR442" i="18"/>
  <c r="AR416" i="18"/>
  <c r="AR339" i="18"/>
  <c r="AR396" i="18"/>
  <c r="AR382" i="18"/>
  <c r="AR329" i="18"/>
  <c r="AR415" i="18"/>
  <c r="AR167" i="18"/>
  <c r="AR149" i="18"/>
  <c r="AR148" i="18"/>
  <c r="AR131" i="18"/>
  <c r="AR129" i="18"/>
  <c r="AN446" i="18"/>
  <c r="AN387" i="18"/>
  <c r="AN276" i="18"/>
  <c r="AN216" i="18"/>
  <c r="AN400" i="18"/>
  <c r="AN436" i="18"/>
  <c r="AN349" i="18"/>
  <c r="AN282" i="18"/>
  <c r="AN182" i="18"/>
  <c r="AR282" i="18"/>
  <c r="AR428" i="18"/>
  <c r="AR168" i="18"/>
  <c r="AR387" i="18"/>
  <c r="AR257" i="18"/>
  <c r="AR195" i="18"/>
  <c r="AR295" i="18"/>
  <c r="AR236" i="18"/>
  <c r="AR198" i="18"/>
  <c r="AR423" i="18"/>
  <c r="AR395" i="18"/>
  <c r="AR377" i="18"/>
  <c r="AR369" i="18"/>
  <c r="AR342" i="18"/>
  <c r="AR336" i="18"/>
  <c r="AR283" i="18"/>
  <c r="AR253" i="18"/>
  <c r="AR242" i="18"/>
  <c r="AR401" i="18"/>
  <c r="AR309" i="18"/>
  <c r="AR307" i="18"/>
  <c r="AR298" i="18"/>
  <c r="AR269" i="18"/>
  <c r="AR265" i="18"/>
  <c r="AR223" i="18"/>
  <c r="AR204" i="18"/>
  <c r="AR211" i="18"/>
  <c r="AR214" i="18"/>
  <c r="AR207" i="18"/>
  <c r="AR200" i="18"/>
  <c r="AR99" i="18"/>
  <c r="AR96" i="18"/>
  <c r="AR94" i="18"/>
  <c r="AR404" i="18"/>
  <c r="AR86" i="18"/>
  <c r="AR418" i="18"/>
  <c r="AR367" i="18"/>
  <c r="AR338" i="18"/>
  <c r="AR237" i="18"/>
  <c r="AR171" i="18"/>
  <c r="AR453" i="18"/>
  <c r="AR451" i="18"/>
  <c r="AR444" i="18"/>
  <c r="AR411" i="18"/>
  <c r="AR407" i="18"/>
  <c r="AR381" i="18"/>
  <c r="AR385" i="18"/>
  <c r="AR322" i="18"/>
  <c r="AR320" i="18"/>
  <c r="AR272" i="18"/>
  <c r="AR270" i="18"/>
  <c r="AR125" i="18"/>
  <c r="AR119" i="18"/>
  <c r="AR105" i="18"/>
  <c r="AR130" i="18"/>
  <c r="AN423" i="18"/>
  <c r="AN371" i="18"/>
  <c r="AN299" i="18"/>
  <c r="AN236" i="18"/>
  <c r="AN149" i="18"/>
  <c r="AN84" i="18"/>
  <c r="AR427" i="18"/>
  <c r="AR306" i="18"/>
  <c r="AR278" i="18"/>
  <c r="AR273" i="18"/>
  <c r="AR258" i="18"/>
  <c r="AR254" i="18"/>
  <c r="AR220" i="18"/>
  <c r="AR209" i="18"/>
  <c r="AR216" i="18"/>
  <c r="AR117" i="18"/>
  <c r="AR118" i="18"/>
  <c r="AR87" i="18"/>
  <c r="AR81" i="18"/>
  <c r="AR116" i="18"/>
  <c r="AR398" i="18"/>
  <c r="AR368" i="18"/>
  <c r="AR350" i="18"/>
  <c r="AR323" i="18"/>
  <c r="AR271" i="18"/>
  <c r="AR438" i="18"/>
  <c r="AR436" i="18"/>
  <c r="AR390" i="18"/>
  <c r="AR388" i="18"/>
  <c r="AR386" i="18"/>
  <c r="AR380" i="18"/>
  <c r="AR378" i="18"/>
  <c r="AR357" i="18"/>
  <c r="AR373" i="18"/>
  <c r="AR353" i="18"/>
  <c r="AR341" i="18"/>
  <c r="AR343" i="18"/>
  <c r="AR321" i="18"/>
  <c r="AR310" i="18"/>
  <c r="AR301" i="18"/>
  <c r="AR299" i="18"/>
  <c r="AR276" i="18"/>
  <c r="AR277" i="18"/>
  <c r="AR244" i="18"/>
  <c r="AR229" i="18"/>
  <c r="AR225" i="18"/>
  <c r="AR208" i="18"/>
  <c r="AR188" i="18"/>
  <c r="AR185" i="18"/>
  <c r="AR182" i="18"/>
  <c r="AR174" i="18"/>
  <c r="AR172" i="18"/>
  <c r="AR6" i="18"/>
  <c r="AR163" i="18"/>
  <c r="AR147" i="18"/>
  <c r="AR137" i="18"/>
  <c r="AR132" i="18"/>
  <c r="AR124" i="18"/>
  <c r="AR114" i="18"/>
  <c r="AR111" i="18"/>
  <c r="AR107" i="18"/>
  <c r="AR98" i="18"/>
  <c r="AR450" i="18"/>
  <c r="AR405" i="18"/>
  <c r="AR372" i="18"/>
  <c r="AR314" i="18"/>
  <c r="AR275" i="18"/>
  <c r="AR443" i="18"/>
  <c r="AR441" i="18"/>
  <c r="AR437" i="18"/>
  <c r="AR432" i="18"/>
  <c r="AR433" i="18"/>
  <c r="AR422" i="18"/>
  <c r="AR420" i="18"/>
  <c r="AR417" i="18"/>
  <c r="AR414" i="18"/>
  <c r="AR412" i="18"/>
  <c r="AR391" i="18"/>
  <c r="AR374" i="18"/>
  <c r="AR364" i="18"/>
  <c r="AR355" i="18"/>
  <c r="AR328" i="18"/>
  <c r="AR324" i="18"/>
  <c r="AR293" i="18"/>
  <c r="AR290" i="18"/>
  <c r="AR286" i="18"/>
  <c r="AR268" i="18"/>
  <c r="AR266" i="18"/>
  <c r="AR262" i="18"/>
  <c r="AR261" i="18"/>
  <c r="AR259" i="18"/>
  <c r="AR246" i="18"/>
  <c r="AR205" i="18"/>
  <c r="AR191" i="18"/>
  <c r="AR189" i="18"/>
  <c r="AR184" i="18"/>
  <c r="AR175" i="18"/>
  <c r="AR139" i="18"/>
  <c r="AR123" i="18"/>
  <c r="AR128" i="18"/>
  <c r="AR122" i="18"/>
  <c r="AR112" i="18"/>
  <c r="AR88" i="18"/>
  <c r="AR97" i="18"/>
  <c r="AR95" i="18"/>
  <c r="AR7" i="18"/>
  <c r="AR186" i="18"/>
  <c r="AR425" i="18"/>
  <c r="AR402" i="18"/>
  <c r="AR452" i="18"/>
  <c r="AR447" i="18"/>
  <c r="AR434" i="18"/>
  <c r="AR389" i="18"/>
  <c r="AR370" i="18"/>
  <c r="AR354" i="18"/>
  <c r="AR347" i="18"/>
  <c r="AR345" i="18"/>
  <c r="AR340" i="18"/>
  <c r="AR337" i="18"/>
  <c r="AR308" i="18"/>
  <c r="AR302" i="18"/>
  <c r="AR284" i="18"/>
  <c r="AR267" i="18"/>
  <c r="AR238" i="18"/>
  <c r="AR233" i="18"/>
  <c r="AR187" i="18"/>
  <c r="AR5" i="18"/>
  <c r="AR150" i="18"/>
  <c r="AR145" i="18"/>
  <c r="AR141" i="18"/>
  <c r="AR106" i="18"/>
  <c r="AR108" i="18"/>
  <c r="AR439" i="18"/>
  <c r="AR431" i="18"/>
  <c r="AR413" i="18"/>
  <c r="AR448" i="18"/>
  <c r="AR446" i="18"/>
  <c r="AR440" i="18"/>
  <c r="AR430" i="18"/>
  <c r="AR426" i="18"/>
  <c r="AR399" i="18"/>
  <c r="AR397" i="18"/>
  <c r="AR394" i="18"/>
  <c r="AR392" i="18"/>
  <c r="AR349" i="18"/>
  <c r="AR332" i="18"/>
  <c r="AR326" i="18"/>
  <c r="AR330" i="18"/>
  <c r="AR304" i="18"/>
  <c r="AR287" i="18"/>
  <c r="AR285" i="18"/>
  <c r="AR255" i="18"/>
  <c r="AR252" i="18"/>
  <c r="AR241" i="18"/>
  <c r="AR239" i="18"/>
  <c r="AR232" i="18"/>
  <c r="AR224" i="18"/>
  <c r="AR221" i="18"/>
  <c r="AR219" i="18"/>
  <c r="AR213" i="18"/>
  <c r="AR166" i="18"/>
  <c r="AR140" i="18"/>
  <c r="AR134" i="18"/>
  <c r="AR100" i="18"/>
  <c r="AR84" i="18"/>
  <c r="AR83" i="18"/>
  <c r="AR82" i="18"/>
  <c r="AR335" i="18"/>
  <c r="AR325" i="18"/>
  <c r="AR303" i="18"/>
  <c r="AR294" i="18"/>
  <c r="AR288" i="18"/>
  <c r="AR281" i="18"/>
  <c r="AR243" i="18"/>
  <c r="AR101" i="18"/>
  <c r="AR449" i="18"/>
  <c r="AR408" i="18"/>
  <c r="AR406" i="18"/>
  <c r="AR383" i="18"/>
  <c r="AR313" i="18"/>
  <c r="AN453" i="18"/>
  <c r="AN447" i="18"/>
  <c r="AN434" i="18"/>
  <c r="AN422" i="18"/>
  <c r="AN411" i="18"/>
  <c r="AN399" i="18"/>
  <c r="AN384" i="18"/>
  <c r="AN369" i="18"/>
  <c r="AN352" i="18"/>
  <c r="AN325" i="18"/>
  <c r="AN313" i="18"/>
  <c r="AN298" i="18"/>
  <c r="AN267" i="18"/>
  <c r="AN255" i="18"/>
  <c r="AN234" i="18"/>
  <c r="AN220" i="18"/>
  <c r="AN201" i="18"/>
  <c r="AN175" i="18"/>
  <c r="AN147" i="18"/>
  <c r="AN123" i="18"/>
  <c r="AN114" i="18"/>
  <c r="AN87" i="18"/>
  <c r="AN94" i="18"/>
  <c r="AN450" i="18"/>
  <c r="AN441" i="18"/>
  <c r="AN430" i="18"/>
  <c r="AN418" i="18"/>
  <c r="AN407" i="18"/>
  <c r="AN395" i="18"/>
  <c r="AN385" i="18"/>
  <c r="AN354" i="18"/>
  <c r="AN343" i="18"/>
  <c r="AN327" i="18"/>
  <c r="AN307" i="18"/>
  <c r="AN291" i="18"/>
  <c r="AN277" i="18"/>
  <c r="AN262" i="18"/>
  <c r="AN244" i="18"/>
  <c r="AN229" i="18"/>
  <c r="AN213" i="18"/>
  <c r="AN190" i="18"/>
  <c r="AN167" i="18"/>
  <c r="AN134" i="18"/>
  <c r="AN126" i="18"/>
  <c r="AN105" i="18"/>
  <c r="AN449" i="18"/>
  <c r="AN440" i="18"/>
  <c r="AN427" i="18"/>
  <c r="AN417" i="18"/>
  <c r="AN406" i="18"/>
  <c r="AN392" i="18"/>
  <c r="AN377" i="18"/>
  <c r="AN353" i="18"/>
  <c r="AN336" i="18"/>
  <c r="AN324" i="18"/>
  <c r="AN305" i="18"/>
  <c r="AN289" i="18"/>
  <c r="AN274" i="18"/>
  <c r="AN239" i="18"/>
  <c r="AN228" i="18"/>
  <c r="AN205" i="18"/>
  <c r="AN187" i="18"/>
  <c r="AN169" i="18"/>
  <c r="AN139" i="18"/>
  <c r="AN122" i="18"/>
  <c r="AN103" i="18"/>
  <c r="AN99" i="18"/>
  <c r="AN116" i="18"/>
  <c r="AN452" i="18"/>
  <c r="AN448" i="18"/>
  <c r="AN443" i="18"/>
  <c r="AN439" i="18"/>
  <c r="AN432" i="18"/>
  <c r="AN426" i="18"/>
  <c r="AN421" i="18"/>
  <c r="AN415" i="18"/>
  <c r="AN410" i="18"/>
  <c r="AN403" i="18"/>
  <c r="AN397" i="18"/>
  <c r="AN391" i="18"/>
  <c r="AN383" i="18"/>
  <c r="AN378" i="18"/>
  <c r="AN367" i="18"/>
  <c r="AN355" i="18"/>
  <c r="AN342" i="18"/>
  <c r="AN339" i="18"/>
  <c r="AN331" i="18"/>
  <c r="AN321" i="18"/>
  <c r="AN310" i="18"/>
  <c r="AN304" i="18"/>
  <c r="AN295" i="18"/>
  <c r="AN287" i="18"/>
  <c r="AN281" i="18"/>
  <c r="AN272" i="18"/>
  <c r="AN266" i="18"/>
  <c r="AN260" i="18"/>
  <c r="AN252" i="18"/>
  <c r="AN243" i="18"/>
  <c r="AN233" i="18"/>
  <c r="AN225" i="18"/>
  <c r="AN210" i="18"/>
  <c r="AN208" i="18"/>
  <c r="AN198" i="18"/>
  <c r="AN185" i="18"/>
  <c r="AN173" i="18"/>
  <c r="AN5" i="18"/>
  <c r="AN145" i="18"/>
  <c r="AN129" i="18"/>
  <c r="AN106" i="18"/>
  <c r="AN112" i="18"/>
  <c r="AN83" i="18"/>
  <c r="AN101" i="18"/>
  <c r="AN96" i="18"/>
  <c r="AN451" i="18"/>
  <c r="AN444" i="18"/>
  <c r="AN442" i="18"/>
  <c r="AN437" i="18"/>
  <c r="AN431" i="18"/>
  <c r="AN425" i="18"/>
  <c r="AN419" i="18"/>
  <c r="AN414" i="18"/>
  <c r="AN409" i="18"/>
  <c r="AN405" i="18"/>
  <c r="AN396" i="18"/>
  <c r="AN389" i="18"/>
  <c r="AN380" i="18"/>
  <c r="AN374" i="18"/>
  <c r="AN357" i="18"/>
  <c r="AN350" i="18"/>
  <c r="AN340" i="18"/>
  <c r="AN335" i="18"/>
  <c r="AN329" i="18"/>
  <c r="AN320" i="18"/>
  <c r="AN309" i="18"/>
  <c r="AN302" i="18"/>
  <c r="AN294" i="18"/>
  <c r="AN286" i="18"/>
  <c r="AN278" i="18"/>
  <c r="AN270" i="18"/>
  <c r="AN265" i="18"/>
  <c r="AN258" i="18"/>
  <c r="AN246" i="18"/>
  <c r="AN238" i="18"/>
  <c r="AN230" i="18"/>
  <c r="AN224" i="18"/>
  <c r="AN204" i="18"/>
  <c r="AN214" i="18"/>
  <c r="AN191" i="18"/>
  <c r="AN171" i="18"/>
  <c r="AN163" i="18"/>
  <c r="AN141" i="18"/>
  <c r="AN128" i="18"/>
  <c r="AN119" i="18"/>
  <c r="AN107" i="18"/>
  <c r="AN95" i="18"/>
  <c r="AN98" i="18"/>
  <c r="AN86" i="18"/>
  <c r="C22" i="6"/>
  <c r="C23" i="6" s="1"/>
  <c r="O20" i="6"/>
  <c r="E22" i="6"/>
  <c r="E23" i="6" s="1"/>
  <c r="E14" i="6"/>
  <c r="E15" i="6" s="1"/>
  <c r="AR400" i="18"/>
  <c r="AR376" i="18"/>
  <c r="AR371" i="18"/>
  <c r="AR327" i="18"/>
  <c r="AR297" i="18"/>
  <c r="AR291" i="18"/>
  <c r="AR256" i="18"/>
  <c r="AR227" i="18"/>
  <c r="AR222" i="18"/>
  <c r="AR169" i="18"/>
  <c r="AR127" i="18"/>
  <c r="AR121" i="18"/>
  <c r="AR421" i="18"/>
  <c r="AR384" i="18"/>
  <c r="AR344" i="18"/>
  <c r="AR352" i="18"/>
  <c r="AR305" i="18"/>
  <c r="AR280" i="18"/>
  <c r="AR274" i="18"/>
  <c r="AR234" i="18"/>
  <c r="AR201" i="18"/>
  <c r="AR135" i="18"/>
  <c r="AR104" i="18"/>
  <c r="AR85" i="18"/>
  <c r="AR410" i="18"/>
  <c r="AR403" i="18"/>
  <c r="AR334" i="18"/>
  <c r="AR331" i="18"/>
  <c r="AR264" i="18"/>
  <c r="AR260" i="18"/>
  <c r="AR210" i="18"/>
  <c r="AR183" i="18"/>
  <c r="AR173" i="18"/>
  <c r="AR115" i="18"/>
  <c r="AR80" i="18"/>
  <c r="AR93" i="18"/>
  <c r="AR409" i="18"/>
  <c r="AR393" i="18"/>
  <c r="AR379" i="18"/>
  <c r="AR351" i="18"/>
  <c r="AR333" i="18"/>
  <c r="AR318" i="18"/>
  <c r="AR296" i="18"/>
  <c r="AR279" i="18"/>
  <c r="AR245" i="18"/>
  <c r="AR226" i="18"/>
  <c r="AR212" i="18"/>
  <c r="AR181" i="18"/>
  <c r="AR4" i="18"/>
  <c r="AR126" i="18"/>
  <c r="AR103" i="18"/>
  <c r="AR79" i="18"/>
  <c r="AN186" i="18"/>
  <c r="AN80" i="18"/>
  <c r="AN81" i="18"/>
  <c r="AN85" i="18"/>
  <c r="AN79" i="18"/>
  <c r="AN82" i="18"/>
  <c r="AN104" i="18"/>
  <c r="AN111" i="18"/>
  <c r="AN118" i="18"/>
  <c r="AN121" i="18"/>
  <c r="AN127" i="18"/>
  <c r="AN125" i="18"/>
  <c r="AN131" i="18"/>
  <c r="AN4" i="18"/>
  <c r="AN150" i="18"/>
  <c r="AN6" i="18"/>
  <c r="AN168" i="18"/>
  <c r="AN174" i="18"/>
  <c r="AN188" i="18"/>
  <c r="AN195" i="18"/>
  <c r="AN207" i="18"/>
  <c r="AN211" i="18"/>
  <c r="AN219" i="18"/>
  <c r="AN223" i="18"/>
  <c r="AN227" i="18"/>
  <c r="AN231" i="18"/>
  <c r="AN235" i="18"/>
  <c r="AN242" i="18"/>
  <c r="AN241" i="18"/>
  <c r="AN253" i="18"/>
  <c r="AN257" i="18"/>
  <c r="AN261" i="18"/>
  <c r="AN264" i="18"/>
  <c r="AN268" i="18"/>
  <c r="AN271" i="18"/>
  <c r="AN275" i="18"/>
  <c r="AN280" i="18"/>
  <c r="AN284" i="18"/>
  <c r="AN288" i="18"/>
  <c r="AN293" i="18"/>
  <c r="AN297" i="18"/>
  <c r="AN301" i="18"/>
  <c r="AN306" i="18"/>
  <c r="AN314" i="18"/>
  <c r="AN322" i="18"/>
  <c r="AN328" i="18"/>
  <c r="AN326" i="18"/>
  <c r="AN334" i="18"/>
  <c r="AN337" i="18"/>
  <c r="AN341" i="18"/>
  <c r="AN347" i="18"/>
  <c r="AN344" i="18"/>
  <c r="AN373" i="18"/>
  <c r="AN368" i="18"/>
  <c r="AN372" i="18"/>
  <c r="AN376" i="18"/>
  <c r="AN381" i="18"/>
  <c r="AN386" i="18"/>
  <c r="AN390" i="18"/>
  <c r="AN394" i="18"/>
  <c r="AN398" i="18"/>
  <c r="AN401" i="18"/>
  <c r="AN438" i="18"/>
  <c r="AN435" i="18"/>
  <c r="AN428" i="18"/>
  <c r="AN433" i="18"/>
  <c r="AN420" i="18"/>
  <c r="AN416" i="18"/>
  <c r="AN412" i="18"/>
  <c r="AN408" i="18"/>
  <c r="AN402" i="18"/>
  <c r="AN404" i="18"/>
  <c r="AN393" i="18"/>
  <c r="AN388" i="18"/>
  <c r="AN382" i="18"/>
  <c r="AN379" i="18"/>
  <c r="AN370" i="18"/>
  <c r="AN364" i="18"/>
  <c r="AN351" i="18"/>
  <c r="AN345" i="18"/>
  <c r="AN338" i="18"/>
  <c r="AN333" i="18"/>
  <c r="AN330" i="18"/>
  <c r="AN323" i="18"/>
  <c r="AN318" i="18"/>
  <c r="AN308" i="18"/>
  <c r="AN303" i="18"/>
  <c r="AN296" i="18"/>
  <c r="AN290" i="18"/>
  <c r="AN285" i="18"/>
  <c r="AN279" i="18"/>
  <c r="AN273" i="18"/>
  <c r="AN269" i="18"/>
  <c r="AN263" i="18"/>
  <c r="AN259" i="18"/>
  <c r="AN254" i="18"/>
  <c r="AN245" i="18"/>
  <c r="AN237" i="18"/>
  <c r="AN232" i="18"/>
  <c r="AN226" i="18"/>
  <c r="AN221" i="18"/>
  <c r="AN209" i="18"/>
  <c r="AN212" i="18"/>
  <c r="AN200" i="18"/>
  <c r="AN189" i="18"/>
  <c r="AN181" i="18"/>
  <c r="AN172" i="18"/>
  <c r="AN166" i="18"/>
  <c r="AN148" i="18"/>
  <c r="AN140" i="18"/>
  <c r="AN130" i="18"/>
  <c r="AN124" i="18"/>
  <c r="AN117" i="18"/>
  <c r="AN108" i="18"/>
  <c r="AN100" i="18"/>
  <c r="AN97" i="18"/>
  <c r="AN88" i="18"/>
  <c r="AN93" i="18"/>
  <c r="AN7" i="18"/>
  <c r="L6" i="6" l="1"/>
  <c r="L7" i="6" s="1"/>
  <c r="J8" i="6"/>
  <c r="K6" i="6"/>
  <c r="C5" i="6"/>
  <c r="E8" i="6"/>
  <c r="H6" i="6"/>
  <c r="H7" i="6" s="1"/>
  <c r="G6" i="6"/>
  <c r="G7" i="6" s="1"/>
  <c r="M14" i="6"/>
  <c r="M15" i="6" s="1"/>
  <c r="K15" i="6"/>
  <c r="O12" i="6"/>
  <c r="O16" i="6" s="1"/>
  <c r="K8" i="6"/>
  <c r="M8" i="6"/>
  <c r="E6" i="6"/>
  <c r="E7" i="6" s="1"/>
  <c r="O24" i="6"/>
  <c r="L8" i="6"/>
  <c r="D6" i="6"/>
  <c r="D7" i="6" s="1"/>
  <c r="M6" i="6"/>
  <c r="M7" i="6" s="1"/>
  <c r="J6" i="6"/>
  <c r="J7" i="6" s="1"/>
  <c r="H8" i="6"/>
  <c r="D8" i="6"/>
  <c r="G8" i="6"/>
  <c r="I6" i="6"/>
  <c r="I7" i="6" s="1"/>
  <c r="I8" i="6"/>
  <c r="O4" i="6"/>
  <c r="F5" i="6"/>
  <c r="F6" i="6" s="1"/>
  <c r="O22" i="6"/>
  <c r="O23" i="6" s="1"/>
  <c r="AR1" i="18"/>
  <c r="N5" i="6"/>
  <c r="C6" i="6" l="1"/>
  <c r="C7" i="6" s="1"/>
  <c r="C8" i="6"/>
  <c r="O14" i="6"/>
  <c r="O15" i="6" s="1"/>
  <c r="K7" i="6"/>
  <c r="O5" i="6"/>
  <c r="O8" i="6" s="1"/>
  <c r="N6" i="6"/>
  <c r="N7" i="6" s="1"/>
  <c r="N8" i="6"/>
  <c r="F8" i="6"/>
  <c r="F7" i="6"/>
  <c r="O6" i="6" l="1"/>
  <c r="O7" i="6" s="1"/>
</calcChain>
</file>

<file path=xl/comments1.xml><?xml version="1.0" encoding="utf-8"?>
<comments xmlns="http://schemas.openxmlformats.org/spreadsheetml/2006/main">
  <authors>
    <author>bnunez</author>
    <author>Adrián de Haro Ortega</author>
  </authors>
  <commentList>
    <comment ref="R40" authorId="0" shapeId="0">
      <text>
        <r>
          <rPr>
            <b/>
            <sz val="9"/>
            <color indexed="81"/>
            <rFont val="Tahoma"/>
            <family val="2"/>
          </rPr>
          <t>bnunez:</t>
        </r>
        <r>
          <rPr>
            <sz val="9"/>
            <color indexed="81"/>
            <rFont val="Tahoma"/>
            <family val="2"/>
          </rPr>
          <t xml:space="preserve">
Lectura inicial</t>
        </r>
      </text>
    </comment>
    <comment ref="L58" authorId="1" shapeId="0">
      <text>
        <r>
          <rPr>
            <b/>
            <sz val="9"/>
            <color indexed="81"/>
            <rFont val="Tahoma"/>
            <family val="2"/>
          </rPr>
          <t>Adrián de Haro Ortega:</t>
        </r>
        <r>
          <rPr>
            <sz val="9"/>
            <color indexed="81"/>
            <rFont val="Tahoma"/>
            <family val="2"/>
          </rPr>
          <t xml:space="preserve">
Cambiada, la dio Toni</t>
        </r>
      </text>
    </comment>
    <comment ref="P58" authorId="0" shapeId="0">
      <text>
        <r>
          <rPr>
            <b/>
            <sz val="9"/>
            <color indexed="81"/>
            <rFont val="Tahoma"/>
            <family val="2"/>
          </rPr>
          <t>bnunez:</t>
        </r>
        <r>
          <rPr>
            <sz val="9"/>
            <color indexed="81"/>
            <rFont val="Tahoma"/>
            <family val="2"/>
          </rPr>
          <t xml:space="preserve">
lectura errónea del contador situado en hornacina exterior, reclamación por parte del cliente que se niega a pagar la factura</t>
        </r>
      </text>
    </comment>
    <comment ref="Q58" authorId="0" shapeId="0">
      <text>
        <r>
          <rPr>
            <b/>
            <sz val="9"/>
            <color indexed="81"/>
            <rFont val="Tahoma"/>
            <family val="2"/>
          </rPr>
          <t>bnunez:</t>
        </r>
        <r>
          <rPr>
            <sz val="9"/>
            <color indexed="81"/>
            <rFont val="Tahoma"/>
            <family val="2"/>
          </rPr>
          <t xml:space="preserve">
esta lectura es correcta, está tomada del contador interior, según mantenimiento Gandia están en vías de solucionar lo del contador exterior</t>
        </r>
      </text>
    </comment>
    <comment ref="I67" authorId="0" shapeId="0">
      <text>
        <r>
          <rPr>
            <b/>
            <sz val="9"/>
            <color indexed="81"/>
            <rFont val="Tahoma"/>
            <family val="2"/>
          </rPr>
          <t>bnunez:</t>
        </r>
        <r>
          <rPr>
            <sz val="9"/>
            <color indexed="81"/>
            <rFont val="Tahoma"/>
            <family val="2"/>
          </rPr>
          <t xml:space="preserve">
contador averiado pendiente intervención Iberdrola (sept-18)</t>
        </r>
      </text>
    </comment>
    <comment ref="L67" authorId="1" shapeId="0">
      <text>
        <r>
          <rPr>
            <b/>
            <sz val="8"/>
            <color indexed="81"/>
            <rFont val="Tahoma"/>
            <family val="2"/>
          </rPr>
          <t>Adrián de Haro Ortega:</t>
        </r>
        <r>
          <rPr>
            <sz val="8"/>
            <color indexed="81"/>
            <rFont val="Tahoma"/>
            <family val="2"/>
          </rPr>
          <t xml:space="preserve">
la media a mano, no se tomo ese mes</t>
        </r>
      </text>
    </comment>
    <comment ref="R67" authorId="0" shapeId="0">
      <text>
        <r>
          <rPr>
            <b/>
            <sz val="9"/>
            <color indexed="81"/>
            <rFont val="Tahoma"/>
            <family val="2"/>
          </rPr>
          <t>bnunez:</t>
        </r>
        <r>
          <rPr>
            <sz val="9"/>
            <color indexed="81"/>
            <rFont val="Tahoma"/>
            <family val="2"/>
          </rPr>
          <t xml:space="preserve">
según email del 14/08/2018 de Antonio Mtez. Trigo, sin lectura por avería tras tormenta eléctrica, pendiente de reparación</t>
        </r>
      </text>
    </comment>
    <comment ref="S67" authorId="0" shapeId="0">
      <text>
        <r>
          <rPr>
            <b/>
            <sz val="9"/>
            <color indexed="81"/>
            <rFont val="Tahoma"/>
            <family val="2"/>
          </rPr>
          <t>bnunez:</t>
        </r>
        <r>
          <rPr>
            <sz val="9"/>
            <color indexed="81"/>
            <rFont val="Tahoma"/>
            <family val="2"/>
          </rPr>
          <t xml:space="preserve">
se retira por avería el 26/09/18 y se sustituye por el contador 49311166
</t>
        </r>
      </text>
    </comment>
    <comment ref="C70" authorId="1" shapeId="0">
      <text>
        <r>
          <rPr>
            <b/>
            <sz val="9"/>
            <color indexed="81"/>
            <rFont val="Tahoma"/>
            <family val="2"/>
          </rPr>
          <t>Adrián de Haro Ortega:</t>
        </r>
        <r>
          <rPr>
            <sz val="9"/>
            <color indexed="81"/>
            <rFont val="Tahoma"/>
            <family val="2"/>
          </rPr>
          <t xml:space="preserve">
Añadido el 21/11/17 con Ignacio Ozaeta</t>
        </r>
      </text>
    </comment>
    <comment ref="P70" authorId="0" shapeId="0">
      <text>
        <r>
          <rPr>
            <b/>
            <sz val="9"/>
            <color indexed="81"/>
            <rFont val="Tahoma"/>
            <family val="2"/>
          </rPr>
          <t>bnunez:</t>
        </r>
        <r>
          <rPr>
            <sz val="9"/>
            <color indexed="81"/>
            <rFont val="Tahoma"/>
            <family val="2"/>
          </rPr>
          <t xml:space="preserve">
no se facturó en Junio, la lectura de Junio era 1450134</t>
        </r>
      </text>
    </comment>
    <comment ref="AH70" authorId="0" shapeId="0">
      <text>
        <r>
          <rPr>
            <b/>
            <sz val="9"/>
            <color indexed="81"/>
            <rFont val="Tahoma"/>
            <family val="2"/>
          </rPr>
          <t>bnunez:</t>
        </r>
        <r>
          <rPr>
            <sz val="9"/>
            <color indexed="81"/>
            <rFont val="Tahoma"/>
            <family val="2"/>
          </rPr>
          <t xml:space="preserve">
Equipo de medida averiado, no se puede tomar lectura, pendiente de reparación para Noviembre</t>
        </r>
      </text>
    </comment>
    <comment ref="S75" authorId="0" shapeId="0">
      <text>
        <r>
          <rPr>
            <b/>
            <sz val="9"/>
            <color indexed="81"/>
            <rFont val="Tahoma"/>
            <family val="2"/>
          </rPr>
          <t>bnunez:</t>
        </r>
        <r>
          <rPr>
            <sz val="9"/>
            <color indexed="81"/>
            <rFont val="Tahoma"/>
            <family val="2"/>
          </rPr>
          <t xml:space="preserve">
lectura 1158864, facturan la misma que el mes anterior, consumo 0</t>
        </r>
      </text>
    </comment>
    <comment ref="O90" authorId="1" shapeId="0">
      <text>
        <r>
          <rPr>
            <b/>
            <sz val="9"/>
            <color indexed="81"/>
            <rFont val="Tahoma"/>
            <family val="2"/>
          </rPr>
          <t>Adrián de Haro Ortega:</t>
        </r>
        <r>
          <rPr>
            <sz val="9"/>
            <color indexed="81"/>
            <rFont val="Tahoma"/>
            <family val="2"/>
          </rPr>
          <t xml:space="preserve">
A partir de ahora solo se le facturara a SALVAMENTO (39473) el 100%</t>
        </r>
      </text>
    </comment>
    <comment ref="T117" authorId="0" shapeId="0">
      <text>
        <r>
          <rPr>
            <b/>
            <sz val="9"/>
            <color indexed="81"/>
            <rFont val="Tahoma"/>
            <family val="2"/>
          </rPr>
          <t>bnunez:</t>
        </r>
        <r>
          <rPr>
            <sz val="9"/>
            <color indexed="81"/>
            <rFont val="Tahoma"/>
            <family val="2"/>
          </rPr>
          <t xml:space="preserve">
DAR DE BAJA POR INDICACIÓN DE MANOLO CASTILLO (17/10/18)</t>
        </r>
      </text>
    </comment>
    <comment ref="S118" authorId="0" shapeId="0">
      <text>
        <r>
          <rPr>
            <b/>
            <sz val="9"/>
            <color indexed="81"/>
            <rFont val="Tahoma"/>
            <family val="2"/>
          </rPr>
          <t>bnunez:</t>
        </r>
        <r>
          <rPr>
            <sz val="9"/>
            <color indexed="81"/>
            <rFont val="Tahoma"/>
            <family val="2"/>
          </rPr>
          <t xml:space="preserve">
lectura 11352</t>
        </r>
      </text>
    </comment>
    <comment ref="T118" authorId="0" shapeId="0">
      <text>
        <r>
          <rPr>
            <b/>
            <sz val="9"/>
            <color indexed="81"/>
            <rFont val="Tahoma"/>
            <family val="2"/>
          </rPr>
          <t>bnunez:</t>
        </r>
        <r>
          <rPr>
            <sz val="9"/>
            <color indexed="81"/>
            <rFont val="Tahoma"/>
            <family val="2"/>
          </rPr>
          <t xml:space="preserve">
Lectura 14952, tras hablar con Raúl (Sgto.) no se factura, a esta lectura le falta realizar un ajuste manual que hace Manolo Castillo todos los meses</t>
        </r>
      </text>
    </comment>
    <comment ref="V121" authorId="0" shapeId="0">
      <text>
        <r>
          <rPr>
            <b/>
            <sz val="9"/>
            <color indexed="81"/>
            <rFont val="Tahoma"/>
            <family val="2"/>
          </rPr>
          <t>bnunez:</t>
        </r>
        <r>
          <rPr>
            <sz val="9"/>
            <color indexed="81"/>
            <rFont val="Tahoma"/>
            <family val="2"/>
          </rPr>
          <t xml:space="preserve">
informa Manolo Castillo que no hay contador</t>
        </r>
      </text>
    </comment>
    <comment ref="S124" authorId="0" shapeId="0">
      <text>
        <r>
          <rPr>
            <b/>
            <sz val="9"/>
            <color indexed="81"/>
            <rFont val="Tahoma"/>
            <family val="2"/>
          </rPr>
          <t>bnunez:</t>
        </r>
        <r>
          <rPr>
            <sz val="9"/>
            <color indexed="81"/>
            <rFont val="Tahoma"/>
            <family val="2"/>
          </rPr>
          <t xml:space="preserve">
lectura 4376, facturan la misma que el mes anterior, consumo 0</t>
        </r>
      </text>
    </comment>
    <comment ref="C133" authorId="1" shapeId="0">
      <text>
        <r>
          <rPr>
            <b/>
            <sz val="9"/>
            <color indexed="81"/>
            <rFont val="Tahoma"/>
            <family val="2"/>
          </rPr>
          <t>Adrián de Haro Ortega:</t>
        </r>
        <r>
          <rPr>
            <sz val="9"/>
            <color indexed="81"/>
            <rFont val="Tahoma"/>
            <family val="2"/>
          </rPr>
          <t xml:space="preserve">
Añadido el 21/11/17 con Ignacio Ozaeta</t>
        </r>
      </text>
    </comment>
    <comment ref="C136" authorId="1" shapeId="0">
      <text>
        <r>
          <rPr>
            <b/>
            <sz val="9"/>
            <color indexed="81"/>
            <rFont val="Tahoma"/>
            <family val="2"/>
          </rPr>
          <t>Adrián de Haro Ortega:</t>
        </r>
        <r>
          <rPr>
            <sz val="9"/>
            <color indexed="81"/>
            <rFont val="Tahoma"/>
            <family val="2"/>
          </rPr>
          <t xml:space="preserve">
Añadido el 21/11/17 con Ignacio Ozaeta
</t>
        </r>
      </text>
    </comment>
    <comment ref="S164" authorId="0" shapeId="0">
      <text>
        <r>
          <rPr>
            <b/>
            <sz val="9"/>
            <color indexed="81"/>
            <rFont val="Tahoma"/>
            <family val="2"/>
          </rPr>
          <t>bnunez:</t>
        </r>
        <r>
          <rPr>
            <sz val="9"/>
            <color indexed="81"/>
            <rFont val="Tahoma"/>
            <family val="2"/>
          </rPr>
          <t xml:space="preserve">
ANULADA </t>
        </r>
      </text>
    </comment>
    <comment ref="T164" authorId="0" shapeId="0">
      <text>
        <r>
          <rPr>
            <b/>
            <sz val="9"/>
            <color indexed="81"/>
            <rFont val="Tahoma"/>
            <family val="2"/>
          </rPr>
          <t>bnunez:</t>
        </r>
        <r>
          <rPr>
            <sz val="9"/>
            <color indexed="81"/>
            <rFont val="Tahoma"/>
            <family val="2"/>
          </rPr>
          <t xml:space="preserve">
ANULADA </t>
        </r>
      </text>
    </comment>
    <comment ref="S165" authorId="0" shapeId="0">
      <text>
        <r>
          <rPr>
            <b/>
            <sz val="9"/>
            <color indexed="81"/>
            <rFont val="Tahoma"/>
            <family val="2"/>
          </rPr>
          <t>bnunez:</t>
        </r>
        <r>
          <rPr>
            <sz val="9"/>
            <color indexed="81"/>
            <rFont val="Tahoma"/>
            <family val="2"/>
          </rPr>
          <t xml:space="preserve">
ANULADA </t>
        </r>
      </text>
    </comment>
    <comment ref="T165" authorId="0" shapeId="0">
      <text>
        <r>
          <rPr>
            <b/>
            <sz val="9"/>
            <color indexed="81"/>
            <rFont val="Tahoma"/>
            <family val="2"/>
          </rPr>
          <t>bnunez:</t>
        </r>
        <r>
          <rPr>
            <sz val="9"/>
            <color indexed="81"/>
            <rFont val="Tahoma"/>
            <family val="2"/>
          </rPr>
          <t xml:space="preserve">
ANULADA </t>
        </r>
      </text>
    </comment>
    <comment ref="R196" authorId="0" shapeId="0">
      <text>
        <r>
          <rPr>
            <b/>
            <sz val="9"/>
            <color indexed="81"/>
            <rFont val="Tahoma"/>
            <family val="2"/>
          </rPr>
          <t>bnunez:</t>
        </r>
        <r>
          <rPr>
            <sz val="9"/>
            <color indexed="81"/>
            <rFont val="Tahoma"/>
            <family val="2"/>
          </rPr>
          <t xml:space="preserve">
lectura inicial del contador</t>
        </r>
      </text>
    </comment>
    <comment ref="C202" authorId="1" shapeId="0">
      <text>
        <r>
          <rPr>
            <b/>
            <sz val="9"/>
            <color indexed="81"/>
            <rFont val="Tahoma"/>
            <family val="2"/>
          </rPr>
          <t>Adrián de Haro Ortega:</t>
        </r>
        <r>
          <rPr>
            <sz val="9"/>
            <color indexed="81"/>
            <rFont val="Tahoma"/>
            <family val="2"/>
          </rPr>
          <t xml:space="preserve">
Se añade el 29/03/18 por Adrian</t>
        </r>
      </text>
    </comment>
    <comment ref="M202" authorId="1" shapeId="0">
      <text>
        <r>
          <rPr>
            <b/>
            <sz val="9"/>
            <color indexed="81"/>
            <rFont val="Tahoma"/>
            <family val="2"/>
          </rPr>
          <t>Adrián de Haro Ortega:</t>
        </r>
        <r>
          <rPr>
            <sz val="9"/>
            <color indexed="81"/>
            <rFont val="Tahoma"/>
            <family val="2"/>
          </rPr>
          <t xml:space="preserve">
Lectura a 29/03/18</t>
        </r>
      </text>
    </comment>
    <comment ref="C203" authorId="1" shapeId="0">
      <text>
        <r>
          <rPr>
            <b/>
            <sz val="9"/>
            <color indexed="81"/>
            <rFont val="Tahoma"/>
            <family val="2"/>
          </rPr>
          <t>Adrián de Haro Ortega:</t>
        </r>
        <r>
          <rPr>
            <sz val="9"/>
            <color indexed="81"/>
            <rFont val="Tahoma"/>
            <family val="2"/>
          </rPr>
          <t xml:space="preserve">
Se añade el 29/03/18 por Adrian</t>
        </r>
      </text>
    </comment>
    <comment ref="M203" authorId="1" shapeId="0">
      <text>
        <r>
          <rPr>
            <b/>
            <sz val="9"/>
            <color indexed="81"/>
            <rFont val="Tahoma"/>
            <family val="2"/>
          </rPr>
          <t>Adrián de Haro Ortega:</t>
        </r>
        <r>
          <rPr>
            <sz val="9"/>
            <color indexed="81"/>
            <rFont val="Tahoma"/>
            <family val="2"/>
          </rPr>
          <t xml:space="preserve">
Lectura a 29/03/18</t>
        </r>
      </text>
    </comment>
    <comment ref="C206" authorId="1" shapeId="0">
      <text>
        <r>
          <rPr>
            <b/>
            <sz val="9"/>
            <color indexed="81"/>
            <rFont val="Tahoma"/>
            <family val="2"/>
          </rPr>
          <t>Adrián de Haro Ortega:</t>
        </r>
        <r>
          <rPr>
            <sz val="9"/>
            <color indexed="81"/>
            <rFont val="Tahoma"/>
            <family val="2"/>
          </rPr>
          <t xml:space="preserve">
Se añade el 29/03/18 por Adrian</t>
        </r>
      </text>
    </comment>
    <comment ref="M206" authorId="1" shapeId="0">
      <text>
        <r>
          <rPr>
            <b/>
            <sz val="9"/>
            <color indexed="81"/>
            <rFont val="Tahoma"/>
            <family val="2"/>
          </rPr>
          <t>Adrián de Haro Ortega:</t>
        </r>
        <r>
          <rPr>
            <sz val="9"/>
            <color indexed="81"/>
            <rFont val="Tahoma"/>
            <family val="2"/>
          </rPr>
          <t xml:space="preserve">
Lectura a 29/03/18</t>
        </r>
      </text>
    </comment>
    <comment ref="C215" authorId="1" shapeId="0">
      <text>
        <r>
          <rPr>
            <b/>
            <sz val="9"/>
            <color indexed="81"/>
            <rFont val="Tahoma"/>
            <family val="2"/>
          </rPr>
          <t>Adrián de Haro Ortega:</t>
        </r>
        <r>
          <rPr>
            <sz val="9"/>
            <color indexed="81"/>
            <rFont val="Tahoma"/>
            <family val="2"/>
          </rPr>
          <t xml:space="preserve">
Se añade el 29/03/18 por Adrian</t>
        </r>
      </text>
    </comment>
    <comment ref="M215" authorId="1" shapeId="0">
      <text>
        <r>
          <rPr>
            <b/>
            <sz val="9"/>
            <color indexed="81"/>
            <rFont val="Tahoma"/>
            <family val="2"/>
          </rPr>
          <t>Adrián de Haro Ortega:</t>
        </r>
        <r>
          <rPr>
            <sz val="9"/>
            <color indexed="81"/>
            <rFont val="Tahoma"/>
            <family val="2"/>
          </rPr>
          <t xml:space="preserve">
Lectura a 29/03/18</t>
        </r>
      </text>
    </comment>
    <comment ref="C217" authorId="0" shapeId="0">
      <text>
        <r>
          <rPr>
            <b/>
            <sz val="9"/>
            <color indexed="81"/>
            <rFont val="Tahoma"/>
            <family val="2"/>
          </rPr>
          <t xml:space="preserve">bnunez:
</t>
        </r>
        <r>
          <rPr>
            <sz val="9"/>
            <color indexed="81"/>
            <rFont val="Tahoma"/>
            <family val="2"/>
          </rPr>
          <t xml:space="preserve">Añadido 12/11/18
</t>
        </r>
      </text>
    </comment>
    <comment ref="M217" authorId="1" shapeId="0">
      <text>
        <r>
          <rPr>
            <b/>
            <sz val="9"/>
            <color indexed="81"/>
            <rFont val="Tahoma"/>
            <family val="2"/>
          </rPr>
          <t>Adrián de Haro Ortega:</t>
        </r>
        <r>
          <rPr>
            <sz val="9"/>
            <color indexed="81"/>
            <rFont val="Tahoma"/>
            <family val="2"/>
          </rPr>
          <t xml:space="preserve">
Lectura a 29/03/18</t>
        </r>
      </text>
    </comment>
    <comment ref="C218" authorId="0" shapeId="0">
      <text>
        <r>
          <rPr>
            <b/>
            <sz val="9"/>
            <color indexed="81"/>
            <rFont val="Tahoma"/>
            <family val="2"/>
          </rPr>
          <t xml:space="preserve">bnunez:
</t>
        </r>
        <r>
          <rPr>
            <sz val="9"/>
            <color indexed="81"/>
            <rFont val="Tahoma"/>
            <family val="2"/>
          </rPr>
          <t>Añadido 12/11/18</t>
        </r>
      </text>
    </comment>
    <comment ref="AK236" authorId="1" shapeId="0">
      <text>
        <r>
          <rPr>
            <b/>
            <sz val="9"/>
            <color indexed="81"/>
            <rFont val="Tahoma"/>
            <family val="2"/>
          </rPr>
          <t>Adrián de Haro Ortega:</t>
        </r>
        <r>
          <rPr>
            <sz val="9"/>
            <color indexed="81"/>
            <rFont val="Tahoma"/>
            <family val="2"/>
          </rPr>
          <t xml:space="preserve">
Nueva Rt a raiz del inventario</t>
        </r>
      </text>
    </comment>
    <comment ref="K254" authorId="1" shapeId="0">
      <text>
        <r>
          <rPr>
            <b/>
            <sz val="9"/>
            <color indexed="81"/>
            <rFont val="Tahoma"/>
            <family val="2"/>
          </rPr>
          <t>Adrián de Haro Ortega:</t>
        </r>
        <r>
          <rPr>
            <sz val="9"/>
            <color indexed="81"/>
            <rFont val="Tahoma"/>
            <family val="2"/>
          </rPr>
          <t xml:space="preserve">
Estimada</t>
        </r>
      </text>
    </comment>
    <comment ref="K258" authorId="1" shapeId="0">
      <text>
        <r>
          <rPr>
            <b/>
            <sz val="9"/>
            <color indexed="81"/>
            <rFont val="Tahoma"/>
            <family val="2"/>
          </rPr>
          <t>Adrián de Haro Ortega:</t>
        </r>
        <r>
          <rPr>
            <sz val="9"/>
            <color indexed="81"/>
            <rFont val="Tahoma"/>
            <family val="2"/>
          </rPr>
          <t xml:space="preserve">
Estimada</t>
        </r>
      </text>
    </comment>
    <comment ref="S264" authorId="0" shapeId="0">
      <text>
        <r>
          <rPr>
            <b/>
            <sz val="9"/>
            <color indexed="81"/>
            <rFont val="Tahoma"/>
            <family val="2"/>
          </rPr>
          <t>bnunez:</t>
        </r>
        <r>
          <rPr>
            <sz val="9"/>
            <color indexed="81"/>
            <rFont val="Tahoma"/>
            <family val="2"/>
          </rPr>
          <t xml:space="preserve">
Dar de baja</t>
        </r>
      </text>
    </comment>
    <comment ref="AK265" authorId="1" shapeId="0">
      <text>
        <r>
          <rPr>
            <b/>
            <sz val="9"/>
            <color indexed="81"/>
            <rFont val="Tahoma"/>
            <family val="2"/>
          </rPr>
          <t>Adrián de Haro Ortega:</t>
        </r>
        <r>
          <rPr>
            <sz val="9"/>
            <color indexed="81"/>
            <rFont val="Tahoma"/>
            <family val="2"/>
          </rPr>
          <t xml:space="preserve">
nueva Rt a raiz del inventario
</t>
        </r>
      </text>
    </comment>
    <comment ref="P279" authorId="1" shapeId="0">
      <text>
        <r>
          <rPr>
            <b/>
            <sz val="9"/>
            <color indexed="81"/>
            <rFont val="Tahoma"/>
            <family val="2"/>
          </rPr>
          <t>Adrián de Haro Ortega:</t>
        </r>
        <r>
          <rPr>
            <sz val="9"/>
            <color indexed="81"/>
            <rFont val="Tahoma"/>
            <family val="2"/>
          </rPr>
          <t xml:space="preserve">
Lectura final. Retirado el 8/6/2018</t>
        </r>
      </text>
    </comment>
    <comment ref="AN283" authorId="1" shapeId="0">
      <text>
        <r>
          <rPr>
            <b/>
            <sz val="9"/>
            <color indexed="81"/>
            <rFont val="Tahoma"/>
            <family val="2"/>
          </rPr>
          <t>Adrián de Haro Ortega:</t>
        </r>
        <r>
          <rPr>
            <sz val="9"/>
            <color indexed="81"/>
            <rFont val="Tahoma"/>
            <family val="2"/>
          </rPr>
          <t xml:space="preserve">
0 fijo, no se factura</t>
        </r>
      </text>
    </comment>
    <comment ref="O289" authorId="1" shapeId="0">
      <text>
        <r>
          <rPr>
            <b/>
            <sz val="9"/>
            <color indexed="81"/>
            <rFont val="Tahoma"/>
            <family val="2"/>
          </rPr>
          <t>Adrián de Haro Ortega:</t>
        </r>
        <r>
          <rPr>
            <sz val="9"/>
            <color indexed="81"/>
            <rFont val="Tahoma"/>
            <family val="2"/>
          </rPr>
          <t xml:space="preserve">
Facturado a 30664. Lectura en facturacion!
</t>
        </r>
      </text>
    </comment>
    <comment ref="K327" authorId="1" shapeId="0">
      <text>
        <r>
          <rPr>
            <b/>
            <sz val="9"/>
            <color indexed="81"/>
            <rFont val="Tahoma"/>
            <family val="2"/>
          </rPr>
          <t>Adrián de Haro Ortega:</t>
        </r>
        <r>
          <rPr>
            <sz val="9"/>
            <color indexed="81"/>
            <rFont val="Tahoma"/>
            <family val="2"/>
          </rPr>
          <t xml:space="preserve">
Lectura de cierre! A dia de la baja.</t>
        </r>
      </text>
    </comment>
    <comment ref="Q341" authorId="1" shapeId="0">
      <text>
        <r>
          <rPr>
            <b/>
            <sz val="9"/>
            <color indexed="81"/>
            <rFont val="Tahoma"/>
            <family val="2"/>
          </rPr>
          <t>Adrián de Haro Ortega:</t>
        </r>
        <r>
          <rPr>
            <sz val="9"/>
            <color indexed="81"/>
            <rFont val="Tahoma"/>
            <family val="2"/>
          </rPr>
          <t xml:space="preserve">
La lectura correcta es 31305</t>
        </r>
      </text>
    </comment>
    <comment ref="U366" authorId="0" shapeId="0">
      <text>
        <r>
          <rPr>
            <b/>
            <sz val="9"/>
            <color indexed="81"/>
            <rFont val="Tahoma"/>
            <family val="2"/>
          </rPr>
          <t>bnunez:</t>
        </r>
        <r>
          <rPr>
            <sz val="9"/>
            <color indexed="81"/>
            <rFont val="Tahoma"/>
            <family val="2"/>
          </rPr>
          <t xml:space="preserve">
EL ABONADO SOLICITO LA DESCONEXION DEL EQUIPO 
</t>
        </r>
      </text>
    </comment>
    <comment ref="K435" authorId="1" shapeId="0">
      <text>
        <r>
          <rPr>
            <b/>
            <sz val="8"/>
            <color indexed="81"/>
            <rFont val="Tahoma"/>
            <family val="2"/>
          </rPr>
          <t>Adrián de Haro Ortega:</t>
        </r>
        <r>
          <rPr>
            <sz val="8"/>
            <color indexed="81"/>
            <rFont val="Tahoma"/>
            <family val="2"/>
          </rPr>
          <t xml:space="preserve">
Está bien!</t>
        </r>
      </text>
    </comment>
  </commentList>
</comments>
</file>

<file path=xl/comments2.xml><?xml version="1.0" encoding="utf-8"?>
<comments xmlns="http://schemas.openxmlformats.org/spreadsheetml/2006/main">
  <authors>
    <author>Adrián de Haro Ortega</author>
  </authors>
  <commentList>
    <comment ref="C8" authorId="0" shapeId="0">
      <text>
        <r>
          <rPr>
            <b/>
            <sz val="9"/>
            <color indexed="81"/>
            <rFont val="Tahoma"/>
            <family val="2"/>
          </rPr>
          <t>Adrián de Haro Ortega:</t>
        </r>
        <r>
          <rPr>
            <sz val="9"/>
            <color indexed="81"/>
            <rFont val="Tahoma"/>
            <family val="2"/>
          </rPr>
          <t xml:space="preserve">
Añadido el 21/11/17 con Ignacio Ozaeta</t>
        </r>
      </text>
    </comment>
  </commentList>
</comments>
</file>

<file path=xl/comments3.xml><?xml version="1.0" encoding="utf-8"?>
<comments xmlns="http://schemas.openxmlformats.org/spreadsheetml/2006/main">
  <authors>
    <author>Adrián de Haro Ortega</author>
  </authors>
  <commentList>
    <comment ref="D3" authorId="0" shapeId="0">
      <text>
        <r>
          <rPr>
            <b/>
            <sz val="9"/>
            <color indexed="81"/>
            <rFont val="Tahoma"/>
            <family val="2"/>
          </rPr>
          <t>Adrián de Haro Ortega:</t>
        </r>
        <r>
          <rPr>
            <sz val="9"/>
            <color indexed="81"/>
            <rFont val="Tahoma"/>
            <family val="2"/>
          </rPr>
          <t xml:space="preserve">
Con la macro se copian los contadores de Valencia que no esten de BAJA y que tenga una REF&gt;30000</t>
        </r>
      </text>
    </comment>
  </commentList>
</comments>
</file>

<file path=xl/comments4.xml><?xml version="1.0" encoding="utf-8"?>
<comments xmlns="http://schemas.openxmlformats.org/spreadsheetml/2006/main">
  <authors>
    <author>Adrián de Haro Ortega</author>
    <author>bnunez</author>
  </authors>
  <commentList>
    <comment ref="C10" authorId="0" shapeId="0">
      <text>
        <r>
          <rPr>
            <b/>
            <sz val="9"/>
            <color indexed="81"/>
            <rFont val="Tahoma"/>
            <family val="2"/>
          </rPr>
          <t>Adrián de Haro Ortega:</t>
        </r>
        <r>
          <rPr>
            <sz val="9"/>
            <color indexed="81"/>
            <rFont val="Tahoma"/>
            <family val="2"/>
          </rPr>
          <t xml:space="preserve">
desde el 1 de enero</t>
        </r>
      </text>
    </comment>
    <comment ref="C18" authorId="0" shapeId="0">
      <text>
        <r>
          <rPr>
            <b/>
            <sz val="9"/>
            <color indexed="81"/>
            <rFont val="Tahoma"/>
            <family val="2"/>
          </rPr>
          <t>Adrián de Haro Ortega:</t>
        </r>
        <r>
          <rPr>
            <sz val="9"/>
            <color indexed="81"/>
            <rFont val="Tahoma"/>
            <family val="2"/>
          </rPr>
          <t xml:space="preserve">
desde el 1 de enero</t>
        </r>
      </text>
    </comment>
    <comment ref="N19" authorId="1" shapeId="0">
      <text>
        <r>
          <rPr>
            <b/>
            <sz val="9"/>
            <color indexed="81"/>
            <rFont val="Tahoma"/>
            <family val="2"/>
          </rPr>
          <t>bnunez:</t>
        </r>
        <r>
          <rPr>
            <sz val="9"/>
            <color indexed="81"/>
            <rFont val="Tahoma"/>
            <family val="2"/>
          </rPr>
          <t xml:space="preserve">
dato parcial, hasta el 10-12-18</t>
        </r>
      </text>
    </comment>
  </commentList>
</comments>
</file>

<file path=xl/comments5.xml><?xml version="1.0" encoding="utf-8"?>
<comments xmlns="http://schemas.openxmlformats.org/spreadsheetml/2006/main">
  <authors>
    <author>Adrián de Haro Ortega</author>
  </authors>
  <commentList>
    <comment ref="A2" authorId="0" shapeId="0">
      <text>
        <r>
          <rPr>
            <b/>
            <sz val="9"/>
            <color indexed="81"/>
            <rFont val="Tahoma"/>
            <family val="2"/>
          </rPr>
          <t>Adrián de Haro Ortega:</t>
        </r>
        <r>
          <rPr>
            <sz val="9"/>
            <color indexed="81"/>
            <rFont val="Tahoma"/>
            <family val="2"/>
          </rPr>
          <t xml:space="preserve">
Añadido el 21/11/17 con Ignacio Ozaeta</t>
        </r>
      </text>
    </comment>
  </commentList>
</comments>
</file>

<file path=xl/sharedStrings.xml><?xml version="1.0" encoding="utf-8"?>
<sst xmlns="http://schemas.openxmlformats.org/spreadsheetml/2006/main" count="14341" uniqueCount="1469">
  <si>
    <t>CT</t>
  </si>
  <si>
    <t>ABONADO</t>
  </si>
  <si>
    <t>UBICACIÓN</t>
  </si>
  <si>
    <t>OBSERVACIONES</t>
  </si>
  <si>
    <t>OBSERVACIONES FACTURACIÓN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</si>
  <si>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</si>
  <si>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</si>
  <si>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</si>
  <si>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</si>
  <si>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</si>
  <si>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</si>
  <si>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</si>
  <si>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</si>
  <si>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</si>
  <si>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</si>
  <si>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</si>
  <si>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</si>
  <si>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PETICIÓN</t>
  </si>
  <si>
    <t>CONTADOR</t>
  </si>
  <si>
    <t>V</t>
  </si>
  <si>
    <t>CT RELOJ</t>
  </si>
  <si>
    <t>APV</t>
  </si>
  <si>
    <t>VCT00</t>
  </si>
  <si>
    <t>TCV STEVEDORING COMPANY</t>
  </si>
  <si>
    <t>TA18 - TA19</t>
  </si>
  <si>
    <t>LW00043979</t>
  </si>
  <si>
    <t>TA 17</t>
  </si>
  <si>
    <t>LW00181178</t>
  </si>
  <si>
    <t>NAVE TALLERES. Alta 1-7-13</t>
  </si>
  <si>
    <t>FRIGORIFICOS . Alta 1-7-13</t>
  </si>
  <si>
    <t>LW00042957</t>
  </si>
  <si>
    <t>TORRE 0001 ( TA 15)</t>
  </si>
  <si>
    <t>VCT02</t>
  </si>
  <si>
    <t>EN TORRE 0209</t>
  </si>
  <si>
    <t xml:space="preserve">INTERIOR CT </t>
  </si>
  <si>
    <t>T.I. 150/5 ( Coeficiente X 30 )</t>
  </si>
  <si>
    <t>VCT03</t>
  </si>
  <si>
    <t>LW00181602</t>
  </si>
  <si>
    <t>EN CT.</t>
  </si>
  <si>
    <t>TORRES 12,13,0303.- 1/06/2013</t>
  </si>
  <si>
    <t>VA-E-3528-15</t>
  </si>
  <si>
    <t>LW00042801</t>
  </si>
  <si>
    <t>PROVISIONAL DE OBRAS</t>
  </si>
  <si>
    <t>LW00181677</t>
  </si>
  <si>
    <t>TORRE 301  alta 8/10/2013</t>
  </si>
  <si>
    <t>TORRE 0310</t>
  </si>
  <si>
    <t>VCT04</t>
  </si>
  <si>
    <t>INTERIOR CT</t>
  </si>
  <si>
    <t>TOMAS DE CORRIENTE MUELLE</t>
  </si>
  <si>
    <t>CENTRALIZACIÓN CT</t>
  </si>
  <si>
    <t>TOMAS MUELLE TRASVERSAL</t>
  </si>
  <si>
    <t>CIA. TRASMEDITERRANEA S.A.</t>
  </si>
  <si>
    <t>EN TORRE 0407</t>
  </si>
  <si>
    <t>EN TORRE 0408</t>
  </si>
  <si>
    <t>EN TORRE 0409</t>
  </si>
  <si>
    <t>VCT06</t>
  </si>
  <si>
    <t>LW00014344</t>
  </si>
  <si>
    <t>DELEGACION DEL GOBIERNO</t>
  </si>
  <si>
    <t>EXT EDIFICIO SANIDAD</t>
  </si>
  <si>
    <t>LW00180924</t>
  </si>
  <si>
    <t>DELEGACION DEL  GOBIERNO</t>
  </si>
  <si>
    <t>LW00044322</t>
  </si>
  <si>
    <t>CONSELLERIA SANIDAD</t>
  </si>
  <si>
    <t>EN CT</t>
  </si>
  <si>
    <t>LW00181288</t>
  </si>
  <si>
    <t>Ha dado la vuelta</t>
  </si>
  <si>
    <t>LW00042595</t>
  </si>
  <si>
    <t>COMEDOR</t>
  </si>
  <si>
    <t>LW00043081</t>
  </si>
  <si>
    <t>SOTANO BAR ADUANA</t>
  </si>
  <si>
    <t>Parking talleres</t>
  </si>
  <si>
    <t>Coche S.E. ( Renault)</t>
  </si>
  <si>
    <t>virtual1</t>
  </si>
  <si>
    <t>COLEGIO AGENTE DE ADUANAS</t>
  </si>
  <si>
    <t>PB ANT. DIRECCION</t>
  </si>
  <si>
    <t>virtual2</t>
  </si>
  <si>
    <t>virtual3</t>
  </si>
  <si>
    <t>SALA MAQUINAS</t>
  </si>
  <si>
    <t>PMCT6</t>
  </si>
  <si>
    <t>VIRTUALCT06</t>
  </si>
  <si>
    <t>VCT07</t>
  </si>
  <si>
    <t>LW00181658</t>
  </si>
  <si>
    <t>CONSORCIO VALENCIA 2007</t>
  </si>
  <si>
    <t>EN TINGLADO 2</t>
  </si>
  <si>
    <t>EXTERIOR DEL CT.7</t>
  </si>
  <si>
    <t>Facturación retenida</t>
  </si>
  <si>
    <t>VCT08</t>
  </si>
  <si>
    <t>LW00181679</t>
  </si>
  <si>
    <t>CIUDAD DE ARTES Y CIENCIAS</t>
  </si>
  <si>
    <t>EN TINGLADO 5</t>
  </si>
  <si>
    <t>VCT09</t>
  </si>
  <si>
    <t>CIA. TRASMEDITERANEA, S.A.</t>
  </si>
  <si>
    <t>VT-0904</t>
  </si>
  <si>
    <t>Torre de alumbrado M. de Poniente</t>
  </si>
  <si>
    <t>TRANSPORTES ALONSO SALCEDO</t>
  </si>
  <si>
    <t>LOGISTICA CHEMA BALLESTER</t>
  </si>
  <si>
    <t>SUSTITUYE A LW00012961</t>
  </si>
  <si>
    <t>JUAN AGUSTIN BLASCO CARBO</t>
  </si>
  <si>
    <t>SGS ESPAÑOLA DE CONTROL</t>
  </si>
  <si>
    <t>COCHERON EN SI</t>
  </si>
  <si>
    <t>DIR. TER. COMERCIO VCIA</t>
  </si>
  <si>
    <t>EN CENTRALIZACION</t>
  </si>
  <si>
    <t>FEDER. SINDIC CIUDADANIA CCOO</t>
  </si>
  <si>
    <t>VICENTE MONSORIU LINARES</t>
  </si>
  <si>
    <t>BOMBEROS (NO SE FACTURA)</t>
  </si>
  <si>
    <t>FETCM - UGT</t>
  </si>
  <si>
    <t>VCT10</t>
  </si>
  <si>
    <t>LW00012788</t>
  </si>
  <si>
    <t>TCV STEVEDORING COMPANY, S.A.</t>
  </si>
  <si>
    <t>LW00012554</t>
  </si>
  <si>
    <t>TRANSPORTES REMEDIOS TORRES</t>
  </si>
  <si>
    <t>LW00113084</t>
  </si>
  <si>
    <t>TRANS PELLICER E HIJOS</t>
  </si>
  <si>
    <t>LW00112965</t>
  </si>
  <si>
    <t>TRANSCONT</t>
  </si>
  <si>
    <t>LW00012872</t>
  </si>
  <si>
    <t>LW00042429</t>
  </si>
  <si>
    <t>Torre 10.01</t>
  </si>
  <si>
    <t>VA-E-01306-15</t>
  </si>
  <si>
    <t>LW00181349</t>
  </si>
  <si>
    <t>Alta</t>
  </si>
  <si>
    <t>VCT13</t>
  </si>
  <si>
    <t>LW00181323</t>
  </si>
  <si>
    <t>EUROLINEAS MARITIMAS</t>
  </si>
  <si>
    <t>CENTRALIZACION</t>
  </si>
  <si>
    <t>LW00181411</t>
  </si>
  <si>
    <t>GUARDIA CIVIL COMUNICA</t>
  </si>
  <si>
    <t>LW00180769</t>
  </si>
  <si>
    <t>TEVA-TANK S.L.</t>
  </si>
  <si>
    <t>LW00181695</t>
  </si>
  <si>
    <t>BOMBA AGUA SALADA</t>
  </si>
  <si>
    <t>LW00043076</t>
  </si>
  <si>
    <t>AMARRADORES PUERTO VALENCIA</t>
  </si>
  <si>
    <t>EN HORNACINA</t>
  </si>
  <si>
    <t>ANTIGUO CT12</t>
  </si>
  <si>
    <t>EN TORRE 1301</t>
  </si>
  <si>
    <t>VCT14</t>
  </si>
  <si>
    <t>LW00181664</t>
  </si>
  <si>
    <t>FCC CONSTRUCCIÓN, S.A.</t>
  </si>
  <si>
    <t>LW00181371</t>
  </si>
  <si>
    <t>AMARRADORES</t>
  </si>
  <si>
    <t>LW00181362</t>
  </si>
  <si>
    <t>LW00181079</t>
  </si>
  <si>
    <t>VCT15</t>
  </si>
  <si>
    <t>VA-E-01867-15</t>
  </si>
  <si>
    <t>LW00180940</t>
  </si>
  <si>
    <t>VALENCIA TERMINAL EUROPA, S.A.</t>
  </si>
  <si>
    <t>TORRES 1501-02-03.</t>
  </si>
  <si>
    <t>VCT16</t>
  </si>
  <si>
    <t>VA-E-01808-15</t>
  </si>
  <si>
    <t>LW00044272</t>
  </si>
  <si>
    <t>Caseta y Báscula Xitá</t>
  </si>
  <si>
    <t>VCT17</t>
  </si>
  <si>
    <t>CXZVFER15051003024</t>
  </si>
  <si>
    <t>CXRUGBI15051203685</t>
  </si>
  <si>
    <t>FERROCARRIL</t>
  </si>
  <si>
    <t>CXRUGBI15051203691</t>
  </si>
  <si>
    <t>CONSUMOS CUADRO APV VARIOS</t>
  </si>
  <si>
    <t>CXRUGBI15051203686</t>
  </si>
  <si>
    <t>CXRUGBI15051203698</t>
  </si>
  <si>
    <t>ALUMBRADO MUELLES</t>
  </si>
  <si>
    <t>CXRUGBI15051203697</t>
  </si>
  <si>
    <t>ALUMBRADO VIALES</t>
  </si>
  <si>
    <t>CXZVFER15051109407</t>
  </si>
  <si>
    <t>CXRUGBI15051203696</t>
  </si>
  <si>
    <t>GARBA PORT</t>
  </si>
  <si>
    <t>CXRUGBI15051203689</t>
  </si>
  <si>
    <t>EMS SEVEN SEAS SPAIN, S.A.</t>
  </si>
  <si>
    <t>CXRUGBI15051203687</t>
  </si>
  <si>
    <t>CORPORAC PRACTICOS VALENCIA</t>
  </si>
  <si>
    <t>CXRUGBI15051203695</t>
  </si>
  <si>
    <t>CXRUGBI15051203690</t>
  </si>
  <si>
    <t>BURRIEL-NAVARRO</t>
  </si>
  <si>
    <t>CXRUGBI15051203694</t>
  </si>
  <si>
    <t>REMOLCADORES BOLUDA</t>
  </si>
  <si>
    <t>TELEFONICA MOVILES ESPAÑA</t>
  </si>
  <si>
    <t>VCT20</t>
  </si>
  <si>
    <t>LW00181243</t>
  </si>
  <si>
    <t>URBAMAR LEVANTE</t>
  </si>
  <si>
    <t>LW00012610</t>
  </si>
  <si>
    <t>CIUDAD DE LAS ARTES Y DE LAS CIENCIAS</t>
  </si>
  <si>
    <t>LW00043012</t>
  </si>
  <si>
    <t>INTERIOR FARO</t>
  </si>
  <si>
    <t>VCT21</t>
  </si>
  <si>
    <t>LW00012532</t>
  </si>
  <si>
    <t>RANDSTAD EMPLEO ETT, S.A.</t>
  </si>
  <si>
    <t>VALLA AL LADO DE BUNGE DETRÁS CT21</t>
  </si>
  <si>
    <t>LW00181554</t>
  </si>
  <si>
    <t>LW00012961</t>
  </si>
  <si>
    <t>SACYR CONSTRUCCIONES, S.A.</t>
  </si>
  <si>
    <t>VCT22</t>
  </si>
  <si>
    <t>LW00042834</t>
  </si>
  <si>
    <t>NOATUM</t>
  </si>
  <si>
    <t>LW00112653</t>
  </si>
  <si>
    <t>DRAGADOS S.A. (2473)</t>
  </si>
  <si>
    <t>LW00181021</t>
  </si>
  <si>
    <t>TALLERES NAVALES VALENCIA</t>
  </si>
  <si>
    <t>LW00043030</t>
  </si>
  <si>
    <t>MADICO Y VILLARROEL, S.L.</t>
  </si>
  <si>
    <t>ZONA DE ORDENES 3</t>
  </si>
  <si>
    <t>VCT23</t>
  </si>
  <si>
    <t>LW00042788</t>
  </si>
  <si>
    <t>EN LA TORRE 2303</t>
  </si>
  <si>
    <t>LW00181025</t>
  </si>
  <si>
    <t>CONSTRUCCIONES Y VARADEROS SL</t>
  </si>
  <si>
    <t>(kWh - Ref 39402)</t>
  </si>
  <si>
    <t>LW00043105</t>
  </si>
  <si>
    <t>LW00044314</t>
  </si>
  <si>
    <t>SERVIPORT MARITIMA SL</t>
  </si>
  <si>
    <t>LW00112662</t>
  </si>
  <si>
    <t>CRUZ ROJA ESPAÑOLA</t>
  </si>
  <si>
    <t>DENTRO CRUZ ROJA</t>
  </si>
  <si>
    <t>Resta a 39340</t>
  </si>
  <si>
    <t>LW00042835</t>
  </si>
  <si>
    <t>EXCM. AYUNTAMIENTO DE VALENCIA</t>
  </si>
  <si>
    <t>JUNTO AL RIO Y VELAS LLUCH</t>
  </si>
  <si>
    <t>CLUB PESCADORES NAZARET</t>
  </si>
  <si>
    <t>PUERTO EMBARCACIONES MENORES</t>
  </si>
  <si>
    <t>SQFER03033011075</t>
  </si>
  <si>
    <t>EN RECINTO SCANER</t>
  </si>
  <si>
    <t>GUARDIA CIVIL CAMBIO CONT EN JULIO 2015</t>
  </si>
  <si>
    <t>VCT30</t>
  </si>
  <si>
    <t>GENERAL</t>
  </si>
  <si>
    <t>LW00113164</t>
  </si>
  <si>
    <t>VODAFONE ESPAÑA S.A.</t>
  </si>
  <si>
    <t>LW00181633</t>
  </si>
  <si>
    <t xml:space="preserve">              REAL CLUB NAUTICO VCIA.</t>
  </si>
  <si>
    <t xml:space="preserve">             </t>
  </si>
  <si>
    <t>VCT31</t>
  </si>
  <si>
    <t>LW00013607</t>
  </si>
  <si>
    <t>RENFE OPERADORA</t>
  </si>
  <si>
    <t>EXTERIOR CASETA</t>
  </si>
  <si>
    <t>ADIF</t>
  </si>
  <si>
    <t>LW00181156</t>
  </si>
  <si>
    <t>JUNTO CONTADOR MT</t>
  </si>
  <si>
    <t>LW00012385</t>
  </si>
  <si>
    <t>SICSA RAIL TRANSPORT S.A.</t>
  </si>
  <si>
    <t>LW00012983</t>
  </si>
  <si>
    <t xml:space="preserve">RENFE (SALA RC) </t>
  </si>
  <si>
    <t>VCT32</t>
  </si>
  <si>
    <t>VCT41</t>
  </si>
  <si>
    <t>LW00013859</t>
  </si>
  <si>
    <t>FORD ESPAÑA</t>
  </si>
  <si>
    <t xml:space="preserve"> </t>
  </si>
  <si>
    <t>VCT42</t>
  </si>
  <si>
    <t>VA-E-01265-15</t>
  </si>
  <si>
    <t>FORD ESPAÑA, S.L.</t>
  </si>
  <si>
    <t>TORRE 4201</t>
  </si>
  <si>
    <t>TORRE 4202</t>
  </si>
  <si>
    <t>TORRE 4203</t>
  </si>
  <si>
    <t>VALENCIA TERMINAL EUROPA</t>
  </si>
  <si>
    <t>TORRE 4204</t>
  </si>
  <si>
    <t>TORRE  4205</t>
  </si>
  <si>
    <t>TORRE 4213</t>
  </si>
  <si>
    <t>TORRE 4214</t>
  </si>
  <si>
    <t>TORRE 4215</t>
  </si>
  <si>
    <t>TORRE 4216</t>
  </si>
  <si>
    <t>VCT43</t>
  </si>
  <si>
    <t>LW00181174</t>
  </si>
  <si>
    <t>LW00181558</t>
  </si>
  <si>
    <t>LW00181278</t>
  </si>
  <si>
    <t>GRIMALDI LOGISTICA ESPAÑA, S.L.</t>
  </si>
  <si>
    <t xml:space="preserve"> EN CT</t>
  </si>
  <si>
    <t>TORRE4306</t>
  </si>
  <si>
    <t>TORRE4307</t>
  </si>
  <si>
    <t>TORRE4317</t>
  </si>
  <si>
    <t>TORRE 4318</t>
  </si>
  <si>
    <t>TORRE 4308</t>
  </si>
  <si>
    <t>TORRE4309</t>
  </si>
  <si>
    <t>TORRE 4310</t>
  </si>
  <si>
    <t>TORRE 4311</t>
  </si>
  <si>
    <t>TORRE 4312</t>
  </si>
  <si>
    <t>VCT44</t>
  </si>
  <si>
    <t>LW00044304</t>
  </si>
  <si>
    <t xml:space="preserve">VALENCIA TERMINAL EUROPA </t>
  </si>
  <si>
    <t>TORRE 4401</t>
  </si>
  <si>
    <t>TORRE4402</t>
  </si>
  <si>
    <t>TORRE4403</t>
  </si>
  <si>
    <t>TORRE4404</t>
  </si>
  <si>
    <t>TORRE 4409</t>
  </si>
  <si>
    <t>TORRE 4410</t>
  </si>
  <si>
    <t>TORRE4405</t>
  </si>
  <si>
    <t>TORRE 4406</t>
  </si>
  <si>
    <t>TORRE 4407</t>
  </si>
  <si>
    <t>TORRE 4408</t>
  </si>
  <si>
    <t>TORRE 4411</t>
  </si>
  <si>
    <t>TORRE 4412</t>
  </si>
  <si>
    <t>TORRE 4413</t>
  </si>
  <si>
    <t>VCT45</t>
  </si>
  <si>
    <t>LW00181215</t>
  </si>
  <si>
    <t>VARESER</t>
  </si>
  <si>
    <t>LW00112982</t>
  </si>
  <si>
    <t>SALVADOR MONTALVA MARTÍNEZ</t>
  </si>
  <si>
    <t>EN CENTRALIZACIÓN</t>
  </si>
  <si>
    <t>LW00042440</t>
  </si>
  <si>
    <t>VODAFONE ESPAÑA</t>
  </si>
  <si>
    <t>VCT50</t>
  </si>
  <si>
    <t>SACYR CONSTRUCCIÓN</t>
  </si>
  <si>
    <t>VCT51</t>
  </si>
  <si>
    <t>ORBIS S/Nº</t>
  </si>
  <si>
    <t>Caseta Seguridad</t>
  </si>
  <si>
    <t>VA-E-00591-15</t>
  </si>
  <si>
    <t>Torre 5101</t>
  </si>
  <si>
    <t>Torre 5102</t>
  </si>
  <si>
    <t>Torre 5104</t>
  </si>
  <si>
    <t>Torre 5103</t>
  </si>
  <si>
    <t>VCT52</t>
  </si>
  <si>
    <t>Torre 5201</t>
  </si>
  <si>
    <t>Tore 5202</t>
  </si>
  <si>
    <t>Torre 5203</t>
  </si>
  <si>
    <t>Torre 5204</t>
  </si>
  <si>
    <t>VCT A.E.M</t>
  </si>
  <si>
    <t>B3590221</t>
  </si>
  <si>
    <t>EN EL CT DE LA ANTIGUA EST MARITIMA</t>
  </si>
  <si>
    <t>LW00180776</t>
  </si>
  <si>
    <t>VARIOS</t>
  </si>
  <si>
    <t>Escuela Vela</t>
  </si>
  <si>
    <t>ESCUELA DE VELA AYUNTAMIENTO</t>
  </si>
  <si>
    <t>BAJO PUENTE GIRATORIO</t>
  </si>
  <si>
    <t>Facturación fija</t>
  </si>
  <si>
    <t xml:space="preserve">CONSORCIO VALENCIA 2007       </t>
  </si>
  <si>
    <t>CTXX A. ED.APV (DIR)</t>
  </si>
  <si>
    <t>Sin contador, facturación fija</t>
  </si>
  <si>
    <t>VCDD</t>
  </si>
  <si>
    <t>PLANTA CLIMA</t>
  </si>
  <si>
    <t>SALA PLANTA CLIMA</t>
  </si>
  <si>
    <t>P.CLIMA</t>
  </si>
  <si>
    <t>CUADRO OKKEN</t>
  </si>
  <si>
    <t>EDIF.I</t>
  </si>
  <si>
    <t>EDIF.II</t>
  </si>
  <si>
    <t>EDIF.III</t>
  </si>
  <si>
    <t>EDIF.IV</t>
  </si>
  <si>
    <t>CDD</t>
  </si>
  <si>
    <t>Q16</t>
  </si>
  <si>
    <t>OKKEN</t>
  </si>
  <si>
    <t>Ascensor Escalera y C .D.E.</t>
  </si>
  <si>
    <t>C. CONTADORES EDIF .V</t>
  </si>
  <si>
    <t>P. B. SOIVRE</t>
  </si>
  <si>
    <t>P. B. MAQUETAS</t>
  </si>
  <si>
    <t>APV VEHICULO S.E.</t>
  </si>
  <si>
    <t>Coche S.E.( Renault)</t>
  </si>
  <si>
    <t>schneider</t>
  </si>
  <si>
    <t>VEHICULO  ELECTRICO</t>
  </si>
  <si>
    <t>T.C. Parking ( Ignacio)</t>
  </si>
  <si>
    <t>LW00042456</t>
  </si>
  <si>
    <t>DRAGADOS S.A.</t>
  </si>
  <si>
    <t>EXPLANADA ANTIGUO CAUCE RIO TURIA.</t>
  </si>
  <si>
    <t>DRAGADOS</t>
  </si>
  <si>
    <t>QA1-VPM20909</t>
  </si>
  <si>
    <t>CPD</t>
  </si>
  <si>
    <t>SALA A CPD</t>
  </si>
  <si>
    <t>QB1-VPM20908</t>
  </si>
  <si>
    <t>SALA B CPD</t>
  </si>
  <si>
    <t>STULZ-VPM20933</t>
  </si>
  <si>
    <t>LW00012537</t>
  </si>
  <si>
    <t>PAVASAL SA (0804)</t>
  </si>
  <si>
    <t>MT-V</t>
  </si>
  <si>
    <t>M.S.C. TERMINAL VALENCIA,S.A.U</t>
  </si>
  <si>
    <t>VCT-28 MSC</t>
  </si>
  <si>
    <t>MEDIA TENSIÓN</t>
  </si>
  <si>
    <t>Valencia Yacht Port,SL</t>
  </si>
  <si>
    <t>REAL CLUB NAUTICO DE VALENCIA CT31</t>
  </si>
  <si>
    <t>TCV CT1</t>
  </si>
  <si>
    <t>Reeif Logistic Seaport SLU</t>
  </si>
  <si>
    <t>ALDEASA</t>
  </si>
  <si>
    <t>FRIO PUERTO VALENCIA, S.L.</t>
  </si>
  <si>
    <t>FRIOPUERTO</t>
  </si>
  <si>
    <t>CAPITANIA MARITIMA</t>
  </si>
  <si>
    <t>OK MISMO CONTADOR QUE SALVAMENTO</t>
  </si>
  <si>
    <t>SOCIEDAD EST. SALVAMENTO MTMO.</t>
  </si>
  <si>
    <t>SALVAMENTO MARITIMO CRCS</t>
  </si>
  <si>
    <t>OK MISMO CONTADOR QUE CAPITANIA</t>
  </si>
  <si>
    <t>CEPSA COMERCIAL PETROLEO, S.A.</t>
  </si>
  <si>
    <t>TERMINALES PORTUARIAS, S.L.</t>
  </si>
  <si>
    <t>TEPSA</t>
  </si>
  <si>
    <t>CIA. TRASMEDITERRANEA, S. A.</t>
  </si>
  <si>
    <t xml:space="preserve">ACCIONA </t>
  </si>
  <si>
    <t>HOLCIM ESPAÑA, S.A.</t>
  </si>
  <si>
    <t>HISALVA</t>
  </si>
  <si>
    <t>GALP ENERGIA ESPAÑA, S.A.U. (6410)</t>
  </si>
  <si>
    <t>PETROVAL</t>
  </si>
  <si>
    <t>TEMAGRA, S.L.</t>
  </si>
  <si>
    <t>TYCOM MARINES TCV</t>
  </si>
  <si>
    <t>SILOS DE LEVANTE, S.A.</t>
  </si>
  <si>
    <t>SILESA</t>
  </si>
  <si>
    <t>Terminales Portuarias S.L. (1125)</t>
  </si>
  <si>
    <t>VCT-16  CT TEPSA 1 y 2.</t>
  </si>
  <si>
    <t>VCT-27 NOATUM</t>
  </si>
  <si>
    <t>SEVASA</t>
  </si>
  <si>
    <t>CT SEVASA</t>
  </si>
  <si>
    <t>18.0</t>
  </si>
  <si>
    <t>MARINA SUR</t>
  </si>
  <si>
    <t>BAJO PUENTE GIRATORIO SUR</t>
  </si>
  <si>
    <t>MARINA NORTE</t>
  </si>
  <si>
    <t>BAJO PUENTE GIRATORIO NORTE</t>
  </si>
  <si>
    <t>C113801731</t>
  </si>
  <si>
    <t>S-98027920</t>
  </si>
  <si>
    <t>6560745-98</t>
  </si>
  <si>
    <t>LW00043067</t>
  </si>
  <si>
    <t>LW00042715</t>
  </si>
  <si>
    <t>C01.06</t>
  </si>
  <si>
    <t>C01.09</t>
  </si>
  <si>
    <t>C01.10</t>
  </si>
  <si>
    <t>C01.18</t>
  </si>
  <si>
    <t>C01.05</t>
  </si>
  <si>
    <t>C01.04</t>
  </si>
  <si>
    <t>C01.03</t>
  </si>
  <si>
    <t>C01.02</t>
  </si>
  <si>
    <t>C01.01</t>
  </si>
  <si>
    <t>6542616-98</t>
  </si>
  <si>
    <t>C01.21</t>
  </si>
  <si>
    <t>C01.08</t>
  </si>
  <si>
    <t>C01.07</t>
  </si>
  <si>
    <t>C01.00</t>
  </si>
  <si>
    <t>C01.16</t>
  </si>
  <si>
    <t>C01.17</t>
  </si>
  <si>
    <t>C02.01</t>
  </si>
  <si>
    <t>C02.05</t>
  </si>
  <si>
    <t>C02.06</t>
  </si>
  <si>
    <t>C02.07</t>
  </si>
  <si>
    <t>C02.09</t>
  </si>
  <si>
    <t>C02.10</t>
  </si>
  <si>
    <t>C02.11</t>
  </si>
  <si>
    <t>C02.12</t>
  </si>
  <si>
    <t>C02.13</t>
  </si>
  <si>
    <t>C02.08</t>
  </si>
  <si>
    <t>6423039-97</t>
  </si>
  <si>
    <t>C05.00</t>
  </si>
  <si>
    <t>LW00014244</t>
  </si>
  <si>
    <t>CXZVFER1501348811</t>
  </si>
  <si>
    <t>MERLIN GERIN</t>
  </si>
  <si>
    <t>COUNTIS E20</t>
  </si>
  <si>
    <t>CXPUGBI15051354390</t>
  </si>
  <si>
    <t>C01-22</t>
  </si>
  <si>
    <t>VCT05</t>
  </si>
  <si>
    <t>CUADRO GENERAL TÚNEL</t>
  </si>
  <si>
    <t xml:space="preserve">DEL TORO IBAÑEZ, S.L. </t>
  </si>
  <si>
    <t>POLIDEPORTIVO</t>
  </si>
  <si>
    <t>Avisar antes 661201510</t>
  </si>
  <si>
    <t>BAJA DE SUMINISTRO  A DEMAGRISA EL 26/06/2016 (LECTURA INICIAL 109306)</t>
  </si>
  <si>
    <t>AMARRADORES VALENCIA</t>
  </si>
  <si>
    <t>EDIFICIO AMARRADORES</t>
  </si>
  <si>
    <t>ALTA 19/08/2016</t>
  </si>
  <si>
    <t>FEDER. PESCA COMUNIDAD VALENCIANA</t>
  </si>
  <si>
    <t>faltan datos ( NUEVO CONTADOR)</t>
  </si>
  <si>
    <t>ALTA NUEVA EN PROCESO</t>
  </si>
  <si>
    <t>CAMBIO/ALTA DE CONTADOR POR AVERÍA (EN PROCESO)</t>
  </si>
  <si>
    <t>EN C.T.</t>
  </si>
  <si>
    <t>NAVE Y TORRES 2201, 02, 03 ( alta 1/12/2013 )(APAGADO)</t>
  </si>
  <si>
    <t>Dio la vuelta el 28/8/2013 (APAGADO)</t>
  </si>
  <si>
    <t>C.P.B.T. MARQUESINA</t>
  </si>
  <si>
    <t>C.D. BAJA TENSIÓN</t>
  </si>
  <si>
    <t>FEDE. PESCA COMUNIDAD VALENCIANA</t>
  </si>
  <si>
    <t>CAMBIO DE CONTADOR</t>
  </si>
  <si>
    <t>TERMINAL CONT. VACIOS</t>
  </si>
  <si>
    <t>APV ALUMBRADO VIALES</t>
  </si>
  <si>
    <t>VCT53</t>
  </si>
  <si>
    <t>APV ALUMBRADO TORRES</t>
  </si>
  <si>
    <t>VCT54</t>
  </si>
  <si>
    <t>FARO</t>
  </si>
  <si>
    <t>Avisar 661201510</t>
  </si>
  <si>
    <t>SANIDAD VEGETAL</t>
  </si>
  <si>
    <t>INFOPORT VALENCIA, S.A.</t>
  </si>
  <si>
    <t>PARKING D (BALEARIA)</t>
  </si>
  <si>
    <t>ALTA 17/06/2016</t>
  </si>
  <si>
    <t>TAREGA BENDING, S.L.</t>
  </si>
  <si>
    <t>COUNTIS</t>
  </si>
  <si>
    <t>TCV3</t>
  </si>
  <si>
    <t>TCV4</t>
  </si>
  <si>
    <t>CASETA HORMIGÓN MONTAJE GRUA FRENTE CT-17</t>
  </si>
  <si>
    <t>sin lectura en junio( cambio de contador en mayo)</t>
  </si>
  <si>
    <t>CAMBIO/BAJA DE CONTADOR POR AVERÍA (EN PROCESO)</t>
  </si>
  <si>
    <t>Enero</t>
  </si>
  <si>
    <t>Mayo</t>
  </si>
  <si>
    <t>Junio</t>
  </si>
  <si>
    <t>Julio</t>
  </si>
  <si>
    <t>Agosto</t>
  </si>
  <si>
    <t>Septiembre</t>
  </si>
  <si>
    <t>Octubre</t>
  </si>
  <si>
    <t>Noviembre</t>
  </si>
  <si>
    <t>Alumbrado CT-20</t>
  </si>
  <si>
    <t>Alumbrado CT-21</t>
  </si>
  <si>
    <t>Alumbrado CT-22</t>
  </si>
  <si>
    <t>Alumbrado CT-23</t>
  </si>
  <si>
    <t>Alumbrado CT-30</t>
  </si>
  <si>
    <t>Alumbrado CT-31</t>
  </si>
  <si>
    <t>Alumbrado CT-32</t>
  </si>
  <si>
    <t>Alumbrado CT-45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</si>
  <si>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</si>
  <si>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</si>
  <si>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</si>
  <si>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</si>
  <si>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</si>
  <si>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</si>
  <si>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</si>
  <si>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</si>
  <si>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</si>
  <si>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</si>
  <si>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</si>
  <si>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</si>
  <si>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Febrero</t>
  </si>
  <si>
    <t>Marzo</t>
  </si>
  <si>
    <t>Abril</t>
  </si>
  <si>
    <t>SERVICIOS APV</t>
  </si>
  <si>
    <t>OFICINAS PLANTA CLIMA</t>
  </si>
  <si>
    <t>Guardia Civil</t>
  </si>
  <si>
    <t>Alumbrado CT-04</t>
  </si>
  <si>
    <t>Alumbrado CT-09</t>
  </si>
  <si>
    <t>Alumbrado Muelle CT-17</t>
  </si>
  <si>
    <t>Alumbrado CT-50</t>
  </si>
  <si>
    <t>Alumbrado CT-52</t>
  </si>
  <si>
    <t>Alumbrado CT-53</t>
  </si>
  <si>
    <t>Alumbrado CT-54</t>
  </si>
  <si>
    <t>ALUMBRADO TORRES</t>
  </si>
  <si>
    <t>TOTAL ALUMBRADO TORRES</t>
  </si>
  <si>
    <t>TOTAL ALUMBRADO VIALES</t>
  </si>
  <si>
    <t>TOTAL SERVICIOS EXTERNOS</t>
  </si>
  <si>
    <t>MT-S</t>
  </si>
  <si>
    <t xml:space="preserve">VULKAN SHIPYARD, S.L.         </t>
  </si>
  <si>
    <t xml:space="preserve">ZONA RELLENO 3      </t>
  </si>
  <si>
    <t>SAGUNTO ALEVINES (CNX SR-004)</t>
  </si>
  <si>
    <t xml:space="preserve">MUELLE PESQUERO     </t>
  </si>
  <si>
    <t>MEDIA TENSION.ALEVINES</t>
  </si>
  <si>
    <t>BERSOLAZ</t>
  </si>
  <si>
    <t>MEDIA TENSION. ACUITMED</t>
  </si>
  <si>
    <t>PROCESOS LOGISTC. INTEGLES SLU</t>
  </si>
  <si>
    <t xml:space="preserve">M CENTRO 2          </t>
  </si>
  <si>
    <t>MEDIA TENSION.</t>
  </si>
  <si>
    <t>TOYOTA LOGISTICS S. ESPAÑA,SLU</t>
  </si>
  <si>
    <t xml:space="preserve">AMPLIACIÓN SUR      </t>
  </si>
  <si>
    <t>MEDIA TENSION. TOYOTA</t>
  </si>
  <si>
    <t>CARPORT</t>
  </si>
  <si>
    <t xml:space="preserve">INTERSAGUNTO TERMINALES, S.A. </t>
  </si>
  <si>
    <t>MUELLE NORTE DOS</t>
  </si>
  <si>
    <t>S</t>
  </si>
  <si>
    <t>SCT01</t>
  </si>
  <si>
    <t>Alumbrado viales Dique Este Ct nº1</t>
  </si>
  <si>
    <t>SCT02</t>
  </si>
  <si>
    <t>Alumbrado viales Dique Este Ct nº2</t>
  </si>
  <si>
    <t>SCT03</t>
  </si>
  <si>
    <t>Alumbrado viales Dique Este Ct nº3</t>
  </si>
  <si>
    <t>SCT04</t>
  </si>
  <si>
    <t>CEMESA AMARRES BARCELONA</t>
  </si>
  <si>
    <t>CASETA Nº 4 PESQUERO</t>
  </si>
  <si>
    <t xml:space="preserve">COFRADIA PESCADORES PTO SGTO. </t>
  </si>
  <si>
    <t xml:space="preserve">LONJA PESCADO       </t>
  </si>
  <si>
    <t>LOGISTICA PUERTO DE SAGUNTO SL</t>
  </si>
  <si>
    <t xml:space="preserve">MUELLE NORTE        </t>
  </si>
  <si>
    <t xml:space="preserve">PETROPESCA, S.L.              </t>
  </si>
  <si>
    <t xml:space="preserve">M PESQUERO          </t>
  </si>
  <si>
    <t>REMOLQUES DEL MEDITERRANEO S.A</t>
  </si>
  <si>
    <t xml:space="preserve">M PESQUERO 18       </t>
  </si>
  <si>
    <t>Torre averiada</t>
  </si>
  <si>
    <t xml:space="preserve">MUELLE NORTE Torre 7       </t>
  </si>
  <si>
    <t xml:space="preserve">CASETA Nº11 ALGIBES BLASCO </t>
  </si>
  <si>
    <t>DARSENA PESQUERA</t>
  </si>
  <si>
    <t>Alumbrado viales darsena pesquera CT nº4</t>
  </si>
  <si>
    <t>Alumbrado viales focos en nave logistica CT4</t>
  </si>
  <si>
    <t xml:space="preserve">Sala contraincendios nº 1 </t>
  </si>
  <si>
    <t>Dársena pesquera</t>
  </si>
  <si>
    <t>SCT05</t>
  </si>
  <si>
    <t>MUELLE NORTE</t>
  </si>
  <si>
    <t>Casa y Café, S.C. Salvador Montalva Martinez</t>
  </si>
  <si>
    <t xml:space="preserve">BERGE MARITIMA S.L.            </t>
  </si>
  <si>
    <t xml:space="preserve">BASCULA </t>
  </si>
  <si>
    <t xml:space="preserve">PORTUARIA LEVANTINA, S.A.     </t>
  </si>
  <si>
    <t xml:space="preserve">NAVE MUELLE NORTE   </t>
  </si>
  <si>
    <t>MUELLE NORTE  NAVE ROJA</t>
  </si>
  <si>
    <t xml:space="preserve"> Alumbrado viales CT5</t>
  </si>
  <si>
    <t>TORRES ALUMBRADO M. NORTE</t>
  </si>
  <si>
    <t>SCT06</t>
  </si>
  <si>
    <t>S.A. GESTION ESTIB PORTUAR SGT</t>
  </si>
  <si>
    <t xml:space="preserve">EDIFICIO SESASA     </t>
  </si>
  <si>
    <t>TORRE ST-0617</t>
  </si>
  <si>
    <t>TORRE ST-0618</t>
  </si>
  <si>
    <t>Alumbrado viales CT6</t>
  </si>
  <si>
    <t>Edificio Dirección</t>
  </si>
  <si>
    <t>Depósitos agua potable</t>
  </si>
  <si>
    <t>SAE-368-13</t>
  </si>
  <si>
    <t>SCT07</t>
  </si>
  <si>
    <t>UTE MARPOL ZONA DE TRIAJE</t>
  </si>
  <si>
    <t>Alumbrado viales CT7</t>
  </si>
  <si>
    <t>SCT08</t>
  </si>
  <si>
    <t>Torre Alumbrado centro 2</t>
  </si>
  <si>
    <t>Alumbrado viales CT8</t>
  </si>
  <si>
    <t>SCT09</t>
  </si>
  <si>
    <t xml:space="preserve">UTE MUELLE NORTE SAGUNTO        </t>
  </si>
  <si>
    <t>NORTE</t>
  </si>
  <si>
    <t>Alumbrado viales CT9</t>
  </si>
  <si>
    <t>SCT10</t>
  </si>
  <si>
    <t>Alumbrado viales CT10</t>
  </si>
  <si>
    <t>SCT11</t>
  </si>
  <si>
    <t>Alumbrado viales CT11</t>
  </si>
  <si>
    <t>SCT12</t>
  </si>
  <si>
    <t>Torre Alumbrado Sur 2 2</t>
  </si>
  <si>
    <t>No se puede acceder a lecturas</t>
  </si>
  <si>
    <t>Torre Alumbrado Sur 2 1</t>
  </si>
  <si>
    <t>Alumbrado torres nº 1-2-3-4 muelle sur dos CT10-1</t>
  </si>
  <si>
    <t>Alumbrado torres nº 5-6-7-8 muelle sur dos CT10-2</t>
  </si>
  <si>
    <t xml:space="preserve">Sala contraincendios nº 2 </t>
  </si>
  <si>
    <t>Muelle Sur 2</t>
  </si>
  <si>
    <t>SCT71</t>
  </si>
  <si>
    <t>CORPORACION PRACTICOS SGTO,S.L</t>
  </si>
  <si>
    <t>MUELLE SUR</t>
  </si>
  <si>
    <t>AMARRADORES PTO DE SGTO, S.L.U</t>
  </si>
  <si>
    <t>M.NORESTE</t>
  </si>
  <si>
    <t>REMOLCADORES DEL MEDITERRANEO S.A</t>
  </si>
  <si>
    <t>Alumbrado torres en muelle Noreste CT7-1</t>
  </si>
  <si>
    <t>TAREGA VENDING S.L.</t>
  </si>
  <si>
    <t>ALTA5/08/2016</t>
  </si>
  <si>
    <t>SCT72</t>
  </si>
  <si>
    <t xml:space="preserve">Sala contraincendios nº 3 </t>
  </si>
  <si>
    <t>Muelle Noreste</t>
  </si>
  <si>
    <t>Alumbrado viales CT7-2</t>
  </si>
  <si>
    <t>G</t>
  </si>
  <si>
    <t>GCDD</t>
  </si>
  <si>
    <t>Centro Distrib. Recinto Palmera</t>
  </si>
  <si>
    <t>GCT01</t>
  </si>
  <si>
    <t>Agencia Estatal de AdministracionTributaria</t>
  </si>
  <si>
    <t>Hornacina exterior Edif. Aduana</t>
  </si>
  <si>
    <t>Alumbrado Exterior P.Principal</t>
  </si>
  <si>
    <t>CT 1 SUR</t>
  </si>
  <si>
    <t>Alumbrado Tinglados Fruteros (INT.y EXT.)</t>
  </si>
  <si>
    <t>Capitanía Marítima</t>
  </si>
  <si>
    <t>INTERIOR CT 1 SUR</t>
  </si>
  <si>
    <t>Antigua FRILESA - Cámaras frigo.</t>
  </si>
  <si>
    <t>Báscula</t>
  </si>
  <si>
    <t>EDIFICIO SOIVRE</t>
  </si>
  <si>
    <t>SOCIED. EST/DESEST PUERTO GANDÍA</t>
  </si>
  <si>
    <t>ASEO VIVIENDA SERVICIO Nº1</t>
  </si>
  <si>
    <t>COFRADÍA PESCADORES DE GANDÍA</t>
  </si>
  <si>
    <t>Muelle Frutero Nave nº 17 (Martillo)</t>
  </si>
  <si>
    <t>EXCMO. AYUNTAMIENTO GANDÍA</t>
  </si>
  <si>
    <t>INTERIOR T. FRUTERO 9</t>
  </si>
  <si>
    <t>UNIVERSIDAD POLITÉCNICA DE VALENCIA</t>
  </si>
  <si>
    <t>INT. T. FRUTEROS 13-14</t>
  </si>
  <si>
    <t>INTERIOR T. FRUTEROS 13-14</t>
  </si>
  <si>
    <t>ALUMBRADO INTERIOR TINGLADOS FRUTEROS</t>
  </si>
  <si>
    <t>Int. Tinglado Frutero nº 17</t>
  </si>
  <si>
    <t>CASTELLÓ HERRERO, SEBASTIÁN</t>
  </si>
  <si>
    <t>MURO PERIMETRAL VARADERO</t>
  </si>
  <si>
    <t>Solar rotonda</t>
  </si>
  <si>
    <t>General CT 1</t>
  </si>
  <si>
    <t>Torre GT.0101</t>
  </si>
  <si>
    <t>ACCIONA INFRAESTRUCTURAS, S.A.</t>
  </si>
  <si>
    <t>Hornacina Acceso Dique Norte</t>
  </si>
  <si>
    <t>RESERVA 2</t>
  </si>
  <si>
    <t>Exterior Tdo. Frutero Nº 17</t>
  </si>
  <si>
    <t>Alta en fecha: 29/12/2015</t>
  </si>
  <si>
    <t>SAE-381-14</t>
  </si>
  <si>
    <t>GCT02</t>
  </si>
  <si>
    <t>NAVARRO Y BORONAD, S.L.</t>
  </si>
  <si>
    <t>INTERIOR TDO. Nº4 ZONA VENECIA</t>
  </si>
  <si>
    <t>Circuitos alumbrados (Torres)</t>
  </si>
  <si>
    <t>CT 2 SERPIS</t>
  </si>
  <si>
    <t>LÍNEA GRÚAS Nº1 M. SERPIS</t>
  </si>
  <si>
    <t>LÍNEA GRÚAS Nº2 M. SERPIS</t>
  </si>
  <si>
    <t>GA-E-00134-15</t>
  </si>
  <si>
    <t>FLASHCAT VALENCIA, S.L.</t>
  </si>
  <si>
    <t>TINGLADO 3 SERPIS</t>
  </si>
  <si>
    <t>Tinglado Venecia nº 4 (INT y EXT.)</t>
  </si>
  <si>
    <t>Balizamiento contradique</t>
  </si>
  <si>
    <t>Tinglado Abierto (INT. y EXT.)</t>
  </si>
  <si>
    <t>Contador cambiado</t>
  </si>
  <si>
    <t>TINGLADO FRUTERO Nº 12-13</t>
  </si>
  <si>
    <t>TINGLADO FRUTERO Nº 16</t>
  </si>
  <si>
    <t>MT-G</t>
  </si>
  <si>
    <t>GCT03</t>
  </si>
  <si>
    <t>DESARR. HORTOFR. DE LA SAFOR, S.A.</t>
  </si>
  <si>
    <t>CT 3 DEHORSA</t>
  </si>
  <si>
    <t>GCT04</t>
  </si>
  <si>
    <t>TRAMUNTANA MAR, C.B.</t>
  </si>
  <si>
    <t>INT. HORNACINA NUEVAS CASETAS</t>
  </si>
  <si>
    <t>CASETA PESCA Nº 23</t>
  </si>
  <si>
    <t>Exterior hornacina nuevas casetas</t>
  </si>
  <si>
    <t>NUEVAS CASETAS PESCADORES</t>
  </si>
  <si>
    <t>ARMARIO ADOSADO CT-4</t>
  </si>
  <si>
    <t>Alumbrado público entorno Lonja</t>
  </si>
  <si>
    <t>Alumbrado EXTERIOR Nuevas casetas pescadores</t>
  </si>
  <si>
    <t>Exterior hornacina nuevas casetas pescadores</t>
  </si>
  <si>
    <t>Alta en fecha: 19/04/2013</t>
  </si>
  <si>
    <t>GCT05</t>
  </si>
  <si>
    <t>GENERAL GCT05</t>
  </si>
  <si>
    <t>IBERDROLA</t>
  </si>
  <si>
    <t>Alumbrado Dique Norte</t>
  </si>
  <si>
    <t>TOTAL</t>
  </si>
  <si>
    <t>Racks Comunicaciones*</t>
  </si>
  <si>
    <t>ED,ANT. DIRECCIÓN, CLINICA, POLIDEPOR., LOC. SINDICALES</t>
  </si>
  <si>
    <t>LG63898</t>
  </si>
  <si>
    <t>TRANSITOS COSTA ESTE, S.L.</t>
  </si>
  <si>
    <t>RESERVA</t>
  </si>
  <si>
    <t>APV- SERVICIOS C.T.</t>
  </si>
  <si>
    <t>NO CONSTA</t>
  </si>
  <si>
    <t>SOCOMEC E15</t>
  </si>
  <si>
    <t>SIN NOTIFICACIÓN DE PETICIÓN</t>
  </si>
  <si>
    <t>SOCOMEC E16</t>
  </si>
  <si>
    <t>LW00043120</t>
  </si>
  <si>
    <t>LW000181319</t>
  </si>
  <si>
    <t>NAVE TMS (ALMACEN XITA)</t>
  </si>
  <si>
    <t>EN CT-10</t>
  </si>
  <si>
    <t>EN CT-3</t>
  </si>
  <si>
    <t>SIN DATOS</t>
  </si>
  <si>
    <t>CASETA VALENCIA TERMINALES EUROPA</t>
  </si>
  <si>
    <t>Alta contador en fecha 04/11/2016</t>
  </si>
  <si>
    <t>Porcentaje propia</t>
  </si>
  <si>
    <t>Porcentaje absoluto</t>
  </si>
  <si>
    <t>110 121 122</t>
  </si>
  <si>
    <t>ESTIMADO</t>
  </si>
  <si>
    <t>TOTAL ESTIMADO</t>
  </si>
  <si>
    <t>SERVICIO</t>
  </si>
  <si>
    <t>REF</t>
  </si>
  <si>
    <t>ZONA</t>
  </si>
  <si>
    <t>VALENCIA</t>
  </si>
  <si>
    <t>(4) ENERGIA NO MEDIDA (kWh)</t>
  </si>
  <si>
    <t>(3) AUTOCONSUMOS (kWh)</t>
  </si>
  <si>
    <t>(2) USUARIOS (kWh)</t>
  </si>
  <si>
    <t>(1) TOTAL IBERDROLA (kWh)</t>
  </si>
  <si>
    <t>SAGUNTO</t>
  </si>
  <si>
    <t>GANDIA</t>
  </si>
  <si>
    <t>LECTURAS</t>
  </si>
  <si>
    <t>TOMA MUELLE coche nº3</t>
  </si>
  <si>
    <t>VCT RELOJ</t>
  </si>
  <si>
    <t>TOMA MUELLE coche nº2</t>
  </si>
  <si>
    <t>VCT06Y</t>
  </si>
  <si>
    <t>VCT06Z</t>
  </si>
  <si>
    <t>CENTRALIZACION CT14</t>
  </si>
  <si>
    <t>EDIFICIO PENDIENTE ADJUDICACIÓN</t>
  </si>
  <si>
    <t>TOMA MUELLE DARSENA SERVICIOS</t>
  </si>
  <si>
    <t>INTERIOR CT14</t>
  </si>
  <si>
    <t>TORRES DARSENA SERVICIO (4) Y MUELLE SUR (3)</t>
  </si>
  <si>
    <t>AUTOCONSUMO. INSTALADO EL 15 FEBRERO.</t>
  </si>
  <si>
    <t>ALMACEN SERVICIO ELECTRICO</t>
  </si>
  <si>
    <t>PRÁCTICOS. RETIRADO.</t>
  </si>
  <si>
    <t>CHECK</t>
  </si>
  <si>
    <t/>
  </si>
  <si>
    <t>Primer digito indica nº vuelta y se añade manualmente.</t>
  </si>
  <si>
    <t>UTE SOLER</t>
  </si>
  <si>
    <t>TORRES ALUMBRADO ENTRADA M. CRUCEROS</t>
  </si>
  <si>
    <t>Descubierto con lectura amarilla el 22 de Marzo del 2017</t>
  </si>
  <si>
    <t>VREP</t>
  </si>
  <si>
    <t>VTOT</t>
  </si>
  <si>
    <t>FACT EXT</t>
  </si>
  <si>
    <t>TOTALIZADOR</t>
  </si>
  <si>
    <t>GTOT</t>
  </si>
  <si>
    <t>PRACTICOS DE VALENCIA S.L.P.</t>
  </si>
  <si>
    <t>TORRETAS / EDI</t>
  </si>
  <si>
    <t>EMBARCACIONES MENORES Y EXC AYUNTAMIENTO</t>
  </si>
  <si>
    <t>APV RACK</t>
  </si>
  <si>
    <t>LG37968902</t>
  </si>
  <si>
    <t>ASOCIACIÓN  E.L.T.C.O. BASCULA</t>
  </si>
  <si>
    <t>ALTA 1/3/2017 NUMERO 820618</t>
  </si>
  <si>
    <t>LW00042807</t>
  </si>
  <si>
    <t>PM4E34dF60</t>
  </si>
  <si>
    <t>TOTALIZADOR CT13</t>
  </si>
  <si>
    <t>PM489C2946</t>
  </si>
  <si>
    <t>TOTALIZADOR ACTIVA DEL CT 8</t>
  </si>
  <si>
    <t>Columna1</t>
  </si>
  <si>
    <t>Columna2</t>
  </si>
  <si>
    <t>CXZVFER14053024</t>
  </si>
  <si>
    <t>APV FARO</t>
  </si>
  <si>
    <t>apagado</t>
  </si>
  <si>
    <t>retirado el 1/3/2017 apagado</t>
  </si>
  <si>
    <t>VFIJ</t>
  </si>
  <si>
    <t xml:space="preserve">DRAGADOS </t>
  </si>
  <si>
    <t>EN TORRE 2204</t>
  </si>
  <si>
    <t>EN CT (5)</t>
  </si>
  <si>
    <t>EN CT (7)</t>
  </si>
  <si>
    <t>EN CT (9)</t>
  </si>
  <si>
    <t>EN CT (4)</t>
  </si>
  <si>
    <t>EN CT (8)</t>
  </si>
  <si>
    <t>EN CT (3)</t>
  </si>
  <si>
    <t>EN CT (2)</t>
  </si>
  <si>
    <t>EN CT (6)</t>
  </si>
  <si>
    <t>EN CT (1)</t>
  </si>
  <si>
    <t>EN CT (10)</t>
  </si>
  <si>
    <t>EN CT (11)</t>
  </si>
  <si>
    <t>EN CT (12)</t>
  </si>
  <si>
    <t>EN CT (13)</t>
  </si>
  <si>
    <t>EN CT (01)</t>
  </si>
  <si>
    <t>EN CT (02)</t>
  </si>
  <si>
    <t>EN CT (03)</t>
  </si>
  <si>
    <t>EN CT (04)</t>
  </si>
  <si>
    <t>EN CT (05)</t>
  </si>
  <si>
    <t>EN CT (06)</t>
  </si>
  <si>
    <t>EN CT (07)</t>
  </si>
  <si>
    <t>EN CT (08)</t>
  </si>
  <si>
    <t>EN CT (09)</t>
  </si>
  <si>
    <t>MOVIMIENTO</t>
  </si>
  <si>
    <t>FECHA</t>
  </si>
  <si>
    <t>MODIFICACION</t>
  </si>
  <si>
    <t>UBICACION</t>
  </si>
  <si>
    <t>ACTUACION</t>
  </si>
  <si>
    <t>CONTADOR ANALOGICO, MULTIPLICAR CONSUMOS POR 600/5</t>
  </si>
  <si>
    <t>ADICION</t>
  </si>
  <si>
    <t>CT14</t>
  </si>
  <si>
    <t>Alumbrado CT-17</t>
  </si>
  <si>
    <t>200/5</t>
  </si>
  <si>
    <t>ALTA NUEVA EN PROCESO 100/5</t>
  </si>
  <si>
    <t>100/5</t>
  </si>
  <si>
    <t>150/5</t>
  </si>
  <si>
    <t>75/5</t>
  </si>
  <si>
    <t>1000/5</t>
  </si>
  <si>
    <t>PM 47A092AA</t>
  </si>
  <si>
    <t>SALA DE BOMBAS XITA</t>
  </si>
  <si>
    <t>SALA BOMBAS XITA</t>
  </si>
  <si>
    <t>PM 4E3A2ADD</t>
  </si>
  <si>
    <t>SALA BOMBAS CRUCEROS</t>
  </si>
  <si>
    <t>SALA BOMBAS CRUCERO</t>
  </si>
  <si>
    <t>PM 4B61C688</t>
  </si>
  <si>
    <t>SALA DE BOMBAS TURIA</t>
  </si>
  <si>
    <t>EN SALA DE BOMBAS TURIA</t>
  </si>
  <si>
    <t>CT15</t>
  </si>
  <si>
    <t>CT51</t>
  </si>
  <si>
    <t>CT10</t>
  </si>
  <si>
    <t>SALA BOMBAS</t>
  </si>
  <si>
    <t>PASAR A TEXTO ESTATICO</t>
  </si>
  <si>
    <t>APV COMEDOR</t>
  </si>
  <si>
    <t>APV TUNEL</t>
  </si>
  <si>
    <t>PM</t>
  </si>
  <si>
    <t>EN SCADA</t>
  </si>
  <si>
    <t>ESTACION BOMBEO AGUAS RESIDUALES SUR</t>
  </si>
  <si>
    <t>DESDE EL 5/4/17</t>
  </si>
  <si>
    <t>APV ESTACION REBOMBEO SUR</t>
  </si>
  <si>
    <t>APV ESTACION VACIO SUR</t>
  </si>
  <si>
    <t>ESTACION VACIO SUR</t>
  </si>
  <si>
    <t>APV ESTACION REBOMBEO NORTE</t>
  </si>
  <si>
    <t xml:space="preserve">ESTACION REBOMBEO NORTE </t>
  </si>
  <si>
    <t>CT32</t>
  </si>
  <si>
    <t>CT22</t>
  </si>
  <si>
    <t>CT4</t>
  </si>
  <si>
    <t>CT17</t>
  </si>
  <si>
    <t>ESTACION REBOMBEO</t>
  </si>
  <si>
    <t>ESTACION VACIO</t>
  </si>
  <si>
    <t>RT</t>
  </si>
  <si>
    <t>CONSUMOS</t>
  </si>
  <si>
    <t>DATOS</t>
  </si>
  <si>
    <t>concepto</t>
  </si>
  <si>
    <t>todo</t>
  </si>
  <si>
    <t>todos</t>
  </si>
  <si>
    <t>onmipresente</t>
  </si>
  <si>
    <t>Añadir relacion de TI en contadores viejos</t>
  </si>
  <si>
    <t>Nuevo control sobre PM ya existente</t>
  </si>
  <si>
    <t>TORRETA</t>
  </si>
  <si>
    <t>REFERENCIAS</t>
  </si>
  <si>
    <t>Se añaden varios #REF facilitados por Ozaeta.</t>
  </si>
  <si>
    <t>Unificación Contador Torres</t>
  </si>
  <si>
    <t>Aplicar relación transformacion 600/5</t>
  </si>
  <si>
    <t>Hay Q15 y Subconsumos en CDD</t>
  </si>
  <si>
    <t>UltLec</t>
  </si>
  <si>
    <t>PenLect</t>
  </si>
  <si>
    <t>UltConsumo</t>
  </si>
  <si>
    <t>PRACTICOS PUERTO VALENCIA</t>
  </si>
  <si>
    <t>Primer digito indica nº vuelta y se añade manualmente. CDD</t>
  </si>
  <si>
    <t>CASETA BALEARIA</t>
  </si>
  <si>
    <t>CUADRO TORRE PARKING D</t>
  </si>
  <si>
    <t>OFICINA 2ª PLANTA</t>
  </si>
  <si>
    <t>!!!!</t>
  </si>
  <si>
    <t>Pasa de REF 150 a REF 39010</t>
  </si>
  <si>
    <t>Federación de pesca de la C.V.</t>
  </si>
  <si>
    <t>Pasa de REF39027 a REF 39044</t>
  </si>
  <si>
    <t>Transitos Costa ESTE S.L.U.</t>
  </si>
  <si>
    <t>Maquinas expendedoras</t>
  </si>
  <si>
    <t>P</t>
  </si>
  <si>
    <t>PANTALÁN BOMBA DIESEL</t>
  </si>
  <si>
    <t>EN SALA Y SCADA</t>
  </si>
  <si>
    <t>PLANT</t>
  </si>
  <si>
    <t>Primer digiro indica numero de vueltas</t>
  </si>
  <si>
    <t>Primer digito indica numero vueltas contador</t>
  </si>
  <si>
    <t>TRANSFORMADOR USUARIO, CUELGA DEL CT.50</t>
  </si>
  <si>
    <t>AÑADIR  111</t>
  </si>
  <si>
    <t>DUPLICADO CON EL 39370</t>
  </si>
  <si>
    <t>TODO</t>
  </si>
  <si>
    <t>Aplicar relaciones de transformación a contadores en Sagunto</t>
  </si>
  <si>
    <t>LW00042943</t>
  </si>
  <si>
    <t>NUEVO EDIFICIO RESPONSABLE DE CIRCULACION</t>
  </si>
  <si>
    <t xml:space="preserve">BAJA  </t>
  </si>
  <si>
    <t>TEMAGRA ¿INFRAPORTVA?</t>
  </si>
  <si>
    <t>CXRUGBI17038221141</t>
  </si>
  <si>
    <t>APV TORRE 301</t>
  </si>
  <si>
    <t>APV TORRE 10.01</t>
  </si>
  <si>
    <t>APV TORRES DARSENA SERVICIO (4) Y MUELLE SUR (3)</t>
  </si>
  <si>
    <t>Torres CT-50</t>
  </si>
  <si>
    <t>Torres CT-51</t>
  </si>
  <si>
    <t>Torres CT-52</t>
  </si>
  <si>
    <t>Torres CT-53</t>
  </si>
  <si>
    <t>DOS TORRES ROTONDA NAZARET</t>
  </si>
  <si>
    <t>Torres M.Sur y Dársena Servicios</t>
  </si>
  <si>
    <t>APV Almacen y Talleres</t>
  </si>
  <si>
    <t>APV Coche S.E</t>
  </si>
  <si>
    <t>APV PM Totalizador</t>
  </si>
  <si>
    <t>APV COCHERON</t>
  </si>
  <si>
    <t>APV ED,ANT. DIRECCIÓN, CLINICA, POLIDEPOR., LOC. SINDICALES</t>
  </si>
  <si>
    <t>APV ESTACION VACÍO NORTE</t>
  </si>
  <si>
    <t xml:space="preserve">APV RENFE (SALA RC) </t>
  </si>
  <si>
    <t>APV EMBARCACIONES MENORES Y EXC AYUNTAMIENTO</t>
  </si>
  <si>
    <t>APV GUARDIA CIVIL SCANER</t>
  </si>
  <si>
    <t>APV TOTALIZADOR</t>
  </si>
  <si>
    <t>APV PIF</t>
  </si>
  <si>
    <t>APV ACCESO SUR izq</t>
  </si>
  <si>
    <t>APV ACCESO SUR der</t>
  </si>
  <si>
    <t>APV EDIFICIO GUARDIA CIVIL</t>
  </si>
  <si>
    <t>APV TOTALIZADOR CT14</t>
  </si>
  <si>
    <t>COMPAÑÍA TRASMEDITERRÁNEA, S.A.</t>
  </si>
  <si>
    <t>Fachada Este nave antigua FRILESA</t>
  </si>
  <si>
    <t>Alta contador en fecha 12/05/2017</t>
  </si>
  <si>
    <t>Torre 0301</t>
  </si>
  <si>
    <t>Torres Rotonda Nazaret</t>
  </si>
  <si>
    <t xml:space="preserve"> BAJA 31/01/17</t>
  </si>
  <si>
    <t xml:space="preserve"> ALTA 31/01/17</t>
  </si>
  <si>
    <t>BAJA 04/04/2017</t>
  </si>
  <si>
    <t>PG</t>
  </si>
  <si>
    <t>FECHA DE ALTA (13/12/2016) Antes 39369</t>
  </si>
  <si>
    <t>SIN NOTIFICACIÓN DE PETICIÓN Antes 39372</t>
  </si>
  <si>
    <t>Bascula</t>
  </si>
  <si>
    <t>Alta 1/05/2017</t>
  </si>
  <si>
    <t>Alta 19/6/17</t>
  </si>
  <si>
    <t>VCT00??VCT15?? VCT42?? VCT43?? VCT44?? VCT45??</t>
  </si>
  <si>
    <t>VERIFICAR VIALES EN VCT4 QUE SE MIDEN TODOS</t>
  </si>
  <si>
    <t>VCT8??</t>
  </si>
  <si>
    <t>VERIFICAR TORRES Y VIALES!!!!!!!! UNA A UNA</t>
  </si>
  <si>
    <t>VERIFICAR SI SE FACTURAN TORRES 10-02 Y 10-03</t>
  </si>
  <si>
    <t>VERIFICAR SI SE FACTURAN TORRES 13-02</t>
  </si>
  <si>
    <t>VERIFICAR CON INVENTARIO ALUMBRADO TORRES FASE IV Y DESCARTAR QUE SE ESTE SUMANDO DOS VECES (CON EDIF FASE IV)</t>
  </si>
  <si>
    <t>VERIFICAR TORRES 22-05 Y 22-06</t>
  </si>
  <si>
    <t>ALUM EXTERIOR DIRECCION</t>
  </si>
  <si>
    <t>SAI GARAJE</t>
  </si>
  <si>
    <t>GARAJE</t>
  </si>
  <si>
    <t>Instalado 20/06/17 Lectura inicial 0</t>
  </si>
  <si>
    <t>Instalado 20/06/17 Lectura inicial 230</t>
  </si>
  <si>
    <t>ago-17</t>
  </si>
  <si>
    <t>Comprobar con una pinza que efectivamente el consumo del APV OKKEN es 0!!!  100kWh mensuales 2013 y 2014. En 2015 daba 5000Kwh.</t>
  </si>
  <si>
    <t>Los dos viales del CT17.</t>
  </si>
  <si>
    <t>Que no hay viales en el VCT51</t>
  </si>
  <si>
    <t>Alumbrado CT-06</t>
  </si>
  <si>
    <t>VERIFICAR EN VCT4 LAS SUPUESTAS 9 TORRES EXISTENTES, SE FACTURAN SOLO 3, HAY UNA AUTOCONSUMO?</t>
  </si>
  <si>
    <t>VERIFICAR TORRE 0903 ?? AUTOCONSUMO?</t>
  </si>
  <si>
    <t>HAY MAS TORRES EN EL VCT15 A PARTE DE 1501 1502 Y 1503 QUE SE FACTURA A VALTE?</t>
  </si>
  <si>
    <t>VERIFICAR QUE LOS CONSUMOS DE LAS TORRES DEL 23 ESTAN INCLUIDOS EN LOS PM DE ACCESO SUR, O DONDE ESTAN</t>
  </si>
  <si>
    <t>TORRES CT50 Y CT43</t>
  </si>
  <si>
    <t>17 MEDIA TENSIÓN</t>
  </si>
  <si>
    <t>18 MEDIA TENSIÓN</t>
  </si>
  <si>
    <t>16 MEDIA TENSIÓN</t>
  </si>
  <si>
    <t>25 MEDIA TENSIÓN</t>
  </si>
  <si>
    <t>22 MEDIA TENSIÓN</t>
  </si>
  <si>
    <t>21 MEDIA TENSIÓN</t>
  </si>
  <si>
    <t>24 MEDIA TENSIÓN</t>
  </si>
  <si>
    <t>20 MEDIA TENSIÓN</t>
  </si>
  <si>
    <t>15 MEDIA TENSIÓN</t>
  </si>
  <si>
    <t>7 MEDIA TENSIÓN Se le asigna el 70%</t>
  </si>
  <si>
    <t>7 MEDIA TENSIÓN Se le asigna el 30%</t>
  </si>
  <si>
    <t>12 MEDIA TENSIÓN</t>
  </si>
  <si>
    <t>19 MEDIA TENSIÓN</t>
  </si>
  <si>
    <t>2 MEDIA TENSIÓN</t>
  </si>
  <si>
    <t>3 MEDIA TENSIÓN</t>
  </si>
  <si>
    <t>14 MEDIA TENSIÓN</t>
  </si>
  <si>
    <t>11 MEDIA TENSIÓN</t>
  </si>
  <si>
    <t>9 MEDIA TENSIÓN</t>
  </si>
  <si>
    <t>5 MEDIA TENSIÓN</t>
  </si>
  <si>
    <t>4 MEDIA TENSIÓN</t>
  </si>
  <si>
    <t>8 MEDIA TENSIÓN</t>
  </si>
  <si>
    <t>X MEDIA TENSIÓN</t>
  </si>
  <si>
    <t>10 MEDIA TENSIÓN</t>
  </si>
  <si>
    <t>13 MEDIA TENSIÓN</t>
  </si>
  <si>
    <t>01 MEDIA TENSIÓN</t>
  </si>
  <si>
    <t>CONTADOR SALA BOMBAS LEVANTE</t>
  </si>
  <si>
    <t>TOTAL CONSUMO APV GANDIA</t>
  </si>
  <si>
    <t>ESTUDIO DETALLADO Y PORMENORIZADO DEL CT6</t>
  </si>
  <si>
    <t>VERIFICAR CONSUMOS ESTACION REBOMBEO NORTE, POR UN CONSUMO APARENTEMENTE ELEVADO.</t>
  </si>
  <si>
    <t>LW00044275</t>
  </si>
  <si>
    <t>BOMBA POZO</t>
  </si>
  <si>
    <t>CUADRO ALIMENTACION FRENTE VCT45 EN HORNACINA ROTONDA</t>
  </si>
  <si>
    <t>VCT11</t>
  </si>
  <si>
    <t>RACK VR11</t>
  </si>
  <si>
    <t>EXTERIOR CT (1)</t>
  </si>
  <si>
    <t>EXTERIOR CT (5)</t>
  </si>
  <si>
    <t>EXTERIOR CT (4)</t>
  </si>
  <si>
    <t>EXTERIOR CT (3)</t>
  </si>
  <si>
    <t>EXTERIOR CT (2)</t>
  </si>
  <si>
    <t>C. CONTADORES EDIF .V (1)</t>
  </si>
  <si>
    <t>C. CONTADORES EDIF .V (5)</t>
  </si>
  <si>
    <t>C. CONTADORES EDIF .V (3)</t>
  </si>
  <si>
    <t>C. CONTADORES EDIF .V (4)</t>
  </si>
  <si>
    <t>EN CENTRALIZACION (3)</t>
  </si>
  <si>
    <t>EN CENTRALIZACION (2)</t>
  </si>
  <si>
    <t>EN CENTRALIZACION (6)</t>
  </si>
  <si>
    <t>EN CENTRALIZACION (4)</t>
  </si>
  <si>
    <t>EN CENTRALIZACION (12)</t>
  </si>
  <si>
    <t>EN CENTRALIZACION (7)</t>
  </si>
  <si>
    <t>EN CENTRALIZACION (11)</t>
  </si>
  <si>
    <t>EN CENTRALIZACION (13)</t>
  </si>
  <si>
    <t>EN CENTRALIZACION (1)</t>
  </si>
  <si>
    <t>EN CENTRALIZACION (5)</t>
  </si>
  <si>
    <t>EN CENTRALIZACION (10)</t>
  </si>
  <si>
    <t>CENTRALIZACION (3)</t>
  </si>
  <si>
    <t>CENTRALIZACION (2)</t>
  </si>
  <si>
    <t>CENTRALIZACION (1)</t>
  </si>
  <si>
    <t>VALENCIA TERMINAL EUROPA, S.A. TORRE 5102</t>
  </si>
  <si>
    <t>VALENCIA TERMINAL EUROPA, S.A. TORRE 5104</t>
  </si>
  <si>
    <t>VALENCIA TERMINAL EUROPA, S.A. TORRE 5101</t>
  </si>
  <si>
    <t>VALENCIA TERMINAL EUROPA, S.A. TORRE 5203</t>
  </si>
  <si>
    <t>VALENCIA TERMINAL EUROPA, S.A. TORRE 5204</t>
  </si>
  <si>
    <t>VALENCIA TERMINAL EUROPA, S.A. TORRE 5202</t>
  </si>
  <si>
    <t>VALENCIA TERMINAL EUROPA, S.A. TORRE 5201</t>
  </si>
  <si>
    <t>AIRE ACONDICIONADO DIRECCION</t>
  </si>
  <si>
    <t>INTERIOR CT (1)</t>
  </si>
  <si>
    <t>INTERIOR CT (2)</t>
  </si>
  <si>
    <t>INTERIOR CT (3)</t>
  </si>
  <si>
    <t>INTERIOR CT (4)</t>
  </si>
  <si>
    <t>INTERIOR CT (5)</t>
  </si>
  <si>
    <t>INTERIOR CT (6)</t>
  </si>
  <si>
    <t>INTERIOR CT (7)</t>
  </si>
  <si>
    <t>INTERIOR CT (8)</t>
  </si>
  <si>
    <t>EN CENTRALIZACION (01)</t>
  </si>
  <si>
    <t>EN CENTRALIZACION (02)</t>
  </si>
  <si>
    <t>EN CENTRALIZACION (03)</t>
  </si>
  <si>
    <t>EN CENTRALIZACION (04)</t>
  </si>
  <si>
    <t>EN CENTRALIZACION (05)</t>
  </si>
  <si>
    <t>EN CENTRALIZACION (06)</t>
  </si>
  <si>
    <t>EN CENTRALIZACION (07)</t>
  </si>
  <si>
    <t>EN CENTRALIZACION (08)</t>
  </si>
  <si>
    <t>EN CENTRALIZACION (09)</t>
  </si>
  <si>
    <t>Añadido el 25/08/17 Lectura inicial?¿?¿?</t>
  </si>
  <si>
    <t>Alta 12/6/17 50/5 Pero ya parametrizado.</t>
  </si>
  <si>
    <t>Ptda ROLLET, 2 1 ESC. 146529-CANET D EN BERENGUER - VALENCIA</t>
  </si>
  <si>
    <t>C/ FAROLA, 30 46408-FARO - VALENCIA</t>
  </si>
  <si>
    <t>3X380/220</t>
  </si>
  <si>
    <t>C/ DIC NORD, 2 46730-GRAO - GANDIA - VALENCIA</t>
  </si>
  <si>
    <t>3X400/230</t>
  </si>
  <si>
    <t>C/ ESTRIBO PUENTE MOVIL CT 1 MARGEN SUR, 1 , BAJO 46023-VALENCIA</t>
  </si>
  <si>
    <t>C/ ESTRIBO PUENTE MOVIL CT 2 MARGEN NORTE, 2 , BAJO 46023-VALENCIA</t>
  </si>
  <si>
    <t>C/ LUIS CENDOYA, 2 1 , 1 46520-EL PUERTO - VALENCIA</t>
  </si>
  <si>
    <t>Grpo PORT GANDIA ( RECINT ), 1 1 , BAJO , A 46730-GRAO - GANDIA</t>
  </si>
  <si>
    <t>Avda MUELLES DE LA ADUANA, S/N 1 , BAJO , 9997 46024-VALENCIA</t>
  </si>
  <si>
    <t>APV VALENCIA</t>
  </si>
  <si>
    <t>APV GANDIA</t>
  </si>
  <si>
    <t>PUENTE SUR</t>
  </si>
  <si>
    <t>PUENTE NORTE</t>
  </si>
  <si>
    <t>FARO CANET</t>
  </si>
  <si>
    <t>APV SAGUNTO</t>
  </si>
  <si>
    <t>Frigorificos. Retirado de servicio 27/6/2017</t>
  </si>
  <si>
    <t>Era autoconsumo 3</t>
  </si>
  <si>
    <t>Era autoconsumo 4</t>
  </si>
  <si>
    <t>C. CONTADORES EDIF .V (2)</t>
  </si>
  <si>
    <t>EN CENTRALIZACIÓN (09)</t>
  </si>
  <si>
    <t>EN CENTRALIZACIÓN (08)</t>
  </si>
  <si>
    <t>ALUMBRADO VIALES T0903 y T0904</t>
  </si>
  <si>
    <t>TRANSBASE SOLER</t>
  </si>
  <si>
    <t>LW00012544</t>
  </si>
  <si>
    <t>CENTRO DE FORMACION NAUTICA</t>
  </si>
  <si>
    <t xml:space="preserve"> EMPRESA MIXTA VALENCIANA DE AGUAS S.A</t>
  </si>
  <si>
    <t>15/01/2018</t>
  </si>
  <si>
    <t>FARO CULLERA</t>
  </si>
  <si>
    <t>PASEO GANDIA</t>
  </si>
  <si>
    <t>N/A</t>
  </si>
  <si>
    <t>BOMBEROS NO SE FACTURA</t>
  </si>
  <si>
    <t>No esta el 15/10/2017</t>
  </si>
  <si>
    <t>ZNUQGAZ 17047641017</t>
  </si>
  <si>
    <t>Nuevo el 15/10/2017. Sin conectar</t>
  </si>
  <si>
    <t>Posible SN 4AA76262</t>
  </si>
  <si>
    <t>HORNACINA FRENTE A VELAS LLUCH</t>
  </si>
  <si>
    <t>BAJA</t>
  </si>
  <si>
    <t>JUNTO AL TRANSFORMADOR SCT6</t>
  </si>
  <si>
    <t>TRANSFORMADOR EN CAMPA MUELLE SUR 2</t>
  </si>
  <si>
    <t>TORRE ALUMBRADO NUMERO 19 CAMPA VIAL SUR</t>
  </si>
  <si>
    <t xml:space="preserve">39981 CARPORT SAGUNTO, S.L.         </t>
  </si>
  <si>
    <t xml:space="preserve">39979 CARPORT SAGUNTO, S.L.         </t>
  </si>
  <si>
    <t xml:space="preserve">39392 CARPORT SAGUNTO, S.L.         </t>
  </si>
  <si>
    <t xml:space="preserve">39391 CARPORT SAGUNTO, S.L.         </t>
  </si>
  <si>
    <t>C/S/021</t>
  </si>
  <si>
    <t xml:space="preserve">ARCELORMITTAL ESPAÑA, S.A.                             </t>
  </si>
  <si>
    <t>C/S/041</t>
  </si>
  <si>
    <t xml:space="preserve">FERTIBERIA, S.A.                                       </t>
  </si>
  <si>
    <t>C/V/072</t>
  </si>
  <si>
    <t xml:space="preserve">INFRAPORTVA, S.L.                                      </t>
  </si>
  <si>
    <t>C/S/002</t>
  </si>
  <si>
    <t xml:space="preserve">NOATUM TERMINAL POLIVALENTE SAGUNTO, S.L.U.            </t>
  </si>
  <si>
    <t>C/S/019</t>
  </si>
  <si>
    <t xml:space="preserve">PLANTA DE REGASIFICACION DE SAGUNTO, S.A.              </t>
  </si>
  <si>
    <t>C/S/040</t>
  </si>
  <si>
    <t xml:space="preserve">S.A. DE GESTION DE ESTIBADORES PORTUARIOS PTO SAGUNTO  </t>
  </si>
  <si>
    <t>C/V/080</t>
  </si>
  <si>
    <t xml:space="preserve">VELAS LLUCH, S.L.                                      </t>
  </si>
  <si>
    <t>C/G/008</t>
  </si>
  <si>
    <t xml:space="preserve">SEBASTIAN CASTELLO HERRERO                             </t>
  </si>
  <si>
    <t>C/S/036</t>
  </si>
  <si>
    <t xml:space="preserve">SEROIL VALENCIA, S.L.                                  </t>
  </si>
  <si>
    <t>TEMAGRA INFRAPORTVA</t>
  </si>
  <si>
    <t>CONCESION</t>
  </si>
  <si>
    <t>COD_CON</t>
  </si>
  <si>
    <t xml:space="preserve">ALUMBRADO PUBLICO TORRE </t>
  </si>
  <si>
    <t>BSCT12</t>
  </si>
  <si>
    <t>BSCT08</t>
  </si>
  <si>
    <t>CXRUGBI17040534446</t>
  </si>
  <si>
    <t>BAR CABALLITO DE MAR</t>
  </si>
  <si>
    <t>CXRUGBI17040534448</t>
  </si>
  <si>
    <t>ALTA 25-8-17, INSTALACION 25-12-17</t>
  </si>
  <si>
    <t>DADO DE BAJA</t>
  </si>
  <si>
    <t>GBAJA</t>
  </si>
  <si>
    <t>BGCT01</t>
  </si>
  <si>
    <t>C. CONTADORES EDIF .V (6)</t>
  </si>
  <si>
    <t>31/12/2017</t>
  </si>
  <si>
    <t>15/02/2018</t>
  </si>
  <si>
    <t>15/03/2018</t>
  </si>
  <si>
    <t>15/04/2018</t>
  </si>
  <si>
    <t>15/05/2018</t>
  </si>
  <si>
    <t>15/06/2018</t>
  </si>
  <si>
    <t>15/07/2018</t>
  </si>
  <si>
    <t>15/08/2018</t>
  </si>
  <si>
    <t>15/09/2018</t>
  </si>
  <si>
    <t>15/09/20182</t>
  </si>
  <si>
    <t>15/10/2018</t>
  </si>
  <si>
    <t>15/11/2018</t>
  </si>
  <si>
    <t>28/12/2018</t>
  </si>
  <si>
    <t>retirado</t>
  </si>
  <si>
    <t>sin telemedida</t>
  </si>
  <si>
    <t>CT ANTIGUO CARPORT</t>
  </si>
  <si>
    <t>BAJA A 31/01/18</t>
  </si>
  <si>
    <t>CHEMA BALLESTER</t>
  </si>
  <si>
    <t>CXRUGBI17040534455</t>
  </si>
  <si>
    <t>ALTA 8-2-2018</t>
  </si>
  <si>
    <t>2/3 torres con 4 focos</t>
  </si>
  <si>
    <t>Se unificaron, pero parece que no tienen contador todavia</t>
  </si>
  <si>
    <t>Exactamente, no tienen contador propio, se incluyen en el contador OKKEN</t>
  </si>
  <si>
    <t>NO HAY MAS</t>
  </si>
  <si>
    <t>Cogen del CT y no tienen contador.</t>
  </si>
  <si>
    <t>Resuelto</t>
  </si>
  <si>
    <t>Si, Resuelto.</t>
  </si>
  <si>
    <t>Va al contador de viales junto con la T0904 que ademas lleva su contador</t>
  </si>
  <si>
    <t>RESUELTO</t>
  </si>
  <si>
    <t>ESTADO</t>
  </si>
  <si>
    <t>La torre 1003 y bascula del turios cogen del mismo interruptor y no tiene contador. Y la torre 1002 y la bascula cogen del mismo interruptor, tambien sin contador.</t>
  </si>
  <si>
    <t>La torre 1301 y 1302 parece que cogen del PM general. Ademas las 1301 tiene su contador y se factura. (se cuenta dos veces)</t>
  </si>
  <si>
    <t>NUEVO EDIFICIO Y T2204 cogen del mismo interruptor Q22.7. Y T2205+T2206 cogen del mismo interruptor Q22.08</t>
  </si>
  <si>
    <t>Si que se toman lectura del 43 todas se facturan</t>
  </si>
  <si>
    <t>feb-18</t>
  </si>
  <si>
    <t>PS</t>
  </si>
  <si>
    <t>Mide GWh</t>
  </si>
  <si>
    <t>VCDD Panel 2</t>
  </si>
  <si>
    <t>EN CENTRALIZACIÓN (2)</t>
  </si>
  <si>
    <t>EN CENTRALIZACIÓN (1)</t>
  </si>
  <si>
    <t>BAJA SEGÚN MANOLO</t>
  </si>
  <si>
    <t>037207-0707</t>
  </si>
  <si>
    <t>Un orbis</t>
  </si>
  <si>
    <t>DAMQCBH08005356226</t>
  </si>
  <si>
    <t>LECTURA DIRECTA CT5 (VISTO 20-2-18)</t>
  </si>
  <si>
    <t>ACCESO NORTE  VENDING (MAQUINAS CAFÉ ACCESO NORTE)</t>
  </si>
  <si>
    <t>Alumbrado viales CT5</t>
  </si>
  <si>
    <t>la RT no es de 50, si no de 1, puesto que es lectura directa.</t>
  </si>
  <si>
    <t>BGNQCB1010527478</t>
  </si>
  <si>
    <t>JUNTO FERTIBERIA DETRÁS CT7</t>
  </si>
  <si>
    <t>INTERIOR CT10</t>
  </si>
  <si>
    <t>CENTRALIZACION.Muelle Sur 2</t>
  </si>
  <si>
    <t>Alumbrado viales CT10-1 MUELLE SAGAS</t>
  </si>
  <si>
    <t>La RT pasa de 20 a ser 50.</t>
  </si>
  <si>
    <t>Tras visita del dia 20/2/18</t>
  </si>
  <si>
    <t xml:space="preserve">CXZVFER 17040183032  </t>
  </si>
  <si>
    <t>BAJA EL 19-2-18. 26 MEDIA TENSIÓN</t>
  </si>
  <si>
    <t>ALTA EL 19-2-18. 26 MEDIA TENSIÓN</t>
  </si>
  <si>
    <t>PM4CD028F0</t>
  </si>
  <si>
    <t>INTERIOR CT LADO BAJA</t>
  </si>
  <si>
    <t>CXUVFER17038936162</t>
  </si>
  <si>
    <t>ALUMBRADO TORRE 5</t>
  </si>
  <si>
    <t>CXUVFER17038936164</t>
  </si>
  <si>
    <t>GENERAL CT 7</t>
  </si>
  <si>
    <t>PM4A3787A2</t>
  </si>
  <si>
    <t>ALUMBRADO TORRE 6</t>
  </si>
  <si>
    <t>CXRUGBI17040534447</t>
  </si>
  <si>
    <t>???</t>
  </si>
  <si>
    <t>PM44D89C85</t>
  </si>
  <si>
    <t>PM4D3EF0E1</t>
  </si>
  <si>
    <t>VIALES CT7</t>
  </si>
  <si>
    <t>LW1300</t>
  </si>
  <si>
    <t>TOMAS CORRIENTE MUELLE NORTE</t>
  </si>
  <si>
    <t>CASETA 19/20</t>
  </si>
  <si>
    <t>CASETA19/20</t>
  </si>
  <si>
    <t>SBAJA</t>
  </si>
  <si>
    <t xml:space="preserve">NUEVO CONTROL  </t>
  </si>
  <si>
    <t>SCT7</t>
  </si>
  <si>
    <t>GENERAL CT7</t>
  </si>
  <si>
    <t>GENERAL CT72</t>
  </si>
  <si>
    <t>VIALES CT72</t>
  </si>
  <si>
    <t>DE CARRIL</t>
  </si>
  <si>
    <t>REMOLCADORES BOLUDA, S.A.</t>
  </si>
  <si>
    <t>D.S.T.N OFICINAS</t>
  </si>
  <si>
    <t>Desmontada la linea</t>
  </si>
  <si>
    <t>15-02-18 baja del usuario. Ahora es consumo APV</t>
  </si>
  <si>
    <t>DRAGADOS S.L.</t>
  </si>
  <si>
    <t>TIPO</t>
  </si>
  <si>
    <t>TELE</t>
  </si>
  <si>
    <t>3F</t>
  </si>
  <si>
    <t>NO</t>
  </si>
  <si>
    <t>SI</t>
  </si>
  <si>
    <t>NO HAY CONTADOR</t>
  </si>
  <si>
    <t>MF</t>
  </si>
  <si>
    <t>Fusibles quitados</t>
  </si>
  <si>
    <t>MUELLE DESGUACE</t>
  </si>
  <si>
    <t>VBAJA</t>
  </si>
  <si>
    <t>MT-BAJA</t>
  </si>
  <si>
    <t>NOATUM T SAGUNTO S.L.U.</t>
  </si>
  <si>
    <t>Alta en Marzo</t>
  </si>
  <si>
    <t>Q19 GARAGE POLICIA PORTUARIA</t>
  </si>
  <si>
    <t>CUADRO SERVICIOS</t>
  </si>
  <si>
    <t>PM4583C54E</t>
  </si>
  <si>
    <t>PM43541EEE</t>
  </si>
  <si>
    <t>PM40621114</t>
  </si>
  <si>
    <t>PM36015982</t>
  </si>
  <si>
    <t>CXRUGBI15051203692</t>
  </si>
  <si>
    <t>CXRUGBI15051203693</t>
  </si>
  <si>
    <t>CXRUGBI15051354404</t>
  </si>
  <si>
    <t>Q6 - OFICINAS FASE II (RED)</t>
  </si>
  <si>
    <t>Q6.7 - OFICINAS Y FASE IV (SAI)</t>
  </si>
  <si>
    <t>Q13 - OFICINAS FASE II (SAI)</t>
  </si>
  <si>
    <t>Q15 - OFICINAS AUXILIARES (SAI)</t>
  </si>
  <si>
    <t>Q16 -  APV OKKEN</t>
  </si>
  <si>
    <t>Q17 -  OFICINAS AUXILIARES (RED)</t>
  </si>
  <si>
    <t>Q2.4 - OFICINAS Y FASE IV (RED)</t>
  </si>
  <si>
    <t>Q3 - PARKING F.III CUADRO OKKEN</t>
  </si>
  <si>
    <t>Q1 - GENERAL CUADRO OKKEN</t>
  </si>
  <si>
    <t>PM45819294</t>
  </si>
  <si>
    <t>PM45B19E1A</t>
  </si>
  <si>
    <t>PM4581A96D</t>
  </si>
  <si>
    <t>PM4581A6F8</t>
  </si>
  <si>
    <t>PM4581962F</t>
  </si>
  <si>
    <t>PM40AF8A4D</t>
  </si>
  <si>
    <t>PM45819783</t>
  </si>
  <si>
    <t>CXZVFER16032811062</t>
  </si>
  <si>
    <t>CXZVFER15051363895</t>
  </si>
  <si>
    <t>CXZVFER15051363898</t>
  </si>
  <si>
    <t>CXRUGBI16032811063</t>
  </si>
  <si>
    <t>CXRUGBI16032811065</t>
  </si>
  <si>
    <t>CXRUGBI16032811066</t>
  </si>
  <si>
    <t>CXRUGBI16032811067</t>
  </si>
  <si>
    <t>CXRUGBI16032811068</t>
  </si>
  <si>
    <t>CXRUGBI16032811069</t>
  </si>
  <si>
    <t>CXRUGBI16032811071</t>
  </si>
  <si>
    <t>CXRUGBI16032811072</t>
  </si>
  <si>
    <t>CXRUGBI16032811073</t>
  </si>
  <si>
    <t>CXZVFER16037477744</t>
  </si>
  <si>
    <t>CXRUGBI16032811070</t>
  </si>
  <si>
    <t>PM484E5A10</t>
  </si>
  <si>
    <t>PM4935817C</t>
  </si>
  <si>
    <t>PM43F201AF</t>
  </si>
  <si>
    <t>PM4E380252</t>
  </si>
  <si>
    <t>PM4E396380</t>
  </si>
  <si>
    <t>PM4E396383</t>
  </si>
  <si>
    <t>PM4E37FCB3</t>
  </si>
  <si>
    <t>PM4E39638B</t>
  </si>
  <si>
    <t>PM4E39FA7F</t>
  </si>
  <si>
    <t>PM4E37EA09</t>
  </si>
  <si>
    <t>PM4E37F878</t>
  </si>
  <si>
    <t>PM4E37FCA6</t>
  </si>
  <si>
    <t>PM4703432C</t>
  </si>
  <si>
    <t>PM4AD3A025</t>
  </si>
  <si>
    <t>PM47A092AA</t>
  </si>
  <si>
    <t>PM4D33D749</t>
  </si>
  <si>
    <t>1 PM4CE4E184</t>
  </si>
  <si>
    <t>2 PM4CE26391</t>
  </si>
  <si>
    <t>PM4E3A2ADD</t>
  </si>
  <si>
    <t>PM4AA7B262</t>
  </si>
  <si>
    <t>CXRUGBI17040534454</t>
  </si>
  <si>
    <t xml:space="preserve">TRANSCONT </t>
  </si>
  <si>
    <t>Alta 4/4/18</t>
  </si>
  <si>
    <t xml:space="preserve"> CXRUGBI16032811075</t>
  </si>
  <si>
    <t>ADCQHCD956058700</t>
  </si>
  <si>
    <t>150/5 PERO YA LO APLICA EL PROPIO CONTADOR? CAMBIO DE SUMINISTRO A (TRANSISTOS COSTA ESTE, S.L.)</t>
  </si>
  <si>
    <t>Retirado del CT10</t>
  </si>
  <si>
    <t>CXZVFER17038278831</t>
  </si>
  <si>
    <t>BGJQCBJ02020581330</t>
  </si>
  <si>
    <t>CUCMFGL0895589731</t>
  </si>
  <si>
    <t>CUCMFGL0895589727</t>
  </si>
  <si>
    <t>CUEMFGL0894811331</t>
  </si>
  <si>
    <t>CUEMFGL0894811333</t>
  </si>
  <si>
    <t>CUEMFGL0894811502</t>
  </si>
  <si>
    <t>CUEMFGL0894811503</t>
  </si>
  <si>
    <t>CUEMFGL0895589692</t>
  </si>
  <si>
    <t>CUEMFGL0895589707</t>
  </si>
  <si>
    <t>CUEMFGL0895589708</t>
  </si>
  <si>
    <t>CUEMFGL0895589728</t>
  </si>
  <si>
    <t>CUEMFGL0895589732</t>
  </si>
  <si>
    <t>CUEMFGL1197560647</t>
  </si>
  <si>
    <t>CWTMFGL11097734842</t>
  </si>
  <si>
    <t>B</t>
  </si>
  <si>
    <t>TORRE NOATUM (ANTES LOGISTICA)</t>
  </si>
  <si>
    <t>CXZVFER16051363898</t>
  </si>
  <si>
    <t>VALENCIA TERMINALES EUROPA</t>
  </si>
  <si>
    <t>VALENCIA TERMINALES EUROPA , SA</t>
  </si>
  <si>
    <t>VALENCIA TERMINALES EUROPA,SA</t>
  </si>
  <si>
    <t>TORRE SUR DOS Nº1</t>
  </si>
  <si>
    <t>TORRE SUR DOS Nº 2</t>
  </si>
  <si>
    <t>TORRE SUR DOS Nº 3</t>
  </si>
  <si>
    <t>TORRE SUR DOS Nº4</t>
  </si>
  <si>
    <t>TORRE SUR DOS Nº 5</t>
  </si>
  <si>
    <t>TORRE SUR DOS Nº 6</t>
  </si>
  <si>
    <t>TORRE SUR DOS Nº7</t>
  </si>
  <si>
    <t>TORRE SUR DOS Nº 8</t>
  </si>
  <si>
    <t xml:space="preserve">SCANER VEHICULOS </t>
  </si>
  <si>
    <t>TORRE CENTRO DOS Nº1</t>
  </si>
  <si>
    <t>TORRE CENTRO DOS Nº 2</t>
  </si>
  <si>
    <t>TORRE CENTRO DOS Nº 3</t>
  </si>
  <si>
    <t>CXRUGBI15051354409</t>
  </si>
  <si>
    <t>DAOQHCD985084328</t>
  </si>
  <si>
    <t>DAOQHCD985084331</t>
  </si>
  <si>
    <t>CXRUGBI15051354408</t>
  </si>
  <si>
    <t>DBB211700</t>
  </si>
  <si>
    <t>CXRUGBI15051354405</t>
  </si>
  <si>
    <t>Q6.8 PILLER PANEL 3</t>
  </si>
  <si>
    <t>PM4E380256</t>
  </si>
  <si>
    <t>PM4E39FA1B</t>
  </si>
  <si>
    <t>PM4E39636C</t>
  </si>
  <si>
    <t>Añadido el 20/5/2018</t>
  </si>
  <si>
    <t>APV ALUMBRADO TORRES (DOS)</t>
  </si>
  <si>
    <t>PM4B61C688</t>
  </si>
  <si>
    <t>TELEEDIDA</t>
  </si>
  <si>
    <t>INSTALADA</t>
  </si>
  <si>
    <t>SIN INSTALAR</t>
  </si>
  <si>
    <t>SIN TRAFO</t>
  </si>
  <si>
    <t>CON TRAFO</t>
  </si>
  <si>
    <t>PM4A5B4CCA</t>
  </si>
  <si>
    <t>PM4E350F69</t>
  </si>
  <si>
    <t>PM4E350F02</t>
  </si>
  <si>
    <t>PM4E33C51B</t>
  </si>
  <si>
    <t>PM4B61FB08</t>
  </si>
  <si>
    <t>PM48F64684</t>
  </si>
  <si>
    <t>PM16093536</t>
  </si>
  <si>
    <t>PM4581AD1E</t>
  </si>
  <si>
    <t>PM45819626</t>
  </si>
  <si>
    <t>PM40B2540D</t>
  </si>
  <si>
    <t>PM4581AB04</t>
  </si>
  <si>
    <t>APV VARIOS</t>
  </si>
  <si>
    <t>CXZVFER15051363897</t>
  </si>
  <si>
    <t>BGJQHCD9999585472</t>
  </si>
  <si>
    <t xml:space="preserve"> BGJQHCD04040571163</t>
  </si>
  <si>
    <t>BGJQCBJ010575845</t>
  </si>
  <si>
    <t>SUST</t>
  </si>
  <si>
    <t>CONSUMO APV 2018 (kwh)</t>
  </si>
  <si>
    <t>V.P.I  Q12 - OFICINAS FASE I (SAI)</t>
  </si>
  <si>
    <t>V.P.I  Q7 - OFICINAS FASE I (RED)</t>
  </si>
  <si>
    <t>FUNDACION Q5 - OFICINAS FASE III (RED)</t>
  </si>
  <si>
    <t>FUNDACION  Q14 - OFICINAS FASE III (SAI)</t>
  </si>
  <si>
    <t xml:space="preserve"> CXUVFER18040534442 </t>
  </si>
  <si>
    <t xml:space="preserve">CXUVFER 18040534444 </t>
  </si>
  <si>
    <t>Lectura indirecta 100/5</t>
  </si>
  <si>
    <t>CXRUGBI17038452893</t>
  </si>
  <si>
    <t>CXRUGBI17038452908</t>
  </si>
  <si>
    <t>HORNACINA ACCESO A NOATUM</t>
  </si>
  <si>
    <t>NUEVA CENTRALIZACION (1)</t>
  </si>
  <si>
    <t>NUEVA CENTRALIZACION (4)</t>
  </si>
  <si>
    <t>NUEVA CENTRALIZACION (3)</t>
  </si>
  <si>
    <t>NUEVA CENTRALIZACION (2)</t>
  </si>
  <si>
    <t>PM466994BD</t>
  </si>
  <si>
    <t>PM4B162524</t>
  </si>
  <si>
    <t>FORD ESPAÑA S.L</t>
  </si>
  <si>
    <t>7 MEDIA TENSIÓN Se le asigna el 100%</t>
  </si>
  <si>
    <t>OK MISMO CONTADOR QUE CAPITANIA. ELLOS SE APAÑAN desde el 18/06/2018</t>
  </si>
  <si>
    <t>Retirado entorno al 10/04/18</t>
  </si>
  <si>
    <t>Baja comunicada el 18-06-18. Pero fue un mes antes.</t>
  </si>
  <si>
    <t>CXUVFER18042586792</t>
  </si>
  <si>
    <t>CXUVFER18042586793</t>
  </si>
  <si>
    <t>CXUVFER18042586796</t>
  </si>
  <si>
    <t>ESCUELA DE FORMACION NAUTICA</t>
  </si>
  <si>
    <t>Perdidas TRAFOS</t>
  </si>
  <si>
    <t>PERDIDA TRAFOS GANDIA</t>
  </si>
  <si>
    <t>INTERIOR TDO. Nº4 VENECIA</t>
  </si>
  <si>
    <t>Alumbrado interior tinglado nº 4 Venecia</t>
  </si>
  <si>
    <t>Alta por sustitución en fecha 08/06/2018</t>
  </si>
  <si>
    <t>Casetas prefabricadas Guardia Civil</t>
  </si>
  <si>
    <t>TORRE SUR DOS Nº 1</t>
  </si>
  <si>
    <t>TORRE SUR DOS Nº 4</t>
  </si>
  <si>
    <t>TORRE SUR DOS Nº 7</t>
  </si>
  <si>
    <t>TORRE CENTRO DOS Nº 1</t>
  </si>
  <si>
    <t>Instalacion nueva en Mayo 2018</t>
  </si>
  <si>
    <t>LW00112199</t>
  </si>
  <si>
    <t>IDEAL DEVELOPMENTS S.L</t>
  </si>
  <si>
    <t>EN CT PROPIO</t>
  </si>
  <si>
    <t>ALTA 10/07/2018</t>
  </si>
  <si>
    <t>FORD?</t>
  </si>
  <si>
    <t>NUEVA CENTRALIZACION</t>
  </si>
  <si>
    <t>0217463155</t>
  </si>
  <si>
    <t>A9MEM2105</t>
  </si>
  <si>
    <t>HORNACINA DARSENA VIAL</t>
  </si>
  <si>
    <t>PAVASAL, S.A.</t>
  </si>
  <si>
    <t>JUNTO RETEN POLICIA</t>
  </si>
  <si>
    <t>Retirada hornacina, contador desaparecido (23/07/2018)</t>
  </si>
  <si>
    <t>LW00013687</t>
  </si>
  <si>
    <t>DRAVO, S.A.</t>
  </si>
  <si>
    <t>EXPLANADA ANTIGUO CAUCE RIO TURIA</t>
  </si>
  <si>
    <t>ALTA 07/09/2018</t>
  </si>
  <si>
    <t>OFICINA TECNICA TES, S.L.</t>
  </si>
  <si>
    <t>FUNDACIÓ COMUNITAT VALENCIANA GRAOS MARINS</t>
  </si>
  <si>
    <t>ALTA 06/08/2018</t>
  </si>
  <si>
    <t>APV-Alumbrado Exterior P.Principal</t>
  </si>
  <si>
    <t>Red MT APV</t>
  </si>
  <si>
    <t>Edificio APV</t>
  </si>
  <si>
    <t>Acometida varadero / zona Sur</t>
  </si>
  <si>
    <t>Astillero FLASHCAT</t>
  </si>
  <si>
    <t>Oficinas en edificio APV</t>
  </si>
  <si>
    <t>Mº ECON.Y COMP.DIR.T.COMERC.VC.</t>
  </si>
  <si>
    <t>OFICINAS EN EDIFICIO APV</t>
  </si>
  <si>
    <t>TINGLADOS FRUTEROS 1-2-3 (Lonja pescado azul)</t>
  </si>
  <si>
    <t>TOMA FUERZA EN MUELLE FRUTERO</t>
  </si>
  <si>
    <t>TINGLADOS FRUTEROS Nº 4 y 5-UPV CAMPUS GANDÍA</t>
  </si>
  <si>
    <t>SIN SERVICIO</t>
  </si>
  <si>
    <t>Alumbrado ext. FLASHCAT + Tinglado Sur</t>
  </si>
  <si>
    <t>TINGLADO FRUTERO Nº 15 - MUSEO</t>
  </si>
  <si>
    <t>Buque VALENCIAPORT</t>
  </si>
  <si>
    <t>Alta: 27/06/2017 - Retirada contador en Agosto 2018 por estar sin servicio</t>
  </si>
  <si>
    <t>TINGLADO 1  MUELLE SERPIS</t>
  </si>
  <si>
    <t>TINGLADO 2 MUELLE SERPIS</t>
  </si>
  <si>
    <t>TINGLADO 3 MUELLE SERPIS</t>
  </si>
  <si>
    <t>Alumbrado int. Tinglado Abierto</t>
  </si>
  <si>
    <t>Nave DEHORSA</t>
  </si>
  <si>
    <t>MARIA CASAS MORENO</t>
  </si>
  <si>
    <t>FÁBRICA DE HIELO (COFRADIA PESCADORES)</t>
  </si>
  <si>
    <t>Alumbrado público entorno Cofradía</t>
  </si>
  <si>
    <t>CT5</t>
  </si>
  <si>
    <t>TOMAS FUERZA MUELLE SUR 1, 3 Y 5</t>
  </si>
  <si>
    <t>TOMAS FUERZA MUELLE SUR 2 Y 4</t>
  </si>
  <si>
    <t>Nuevo contador Alta en fecha: 19/04/2013-facturacion externa contrato 383107842</t>
  </si>
  <si>
    <t>PUESTO CONTROL-CONFRONTAS GUARDIA CIVIL</t>
  </si>
  <si>
    <t>CASETAS CFSE</t>
  </si>
  <si>
    <t>CASETA VENTA TICKETS</t>
  </si>
  <si>
    <t>Acometida cuadro gral. edificio Aduana/acceso ppal</t>
  </si>
  <si>
    <t>VARADERO S.C.H.</t>
  </si>
  <si>
    <t>ISLETA frente GCT01</t>
  </si>
  <si>
    <t>Edificio Cofradía Pescadores</t>
  </si>
  <si>
    <t>C01.23</t>
  </si>
  <si>
    <t>C01.24</t>
  </si>
  <si>
    <t>factura</t>
  </si>
  <si>
    <t>propia</t>
  </si>
  <si>
    <t>pierde</t>
  </si>
  <si>
    <t>autoconsumo</t>
  </si>
  <si>
    <t xml:space="preserve">Baja 14/09/2018 a solicitud del abonado, está será la última factura </t>
  </si>
  <si>
    <t xml:space="preserve">ANULADA </t>
  </si>
  <si>
    <t>CXUVFER18042669941</t>
  </si>
  <si>
    <t>MUELLE NORTE (XITÀ)</t>
  </si>
  <si>
    <t>Alta 27/09/2018</t>
  </si>
  <si>
    <t>15/12/2018</t>
  </si>
  <si>
    <t>MUELLE NORTE (XITÀ)(Terminal Ford, oficinas, control de accesos)</t>
  </si>
  <si>
    <t xml:space="preserve">EN CENTRALIZACION </t>
  </si>
  <si>
    <t>CXUVFER18042522472</t>
  </si>
  <si>
    <t>ALTA 02/10/2018</t>
  </si>
  <si>
    <t>Tomas de corriente en Nueva Dársena de Sevicios Muelle Este</t>
  </si>
  <si>
    <t>PMT</t>
  </si>
  <si>
    <t>Nuevo contador Alta en fecha: 26/09/2018</t>
  </si>
  <si>
    <t xml:space="preserve">Sustitución contador anterior (41709388) por avería tormenta </t>
  </si>
  <si>
    <t>Marca ZIV, modelo 09494VEB, tipo 5CTDE2F6</t>
  </si>
  <si>
    <t>ANULADO</t>
  </si>
  <si>
    <t>CXPUGBI18043760081</t>
  </si>
  <si>
    <t>COPITRANS, S.L.</t>
  </si>
  <si>
    <t>FECHA ALTA 10/10/2018</t>
  </si>
  <si>
    <t>Explanada ayuda al transportista</t>
  </si>
  <si>
    <t>ALTA</t>
  </si>
  <si>
    <t>LECTURA INICIAL 22 KW/H</t>
  </si>
  <si>
    <t>LW00014175</t>
  </si>
  <si>
    <t>ACCIONA CONSTRUCCION, S.A.</t>
  </si>
  <si>
    <t>ALTA 07/11/2018, LECTURA INICIAL 17882</t>
  </si>
  <si>
    <t>A9MEM-2015-CC2</t>
  </si>
  <si>
    <t>CASETA en Muelle Sur 2</t>
  </si>
  <si>
    <t>CASETA en Muelle Centro 2</t>
  </si>
  <si>
    <t>A9MEM-2015-CS2</t>
  </si>
  <si>
    <t>PM47AAF28D</t>
  </si>
  <si>
    <t>PM47AAF973</t>
  </si>
  <si>
    <t>PB</t>
  </si>
  <si>
    <t>TORRES APV</t>
  </si>
  <si>
    <t>CENTRALIZACION CT04</t>
  </si>
  <si>
    <t>Instalado para una prueba de telemedida, no es propiedad de la APV</t>
  </si>
  <si>
    <t>ALTA 18/10/2018</t>
  </si>
  <si>
    <t>CUADDRO AUXILIAR</t>
  </si>
  <si>
    <t>Se ponen dos digitos a mano (10) (11) (12)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</si>
</sst>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\ _€_-;\-* #,##0.00\ _€_-;_-* &quot;-&quot;??\ _€_-;_-@_-"/>
    <numFmt numFmtId="164" formatCode="00000"/>
    <numFmt numFmtId="165" formatCode="_-* #,##0\ _€_-;\-* #,##0\ _€_-;_-* &quot;-&quot;??\ _€_-;_-@_-"/>
    <numFmt numFmtId="166" formatCode="0.0%"/>
  </numFmts>
  <fonts count="4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3F3F3F"/>
      <name val="Calibri"/>
      <family val="2"/>
      <scheme val="minor"/>
    </font>
    <font>
      <sz val="14"/>
      <color rgb="FF3F3F3F"/>
      <name val="Calibri"/>
      <family val="2"/>
      <scheme val="minor"/>
    </font>
    <font>
      <sz val="14"/>
      <name val="Calibri"/>
      <family val="2"/>
      <scheme val="minor"/>
    </font>
    <font>
      <sz val="10"/>
      <color indexed="11"/>
      <name val="Arial"/>
      <family val="2"/>
    </font>
    <font>
      <b/>
      <sz val="16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b/>
      <sz val="10"/>
      <color indexed="11"/>
      <name val="Arial"/>
      <family val="2"/>
    </font>
    <font>
      <b/>
      <sz val="10"/>
      <color rgb="FFFF0000"/>
      <name val="Arial"/>
      <family val="2"/>
    </font>
    <font>
      <b/>
      <sz val="11"/>
      <color rgb="FF000000"/>
      <name val="Calibri"/>
      <family val="2"/>
    </font>
    <font>
      <b/>
      <sz val="12"/>
      <name val="Arial"/>
      <family val="2"/>
    </font>
    <font>
      <b/>
      <sz val="20"/>
      <name val="Calibri"/>
      <family val="2"/>
      <scheme val="minor"/>
    </font>
    <font>
      <sz val="14"/>
      <color rgb="FFFFFF0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rgb="FFFF0000"/>
      <name val="Calibri"/>
      <family val="2"/>
      <scheme val="minor"/>
    </font>
    <font>
      <sz val="10"/>
      <color rgb="FF92D050"/>
      <name val="Arial"/>
      <family val="2"/>
    </font>
    <font>
      <sz val="7"/>
      <color rgb="FF707070"/>
      <name val="Arial"/>
      <family val="2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24"/>
      <color rgb="FF000000"/>
      <name val="Calibri"/>
      <family val="2"/>
    </font>
    <font>
      <sz val="18"/>
      <color rgb="FF000000"/>
      <name val="Calibri"/>
      <family val="2"/>
    </font>
    <font>
      <sz val="11"/>
      <color rgb="FF000000"/>
      <name val="Calibri"/>
      <family val="2"/>
      <scheme val="minor"/>
    </font>
    <font>
      <b/>
      <sz val="14"/>
      <color rgb="FF3F3F3F"/>
      <name val="Calibri"/>
      <family val="2"/>
      <scheme val="minor"/>
    </font>
    <font>
      <b/>
      <sz val="14"/>
      <color rgb="FF3F3F3F"/>
      <name val="Calibri"/>
      <family val="2"/>
      <scheme val="minor"/>
    </font>
    <font>
      <b/>
      <sz val="14"/>
      <color rgb="FFFFFFFF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4"/>
      <color rgb="FF3F3F3F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theme="6"/>
      </patternFill>
    </fill>
    <fill>
      <patternFill patternType="solid">
        <fgColor theme="7"/>
        <bgColor theme="7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rgb="FFC0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66CC"/>
        <bgColor indexed="64"/>
      </patternFill>
    </fill>
  </fills>
  <borders count="67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theme="7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rgb="FFDEDEDE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D0D7E5"/>
      </right>
      <top/>
      <bottom style="medium">
        <color rgb="FFD0D7E5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8">
    <xf numFmtId="0" fontId="0" fillId="0" borderId="0"/>
    <xf numFmtId="0" fontId="2" fillId="2" borderId="1" applyNumberFormat="0" applyAlignment="0" applyProtection="0"/>
    <xf numFmtId="0" fontId="1" fillId="3" borderId="2" applyNumberFormat="0" applyFont="0" applyAlignment="0" applyProtection="0"/>
    <xf numFmtId="0" fontId="11" fillId="0" borderId="0"/>
    <xf numFmtId="0" fontId="13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1" fillId="0" borderId="0" applyNumberFormat="0" applyFill="0" applyBorder="0" applyAlignment="0" applyProtection="0"/>
  </cellStyleXfs>
  <cellXfs count="64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/>
    <xf numFmtId="0" fontId="6" fillId="6" borderId="11" xfId="2" applyFont="1" applyFill="1" applyBorder="1" applyAlignment="1">
      <alignment horizontal="center" vertical="center"/>
    </xf>
    <xf numFmtId="0" fontId="9" fillId="6" borderId="11" xfId="2" applyFont="1" applyFill="1" applyBorder="1" applyAlignment="1">
      <alignment horizontal="center" vertical="center"/>
    </xf>
    <xf numFmtId="0" fontId="6" fillId="6" borderId="11" xfId="0" applyFont="1" applyFill="1" applyBorder="1" applyAlignment="1">
      <alignment horizontal="center" vertical="center"/>
    </xf>
    <xf numFmtId="0" fontId="5" fillId="6" borderId="11" xfId="0" applyFont="1" applyFill="1" applyBorder="1" applyAlignment="1">
      <alignment horizontal="center"/>
    </xf>
    <xf numFmtId="0" fontId="5" fillId="6" borderId="11" xfId="0" applyFont="1" applyFill="1" applyBorder="1" applyAlignment="1">
      <alignment horizontal="center" shrinkToFit="1"/>
    </xf>
    <xf numFmtId="0" fontId="5" fillId="6" borderId="11" xfId="0" applyFont="1" applyFill="1" applyBorder="1" applyAlignment="1">
      <alignment horizontal="center" vertical="center" shrinkToFit="1"/>
    </xf>
    <xf numFmtId="0" fontId="6" fillId="6" borderId="11" xfId="2" applyFont="1" applyFill="1" applyBorder="1" applyAlignment="1">
      <alignment horizontal="center"/>
    </xf>
    <xf numFmtId="0" fontId="5" fillId="6" borderId="11" xfId="2" applyFont="1" applyFill="1" applyBorder="1" applyAlignment="1">
      <alignment horizontal="center"/>
    </xf>
    <xf numFmtId="0" fontId="7" fillId="6" borderId="11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/>
    </xf>
    <xf numFmtId="0" fontId="9" fillId="6" borderId="11" xfId="2" applyFont="1" applyFill="1" applyBorder="1" applyAlignment="1">
      <alignment horizontal="center" vertical="center" shrinkToFit="1"/>
    </xf>
    <xf numFmtId="0" fontId="6" fillId="6" borderId="11" xfId="2" applyFont="1" applyFill="1" applyBorder="1" applyAlignment="1">
      <alignment horizontal="center" vertical="center" shrinkToFit="1"/>
    </xf>
    <xf numFmtId="0" fontId="6" fillId="6" borderId="11" xfId="0" applyFont="1" applyFill="1" applyBorder="1" applyAlignment="1">
      <alignment horizontal="center" vertical="center" shrinkToFit="1"/>
    </xf>
    <xf numFmtId="0" fontId="6" fillId="6" borderId="11" xfId="1" applyFont="1" applyFill="1" applyBorder="1" applyAlignment="1">
      <alignment horizontal="center" vertical="center"/>
    </xf>
    <xf numFmtId="0" fontId="9" fillId="6" borderId="11" xfId="1" applyFont="1" applyFill="1" applyBorder="1" applyAlignment="1">
      <alignment horizontal="center" vertical="center"/>
    </xf>
    <xf numFmtId="0" fontId="11" fillId="0" borderId="0" xfId="3"/>
    <xf numFmtId="0" fontId="13" fillId="0" borderId="0" xfId="4" applyFont="1"/>
    <xf numFmtId="0" fontId="15" fillId="0" borderId="0" xfId="4" applyFont="1" applyFill="1"/>
    <xf numFmtId="0" fontId="15" fillId="0" borderId="0" xfId="4" applyFont="1"/>
    <xf numFmtId="0" fontId="11" fillId="0" borderId="0" xfId="3" applyFill="1"/>
    <xf numFmtId="0" fontId="13" fillId="0" borderId="0" xfId="3" applyFont="1"/>
    <xf numFmtId="0" fontId="11" fillId="9" borderId="0" xfId="3" applyFill="1"/>
    <xf numFmtId="0" fontId="12" fillId="0" borderId="0" xfId="3" applyFont="1" applyAlignment="1">
      <alignment horizontal="center"/>
    </xf>
    <xf numFmtId="0" fontId="13" fillId="0" borderId="0" xfId="4" applyFont="1" applyAlignment="1">
      <alignment horizontal="left"/>
    </xf>
    <xf numFmtId="0" fontId="14" fillId="0" borderId="0" xfId="4" applyFont="1" applyFill="1" applyBorder="1" applyAlignment="1">
      <alignment vertical="center"/>
    </xf>
    <xf numFmtId="0" fontId="15" fillId="0" borderId="0" xfId="3" applyFont="1"/>
    <xf numFmtId="0" fontId="18" fillId="0" borderId="0" xfId="4" applyFont="1"/>
    <xf numFmtId="0" fontId="15" fillId="0" borderId="0" xfId="3" applyFont="1" applyFill="1"/>
    <xf numFmtId="0" fontId="17" fillId="7" borderId="0" xfId="3" applyFont="1" applyFill="1"/>
    <xf numFmtId="0" fontId="3" fillId="9" borderId="12" xfId="0" applyFont="1" applyFill="1" applyBorder="1"/>
    <xf numFmtId="0" fontId="11" fillId="0" borderId="0" xfId="3" applyAlignment="1">
      <alignment horizontal="center"/>
    </xf>
    <xf numFmtId="4" fontId="14" fillId="9" borderId="0" xfId="3" applyNumberFormat="1" applyFont="1" applyFill="1" applyAlignment="1">
      <alignment horizontal="center"/>
    </xf>
    <xf numFmtId="0" fontId="3" fillId="0" borderId="0" xfId="3" applyFont="1" applyAlignment="1">
      <alignment horizontal="center"/>
    </xf>
    <xf numFmtId="165" fontId="14" fillId="7" borderId="0" xfId="5" applyNumberFormat="1" applyFont="1" applyFill="1" applyAlignment="1">
      <alignment horizontal="center"/>
    </xf>
    <xf numFmtId="165" fontId="13" fillId="0" borderId="0" xfId="3" applyNumberFormat="1" applyFont="1" applyAlignment="1">
      <alignment horizontal="center"/>
    </xf>
    <xf numFmtId="0" fontId="13" fillId="0" borderId="0" xfId="4" applyFont="1" applyAlignment="1">
      <alignment horizontal="center"/>
    </xf>
    <xf numFmtId="165" fontId="13" fillId="0" borderId="0" xfId="4" applyNumberFormat="1" applyFont="1" applyAlignment="1">
      <alignment horizontal="center"/>
    </xf>
    <xf numFmtId="165" fontId="3" fillId="0" borderId="0" xfId="5" applyNumberFormat="1" applyFont="1" applyAlignment="1">
      <alignment horizontal="center"/>
    </xf>
    <xf numFmtId="0" fontId="13" fillId="0" borderId="0" xfId="3" applyFont="1" applyAlignment="1">
      <alignment horizontal="center"/>
    </xf>
    <xf numFmtId="3" fontId="13" fillId="0" borderId="0" xfId="4" applyNumberFormat="1" applyFont="1" applyAlignment="1">
      <alignment horizontal="left"/>
    </xf>
    <xf numFmtId="1" fontId="14" fillId="0" borderId="0" xfId="3" applyNumberFormat="1" applyFont="1" applyAlignment="1">
      <alignment horizontal="center" vertical="center"/>
    </xf>
    <xf numFmtId="1" fontId="14" fillId="9" borderId="0" xfId="3" applyNumberFormat="1" applyFont="1" applyFill="1" applyAlignment="1">
      <alignment horizontal="center" vertical="center"/>
    </xf>
    <xf numFmtId="1" fontId="4" fillId="0" borderId="0" xfId="3" applyNumberFormat="1" applyFont="1" applyAlignment="1">
      <alignment horizontal="center" vertical="center"/>
    </xf>
    <xf numFmtId="1" fontId="14" fillId="7" borderId="0" xfId="5" applyNumberFormat="1" applyFont="1" applyFill="1" applyAlignment="1">
      <alignment horizontal="center" vertical="center"/>
    </xf>
    <xf numFmtId="0" fontId="14" fillId="0" borderId="0" xfId="4" applyFont="1" applyFill="1" applyAlignment="1">
      <alignment horizontal="center"/>
    </xf>
    <xf numFmtId="0" fontId="0" fillId="0" borderId="11" xfId="0" applyBorder="1" applyAlignment="1">
      <alignment horizontal="center"/>
    </xf>
    <xf numFmtId="3" fontId="13" fillId="0" borderId="0" xfId="4" applyNumberFormat="1" applyFont="1" applyAlignment="1">
      <alignment horizontal="center" vertical="center"/>
    </xf>
    <xf numFmtId="165" fontId="3" fillId="0" borderId="0" xfId="5" applyNumberFormat="1" applyFont="1" applyBorder="1"/>
    <xf numFmtId="0" fontId="0" fillId="0" borderId="0" xfId="0" applyFill="1" applyBorder="1"/>
    <xf numFmtId="0" fontId="3" fillId="0" borderId="0" xfId="0" applyFont="1" applyFill="1" applyBorder="1"/>
    <xf numFmtId="165" fontId="3" fillId="0" borderId="0" xfId="5" applyNumberFormat="1" applyFont="1" applyFill="1" applyBorder="1"/>
    <xf numFmtId="0" fontId="13" fillId="9" borderId="0" xfId="3" applyFont="1" applyFill="1"/>
    <xf numFmtId="0" fontId="3" fillId="9" borderId="14" xfId="0" applyFont="1" applyFill="1" applyBorder="1"/>
    <xf numFmtId="0" fontId="3" fillId="9" borderId="9" xfId="0" applyFont="1" applyFill="1" applyBorder="1"/>
    <xf numFmtId="165" fontId="13" fillId="9" borderId="0" xfId="3" applyNumberFormat="1" applyFont="1" applyFill="1" applyAlignment="1">
      <alignment horizontal="center"/>
    </xf>
    <xf numFmtId="0" fontId="13" fillId="9" borderId="0" xfId="3" applyFont="1" applyFill="1" applyAlignment="1">
      <alignment horizontal="center"/>
    </xf>
    <xf numFmtId="0" fontId="8" fillId="0" borderId="11" xfId="1" applyFont="1" applyFill="1" applyBorder="1" applyAlignment="1">
      <alignment horizontal="center" vertical="center"/>
    </xf>
    <xf numFmtId="0" fontId="6" fillId="0" borderId="11" xfId="1" applyFont="1" applyFill="1" applyBorder="1" applyAlignment="1">
      <alignment horizontal="center" vertical="center"/>
    </xf>
    <xf numFmtId="165" fontId="3" fillId="0" borderId="11" xfId="5" applyNumberFormat="1" applyFont="1" applyBorder="1" applyAlignment="1">
      <alignment horizontal="center" vertical="center"/>
    </xf>
    <xf numFmtId="165" fontId="3" fillId="0" borderId="11" xfId="5" applyNumberFormat="1" applyFont="1" applyFill="1" applyBorder="1" applyAlignment="1">
      <alignment horizontal="center" vertical="center"/>
    </xf>
    <xf numFmtId="165" fontId="3" fillId="0" borderId="3" xfId="5" applyNumberFormat="1" applyFont="1" applyBorder="1" applyAlignment="1">
      <alignment horizontal="center" vertical="center"/>
    </xf>
    <xf numFmtId="165" fontId="3" fillId="0" borderId="4" xfId="5" applyNumberFormat="1" applyFont="1" applyBorder="1" applyAlignment="1">
      <alignment horizontal="center" vertical="center"/>
    </xf>
    <xf numFmtId="3" fontId="19" fillId="0" borderId="4" xfId="0" applyNumberFormat="1" applyFont="1" applyBorder="1" applyAlignment="1">
      <alignment horizontal="center" vertical="center"/>
    </xf>
    <xf numFmtId="165" fontId="3" fillId="0" borderId="15" xfId="5" applyNumberFormat="1" applyFont="1" applyFill="1" applyBorder="1" applyAlignment="1">
      <alignment horizontal="center" vertical="center"/>
    </xf>
    <xf numFmtId="165" fontId="3" fillId="0" borderId="15" xfId="5" applyNumberFormat="1" applyFont="1" applyBorder="1" applyAlignment="1">
      <alignment horizontal="center" vertical="center"/>
    </xf>
    <xf numFmtId="10" fontId="4" fillId="5" borderId="6" xfId="6" applyNumberFormat="1" applyFont="1" applyFill="1" applyBorder="1" applyAlignment="1">
      <alignment horizontal="center" vertical="center"/>
    </xf>
    <xf numFmtId="10" fontId="4" fillId="5" borderId="32" xfId="6" applyNumberFormat="1" applyFont="1" applyFill="1" applyBorder="1" applyAlignment="1">
      <alignment horizontal="center" vertical="center"/>
    </xf>
    <xf numFmtId="0" fontId="3" fillId="9" borderId="7" xfId="0" applyFont="1" applyFill="1" applyBorder="1" applyAlignment="1">
      <alignment horizontal="center"/>
    </xf>
    <xf numFmtId="10" fontId="4" fillId="5" borderId="37" xfId="6" applyNumberFormat="1" applyFont="1" applyFill="1" applyBorder="1" applyAlignment="1">
      <alignment horizontal="center" vertical="center"/>
    </xf>
    <xf numFmtId="10" fontId="4" fillId="5" borderId="36" xfId="6" applyNumberFormat="1" applyFont="1" applyFill="1" applyBorder="1" applyAlignment="1">
      <alignment horizontal="center" vertical="center"/>
    </xf>
    <xf numFmtId="0" fontId="3" fillId="5" borderId="38" xfId="0" applyFont="1" applyFill="1" applyBorder="1" applyAlignment="1">
      <alignment horizontal="center" vertical="center"/>
    </xf>
    <xf numFmtId="0" fontId="3" fillId="5" borderId="40" xfId="0" applyFont="1" applyFill="1" applyBorder="1" applyAlignment="1">
      <alignment horizontal="center" vertical="center"/>
    </xf>
    <xf numFmtId="165" fontId="14" fillId="10" borderId="0" xfId="5" applyNumberFormat="1" applyFont="1" applyFill="1" applyAlignment="1">
      <alignment horizontal="center"/>
    </xf>
    <xf numFmtId="1" fontId="14" fillId="10" borderId="0" xfId="5" applyNumberFormat="1" applyFont="1" applyFill="1" applyAlignment="1">
      <alignment horizontal="center" vertical="center"/>
    </xf>
    <xf numFmtId="0" fontId="17" fillId="10" borderId="0" xfId="3" applyFont="1" applyFill="1"/>
    <xf numFmtId="0" fontId="3" fillId="9" borderId="41" xfId="0" applyFont="1" applyFill="1" applyBorder="1" applyAlignment="1">
      <alignment horizontal="center" vertical="center" wrapText="1"/>
    </xf>
    <xf numFmtId="0" fontId="3" fillId="9" borderId="42" xfId="0" applyFont="1" applyFill="1" applyBorder="1" applyAlignment="1">
      <alignment horizontal="center" vertical="center" wrapText="1"/>
    </xf>
    <xf numFmtId="0" fontId="3" fillId="9" borderId="43" xfId="0" applyFont="1" applyFill="1" applyBorder="1" applyAlignment="1">
      <alignment horizontal="center" vertical="center" wrapText="1"/>
    </xf>
    <xf numFmtId="165" fontId="3" fillId="4" borderId="38" xfId="5" applyNumberFormat="1" applyFont="1" applyFill="1" applyBorder="1" applyAlignment="1">
      <alignment horizontal="center" vertical="center"/>
    </xf>
    <xf numFmtId="165" fontId="3" fillId="4" borderId="39" xfId="5" applyNumberFormat="1" applyFont="1" applyFill="1" applyBorder="1" applyAlignment="1">
      <alignment horizontal="center" vertical="center"/>
    </xf>
    <xf numFmtId="0" fontId="3" fillId="9" borderId="34" xfId="0" applyFont="1" applyFill="1" applyBorder="1" applyAlignment="1">
      <alignment horizontal="center"/>
    </xf>
    <xf numFmtId="0" fontId="3" fillId="9" borderId="24" xfId="0" applyFont="1" applyFill="1" applyBorder="1" applyAlignment="1">
      <alignment horizontal="center"/>
    </xf>
    <xf numFmtId="0" fontId="3" fillId="9" borderId="31" xfId="0" applyFont="1" applyFill="1" applyBorder="1" applyAlignment="1">
      <alignment horizontal="center"/>
    </xf>
    <xf numFmtId="165" fontId="3" fillId="0" borderId="6" xfId="5" applyNumberFormat="1" applyFont="1" applyBorder="1" applyAlignment="1">
      <alignment horizontal="center" vertical="center"/>
    </xf>
    <xf numFmtId="165" fontId="3" fillId="0" borderId="32" xfId="5" applyNumberFormat="1" applyFont="1" applyBorder="1" applyAlignment="1">
      <alignment horizontal="center" vertical="center"/>
    </xf>
    <xf numFmtId="0" fontId="12" fillId="0" borderId="0" xfId="3" applyFont="1" applyAlignment="1">
      <alignment horizontal="center"/>
    </xf>
    <xf numFmtId="3" fontId="13" fillId="0" borderId="0" xfId="3" applyNumberFormat="1" applyFont="1" applyAlignment="1">
      <alignment horizontal="center"/>
    </xf>
    <xf numFmtId="0" fontId="3" fillId="9" borderId="17" xfId="0" applyFont="1" applyFill="1" applyBorder="1" applyAlignment="1">
      <alignment horizontal="center" vertical="center"/>
    </xf>
    <xf numFmtId="0" fontId="3" fillId="9" borderId="8" xfId="0" applyFont="1" applyFill="1" applyBorder="1" applyAlignment="1">
      <alignment horizontal="center" vertical="center"/>
    </xf>
    <xf numFmtId="0" fontId="0" fillId="0" borderId="46" xfId="0" applyBorder="1"/>
    <xf numFmtId="0" fontId="3" fillId="9" borderId="47" xfId="0" applyFont="1" applyFill="1" applyBorder="1" applyAlignment="1">
      <alignment horizontal="center" vertical="center"/>
    </xf>
    <xf numFmtId="0" fontId="21" fillId="9" borderId="19" xfId="2" applyFont="1" applyFill="1" applyBorder="1" applyAlignment="1">
      <alignment vertical="center" textRotation="90"/>
    </xf>
    <xf numFmtId="0" fontId="6" fillId="0" borderId="11" xfId="0" applyFont="1" applyFill="1" applyBorder="1" applyAlignment="1">
      <alignment horizontal="center" vertical="center"/>
    </xf>
    <xf numFmtId="0" fontId="7" fillId="0" borderId="11" xfId="0" applyFont="1" applyFill="1" applyBorder="1" applyAlignment="1">
      <alignment horizontal="center" vertical="center"/>
    </xf>
    <xf numFmtId="0" fontId="6" fillId="5" borderId="8" xfId="1" applyFont="1" applyFill="1" applyBorder="1" applyAlignment="1">
      <alignment horizontal="center" vertical="center"/>
    </xf>
    <xf numFmtId="0" fontId="6" fillId="9" borderId="34" xfId="0" applyFont="1" applyFill="1" applyBorder="1" applyAlignment="1">
      <alignment horizontal="center" vertical="center"/>
    </xf>
    <xf numFmtId="0" fontId="6" fillId="9" borderId="24" xfId="0" applyFont="1" applyFill="1" applyBorder="1" applyAlignment="1">
      <alignment horizontal="center" vertical="center"/>
    </xf>
    <xf numFmtId="0" fontId="7" fillId="9" borderId="24" xfId="0" applyFont="1" applyFill="1" applyBorder="1" applyAlignment="1">
      <alignment horizontal="center" vertical="center"/>
    </xf>
    <xf numFmtId="0" fontId="7" fillId="9" borderId="45" xfId="0" applyFont="1" applyFill="1" applyBorder="1" applyAlignment="1">
      <alignment horizontal="center" vertical="center"/>
    </xf>
    <xf numFmtId="0" fontId="6" fillId="0" borderId="11" xfId="2" applyFont="1" applyFill="1" applyBorder="1" applyAlignment="1">
      <alignment horizontal="center" vertical="center"/>
    </xf>
    <xf numFmtId="0" fontId="10" fillId="0" borderId="11" xfId="2" applyFont="1" applyFill="1" applyBorder="1" applyAlignment="1">
      <alignment horizontal="center"/>
    </xf>
    <xf numFmtId="0" fontId="10" fillId="0" borderId="11" xfId="2" applyFont="1" applyFill="1" applyBorder="1" applyAlignment="1">
      <alignment horizontal="center" vertical="center"/>
    </xf>
    <xf numFmtId="0" fontId="6" fillId="0" borderId="11" xfId="2" applyFont="1" applyFill="1" applyBorder="1" applyAlignment="1">
      <alignment horizontal="center" vertical="center" shrinkToFit="1"/>
    </xf>
    <xf numFmtId="0" fontId="9" fillId="0" borderId="11" xfId="2" applyFont="1" applyFill="1" applyBorder="1" applyAlignment="1">
      <alignment horizontal="center" vertical="center" shrinkToFit="1"/>
    </xf>
    <xf numFmtId="0" fontId="5" fillId="0" borderId="11" xfId="2" applyFont="1" applyFill="1" applyBorder="1" applyAlignment="1">
      <alignment horizontal="center" vertical="center" shrinkToFit="1"/>
    </xf>
    <xf numFmtId="0" fontId="6" fillId="9" borderId="48" xfId="0" applyFont="1" applyFill="1" applyBorder="1" applyAlignment="1">
      <alignment horizontal="center" vertical="center"/>
    </xf>
    <xf numFmtId="0" fontId="0" fillId="0" borderId="11" xfId="0" applyBorder="1"/>
    <xf numFmtId="0" fontId="0" fillId="0" borderId="4" xfId="0" applyBorder="1"/>
    <xf numFmtId="0" fontId="0" fillId="0" borderId="5" xfId="0" applyBorder="1"/>
    <xf numFmtId="0" fontId="0" fillId="0" borderId="15" xfId="0" applyBorder="1"/>
    <xf numFmtId="0" fontId="0" fillId="0" borderId="16" xfId="0" applyBorder="1"/>
    <xf numFmtId="0" fontId="0" fillId="0" borderId="6" xfId="0" applyBorder="1"/>
    <xf numFmtId="0" fontId="0" fillId="0" borderId="32" xfId="0" applyBorder="1"/>
    <xf numFmtId="0" fontId="0" fillId="0" borderId="33" xfId="0" applyBorder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6" fillId="5" borderId="24" xfId="1" applyFont="1" applyFill="1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 shrinkToFit="1"/>
    </xf>
    <xf numFmtId="0" fontId="6" fillId="6" borderId="4" xfId="2" applyFont="1" applyFill="1" applyBorder="1" applyAlignment="1">
      <alignment horizontal="center" vertical="center" shrinkToFit="1"/>
    </xf>
    <xf numFmtId="0" fontId="7" fillId="6" borderId="4" xfId="0" applyFont="1" applyFill="1" applyBorder="1" applyAlignment="1">
      <alignment horizontal="center" vertical="center"/>
    </xf>
    <xf numFmtId="0" fontId="10" fillId="0" borderId="4" xfId="0" applyFont="1" applyBorder="1" applyAlignment="1">
      <alignment horizontal="center" vertical="center" shrinkToFit="1"/>
    </xf>
    <xf numFmtId="0" fontId="7" fillId="6" borderId="15" xfId="0" applyFont="1" applyFill="1" applyBorder="1" applyAlignment="1">
      <alignment horizontal="center" vertical="center" shrinkToFit="1"/>
    </xf>
    <xf numFmtId="0" fontId="6" fillId="6" borderId="15" xfId="2" applyFont="1" applyFill="1" applyBorder="1" applyAlignment="1">
      <alignment horizontal="center" vertical="center" shrinkToFit="1"/>
    </xf>
    <xf numFmtId="0" fontId="6" fillId="6" borderId="15" xfId="0" applyFont="1" applyFill="1" applyBorder="1" applyAlignment="1">
      <alignment horizontal="center" vertical="center" shrinkToFit="1"/>
    </xf>
    <xf numFmtId="0" fontId="7" fillId="6" borderId="15" xfId="0" applyFont="1" applyFill="1" applyBorder="1" applyAlignment="1">
      <alignment horizontal="center" shrinkToFit="1"/>
    </xf>
    <xf numFmtId="0" fontId="6" fillId="6" borderId="15" xfId="1" applyFont="1" applyFill="1" applyBorder="1" applyAlignment="1">
      <alignment horizontal="center" vertical="center" shrinkToFit="1"/>
    </xf>
    <xf numFmtId="0" fontId="6" fillId="6" borderId="15" xfId="2" applyFont="1" applyFill="1" applyBorder="1" applyAlignment="1">
      <alignment horizontal="center" shrinkToFit="1"/>
    </xf>
    <xf numFmtId="0" fontId="5" fillId="6" borderId="15" xfId="2" applyFont="1" applyFill="1" applyBorder="1" applyAlignment="1">
      <alignment horizontal="center" vertical="center" shrinkToFit="1"/>
    </xf>
    <xf numFmtId="0" fontId="7" fillId="0" borderId="15" xfId="0" applyFont="1" applyFill="1" applyBorder="1" applyAlignment="1">
      <alignment horizontal="center" vertical="center" shrinkToFit="1"/>
    </xf>
    <xf numFmtId="0" fontId="6" fillId="0" borderId="15" xfId="2" applyFont="1" applyFill="1" applyBorder="1" applyAlignment="1">
      <alignment horizontal="center" vertical="center" shrinkToFit="1"/>
    </xf>
    <xf numFmtId="0" fontId="6" fillId="5" borderId="17" xfId="1" applyFont="1" applyFill="1" applyBorder="1" applyAlignment="1">
      <alignment horizontal="center" vertical="center" shrinkToFit="1"/>
    </xf>
    <xf numFmtId="0" fontId="0" fillId="0" borderId="13" xfId="0" applyBorder="1" applyAlignment="1">
      <alignment horizontal="center"/>
    </xf>
    <xf numFmtId="0" fontId="6" fillId="5" borderId="34" xfId="1" applyFont="1" applyFill="1" applyBorder="1" applyAlignment="1">
      <alignment horizontal="center" vertical="center" shrinkToFit="1"/>
    </xf>
    <xf numFmtId="0" fontId="8" fillId="5" borderId="45" xfId="1" applyFont="1" applyFill="1" applyBorder="1" applyAlignment="1">
      <alignment horizontal="center" vertical="center"/>
    </xf>
    <xf numFmtId="0" fontId="0" fillId="0" borderId="8" xfId="0" applyBorder="1"/>
    <xf numFmtId="0" fontId="3" fillId="9" borderId="21" xfId="0" applyFont="1" applyFill="1" applyBorder="1" applyAlignment="1">
      <alignment horizontal="center" vertical="center"/>
    </xf>
    <xf numFmtId="0" fontId="6" fillId="8" borderId="48" xfId="2" applyFont="1" applyFill="1" applyBorder="1" applyAlignment="1">
      <alignment horizontal="center" vertical="center" shrinkToFit="1"/>
    </xf>
    <xf numFmtId="0" fontId="6" fillId="8" borderId="24" xfId="2" applyFont="1" applyFill="1" applyBorder="1" applyAlignment="1">
      <alignment horizontal="center" vertical="center"/>
    </xf>
    <xf numFmtId="0" fontId="13" fillId="0" borderId="0" xfId="4" applyFont="1" applyFill="1" applyAlignment="1">
      <alignment horizontal="center"/>
    </xf>
    <xf numFmtId="0" fontId="13" fillId="0" borderId="0" xfId="3" applyFont="1" applyFill="1" applyAlignment="1">
      <alignment horizontal="center"/>
    </xf>
    <xf numFmtId="0" fontId="7" fillId="6" borderId="32" xfId="0" applyFont="1" applyFill="1" applyBorder="1" applyAlignment="1">
      <alignment horizontal="center"/>
    </xf>
    <xf numFmtId="0" fontId="0" fillId="0" borderId="30" xfId="0" applyBorder="1"/>
    <xf numFmtId="0" fontId="0" fillId="0" borderId="11" xfId="0" applyFill="1" applyBorder="1" applyAlignment="1">
      <alignment horizontal="center" vertical="center"/>
    </xf>
    <xf numFmtId="0" fontId="0" fillId="0" borderId="4" xfId="0" applyFont="1" applyFill="1" applyBorder="1" applyAlignment="1">
      <alignment horizontal="center" vertical="center"/>
    </xf>
    <xf numFmtId="0" fontId="0" fillId="0" borderId="11" xfId="0" applyFont="1" applyFill="1" applyBorder="1" applyAlignment="1">
      <alignment horizontal="center" vertical="center"/>
    </xf>
    <xf numFmtId="0" fontId="0" fillId="0" borderId="11" xfId="0" applyFont="1" applyFill="1" applyBorder="1"/>
    <xf numFmtId="0" fontId="8" fillId="5" borderId="26" xfId="1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horizontal="center" shrinkToFit="1"/>
    </xf>
    <xf numFmtId="0" fontId="5" fillId="6" borderId="35" xfId="0" applyFont="1" applyFill="1" applyBorder="1" applyAlignment="1">
      <alignment horizontal="center" shrinkToFit="1"/>
    </xf>
    <xf numFmtId="0" fontId="0" fillId="0" borderId="0" xfId="0" applyFont="1" applyFill="1" applyBorder="1"/>
    <xf numFmtId="0" fontId="0" fillId="0" borderId="0" xfId="0" applyFont="1" applyFill="1" applyBorder="1" applyAlignment="1">
      <alignment horizontal="center" vertical="center"/>
    </xf>
    <xf numFmtId="0" fontId="0" fillId="0" borderId="44" xfId="0" applyBorder="1" applyAlignment="1">
      <alignment horizontal="center"/>
    </xf>
    <xf numFmtId="0" fontId="0" fillId="0" borderId="22" xfId="0" applyBorder="1" applyAlignment="1">
      <alignment horizontal="center"/>
    </xf>
    <xf numFmtId="0" fontId="7" fillId="6" borderId="4" xfId="0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 shrinkToFit="1"/>
    </xf>
    <xf numFmtId="0" fontId="5" fillId="6" borderId="4" xfId="0" applyFont="1" applyFill="1" applyBorder="1" applyAlignment="1">
      <alignment horizontal="center" shrinkToFit="1"/>
    </xf>
    <xf numFmtId="0" fontId="0" fillId="0" borderId="4" xfId="0" applyFont="1" applyFill="1" applyBorder="1"/>
    <xf numFmtId="0" fontId="0" fillId="0" borderId="32" xfId="0" applyFont="1" applyFill="1" applyBorder="1"/>
    <xf numFmtId="0" fontId="11" fillId="0" borderId="0" xfId="3" applyAlignment="1">
      <alignment horizontal="center" vertical="center"/>
    </xf>
    <xf numFmtId="4" fontId="14" fillId="9" borderId="0" xfId="3" applyNumberFormat="1" applyFont="1" applyFill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13" fillId="0" borderId="0" xfId="4" applyFont="1" applyAlignment="1">
      <alignment horizontal="left" vertical="center"/>
    </xf>
    <xf numFmtId="165" fontId="14" fillId="7" borderId="0" xfId="5" applyNumberFormat="1" applyFont="1" applyFill="1" applyAlignment="1">
      <alignment horizontal="center" vertical="center"/>
    </xf>
    <xf numFmtId="165" fontId="13" fillId="0" borderId="0" xfId="3" applyNumberFormat="1" applyFont="1" applyAlignment="1">
      <alignment horizontal="center" vertical="center"/>
    </xf>
    <xf numFmtId="0" fontId="13" fillId="0" borderId="0" xfId="4" applyFont="1" applyAlignment="1">
      <alignment horizontal="center" vertical="center"/>
    </xf>
    <xf numFmtId="3" fontId="13" fillId="0" borderId="0" xfId="4" applyNumberFormat="1" applyFont="1" applyAlignment="1">
      <alignment horizontal="left" vertical="center"/>
    </xf>
    <xf numFmtId="165" fontId="13" fillId="0" borderId="0" xfId="4" applyNumberFormat="1" applyFont="1" applyAlignment="1">
      <alignment horizontal="center" vertical="center"/>
    </xf>
    <xf numFmtId="165" fontId="3" fillId="0" borderId="0" xfId="5" applyNumberFormat="1" applyFont="1" applyAlignment="1">
      <alignment horizontal="center" vertical="center"/>
    </xf>
    <xf numFmtId="0" fontId="13" fillId="0" borderId="0" xfId="3" applyFont="1" applyAlignment="1">
      <alignment horizontal="center" vertical="center"/>
    </xf>
    <xf numFmtId="0" fontId="13" fillId="9" borderId="0" xfId="3" applyFont="1" applyFill="1" applyAlignment="1">
      <alignment horizontal="center" vertical="center"/>
    </xf>
    <xf numFmtId="165" fontId="3" fillId="0" borderId="0" xfId="5" applyNumberFormat="1" applyFont="1" applyBorder="1" applyAlignment="1">
      <alignment vertical="center"/>
    </xf>
    <xf numFmtId="165" fontId="14" fillId="10" borderId="0" xfId="5" applyNumberFormat="1" applyFont="1" applyFill="1" applyAlignment="1">
      <alignment horizontal="center" vertical="center"/>
    </xf>
    <xf numFmtId="3" fontId="13" fillId="0" borderId="0" xfId="3" applyNumberFormat="1" applyFont="1" applyAlignment="1">
      <alignment horizontal="center" vertical="center"/>
    </xf>
    <xf numFmtId="165" fontId="3" fillId="0" borderId="0" xfId="5" applyNumberFormat="1" applyFont="1" applyBorder="1" applyAlignment="1">
      <alignment horizontal="center" vertical="center"/>
    </xf>
    <xf numFmtId="0" fontId="14" fillId="0" borderId="0" xfId="4" applyFont="1" applyFill="1" applyBorder="1" applyAlignment="1">
      <alignment horizontal="center" vertical="center"/>
    </xf>
    <xf numFmtId="0" fontId="13" fillId="9" borderId="10" xfId="3" applyFont="1" applyFill="1" applyBorder="1" applyAlignment="1">
      <alignment horizontal="center"/>
    </xf>
    <xf numFmtId="0" fontId="13" fillId="9" borderId="20" xfId="3" applyFont="1" applyFill="1" applyBorder="1" applyAlignment="1">
      <alignment horizontal="center"/>
    </xf>
    <xf numFmtId="0" fontId="13" fillId="9" borderId="18" xfId="3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0" fillId="8" borderId="16" xfId="0" applyFill="1" applyBorder="1" applyAlignment="1">
      <alignment horizontal="center"/>
    </xf>
    <xf numFmtId="0" fontId="5" fillId="6" borderId="27" xfId="0" applyFont="1" applyFill="1" applyBorder="1" applyAlignment="1">
      <alignment horizontal="center" shrinkToFit="1"/>
    </xf>
    <xf numFmtId="0" fontId="0" fillId="0" borderId="15" xfId="0" applyFont="1" applyFill="1" applyBorder="1"/>
    <xf numFmtId="0" fontId="0" fillId="0" borderId="6" xfId="0" applyFont="1" applyFill="1" applyBorder="1"/>
    <xf numFmtId="0" fontId="10" fillId="0" borderId="11" xfId="2" applyFont="1" applyFill="1" applyBorder="1" applyAlignment="1">
      <alignment horizontal="center" vertical="center" shrinkToFit="1"/>
    </xf>
    <xf numFmtId="3" fontId="5" fillId="0" borderId="11" xfId="0" applyNumberFormat="1" applyFont="1" applyFill="1" applyBorder="1" applyAlignment="1">
      <alignment horizontal="center" vertical="center"/>
    </xf>
    <xf numFmtId="0" fontId="9" fillId="0" borderId="11" xfId="2" applyFont="1" applyFill="1" applyBorder="1" applyAlignment="1">
      <alignment horizontal="center" vertical="center"/>
    </xf>
    <xf numFmtId="0" fontId="5" fillId="0" borderId="11" xfId="2" applyFont="1" applyFill="1" applyBorder="1" applyAlignment="1">
      <alignment horizontal="center" vertical="center"/>
    </xf>
    <xf numFmtId="0" fontId="6" fillId="0" borderId="15" xfId="1" applyFont="1" applyFill="1" applyBorder="1" applyAlignment="1">
      <alignment horizontal="center" vertical="center" shrinkToFit="1"/>
    </xf>
    <xf numFmtId="0" fontId="9" fillId="0" borderId="11" xfId="1" applyFont="1" applyFill="1" applyBorder="1" applyAlignment="1">
      <alignment horizontal="center" vertical="center"/>
    </xf>
    <xf numFmtId="0" fontId="9" fillId="0" borderId="11" xfId="1" applyFont="1" applyFill="1" applyBorder="1" applyAlignment="1">
      <alignment horizontal="center" vertical="center" shrinkToFit="1"/>
    </xf>
    <xf numFmtId="3" fontId="10" fillId="0" borderId="11" xfId="1" applyNumberFormat="1" applyFont="1" applyFill="1" applyBorder="1" applyAlignment="1">
      <alignment horizontal="center" vertical="center"/>
    </xf>
    <xf numFmtId="0" fontId="6" fillId="0" borderId="15" xfId="2" applyFont="1" applyFill="1" applyBorder="1" applyAlignment="1">
      <alignment horizontal="center" shrinkToFit="1"/>
    </xf>
    <xf numFmtId="0" fontId="6" fillId="0" borderId="11" xfId="2" applyFont="1" applyFill="1" applyBorder="1" applyAlignment="1">
      <alignment horizontal="center"/>
    </xf>
    <xf numFmtId="0" fontId="5" fillId="0" borderId="11" xfId="2" applyFont="1" applyFill="1" applyBorder="1" applyAlignment="1">
      <alignment horizontal="center"/>
    </xf>
    <xf numFmtId="0" fontId="5" fillId="0" borderId="11" xfId="0" applyFont="1" applyFill="1" applyBorder="1" applyAlignment="1">
      <alignment horizontal="center"/>
    </xf>
    <xf numFmtId="0" fontId="5" fillId="0" borderId="11" xfId="0" applyFont="1" applyFill="1" applyBorder="1" applyAlignment="1">
      <alignment horizontal="center" vertical="center"/>
    </xf>
    <xf numFmtId="0" fontId="5" fillId="0" borderId="11" xfId="0" applyFont="1" applyFill="1" applyBorder="1" applyAlignment="1">
      <alignment horizontal="center" vertical="center" shrinkToFit="1"/>
    </xf>
    <xf numFmtId="0" fontId="7" fillId="0" borderId="15" xfId="0" applyFont="1" applyFill="1" applyBorder="1" applyAlignment="1">
      <alignment horizontal="center" shrinkToFit="1"/>
    </xf>
    <xf numFmtId="0" fontId="7" fillId="0" borderId="11" xfId="0" applyFont="1" applyFill="1" applyBorder="1" applyAlignment="1">
      <alignment horizontal="center"/>
    </xf>
    <xf numFmtId="1" fontId="10" fillId="0" borderId="11" xfId="0" applyNumberFormat="1" applyFont="1" applyFill="1" applyBorder="1" applyAlignment="1">
      <alignment horizontal="center" vertical="center" shrinkToFit="1"/>
    </xf>
    <xf numFmtId="0" fontId="6" fillId="0" borderId="15" xfId="0" applyFont="1" applyFill="1" applyBorder="1" applyAlignment="1">
      <alignment horizontal="center" vertical="center" shrinkToFit="1"/>
    </xf>
    <xf numFmtId="0" fontId="6" fillId="0" borderId="11" xfId="1" applyFont="1" applyFill="1" applyBorder="1" applyAlignment="1">
      <alignment horizontal="center" vertical="center" shrinkToFit="1"/>
    </xf>
    <xf numFmtId="0" fontId="10" fillId="0" borderId="11" xfId="1" applyFont="1" applyFill="1" applyBorder="1" applyAlignment="1">
      <alignment horizontal="center" vertical="center" shrinkToFit="1"/>
    </xf>
    <xf numFmtId="0" fontId="21" fillId="0" borderId="23" xfId="2" applyFont="1" applyFill="1" applyBorder="1" applyAlignment="1">
      <alignment vertical="center" textRotation="90"/>
    </xf>
    <xf numFmtId="0" fontId="14" fillId="0" borderId="29" xfId="4" applyFont="1" applyFill="1" applyBorder="1" applyAlignment="1">
      <alignment horizontal="center" vertical="center"/>
    </xf>
    <xf numFmtId="0" fontId="14" fillId="0" borderId="30" xfId="4" applyFont="1" applyFill="1" applyBorder="1" applyAlignment="1">
      <alignment horizontal="center" vertical="center"/>
    </xf>
    <xf numFmtId="0" fontId="16" fillId="0" borderId="30" xfId="3" applyFont="1" applyFill="1" applyBorder="1" applyAlignment="1">
      <alignment horizontal="center" vertical="center"/>
    </xf>
    <xf numFmtId="0" fontId="3" fillId="9" borderId="23" xfId="0" applyFont="1" applyFill="1" applyBorder="1" applyAlignment="1">
      <alignment horizontal="center"/>
    </xf>
    <xf numFmtId="165" fontId="3" fillId="4" borderId="36" xfId="5" applyNumberFormat="1" applyFont="1" applyFill="1" applyBorder="1" applyAlignment="1">
      <alignment horizontal="center" vertical="center"/>
    </xf>
    <xf numFmtId="165" fontId="3" fillId="4" borderId="49" xfId="5" applyNumberFormat="1" applyFont="1" applyFill="1" applyBorder="1" applyAlignment="1">
      <alignment horizontal="center" vertical="center"/>
    </xf>
    <xf numFmtId="165" fontId="3" fillId="4" borderId="37" xfId="5" applyNumberFormat="1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horizontal="center" vertical="center" shrinkToFit="1"/>
    </xf>
    <xf numFmtId="0" fontId="6" fillId="0" borderId="11" xfId="0" applyFont="1" applyFill="1" applyBorder="1" applyAlignment="1">
      <alignment horizontal="center"/>
    </xf>
    <xf numFmtId="0" fontId="5" fillId="0" borderId="11" xfId="0" applyFont="1" applyFill="1" applyBorder="1" applyAlignment="1">
      <alignment horizontal="center" shrinkToFit="1"/>
    </xf>
    <xf numFmtId="164" fontId="6" fillId="0" borderId="11" xfId="2" applyNumberFormat="1" applyFont="1" applyFill="1" applyBorder="1" applyAlignment="1" applyProtection="1">
      <alignment horizontal="center" vertical="center" shrinkToFit="1"/>
      <protection locked="0"/>
    </xf>
    <xf numFmtId="164" fontId="6" fillId="0" borderId="11" xfId="2" applyNumberFormat="1" applyFont="1" applyFill="1" applyBorder="1" applyAlignment="1" applyProtection="1">
      <alignment horizontal="center" vertical="center"/>
      <protection locked="0"/>
    </xf>
    <xf numFmtId="0" fontId="0" fillId="0" borderId="11" xfId="0" applyFill="1" applyBorder="1"/>
    <xf numFmtId="0" fontId="0" fillId="0" borderId="0" xfId="0" applyFill="1" applyBorder="1" applyAlignment="1">
      <alignment horizontal="center" vertical="center"/>
    </xf>
    <xf numFmtId="0" fontId="6" fillId="0" borderId="15" xfId="0" applyFont="1" applyFill="1" applyBorder="1" applyAlignment="1">
      <alignment horizontal="center" shrinkToFit="1"/>
    </xf>
    <xf numFmtId="164" fontId="6" fillId="0" borderId="15" xfId="2" applyNumberFormat="1" applyFont="1" applyFill="1" applyBorder="1" applyAlignment="1" applyProtection="1">
      <alignment horizontal="center" vertical="center" shrinkToFit="1"/>
      <protection locked="0"/>
    </xf>
    <xf numFmtId="0" fontId="6" fillId="0" borderId="15" xfId="2" applyFont="1" applyFill="1" applyBorder="1" applyAlignment="1">
      <alignment shrinkToFit="1"/>
    </xf>
    <xf numFmtId="0" fontId="5" fillId="0" borderId="12" xfId="0" applyFont="1" applyFill="1" applyBorder="1" applyAlignment="1">
      <alignment horizontal="center" shrinkToFit="1"/>
    </xf>
    <xf numFmtId="0" fontId="16" fillId="9" borderId="0" xfId="3" applyFont="1" applyFill="1" applyAlignment="1">
      <alignment horizontal="center"/>
    </xf>
    <xf numFmtId="0" fontId="16" fillId="0" borderId="0" xfId="3" applyFont="1" applyFill="1" applyAlignment="1">
      <alignment horizontal="center" vertical="center"/>
    </xf>
    <xf numFmtId="0" fontId="14" fillId="7" borderId="0" xfId="4" applyFont="1" applyFill="1" applyAlignment="1">
      <alignment horizontal="center"/>
    </xf>
    <xf numFmtId="0" fontId="14" fillId="10" borderId="0" xfId="4" applyFont="1" applyFill="1" applyAlignment="1">
      <alignment horizontal="center"/>
    </xf>
    <xf numFmtId="3" fontId="0" fillId="0" borderId="11" xfId="0" applyNumberFormat="1" applyFill="1" applyBorder="1"/>
    <xf numFmtId="16" fontId="3" fillId="0" borderId="0" xfId="0" applyNumberFormat="1" applyFont="1" applyFill="1" applyBorder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20" fillId="9" borderId="0" xfId="4" applyFont="1" applyFill="1" applyBorder="1" applyAlignment="1">
      <alignment vertical="center"/>
    </xf>
    <xf numFmtId="0" fontId="12" fillId="0" borderId="0" xfId="3" applyFont="1" applyAlignment="1"/>
    <xf numFmtId="14" fontId="23" fillId="12" borderId="24" xfId="0" applyNumberFormat="1" applyFont="1" applyFill="1" applyBorder="1" applyAlignment="1">
      <alignment horizontal="center" vertical="center"/>
    </xf>
    <xf numFmtId="0" fontId="8" fillId="0" borderId="15" xfId="1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3" fillId="5" borderId="41" xfId="0" applyFont="1" applyFill="1" applyBorder="1" applyAlignment="1">
      <alignment horizontal="center" vertical="center"/>
    </xf>
    <xf numFmtId="0" fontId="3" fillId="5" borderId="50" xfId="0" applyFont="1" applyFill="1" applyBorder="1" applyAlignment="1">
      <alignment horizontal="center" vertical="center"/>
    </xf>
    <xf numFmtId="165" fontId="3" fillId="0" borderId="13" xfId="5" applyNumberFormat="1" applyFont="1" applyBorder="1" applyAlignment="1">
      <alignment horizontal="center" vertical="center"/>
    </xf>
    <xf numFmtId="166" fontId="4" fillId="5" borderId="3" xfId="6" applyNumberFormat="1" applyFont="1" applyFill="1" applyBorder="1" applyAlignment="1">
      <alignment horizontal="center" vertical="center"/>
    </xf>
    <xf numFmtId="166" fontId="4" fillId="5" borderId="4" xfId="6" applyNumberFormat="1" applyFont="1" applyFill="1" applyBorder="1" applyAlignment="1">
      <alignment horizontal="center" vertical="center"/>
    </xf>
    <xf numFmtId="166" fontId="4" fillId="5" borderId="5" xfId="6" applyNumberFormat="1" applyFont="1" applyFill="1" applyBorder="1" applyAlignment="1">
      <alignment horizontal="center" vertical="center"/>
    </xf>
    <xf numFmtId="10" fontId="4" fillId="5" borderId="33" xfId="6" applyNumberFormat="1" applyFont="1" applyFill="1" applyBorder="1" applyAlignment="1">
      <alignment horizontal="center" vertical="center"/>
    </xf>
    <xf numFmtId="3" fontId="0" fillId="0" borderId="0" xfId="0" applyNumberFormat="1"/>
    <xf numFmtId="14" fontId="23" fillId="12" borderId="45" xfId="0" applyNumberFormat="1" applyFon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11" borderId="11" xfId="0" applyFont="1" applyFill="1" applyBorder="1" applyAlignment="1">
      <alignment horizontal="center" vertical="center"/>
    </xf>
    <xf numFmtId="165" fontId="3" fillId="0" borderId="0" xfId="5" applyNumberFormat="1" applyFont="1" applyBorder="1" applyAlignment="1">
      <alignment horizontal="center"/>
    </xf>
    <xf numFmtId="164" fontId="6" fillId="0" borderId="11" xfId="2" applyNumberFormat="1" applyFont="1" applyFill="1" applyBorder="1" applyAlignment="1">
      <alignment horizontal="center" vertical="center" shrinkToFit="1"/>
    </xf>
    <xf numFmtId="0" fontId="8" fillId="0" borderId="4" xfId="1" applyFont="1" applyFill="1" applyBorder="1" applyAlignment="1">
      <alignment horizontal="center" vertical="center"/>
    </xf>
    <xf numFmtId="0" fontId="8" fillId="0" borderId="16" xfId="1" applyFont="1" applyFill="1" applyBorder="1" applyAlignment="1">
      <alignment horizontal="center" vertical="center"/>
    </xf>
    <xf numFmtId="0" fontId="8" fillId="0" borderId="6" xfId="1" applyFont="1" applyFill="1" applyBorder="1" applyAlignment="1">
      <alignment horizontal="center" vertical="center"/>
    </xf>
    <xf numFmtId="0" fontId="8" fillId="0" borderId="32" xfId="1" applyFont="1" applyFill="1" applyBorder="1" applyAlignment="1">
      <alignment horizontal="center" vertical="center"/>
    </xf>
    <xf numFmtId="164" fontId="6" fillId="0" borderId="32" xfId="2" applyNumberFormat="1" applyFont="1" applyFill="1" applyBorder="1" applyAlignment="1" applyProtection="1">
      <alignment horizontal="center" vertical="center" shrinkToFit="1"/>
      <protection locked="0"/>
    </xf>
    <xf numFmtId="0" fontId="8" fillId="0" borderId="33" xfId="1" applyFont="1" applyFill="1" applyBorder="1" applyAlignment="1">
      <alignment horizontal="center" vertical="center"/>
    </xf>
    <xf numFmtId="0" fontId="0" fillId="9" borderId="25" xfId="0" applyFill="1" applyBorder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11" borderId="0" xfId="0" applyFill="1" applyAlignment="1">
      <alignment horizontal="center"/>
    </xf>
    <xf numFmtId="14" fontId="0" fillId="0" borderId="0" xfId="0" applyNumberFormat="1"/>
    <xf numFmtId="0" fontId="8" fillId="4" borderId="16" xfId="1" applyFont="1" applyFill="1" applyBorder="1" applyAlignment="1">
      <alignment horizontal="center" vertical="center"/>
    </xf>
    <xf numFmtId="0" fontId="8" fillId="11" borderId="16" xfId="1" applyFont="1" applyFill="1" applyBorder="1" applyAlignment="1">
      <alignment horizontal="center" vertical="center"/>
    </xf>
    <xf numFmtId="14" fontId="0" fillId="9" borderId="30" xfId="0" applyNumberFormat="1" applyFill="1" applyBorder="1"/>
    <xf numFmtId="1" fontId="0" fillId="0" borderId="0" xfId="0" applyNumberFormat="1"/>
    <xf numFmtId="0" fontId="0" fillId="0" borderId="0" xfId="0" applyNumberFormat="1" applyAlignment="1">
      <alignment horizontal="center"/>
    </xf>
    <xf numFmtId="0" fontId="8" fillId="14" borderId="16" xfId="1" applyFont="1" applyFill="1" applyBorder="1" applyAlignment="1">
      <alignment horizontal="center" vertical="center"/>
    </xf>
    <xf numFmtId="0" fontId="8" fillId="0" borderId="10" xfId="1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164" fontId="28" fillId="0" borderId="11" xfId="2" applyNumberFormat="1" applyFont="1" applyFill="1" applyBorder="1" applyAlignment="1" applyProtection="1">
      <alignment horizontal="center" vertical="center" shrinkToFit="1"/>
      <protection locked="0"/>
    </xf>
    <xf numFmtId="0" fontId="29" fillId="0" borderId="0" xfId="4" applyFont="1" applyAlignment="1">
      <alignment horizontal="center"/>
    </xf>
    <xf numFmtId="0" fontId="0" fillId="0" borderId="11" xfId="0" applyFont="1" applyBorder="1" applyAlignment="1">
      <alignment horizontal="center"/>
    </xf>
    <xf numFmtId="0" fontId="0" fillId="0" borderId="11" xfId="0" applyFont="1" applyFill="1" applyBorder="1" applyAlignment="1">
      <alignment horizontal="center"/>
    </xf>
    <xf numFmtId="17" fontId="0" fillId="8" borderId="0" xfId="0" applyNumberFormat="1" applyFill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3" fillId="8" borderId="56" xfId="0" applyFont="1" applyFill="1" applyBorder="1" applyAlignment="1">
      <alignment horizontal="center" vertical="center"/>
    </xf>
    <xf numFmtId="0" fontId="3" fillId="8" borderId="46" xfId="0" applyFont="1" applyFill="1" applyBorder="1" applyAlignment="1">
      <alignment horizontal="center" vertical="center"/>
    </xf>
    <xf numFmtId="14" fontId="3" fillId="8" borderId="46" xfId="0" applyNumberFormat="1" applyFont="1" applyFill="1" applyBorder="1" applyAlignment="1">
      <alignment horizontal="center" vertical="center"/>
    </xf>
    <xf numFmtId="3" fontId="3" fillId="8" borderId="46" xfId="0" applyNumberFormat="1" applyFont="1" applyFill="1" applyBorder="1"/>
    <xf numFmtId="0" fontId="3" fillId="8" borderId="46" xfId="0" applyFont="1" applyFill="1" applyBorder="1"/>
    <xf numFmtId="0" fontId="3" fillId="8" borderId="57" xfId="0" applyFont="1" applyFill="1" applyBorder="1"/>
    <xf numFmtId="0" fontId="21" fillId="9" borderId="11" xfId="2" applyFont="1" applyFill="1" applyBorder="1" applyAlignment="1">
      <alignment vertical="center" textRotation="90"/>
    </xf>
    <xf numFmtId="0" fontId="6" fillId="0" borderId="11" xfId="2" applyFont="1" applyFill="1" applyBorder="1" applyAlignment="1">
      <alignment horizontal="center" shrinkToFit="1"/>
    </xf>
    <xf numFmtId="0" fontId="7" fillId="0" borderId="11" xfId="0" applyFont="1" applyFill="1" applyBorder="1" applyAlignment="1">
      <alignment horizontal="center" vertical="center" shrinkToFit="1"/>
    </xf>
    <xf numFmtId="0" fontId="7" fillId="0" borderId="11" xfId="0" applyFont="1" applyFill="1" applyBorder="1" applyAlignment="1">
      <alignment horizontal="center" shrinkToFit="1"/>
    </xf>
    <xf numFmtId="1" fontId="22" fillId="0" borderId="11" xfId="0" applyNumberFormat="1" applyFont="1" applyFill="1" applyBorder="1" applyAlignment="1">
      <alignment horizontal="center" vertical="center"/>
    </xf>
    <xf numFmtId="0" fontId="0" fillId="9" borderId="11" xfId="0" applyFill="1" applyBorder="1"/>
    <xf numFmtId="1" fontId="15" fillId="0" borderId="0" xfId="3" applyNumberFormat="1" applyFont="1"/>
    <xf numFmtId="165" fontId="0" fillId="0" borderId="0" xfId="0" applyNumberFormat="1"/>
    <xf numFmtId="0" fontId="0" fillId="0" borderId="12" xfId="0" applyFont="1" applyBorder="1" applyAlignment="1">
      <alignment horizontal="center"/>
    </xf>
    <xf numFmtId="0" fontId="8" fillId="0" borderId="54" xfId="1" applyFont="1" applyFill="1" applyBorder="1" applyAlignment="1">
      <alignment horizontal="center" vertical="center"/>
    </xf>
    <xf numFmtId="164" fontId="6" fillId="0" borderId="13" xfId="2" applyNumberFormat="1" applyFont="1" applyFill="1" applyBorder="1" applyAlignment="1">
      <alignment horizontal="center" vertical="center" shrinkToFit="1"/>
    </xf>
    <xf numFmtId="0" fontId="8" fillId="0" borderId="13" xfId="1" applyFont="1" applyFill="1" applyBorder="1" applyAlignment="1">
      <alignment horizontal="center" vertical="center"/>
    </xf>
    <xf numFmtId="0" fontId="0" fillId="0" borderId="13" xfId="0" applyFont="1" applyBorder="1" applyAlignment="1">
      <alignment horizontal="center"/>
    </xf>
    <xf numFmtId="0" fontId="0" fillId="0" borderId="51" xfId="0" applyFont="1" applyBorder="1" applyAlignment="1">
      <alignment horizontal="center"/>
    </xf>
    <xf numFmtId="0" fontId="30" fillId="0" borderId="58" xfId="0" applyFont="1" applyBorder="1" applyAlignment="1">
      <alignment horizontal="left" vertical="center" wrapText="1"/>
    </xf>
    <xf numFmtId="0" fontId="31" fillId="0" borderId="58" xfId="7" applyBorder="1" applyAlignment="1">
      <alignment horizontal="left" vertical="center" wrapText="1"/>
    </xf>
    <xf numFmtId="0" fontId="30" fillId="0" borderId="58" xfId="0" applyFont="1" applyBorder="1" applyAlignment="1">
      <alignment horizontal="center" vertical="center" wrapText="1"/>
    </xf>
    <xf numFmtId="0" fontId="0" fillId="0" borderId="0" xfId="0" applyFill="1" applyBorder="1" applyAlignment="1">
      <alignment horizontal="center"/>
    </xf>
    <xf numFmtId="0" fontId="0" fillId="11" borderId="0" xfId="0" applyFill="1" applyBorder="1" applyAlignment="1">
      <alignment horizontal="center"/>
    </xf>
    <xf numFmtId="164" fontId="6" fillId="8" borderId="11" xfId="2" applyNumberFormat="1" applyFont="1" applyFill="1" applyBorder="1" applyAlignment="1" applyProtection="1">
      <alignment horizontal="center" vertical="center" shrinkToFit="1"/>
      <protection locked="0"/>
    </xf>
    <xf numFmtId="0" fontId="0" fillId="4" borderId="0" xfId="0" applyFill="1"/>
    <xf numFmtId="3" fontId="0" fillId="0" borderId="0" xfId="0" applyNumberFormat="1" applyBorder="1" applyAlignment="1">
      <alignment horizontal="center"/>
    </xf>
    <xf numFmtId="0" fontId="0" fillId="11" borderId="0" xfId="0" applyFill="1" applyBorder="1" applyAlignment="1">
      <alignment horizontal="center" vertical="center"/>
    </xf>
    <xf numFmtId="0" fontId="0" fillId="8" borderId="0" xfId="0" applyFill="1" applyBorder="1" applyAlignment="1">
      <alignment horizontal="center"/>
    </xf>
    <xf numFmtId="0" fontId="8" fillId="8" borderId="15" xfId="1" applyFont="1" applyFill="1" applyBorder="1" applyAlignment="1">
      <alignment horizontal="center" vertical="center"/>
    </xf>
    <xf numFmtId="0" fontId="8" fillId="8" borderId="11" xfId="1" applyFont="1" applyFill="1" applyBorder="1" applyAlignment="1">
      <alignment horizontal="center" vertical="center"/>
    </xf>
    <xf numFmtId="0" fontId="8" fillId="8" borderId="16" xfId="1" applyFont="1" applyFill="1" applyBorder="1" applyAlignment="1">
      <alignment horizontal="center" vertical="center"/>
    </xf>
    <xf numFmtId="0" fontId="32" fillId="0" borderId="11" xfId="0" applyFont="1" applyBorder="1" applyAlignment="1">
      <alignment horizontal="center"/>
    </xf>
    <xf numFmtId="165" fontId="0" fillId="0" borderId="0" xfId="5" applyNumberFormat="1" applyFont="1" applyAlignment="1">
      <alignment vertical="center"/>
    </xf>
    <xf numFmtId="164" fontId="6" fillId="11" borderId="11" xfId="2" applyNumberFormat="1" applyFont="1" applyFill="1" applyBorder="1" applyAlignment="1" applyProtection="1">
      <alignment horizontal="center" vertical="center" shrinkToFit="1"/>
      <protection locked="0"/>
    </xf>
    <xf numFmtId="0" fontId="8" fillId="11" borderId="11" xfId="1" applyFont="1" applyFill="1" applyBorder="1" applyAlignment="1">
      <alignment horizontal="center" vertical="center"/>
    </xf>
    <xf numFmtId="3" fontId="5" fillId="0" borderId="0" xfId="0" applyNumberFormat="1" applyFont="1" applyFill="1" applyBorder="1" applyAlignment="1">
      <alignment horizontal="right" vertical="center"/>
    </xf>
    <xf numFmtId="164" fontId="6" fillId="15" borderId="11" xfId="2" applyNumberFormat="1" applyFont="1" applyFill="1" applyBorder="1" applyAlignment="1">
      <alignment horizontal="center" vertical="center" shrinkToFit="1"/>
    </xf>
    <xf numFmtId="0" fontId="8" fillId="15" borderId="11" xfId="1" applyFont="1" applyFill="1" applyBorder="1" applyAlignment="1">
      <alignment horizontal="center" vertical="center"/>
    </xf>
    <xf numFmtId="164" fontId="6" fillId="16" borderId="11" xfId="2" applyNumberFormat="1" applyFont="1" applyFill="1" applyBorder="1" applyAlignment="1">
      <alignment horizontal="center" vertical="center" shrinkToFit="1"/>
    </xf>
    <xf numFmtId="0" fontId="8" fillId="16" borderId="11" xfId="1" applyFont="1" applyFill="1" applyBorder="1" applyAlignment="1">
      <alignment horizontal="center" vertical="center"/>
    </xf>
    <xf numFmtId="0" fontId="24" fillId="13" borderId="4" xfId="0" applyFont="1" applyFill="1" applyBorder="1" applyAlignment="1">
      <alignment horizontal="center"/>
    </xf>
    <xf numFmtId="0" fontId="24" fillId="13" borderId="5" xfId="0" applyFont="1" applyFill="1" applyBorder="1" applyAlignment="1">
      <alignment horizontal="center"/>
    </xf>
    <xf numFmtId="0" fontId="24" fillId="13" borderId="3" xfId="0" applyFont="1" applyFill="1" applyBorder="1" applyAlignment="1">
      <alignment horizontal="center"/>
    </xf>
    <xf numFmtId="0" fontId="0" fillId="16" borderId="11" xfId="0" applyFont="1" applyFill="1" applyBorder="1" applyAlignment="1">
      <alignment horizontal="center" vertical="center"/>
    </xf>
    <xf numFmtId="0" fontId="0" fillId="16" borderId="16" xfId="0" applyFont="1" applyFill="1" applyBorder="1" applyAlignment="1">
      <alignment horizontal="center" vertical="center"/>
    </xf>
    <xf numFmtId="0" fontId="0" fillId="15" borderId="11" xfId="0" applyFont="1" applyFill="1" applyBorder="1" applyAlignment="1">
      <alignment horizontal="center" vertical="center"/>
    </xf>
    <xf numFmtId="0" fontId="0" fillId="15" borderId="16" xfId="0" applyFont="1" applyFill="1" applyBorder="1" applyAlignment="1">
      <alignment horizontal="center" vertical="center"/>
    </xf>
    <xf numFmtId="0" fontId="0" fillId="16" borderId="15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/>
    </xf>
    <xf numFmtId="0" fontId="0" fillId="16" borderId="16" xfId="0" applyFill="1" applyBorder="1" applyAlignment="1">
      <alignment horizontal="center" vertical="center"/>
    </xf>
    <xf numFmtId="0" fontId="0" fillId="15" borderId="15" xfId="0" applyFill="1" applyBorder="1" applyAlignment="1">
      <alignment horizontal="center" vertical="center"/>
    </xf>
    <xf numFmtId="0" fontId="0" fillId="15" borderId="11" xfId="0" applyFill="1" applyBorder="1" applyAlignment="1">
      <alignment horizontal="center" vertical="center"/>
    </xf>
    <xf numFmtId="0" fontId="0" fillId="15" borderId="16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32" xfId="0" applyFill="1" applyBorder="1" applyAlignment="1">
      <alignment horizontal="center" vertical="center"/>
    </xf>
    <xf numFmtId="0" fontId="0" fillId="5" borderId="33" xfId="0" applyFill="1" applyBorder="1" applyAlignment="1">
      <alignment horizontal="center" vertical="center"/>
    </xf>
    <xf numFmtId="164" fontId="6" fillId="4" borderId="11" xfId="2" applyNumberFormat="1" applyFont="1" applyFill="1" applyBorder="1" applyAlignment="1" applyProtection="1">
      <alignment horizontal="center" vertical="center" shrinkToFit="1"/>
      <protection locked="0"/>
    </xf>
    <xf numFmtId="165" fontId="0" fillId="0" borderId="0" xfId="5" applyNumberFormat="1" applyFont="1" applyBorder="1" applyAlignment="1">
      <alignment horizontal="center"/>
    </xf>
    <xf numFmtId="3" fontId="5" fillId="0" borderId="0" xfId="0" applyNumberFormat="1" applyFont="1" applyFill="1" applyBorder="1" applyAlignment="1">
      <alignment horizontal="center"/>
    </xf>
    <xf numFmtId="0" fontId="7" fillId="6" borderId="11" xfId="0" applyFont="1" applyFill="1" applyBorder="1" applyAlignment="1">
      <alignment horizontal="center" shrinkToFit="1"/>
    </xf>
    <xf numFmtId="164" fontId="6" fillId="0" borderId="10" xfId="2" applyNumberFormat="1" applyFont="1" applyFill="1" applyBorder="1" applyAlignment="1" applyProtection="1">
      <alignment horizontal="center" vertical="center" shrinkToFit="1"/>
      <protection locked="0"/>
    </xf>
    <xf numFmtId="0" fontId="5" fillId="9" borderId="0" xfId="0" applyFont="1" applyFill="1" applyBorder="1" applyAlignment="1">
      <alignment horizontal="center" shrinkToFit="1"/>
    </xf>
    <xf numFmtId="0" fontId="5" fillId="9" borderId="0" xfId="0" applyFont="1" applyFill="1" applyBorder="1" applyAlignment="1">
      <alignment horizontal="center"/>
    </xf>
    <xf numFmtId="0" fontId="0" fillId="0" borderId="12" xfId="0" applyBorder="1" applyAlignment="1">
      <alignment horizontal="center"/>
    </xf>
    <xf numFmtId="14" fontId="0" fillId="9" borderId="30" xfId="0" applyNumberFormat="1" applyFill="1" applyBorder="1" applyAlignment="1">
      <alignment horizontal="center"/>
    </xf>
    <xf numFmtId="0" fontId="36" fillId="0" borderId="0" xfId="0" applyFont="1" applyFill="1" applyAlignment="1">
      <alignment horizontal="center"/>
    </xf>
    <xf numFmtId="0" fontId="36" fillId="0" borderId="0" xfId="0" applyFont="1" applyFill="1" applyBorder="1" applyAlignment="1">
      <alignment horizontal="center"/>
    </xf>
    <xf numFmtId="3" fontId="0" fillId="0" borderId="0" xfId="0" applyNumberFormat="1" applyFill="1" applyBorder="1" applyAlignment="1">
      <alignment horizontal="center"/>
    </xf>
    <xf numFmtId="3" fontId="0" fillId="11" borderId="0" xfId="0" applyNumberFormat="1" applyFill="1" applyBorder="1" applyAlignment="1">
      <alignment horizontal="center"/>
    </xf>
    <xf numFmtId="165" fontId="0" fillId="11" borderId="0" xfId="5" applyNumberFormat="1" applyFont="1" applyFill="1" applyBorder="1" applyAlignment="1">
      <alignment horizontal="center"/>
    </xf>
    <xf numFmtId="3" fontId="0" fillId="8" borderId="0" xfId="0" applyNumberFormat="1" applyFill="1" applyBorder="1" applyAlignment="1">
      <alignment horizontal="center"/>
    </xf>
    <xf numFmtId="0" fontId="8" fillId="11" borderId="10" xfId="1" applyFont="1" applyFill="1" applyBorder="1" applyAlignment="1">
      <alignment horizontal="center" vertical="center"/>
    </xf>
    <xf numFmtId="3" fontId="5" fillId="8" borderId="0" xfId="0" applyNumberFormat="1" applyFont="1" applyFill="1" applyBorder="1" applyAlignment="1">
      <alignment horizontal="right" vertical="center"/>
    </xf>
    <xf numFmtId="3" fontId="5" fillId="8" borderId="0" xfId="0" applyNumberFormat="1" applyFont="1" applyFill="1" applyBorder="1" applyAlignment="1">
      <alignment horizontal="center"/>
    </xf>
    <xf numFmtId="0" fontId="8" fillId="11" borderId="15" xfId="1" applyFont="1" applyFill="1" applyBorder="1" applyAlignment="1">
      <alignment horizontal="center" vertical="center"/>
    </xf>
    <xf numFmtId="0" fontId="8" fillId="17" borderId="11" xfId="1" applyFont="1" applyFill="1" applyBorder="1" applyAlignment="1">
      <alignment horizontal="center" vertical="center"/>
    </xf>
    <xf numFmtId="0" fontId="8" fillId="18" borderId="15" xfId="1" applyFont="1" applyFill="1" applyBorder="1" applyAlignment="1">
      <alignment horizontal="center" vertical="center"/>
    </xf>
    <xf numFmtId="164" fontId="6" fillId="18" borderId="11" xfId="2" applyNumberFormat="1" applyFont="1" applyFill="1" applyBorder="1" applyAlignment="1" applyProtection="1">
      <alignment horizontal="center" vertical="center" shrinkToFit="1"/>
      <protection locked="0"/>
    </xf>
    <xf numFmtId="0" fontId="8" fillId="18" borderId="11" xfId="1" applyFont="1" applyFill="1" applyBorder="1" applyAlignment="1">
      <alignment horizontal="center" vertical="center"/>
    </xf>
    <xf numFmtId="0" fontId="8" fillId="18" borderId="16" xfId="1" applyFont="1" applyFill="1" applyBorder="1" applyAlignment="1">
      <alignment horizontal="center" vertical="center"/>
    </xf>
    <xf numFmtId="0" fontId="0" fillId="18" borderId="0" xfId="0" applyFill="1" applyBorder="1" applyAlignment="1">
      <alignment horizontal="center"/>
    </xf>
    <xf numFmtId="0" fontId="0" fillId="18" borderId="0" xfId="0" applyFill="1" applyAlignment="1">
      <alignment horizontal="center"/>
    </xf>
    <xf numFmtId="3" fontId="0" fillId="18" borderId="0" xfId="0" applyNumberFormat="1" applyFill="1" applyBorder="1" applyAlignment="1">
      <alignment horizontal="center"/>
    </xf>
    <xf numFmtId="0" fontId="0" fillId="18" borderId="0" xfId="0" applyFill="1" applyBorder="1" applyAlignment="1">
      <alignment horizontal="center" vertical="center"/>
    </xf>
    <xf numFmtId="0" fontId="8" fillId="18" borderId="10" xfId="1" applyFont="1" applyFill="1" applyBorder="1" applyAlignment="1">
      <alignment horizontal="center" vertical="center"/>
    </xf>
    <xf numFmtId="2" fontId="0" fillId="0" borderId="0" xfId="0" applyNumberFormat="1"/>
    <xf numFmtId="0" fontId="23" fillId="17" borderId="15" xfId="1" applyFont="1" applyFill="1" applyBorder="1" applyAlignment="1">
      <alignment horizontal="center" vertical="center"/>
    </xf>
    <xf numFmtId="164" fontId="23" fillId="17" borderId="11" xfId="2" applyNumberFormat="1" applyFont="1" applyFill="1" applyBorder="1" applyAlignment="1" applyProtection="1">
      <alignment horizontal="center" vertical="center" shrinkToFit="1"/>
      <protection locked="0"/>
    </xf>
    <xf numFmtId="0" fontId="23" fillId="17" borderId="11" xfId="1" applyFont="1" applyFill="1" applyBorder="1" applyAlignment="1">
      <alignment horizontal="center" vertical="center"/>
    </xf>
    <xf numFmtId="0" fontId="23" fillId="17" borderId="16" xfId="1" applyFont="1" applyFill="1" applyBorder="1" applyAlignment="1">
      <alignment horizontal="center" vertical="center"/>
    </xf>
    <xf numFmtId="0" fontId="37" fillId="17" borderId="0" xfId="0" applyFont="1" applyFill="1" applyAlignment="1">
      <alignment horizontal="center"/>
    </xf>
    <xf numFmtId="0" fontId="37" fillId="17" borderId="0" xfId="0" applyFont="1" applyFill="1" applyBorder="1" applyAlignment="1">
      <alignment horizontal="center"/>
    </xf>
    <xf numFmtId="0" fontId="37" fillId="17" borderId="0" xfId="0" applyFont="1" applyFill="1" applyBorder="1" applyAlignment="1">
      <alignment horizontal="center" vertical="center"/>
    </xf>
    <xf numFmtId="3" fontId="38" fillId="17" borderId="0" xfId="0" applyNumberFormat="1" applyFont="1" applyFill="1" applyBorder="1" applyAlignment="1">
      <alignment horizontal="right" vertical="center"/>
    </xf>
    <xf numFmtId="0" fontId="23" fillId="17" borderId="10" xfId="1" applyFont="1" applyFill="1" applyBorder="1" applyAlignment="1">
      <alignment horizontal="center" vertical="center"/>
    </xf>
    <xf numFmtId="0" fontId="38" fillId="17" borderId="0" xfId="0" applyFont="1" applyFill="1" applyBorder="1" applyAlignment="1">
      <alignment horizontal="center"/>
    </xf>
    <xf numFmtId="0" fontId="37" fillId="17" borderId="0" xfId="0" applyFont="1" applyFill="1" applyAlignment="1">
      <alignment horizontal="center" vertical="center"/>
    </xf>
    <xf numFmtId="3" fontId="37" fillId="17" borderId="0" xfId="0" applyNumberFormat="1" applyFont="1" applyFill="1" applyBorder="1" applyAlignment="1">
      <alignment horizontal="center"/>
    </xf>
    <xf numFmtId="165" fontId="37" fillId="17" borderId="0" xfId="5" applyNumberFormat="1" applyFont="1" applyFill="1" applyBorder="1" applyAlignment="1">
      <alignment horizontal="center"/>
    </xf>
    <xf numFmtId="165" fontId="37" fillId="17" borderId="0" xfId="5" applyNumberFormat="1" applyFont="1" applyFill="1" applyAlignment="1">
      <alignment horizontal="center"/>
    </xf>
    <xf numFmtId="165" fontId="0" fillId="19" borderId="17" xfId="5" applyNumberFormat="1" applyFont="1" applyFill="1" applyBorder="1" applyAlignment="1">
      <alignment horizontal="center" vertical="center"/>
    </xf>
    <xf numFmtId="14" fontId="0" fillId="8" borderId="0" xfId="0" applyNumberFormat="1" applyFill="1" applyBorder="1" applyAlignment="1">
      <alignment horizontal="center"/>
    </xf>
    <xf numFmtId="3" fontId="33" fillId="8" borderId="0" xfId="0" applyNumberFormat="1" applyFont="1" applyFill="1" applyBorder="1" applyAlignment="1">
      <alignment horizontal="center"/>
    </xf>
    <xf numFmtId="0" fontId="0" fillId="11" borderId="0" xfId="0" applyFill="1"/>
    <xf numFmtId="0" fontId="0" fillId="8" borderId="0" xfId="0" applyFill="1"/>
    <xf numFmtId="0" fontId="0" fillId="11" borderId="10" xfId="0" applyFill="1" applyBorder="1" applyAlignment="1">
      <alignment horizontal="center"/>
    </xf>
    <xf numFmtId="0" fontId="8" fillId="0" borderId="0" xfId="1" applyFont="1" applyFill="1" applyBorder="1" applyAlignment="1">
      <alignment horizontal="center" vertical="center"/>
    </xf>
    <xf numFmtId="0" fontId="0" fillId="8" borderId="0" xfId="0" applyNumberFormat="1" applyFill="1" applyBorder="1" applyAlignment="1">
      <alignment horizontal="center"/>
    </xf>
    <xf numFmtId="0" fontId="0" fillId="0" borderId="25" xfId="0" applyBorder="1" applyAlignment="1">
      <alignment horizontal="center" vertical="center"/>
    </xf>
    <xf numFmtId="0" fontId="8" fillId="20" borderId="15" xfId="1" applyFont="1" applyFill="1" applyBorder="1" applyAlignment="1">
      <alignment horizontal="center" vertical="center"/>
    </xf>
    <xf numFmtId="164" fontId="6" fillId="20" borderId="11" xfId="2" applyNumberFormat="1" applyFont="1" applyFill="1" applyBorder="1" applyAlignment="1" applyProtection="1">
      <alignment horizontal="center" vertical="center" shrinkToFit="1"/>
      <protection locked="0"/>
    </xf>
    <xf numFmtId="0" fontId="8" fillId="20" borderId="11" xfId="1" applyFont="1" applyFill="1" applyBorder="1" applyAlignment="1">
      <alignment horizontal="center" vertical="center"/>
    </xf>
    <xf numFmtId="0" fontId="0" fillId="20" borderId="0" xfId="0" applyFill="1" applyAlignment="1">
      <alignment horizontal="center"/>
    </xf>
    <xf numFmtId="0" fontId="0" fillId="20" borderId="0" xfId="0" applyFill="1" applyBorder="1" applyAlignment="1">
      <alignment horizontal="center"/>
    </xf>
    <xf numFmtId="3" fontId="0" fillId="20" borderId="0" xfId="0" applyNumberFormat="1" applyFill="1" applyBorder="1" applyAlignment="1">
      <alignment horizontal="center"/>
    </xf>
    <xf numFmtId="3" fontId="5" fillId="20" borderId="0" xfId="0" applyNumberFormat="1" applyFont="1" applyFill="1" applyBorder="1" applyAlignment="1">
      <alignment horizontal="right" vertical="center"/>
    </xf>
    <xf numFmtId="0" fontId="8" fillId="20" borderId="10" xfId="1" applyFont="1" applyFill="1" applyBorder="1" applyAlignment="1">
      <alignment horizontal="center" vertical="center"/>
    </xf>
    <xf numFmtId="0" fontId="8" fillId="0" borderId="42" xfId="1" applyFont="1" applyFill="1" applyBorder="1" applyAlignment="1">
      <alignment horizontal="center" vertical="center"/>
    </xf>
    <xf numFmtId="0" fontId="8" fillId="0" borderId="18" xfId="1" applyFont="1" applyFill="1" applyBorder="1" applyAlignment="1">
      <alignment horizontal="center" vertical="center"/>
    </xf>
    <xf numFmtId="0" fontId="0" fillId="9" borderId="29" xfId="0" applyFill="1" applyBorder="1"/>
    <xf numFmtId="0" fontId="0" fillId="0" borderId="60" xfId="0" applyBorder="1" applyAlignment="1">
      <alignment horizontal="center"/>
    </xf>
    <xf numFmtId="0" fontId="0" fillId="0" borderId="59" xfId="0" applyBorder="1" applyAlignment="1">
      <alignment horizontal="center"/>
    </xf>
    <xf numFmtId="0" fontId="37" fillId="17" borderId="60" xfId="0" applyFont="1" applyFill="1" applyBorder="1" applyAlignment="1">
      <alignment horizontal="center"/>
    </xf>
    <xf numFmtId="0" fontId="37" fillId="17" borderId="59" xfId="0" applyFont="1" applyFill="1" applyBorder="1" applyAlignment="1">
      <alignment horizontal="center"/>
    </xf>
    <xf numFmtId="0" fontId="0" fillId="11" borderId="60" xfId="0" applyFill="1" applyBorder="1" applyAlignment="1">
      <alignment horizontal="center"/>
    </xf>
    <xf numFmtId="0" fontId="0" fillId="11" borderId="0" xfId="0" applyNumberFormat="1" applyFill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0" fillId="8" borderId="60" xfId="0" applyFill="1" applyBorder="1" applyAlignment="1">
      <alignment horizontal="center"/>
    </xf>
    <xf numFmtId="0" fontId="0" fillId="18" borderId="60" xfId="0" applyFill="1" applyBorder="1" applyAlignment="1">
      <alignment horizontal="center"/>
    </xf>
    <xf numFmtId="0" fontId="0" fillId="18" borderId="59" xfId="0" applyFill="1" applyBorder="1" applyAlignment="1">
      <alignment horizontal="center"/>
    </xf>
    <xf numFmtId="0" fontId="0" fillId="4" borderId="60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18" borderId="0" xfId="0" applyNumberFormat="1" applyFill="1" applyBorder="1" applyAlignment="1">
      <alignment horizontal="center"/>
    </xf>
    <xf numFmtId="0" fontId="0" fillId="20" borderId="60" xfId="0" applyFill="1" applyBorder="1" applyAlignment="1">
      <alignment horizontal="center"/>
    </xf>
    <xf numFmtId="0" fontId="0" fillId="0" borderId="60" xfId="0" applyFill="1" applyBorder="1" applyAlignment="1">
      <alignment horizontal="center"/>
    </xf>
    <xf numFmtId="0" fontId="0" fillId="8" borderId="59" xfId="0" applyFill="1" applyBorder="1" applyAlignment="1">
      <alignment horizontal="center"/>
    </xf>
    <xf numFmtId="0" fontId="0" fillId="0" borderId="59" xfId="0" applyFill="1" applyBorder="1" applyAlignment="1">
      <alignment horizontal="center"/>
    </xf>
    <xf numFmtId="0" fontId="37" fillId="17" borderId="0" xfId="0" applyNumberFormat="1" applyFont="1" applyFill="1" applyBorder="1" applyAlignment="1">
      <alignment horizontal="center"/>
    </xf>
    <xf numFmtId="0" fontId="23" fillId="17" borderId="42" xfId="1" applyFont="1" applyFill="1" applyBorder="1" applyAlignment="1">
      <alignment horizontal="center" vertical="center"/>
    </xf>
    <xf numFmtId="0" fontId="37" fillId="17" borderId="61" xfId="0" applyFont="1" applyFill="1" applyBorder="1" applyAlignment="1">
      <alignment horizontal="center"/>
    </xf>
    <xf numFmtId="0" fontId="0" fillId="20" borderId="59" xfId="0" applyFill="1" applyBorder="1" applyAlignment="1">
      <alignment horizontal="center"/>
    </xf>
    <xf numFmtId="0" fontId="0" fillId="8" borderId="10" xfId="0" applyFill="1" applyBorder="1" applyAlignment="1">
      <alignment horizontal="center"/>
    </xf>
    <xf numFmtId="0" fontId="0" fillId="11" borderId="59" xfId="0" applyFill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0" fontId="25" fillId="0" borderId="0" xfId="0" applyFont="1" applyBorder="1" applyAlignment="1">
      <alignment vertical="center" wrapText="1"/>
    </xf>
    <xf numFmtId="0" fontId="0" fillId="0" borderId="64" xfId="0" applyBorder="1" applyAlignment="1">
      <alignment horizontal="center"/>
    </xf>
    <xf numFmtId="0" fontId="8" fillId="21" borderId="11" xfId="1" applyFont="1" applyFill="1" applyBorder="1" applyAlignment="1">
      <alignment horizontal="center" vertical="center"/>
    </xf>
    <xf numFmtId="0" fontId="23" fillId="17" borderId="0" xfId="1" applyFont="1" applyFill="1" applyBorder="1" applyAlignment="1">
      <alignment horizontal="center" vertical="center"/>
    </xf>
    <xf numFmtId="3" fontId="0" fillId="4" borderId="0" xfId="0" applyNumberFormat="1" applyFill="1" applyBorder="1" applyAlignment="1">
      <alignment horizontal="center"/>
    </xf>
    <xf numFmtId="0" fontId="8" fillId="11" borderId="0" xfId="1" applyFont="1" applyFill="1" applyBorder="1" applyAlignment="1">
      <alignment horizontal="center" vertical="center"/>
    </xf>
    <xf numFmtId="0" fontId="8" fillId="18" borderId="0" xfId="1" applyFont="1" applyFill="1" applyBorder="1" applyAlignment="1">
      <alignment horizontal="center" vertical="center"/>
    </xf>
    <xf numFmtId="0" fontId="8" fillId="8" borderId="10" xfId="1" applyFont="1" applyFill="1" applyBorder="1" applyAlignment="1">
      <alignment horizontal="center" vertical="center"/>
    </xf>
    <xf numFmtId="0" fontId="8" fillId="8" borderId="0" xfId="1" applyFont="1" applyFill="1" applyBorder="1" applyAlignment="1">
      <alignment horizontal="center" vertical="center"/>
    </xf>
    <xf numFmtId="0" fontId="0" fillId="0" borderId="0" xfId="0" applyNumberFormat="1" applyFill="1" applyAlignment="1">
      <alignment horizontal="center"/>
    </xf>
    <xf numFmtId="0" fontId="41" fillId="0" borderId="0" xfId="0" applyFont="1"/>
    <xf numFmtId="0" fontId="8" fillId="0" borderId="1" xfId="1" applyFont="1" applyFill="1" applyBorder="1" applyAlignment="1">
      <alignment horizontal="center" vertical="center"/>
    </xf>
    <xf numFmtId="0" fontId="25" fillId="0" borderId="0" xfId="0" applyFont="1" applyBorder="1" applyAlignment="1">
      <alignment horizontal="center" vertical="center" wrapText="1"/>
    </xf>
    <xf numFmtId="0" fontId="8" fillId="8" borderId="20" xfId="1" applyFont="1" applyFill="1" applyBorder="1" applyAlignment="1">
      <alignment horizontal="center" vertical="center"/>
    </xf>
    <xf numFmtId="3" fontId="19" fillId="0" borderId="4" xfId="0" applyNumberFormat="1" applyFont="1" applyFill="1" applyBorder="1" applyAlignment="1">
      <alignment horizontal="center" vertical="center"/>
    </xf>
    <xf numFmtId="3" fontId="19" fillId="0" borderId="27" xfId="0" applyNumberFormat="1" applyFont="1" applyFill="1" applyBorder="1" applyAlignment="1">
      <alignment horizontal="center" vertical="center"/>
    </xf>
    <xf numFmtId="165" fontId="3" fillId="0" borderId="4" xfId="5" applyNumberFormat="1" applyFont="1" applyFill="1" applyBorder="1" applyAlignment="1">
      <alignment horizontal="center" vertical="center"/>
    </xf>
    <xf numFmtId="164" fontId="23" fillId="4" borderId="11" xfId="2" applyNumberFormat="1" applyFont="1" applyFill="1" applyBorder="1" applyAlignment="1" applyProtection="1">
      <alignment horizontal="center" vertical="center" shrinkToFit="1"/>
      <protection locked="0"/>
    </xf>
    <xf numFmtId="0" fontId="0" fillId="4" borderId="0" xfId="0" applyNumberFormat="1" applyFill="1" applyBorder="1" applyAlignment="1">
      <alignment horizontal="center"/>
    </xf>
    <xf numFmtId="0" fontId="5" fillId="4" borderId="10" xfId="0" applyFont="1" applyFill="1" applyBorder="1" applyAlignment="1">
      <alignment horizontal="center" shrinkToFit="1"/>
    </xf>
    <xf numFmtId="0" fontId="8" fillId="4" borderId="11" xfId="1" applyFont="1" applyFill="1" applyBorder="1" applyAlignment="1">
      <alignment horizontal="center" vertical="center"/>
    </xf>
    <xf numFmtId="0" fontId="5" fillId="4" borderId="12" xfId="0" applyFont="1" applyFill="1" applyBorder="1" applyAlignment="1">
      <alignment horizontal="center"/>
    </xf>
    <xf numFmtId="165" fontId="0" fillId="4" borderId="0" xfId="5" applyNumberFormat="1" applyFont="1" applyFill="1" applyBorder="1" applyAlignment="1">
      <alignment vertical="center"/>
    </xf>
    <xf numFmtId="3" fontId="0" fillId="17" borderId="0" xfId="0" applyNumberFormat="1" applyFill="1" applyBorder="1" applyAlignment="1">
      <alignment horizontal="center"/>
    </xf>
    <xf numFmtId="3" fontId="0" fillId="0" borderId="0" xfId="0" applyNumberFormat="1" applyFont="1" applyBorder="1" applyAlignment="1">
      <alignment horizontal="center"/>
    </xf>
    <xf numFmtId="0" fontId="5" fillId="4" borderId="11" xfId="0" applyFont="1" applyFill="1" applyBorder="1" applyAlignment="1">
      <alignment horizontal="center"/>
    </xf>
    <xf numFmtId="164" fontId="6" fillId="0" borderId="12" xfId="2" applyNumberFormat="1" applyFont="1" applyFill="1" applyBorder="1" applyAlignment="1" applyProtection="1">
      <alignment horizontal="center" vertical="center" shrinkToFit="1"/>
      <protection locked="0"/>
    </xf>
    <xf numFmtId="0" fontId="5" fillId="4" borderId="0" xfId="0" applyFont="1" applyFill="1" applyBorder="1" applyAlignment="1">
      <alignment horizontal="center" shrinkToFit="1"/>
    </xf>
    <xf numFmtId="0" fontId="5" fillId="4" borderId="0" xfId="0" applyFont="1" applyFill="1" applyBorder="1" applyAlignment="1">
      <alignment horizontal="center"/>
    </xf>
    <xf numFmtId="164" fontId="23" fillId="17" borderId="15" xfId="2" applyNumberFormat="1" applyFont="1" applyFill="1" applyBorder="1" applyAlignment="1" applyProtection="1">
      <alignment horizontal="center" vertical="center" shrinkToFit="1"/>
      <protection locked="0"/>
    </xf>
    <xf numFmtId="164" fontId="23" fillId="17" borderId="16" xfId="2" applyNumberFormat="1" applyFont="1" applyFill="1" applyBorder="1" applyAlignment="1" applyProtection="1">
      <alignment horizontal="center" vertical="center" shrinkToFit="1"/>
      <protection locked="0"/>
    </xf>
    <xf numFmtId="0" fontId="8" fillId="20" borderId="16" xfId="1" applyFont="1" applyFill="1" applyBorder="1" applyAlignment="1">
      <alignment horizontal="center" vertical="center"/>
    </xf>
    <xf numFmtId="0" fontId="23" fillId="17" borderId="1" xfId="1" applyFont="1" applyFill="1" applyBorder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0" fontId="24" fillId="13" borderId="55" xfId="0" applyFont="1" applyFill="1" applyBorder="1" applyAlignment="1">
      <alignment horizontal="center"/>
    </xf>
    <xf numFmtId="164" fontId="6" fillId="4" borderId="11" xfId="2" applyNumberFormat="1" applyFont="1" applyFill="1" applyBorder="1" applyAlignment="1">
      <alignment horizontal="center" vertical="center" shrinkToFit="1"/>
    </xf>
    <xf numFmtId="0" fontId="42" fillId="0" borderId="0" xfId="1" applyFont="1" applyFill="1" applyBorder="1" applyAlignment="1">
      <alignment horizontal="center" vertical="center"/>
    </xf>
    <xf numFmtId="0" fontId="0" fillId="0" borderId="13" xfId="0" applyFill="1" applyBorder="1" applyAlignment="1">
      <alignment horizontal="center" vertical="center"/>
    </xf>
    <xf numFmtId="3" fontId="8" fillId="0" borderId="16" xfId="1" applyNumberFormat="1" applyFont="1" applyFill="1" applyBorder="1" applyAlignment="1">
      <alignment horizontal="center" vertical="center"/>
    </xf>
    <xf numFmtId="165" fontId="0" fillId="4" borderId="0" xfId="5" applyNumberFormat="1" applyFont="1" applyFill="1" applyBorder="1" applyAlignment="1">
      <alignment horizontal="center"/>
    </xf>
    <xf numFmtId="0" fontId="0" fillId="0" borderId="13" xfId="0" applyFill="1" applyBorder="1"/>
    <xf numFmtId="3" fontId="0" fillId="18" borderId="0" xfId="0" applyNumberFormat="1" applyFill="1" applyBorder="1" applyAlignment="1">
      <alignment horizontal="center" vertical="center"/>
    </xf>
    <xf numFmtId="0" fontId="0" fillId="18" borderId="0" xfId="0" applyNumberFormat="1" applyFill="1" applyAlignment="1">
      <alignment horizontal="center"/>
    </xf>
    <xf numFmtId="3" fontId="0" fillId="11" borderId="0" xfId="0" applyNumberFormat="1" applyFont="1" applyFill="1" applyBorder="1" applyAlignment="1">
      <alignment horizontal="center"/>
    </xf>
    <xf numFmtId="3" fontId="36" fillId="0" borderId="0" xfId="0" applyNumberFormat="1" applyFont="1" applyFill="1" applyBorder="1" applyAlignment="1">
      <alignment horizontal="center"/>
    </xf>
    <xf numFmtId="0" fontId="36" fillId="0" borderId="0" xfId="0" applyNumberFormat="1" applyFont="1" applyFill="1" applyAlignment="1">
      <alignment horizontal="center"/>
    </xf>
    <xf numFmtId="0" fontId="36" fillId="0" borderId="60" xfId="0" applyFont="1" applyFill="1" applyBorder="1" applyAlignment="1">
      <alignment horizontal="center"/>
    </xf>
    <xf numFmtId="0" fontId="36" fillId="0" borderId="0" xfId="0" applyNumberFormat="1" applyFont="1" applyFill="1" applyBorder="1" applyAlignment="1">
      <alignment horizontal="center"/>
    </xf>
    <xf numFmtId="0" fontId="6" fillId="0" borderId="10" xfId="1" applyFont="1" applyFill="1" applyBorder="1" applyAlignment="1">
      <alignment horizontal="center" vertical="center"/>
    </xf>
    <xf numFmtId="0" fontId="36" fillId="0" borderId="59" xfId="0" applyFont="1" applyFill="1" applyBorder="1" applyAlignment="1">
      <alignment horizontal="center"/>
    </xf>
    <xf numFmtId="0" fontId="6" fillId="0" borderId="0" xfId="1" applyFont="1" applyFill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164" fontId="6" fillId="0" borderId="4" xfId="2" applyNumberFormat="1" applyFont="1" applyFill="1" applyBorder="1" applyAlignment="1" applyProtection="1">
      <alignment horizontal="center" vertical="center" shrinkToFit="1"/>
      <protection locked="0"/>
    </xf>
    <xf numFmtId="0" fontId="8" fillId="0" borderId="12" xfId="1" applyFont="1" applyFill="1" applyBorder="1" applyAlignment="1">
      <alignment horizontal="center" vertical="center"/>
    </xf>
    <xf numFmtId="0" fontId="8" fillId="0" borderId="3" xfId="1" applyFont="1" applyFill="1" applyBorder="1" applyAlignment="1">
      <alignment horizontal="center" vertical="center"/>
    </xf>
    <xf numFmtId="0" fontId="8" fillId="0" borderId="5" xfId="1" applyFont="1" applyFill="1" applyBorder="1" applyAlignment="1">
      <alignment horizontal="center" vertical="center"/>
    </xf>
    <xf numFmtId="0" fontId="24" fillId="13" borderId="0" xfId="0" applyFont="1" applyFill="1" applyBorder="1" applyAlignment="1">
      <alignment horizontal="center" vertical="center"/>
    </xf>
    <xf numFmtId="0" fontId="24" fillId="13" borderId="19" xfId="0" applyFont="1" applyFill="1" applyBorder="1" applyAlignment="1">
      <alignment horizontal="center" vertical="center"/>
    </xf>
    <xf numFmtId="0" fontId="0" fillId="8" borderId="0" xfId="0" applyFont="1" applyFill="1" applyAlignment="1">
      <alignment horizontal="center"/>
    </xf>
    <xf numFmtId="3" fontId="0" fillId="0" borderId="11" xfId="0" applyNumberFormat="1" applyBorder="1" applyAlignment="1">
      <alignment horizontal="center"/>
    </xf>
    <xf numFmtId="3" fontId="0" fillId="0" borderId="11" xfId="0" applyNumberFormat="1" applyFont="1" applyBorder="1" applyAlignment="1">
      <alignment horizontal="center"/>
    </xf>
    <xf numFmtId="0" fontId="0" fillId="0" borderId="11" xfId="0" applyFill="1" applyBorder="1" applyAlignment="1">
      <alignment horizontal="center"/>
    </xf>
    <xf numFmtId="3" fontId="0" fillId="0" borderId="0" xfId="0" applyNumberFormat="1" applyAlignment="1">
      <alignment horizontal="center"/>
    </xf>
    <xf numFmtId="3" fontId="36" fillId="0" borderId="0" xfId="0" applyNumberFormat="1" applyFont="1" applyFill="1" applyAlignment="1">
      <alignment horizontal="center"/>
    </xf>
    <xf numFmtId="165" fontId="37" fillId="17" borderId="11" xfId="5" applyNumberFormat="1" applyFont="1" applyFill="1" applyBorder="1" applyAlignment="1">
      <alignment horizontal="center"/>
    </xf>
    <xf numFmtId="0" fontId="0" fillId="0" borderId="55" xfId="0" applyFont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8" fillId="8" borderId="44" xfId="1" applyFont="1" applyFill="1" applyBorder="1" applyAlignment="1">
      <alignment horizontal="center" vertical="center"/>
    </xf>
    <xf numFmtId="164" fontId="6" fillId="8" borderId="13" xfId="2" applyNumberFormat="1" applyFont="1" applyFill="1" applyBorder="1" applyAlignment="1" applyProtection="1">
      <alignment horizontal="center" vertical="center" shrinkToFit="1"/>
      <protection locked="0"/>
    </xf>
    <xf numFmtId="0" fontId="8" fillId="8" borderId="13" xfId="1" applyFont="1" applyFill="1" applyBorder="1" applyAlignment="1">
      <alignment horizontal="center" vertical="center"/>
    </xf>
    <xf numFmtId="0" fontId="8" fillId="8" borderId="22" xfId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165" fontId="0" fillId="11" borderId="0" xfId="5" applyNumberFormat="1" applyFont="1" applyFill="1" applyAlignment="1">
      <alignment horizontal="center"/>
    </xf>
    <xf numFmtId="0" fontId="0" fillId="4" borderId="0" xfId="0" applyFill="1" applyAlignment="1">
      <alignment horizontal="center"/>
    </xf>
    <xf numFmtId="3" fontId="5" fillId="0" borderId="10" xfId="0" applyNumberFormat="1" applyFont="1" applyFill="1" applyBorder="1" applyAlignment="1">
      <alignment horizontal="right" vertical="center"/>
    </xf>
    <xf numFmtId="3" fontId="5" fillId="6" borderId="10" xfId="0" applyNumberFormat="1" applyFont="1" applyFill="1" applyBorder="1" applyAlignment="1">
      <alignment horizontal="right" vertical="center"/>
    </xf>
    <xf numFmtId="3" fontId="5" fillId="22" borderId="10" xfId="0" applyNumberFormat="1" applyFont="1" applyFill="1" applyBorder="1" applyAlignment="1">
      <alignment horizontal="right" vertical="center"/>
    </xf>
    <xf numFmtId="0" fontId="0" fillId="17" borderId="0" xfId="0" applyFill="1" applyBorder="1" applyAlignment="1">
      <alignment horizontal="center"/>
    </xf>
    <xf numFmtId="3" fontId="0" fillId="17" borderId="0" xfId="0" applyNumberFormat="1" applyFont="1" applyFill="1" applyBorder="1" applyAlignment="1">
      <alignment horizontal="center"/>
    </xf>
    <xf numFmtId="3" fontId="0" fillId="17" borderId="0" xfId="0" applyNumberFormat="1" applyFill="1" applyAlignment="1">
      <alignment horizontal="center"/>
    </xf>
    <xf numFmtId="0" fontId="0" fillId="17" borderId="0" xfId="0" applyFill="1" applyAlignment="1">
      <alignment horizontal="center"/>
    </xf>
    <xf numFmtId="0" fontId="23" fillId="17" borderId="3" xfId="1" applyFont="1" applyFill="1" applyBorder="1" applyAlignment="1">
      <alignment horizontal="center" vertical="center"/>
    </xf>
    <xf numFmtId="164" fontId="23" fillId="17" borderId="4" xfId="2" applyNumberFormat="1" applyFont="1" applyFill="1" applyBorder="1" applyAlignment="1" applyProtection="1">
      <alignment horizontal="center" vertical="center" shrinkToFit="1"/>
      <protection locked="0"/>
    </xf>
    <xf numFmtId="0" fontId="23" fillId="17" borderId="4" xfId="1" applyFont="1" applyFill="1" applyBorder="1" applyAlignment="1">
      <alignment horizontal="center" vertical="center"/>
    </xf>
    <xf numFmtId="0" fontId="23" fillId="17" borderId="5" xfId="1" applyFont="1" applyFill="1" applyBorder="1" applyAlignment="1">
      <alignment horizontal="center" vertical="center"/>
    </xf>
    <xf numFmtId="0" fontId="23" fillId="17" borderId="52" xfId="1" applyFont="1" applyFill="1" applyBorder="1" applyAlignment="1">
      <alignment horizontal="center" vertical="center"/>
    </xf>
    <xf numFmtId="0" fontId="43" fillId="0" borderId="0" xfId="1" applyFont="1" applyFill="1" applyBorder="1" applyAlignment="1">
      <alignment horizontal="center" vertical="center"/>
    </xf>
    <xf numFmtId="0" fontId="24" fillId="17" borderId="0" xfId="0" applyFont="1" applyFill="1" applyBorder="1" applyAlignment="1">
      <alignment horizontal="center"/>
    </xf>
    <xf numFmtId="3" fontId="37" fillId="17" borderId="0" xfId="0" applyNumberFormat="1" applyFont="1" applyFill="1" applyAlignment="1">
      <alignment horizontal="center"/>
    </xf>
    <xf numFmtId="164" fontId="6" fillId="0" borderId="66" xfId="2" applyNumberFormat="1" applyFont="1" applyFill="1" applyBorder="1" applyAlignment="1" applyProtection="1">
      <alignment horizontal="center" vertical="center" shrinkToFit="1"/>
      <protection locked="0"/>
    </xf>
    <xf numFmtId="0" fontId="0" fillId="6" borderId="11" xfId="0" applyFont="1" applyFill="1" applyBorder="1" applyAlignment="1">
      <alignment horizontal="center"/>
    </xf>
    <xf numFmtId="164" fontId="23" fillId="17" borderId="13" xfId="2" applyNumberFormat="1" applyFont="1" applyFill="1" applyBorder="1" applyAlignment="1" applyProtection="1">
      <alignment horizontal="center" vertical="center" shrinkToFit="1"/>
      <protection locked="0"/>
    </xf>
    <xf numFmtId="14" fontId="0" fillId="0" borderId="0" xfId="0" applyNumberFormat="1" applyBorder="1" applyAlignment="1">
      <alignment horizontal="center"/>
    </xf>
    <xf numFmtId="0" fontId="10" fillId="0" borderId="16" xfId="2" applyNumberFormat="1" applyFont="1" applyFill="1" applyBorder="1" applyAlignment="1" applyProtection="1">
      <alignment horizontal="center" vertical="center" shrinkToFit="1"/>
      <protection locked="0"/>
    </xf>
    <xf numFmtId="165" fontId="3" fillId="27" borderId="23" xfId="5" applyNumberFormat="1" applyFont="1" applyFill="1" applyBorder="1"/>
    <xf numFmtId="3" fontId="0" fillId="27" borderId="19" xfId="0" applyNumberFormat="1" applyFill="1" applyBorder="1" applyAlignment="1">
      <alignment horizontal="center"/>
    </xf>
    <xf numFmtId="3" fontId="0" fillId="27" borderId="28" xfId="0" applyNumberFormat="1" applyFill="1" applyBorder="1"/>
    <xf numFmtId="165" fontId="3" fillId="25" borderId="7" xfId="5" applyNumberFormat="1" applyFont="1" applyFill="1" applyBorder="1"/>
    <xf numFmtId="0" fontId="0" fillId="24" borderId="7" xfId="0" applyFill="1" applyBorder="1"/>
    <xf numFmtId="0" fontId="0" fillId="26" borderId="7" xfId="0" applyFill="1" applyBorder="1"/>
    <xf numFmtId="3" fontId="0" fillId="0" borderId="0" xfId="0" applyNumberFormat="1" applyFill="1" applyAlignment="1">
      <alignment horizontal="center"/>
    </xf>
    <xf numFmtId="3" fontId="0" fillId="0" borderId="0" xfId="5" applyNumberFormat="1" applyFont="1" applyFill="1" applyBorder="1" applyAlignment="1">
      <alignment horizontal="center"/>
    </xf>
    <xf numFmtId="0" fontId="0" fillId="9" borderId="0" xfId="0" applyFill="1" applyAlignment="1">
      <alignment horizontal="center"/>
    </xf>
    <xf numFmtId="14" fontId="0" fillId="0" borderId="0" xfId="0" applyNumberFormat="1" applyFill="1" applyAlignment="1">
      <alignment horizontal="center"/>
    </xf>
    <xf numFmtId="3" fontId="0" fillId="11" borderId="11" xfId="0" applyNumberFormat="1" applyFont="1" applyFill="1" applyBorder="1" applyAlignment="1">
      <alignment horizontal="center"/>
    </xf>
    <xf numFmtId="3" fontId="24" fillId="13" borderId="19" xfId="0" applyNumberFormat="1" applyFont="1" applyFill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3" fontId="24" fillId="13" borderId="0" xfId="0" applyNumberFormat="1" applyFont="1" applyFill="1" applyBorder="1" applyAlignment="1">
      <alignment horizontal="center" vertical="center"/>
    </xf>
    <xf numFmtId="3" fontId="0" fillId="0" borderId="0" xfId="0" applyNumberFormat="1" applyFill="1" applyBorder="1" applyAlignment="1">
      <alignment horizontal="center" vertical="center"/>
    </xf>
    <xf numFmtId="3" fontId="0" fillId="8" borderId="0" xfId="0" applyNumberFormat="1" applyFont="1" applyFill="1" applyBorder="1" applyAlignment="1">
      <alignment horizontal="center"/>
    </xf>
    <xf numFmtId="0" fontId="44" fillId="17" borderId="11" xfId="1" applyFont="1" applyFill="1" applyBorder="1" applyAlignment="1">
      <alignment horizontal="center" vertical="center"/>
    </xf>
    <xf numFmtId="0" fontId="44" fillId="17" borderId="16" xfId="1" applyFont="1" applyFill="1" applyBorder="1" applyAlignment="1">
      <alignment horizontal="center" vertical="center"/>
    </xf>
    <xf numFmtId="0" fontId="45" fillId="17" borderId="0" xfId="0" applyFont="1" applyFill="1" applyAlignment="1">
      <alignment horizontal="center"/>
    </xf>
    <xf numFmtId="3" fontId="45" fillId="17" borderId="0" xfId="0" applyNumberFormat="1" applyFont="1" applyFill="1" applyBorder="1" applyAlignment="1">
      <alignment horizontal="center"/>
    </xf>
    <xf numFmtId="0" fontId="45" fillId="17" borderId="0" xfId="0" applyFont="1" applyFill="1" applyBorder="1" applyAlignment="1">
      <alignment horizontal="center"/>
    </xf>
    <xf numFmtId="0" fontId="45" fillId="17" borderId="60" xfId="0" applyFont="1" applyFill="1" applyBorder="1" applyAlignment="1">
      <alignment horizontal="center"/>
    </xf>
    <xf numFmtId="0" fontId="44" fillId="17" borderId="10" xfId="1" applyFont="1" applyFill="1" applyBorder="1" applyAlignment="1">
      <alignment horizontal="center" vertical="center"/>
    </xf>
    <xf numFmtId="0" fontId="44" fillId="17" borderId="0" xfId="1" applyFont="1" applyFill="1" applyBorder="1" applyAlignment="1">
      <alignment horizontal="center" vertical="center"/>
    </xf>
    <xf numFmtId="0" fontId="45" fillId="17" borderId="59" xfId="0" applyFont="1" applyFill="1" applyBorder="1" applyAlignment="1">
      <alignment horizontal="center"/>
    </xf>
    <xf numFmtId="165" fontId="0" fillId="0" borderId="0" xfId="5" applyNumberFormat="1" applyFont="1" applyAlignment="1">
      <alignment horizontal="center" vertical="center"/>
    </xf>
    <xf numFmtId="0" fontId="0" fillId="11" borderId="55" xfId="0" applyFont="1" applyFill="1" applyBorder="1" applyAlignment="1">
      <alignment horizontal="center"/>
    </xf>
    <xf numFmtId="164" fontId="6" fillId="11" borderId="11" xfId="2" applyNumberFormat="1" applyFont="1" applyFill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3" fontId="0" fillId="0" borderId="0" xfId="0" applyNumberFormat="1" applyFont="1" applyFill="1" applyBorder="1" applyAlignment="1">
      <alignment horizontal="center"/>
    </xf>
    <xf numFmtId="3" fontId="0" fillId="0" borderId="0" xfId="0" applyNumberFormat="1" applyFont="1" applyFill="1" applyBorder="1" applyAlignment="1">
      <alignment horizontal="center" vertical="center"/>
    </xf>
    <xf numFmtId="3" fontId="0" fillId="0" borderId="12" xfId="0" applyNumberFormat="1" applyBorder="1" applyAlignment="1">
      <alignment horizontal="center"/>
    </xf>
    <xf numFmtId="0" fontId="0" fillId="28" borderId="0" xfId="0" applyFill="1" applyBorder="1" applyAlignment="1">
      <alignment horizontal="center"/>
    </xf>
    <xf numFmtId="0" fontId="0" fillId="0" borderId="0" xfId="0" applyAlignment="1">
      <alignment horizontal="left" vertical="center"/>
    </xf>
    <xf numFmtId="3" fontId="0" fillId="0" borderId="4" xfId="0" applyNumberFormat="1" applyBorder="1" applyAlignment="1">
      <alignment horizontal="right"/>
    </xf>
    <xf numFmtId="0" fontId="0" fillId="0" borderId="4" xfId="0" applyBorder="1" applyAlignment="1">
      <alignment horizontal="right"/>
    </xf>
    <xf numFmtId="3" fontId="0" fillId="0" borderId="5" xfId="0" applyNumberFormat="1" applyBorder="1" applyAlignment="1">
      <alignment horizontal="right"/>
    </xf>
    <xf numFmtId="3" fontId="0" fillId="0" borderId="11" xfId="0" applyNumberFormat="1" applyBorder="1" applyAlignment="1">
      <alignment horizontal="right"/>
    </xf>
    <xf numFmtId="0" fontId="0" fillId="0" borderId="11" xfId="0" applyBorder="1" applyAlignment="1">
      <alignment horizontal="right"/>
    </xf>
    <xf numFmtId="3" fontId="0" fillId="0" borderId="16" xfId="0" applyNumberFormat="1" applyBorder="1" applyAlignment="1">
      <alignment horizontal="right"/>
    </xf>
    <xf numFmtId="0" fontId="0" fillId="0" borderId="13" xfId="0" applyBorder="1" applyAlignment="1">
      <alignment horizontal="right"/>
    </xf>
    <xf numFmtId="3" fontId="0" fillId="0" borderId="12" xfId="0" applyNumberFormat="1" applyBorder="1" applyAlignment="1">
      <alignment horizontal="right"/>
    </xf>
    <xf numFmtId="0" fontId="0" fillId="0" borderId="43" xfId="0" applyBorder="1" applyAlignment="1">
      <alignment horizontal="right"/>
    </xf>
    <xf numFmtId="3" fontId="0" fillId="0" borderId="10" xfId="0" applyNumberFormat="1" applyBorder="1" applyAlignment="1">
      <alignment horizontal="right"/>
    </xf>
    <xf numFmtId="0" fontId="0" fillId="0" borderId="66" xfId="0" applyBorder="1" applyAlignment="1">
      <alignment horizontal="right"/>
    </xf>
    <xf numFmtId="3" fontId="0" fillId="0" borderId="11" xfId="0" applyNumberFormat="1" applyBorder="1" applyAlignment="1">
      <alignment horizontal="right" vertical="center"/>
    </xf>
    <xf numFmtId="3" fontId="0" fillId="0" borderId="16" xfId="0" applyNumberFormat="1" applyBorder="1" applyAlignment="1">
      <alignment horizontal="right" vertical="center"/>
    </xf>
    <xf numFmtId="0" fontId="0" fillId="0" borderId="11" xfId="0" applyBorder="1" applyAlignment="1">
      <alignment horizontal="right" vertical="center"/>
    </xf>
    <xf numFmtId="3" fontId="0" fillId="0" borderId="13" xfId="0" applyNumberFormat="1" applyBorder="1" applyAlignment="1">
      <alignment horizontal="right" vertical="center"/>
    </xf>
    <xf numFmtId="0" fontId="0" fillId="0" borderId="13" xfId="0" applyBorder="1" applyAlignment="1">
      <alignment horizontal="right" vertical="center"/>
    </xf>
    <xf numFmtId="3" fontId="0" fillId="0" borderId="22" xfId="0" applyNumberFormat="1" applyBorder="1" applyAlignment="1">
      <alignment horizontal="right" vertical="center"/>
    </xf>
    <xf numFmtId="0" fontId="0" fillId="0" borderId="4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11" xfId="0" applyFill="1" applyBorder="1" applyAlignment="1">
      <alignment horizontal="left"/>
    </xf>
    <xf numFmtId="0" fontId="0" fillId="0" borderId="11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1" fontId="8" fillId="8" borderId="16" xfId="1" applyNumberFormat="1" applyFont="1" applyFill="1" applyBorder="1" applyAlignment="1">
      <alignment horizontal="center" vertical="center"/>
    </xf>
    <xf numFmtId="1" fontId="8" fillId="0" borderId="16" xfId="1" applyNumberFormat="1" applyFont="1" applyFill="1" applyBorder="1" applyAlignment="1">
      <alignment horizontal="center" vertical="center"/>
    </xf>
    <xf numFmtId="164" fontId="6" fillId="4" borderId="15" xfId="2" applyNumberFormat="1" applyFont="1" applyFill="1" applyBorder="1" applyAlignment="1" applyProtection="1">
      <alignment horizontal="center" vertical="center" shrinkToFit="1"/>
      <protection locked="0"/>
    </xf>
    <xf numFmtId="0" fontId="23" fillId="17" borderId="12" xfId="1" applyFont="1" applyFill="1" applyBorder="1" applyAlignment="1">
      <alignment horizontal="center" vertical="center"/>
    </xf>
    <xf numFmtId="0" fontId="0" fillId="0" borderId="15" xfId="0" applyFill="1" applyBorder="1" applyAlignment="1">
      <alignment horizontal="center"/>
    </xf>
    <xf numFmtId="3" fontId="0" fillId="0" borderId="15" xfId="0" applyNumberFormat="1" applyBorder="1" applyAlignment="1">
      <alignment horizontal="center"/>
    </xf>
    <xf numFmtId="3" fontId="0" fillId="0" borderId="15" xfId="0" applyNumberFormat="1" applyFill="1" applyBorder="1" applyAlignment="1">
      <alignment horizontal="center"/>
    </xf>
    <xf numFmtId="3" fontId="0" fillId="0" borderId="15" xfId="0" applyNumberFormat="1" applyFont="1" applyBorder="1" applyAlignment="1">
      <alignment horizontal="center"/>
    </xf>
    <xf numFmtId="3" fontId="5" fillId="0" borderId="15" xfId="0" applyNumberFormat="1" applyFont="1" applyFill="1" applyBorder="1" applyAlignment="1">
      <alignment horizontal="right" vertical="center"/>
    </xf>
    <xf numFmtId="0" fontId="23" fillId="17" borderId="60" xfId="1" applyFont="1" applyFill="1" applyBorder="1" applyAlignment="1">
      <alignment horizontal="center" vertical="center"/>
    </xf>
    <xf numFmtId="0" fontId="0" fillId="4" borderId="15" xfId="0" applyFill="1" applyBorder="1" applyAlignment="1">
      <alignment horizontal="center"/>
    </xf>
    <xf numFmtId="0" fontId="46" fillId="0" borderId="0" xfId="1" applyFont="1" applyFill="1" applyBorder="1" applyAlignment="1">
      <alignment horizontal="center" vertical="center"/>
    </xf>
    <xf numFmtId="0" fontId="23" fillId="17" borderId="59" xfId="1" applyFont="1" applyFill="1" applyBorder="1" applyAlignment="1">
      <alignment horizontal="center" vertical="center"/>
    </xf>
    <xf numFmtId="0" fontId="46" fillId="0" borderId="42" xfId="1" applyFont="1" applyFill="1" applyBorder="1" applyAlignment="1">
      <alignment horizontal="center" vertical="center"/>
    </xf>
    <xf numFmtId="3" fontId="5" fillId="0" borderId="10" xfId="0" applyNumberFormat="1" applyFont="1" applyFill="1" applyBorder="1" applyAlignment="1">
      <alignment horizontal="center"/>
    </xf>
    <xf numFmtId="0" fontId="0" fillId="0" borderId="62" xfId="0" applyBorder="1" applyAlignment="1">
      <alignment horizontal="center"/>
    </xf>
    <xf numFmtId="0" fontId="0" fillId="0" borderId="63" xfId="0" applyBorder="1" applyAlignment="1">
      <alignment horizontal="center"/>
    </xf>
    <xf numFmtId="3" fontId="0" fillId="0" borderId="63" xfId="0" applyNumberFormat="1" applyBorder="1" applyAlignment="1">
      <alignment horizontal="center"/>
    </xf>
    <xf numFmtId="0" fontId="8" fillId="0" borderId="65" xfId="1" applyFont="1" applyFill="1" applyBorder="1" applyAlignment="1">
      <alignment horizontal="center" vertical="center"/>
    </xf>
    <xf numFmtId="0" fontId="8" fillId="18" borderId="1" xfId="1" applyFont="1" applyFill="1" applyBorder="1" applyAlignment="1">
      <alignment horizontal="center" vertical="center"/>
    </xf>
    <xf numFmtId="0" fontId="8" fillId="0" borderId="9" xfId="1" applyFont="1" applyFill="1" applyBorder="1" applyAlignment="1">
      <alignment horizontal="center" vertical="center"/>
    </xf>
    <xf numFmtId="0" fontId="8" fillId="0" borderId="53" xfId="1" applyFont="1" applyFill="1" applyBorder="1" applyAlignment="1">
      <alignment horizontal="center" vertical="center"/>
    </xf>
    <xf numFmtId="0" fontId="0" fillId="0" borderId="53" xfId="0" applyBorder="1" applyAlignment="1">
      <alignment horizontal="center"/>
    </xf>
    <xf numFmtId="0" fontId="8" fillId="18" borderId="12" xfId="1" applyFont="1" applyFill="1" applyBorder="1" applyAlignment="1">
      <alignment horizontal="center" vertical="center"/>
    </xf>
    <xf numFmtId="0" fontId="0" fillId="11" borderId="15" xfId="0" applyFill="1" applyBorder="1" applyAlignment="1">
      <alignment horizontal="center"/>
    </xf>
    <xf numFmtId="3" fontId="0" fillId="11" borderId="15" xfId="0" applyNumberFormat="1" applyFill="1" applyBorder="1" applyAlignment="1">
      <alignment horizontal="center"/>
    </xf>
    <xf numFmtId="0" fontId="0" fillId="11" borderId="15" xfId="0" applyFill="1" applyBorder="1" applyAlignment="1">
      <alignment horizontal="center" vertical="center"/>
    </xf>
    <xf numFmtId="3" fontId="5" fillId="22" borderId="15" xfId="0" applyNumberFormat="1" applyFont="1" applyFill="1" applyBorder="1" applyAlignment="1">
      <alignment horizontal="right" vertical="center"/>
    </xf>
    <xf numFmtId="1" fontId="23" fillId="17" borderId="11" xfId="2" applyNumberFormat="1" applyFont="1" applyFill="1" applyBorder="1" applyAlignment="1" applyProtection="1">
      <alignment horizontal="center" vertical="center" shrinkToFit="1"/>
      <protection locked="0"/>
    </xf>
    <xf numFmtId="3" fontId="23" fillId="17" borderId="15" xfId="1" applyNumberFormat="1" applyFont="1" applyFill="1" applyBorder="1" applyAlignment="1">
      <alignment horizontal="center" vertical="center"/>
    </xf>
    <xf numFmtId="3" fontId="23" fillId="17" borderId="0" xfId="1" applyNumberFormat="1" applyFont="1" applyFill="1" applyBorder="1" applyAlignment="1">
      <alignment horizontal="center" vertical="center"/>
    </xf>
    <xf numFmtId="3" fontId="0" fillId="0" borderId="15" xfId="0" applyNumberFormat="1" applyFont="1" applyFill="1" applyBorder="1" applyAlignment="1">
      <alignment horizontal="center"/>
    </xf>
    <xf numFmtId="3" fontId="0" fillId="18" borderId="0" xfId="0" applyNumberFormat="1" applyFill="1" applyAlignment="1">
      <alignment horizontal="center"/>
    </xf>
    <xf numFmtId="3" fontId="0" fillId="11" borderId="0" xfId="0" applyNumberFormat="1" applyFill="1" applyAlignment="1">
      <alignment horizontal="center"/>
    </xf>
    <xf numFmtId="3" fontId="23" fillId="17" borderId="11" xfId="2" applyNumberFormat="1" applyFont="1" applyFill="1" applyBorder="1" applyAlignment="1" applyProtection="1">
      <alignment horizontal="center" vertical="center" shrinkToFit="1"/>
      <protection locked="0"/>
    </xf>
    <xf numFmtId="3" fontId="0" fillId="0" borderId="0" xfId="5" applyNumberFormat="1" applyFont="1" applyBorder="1" applyAlignment="1">
      <alignment horizontal="center"/>
    </xf>
    <xf numFmtId="3" fontId="0" fillId="0" borderId="0" xfId="5" applyNumberFormat="1" applyFont="1" applyAlignment="1">
      <alignment horizontal="center"/>
    </xf>
    <xf numFmtId="3" fontId="36" fillId="0" borderId="0" xfId="5" applyNumberFormat="1" applyFont="1" applyFill="1" applyBorder="1" applyAlignment="1">
      <alignment horizontal="center"/>
    </xf>
    <xf numFmtId="3" fontId="37" fillId="17" borderId="0" xfId="5" applyNumberFormat="1" applyFont="1" applyFill="1" applyBorder="1" applyAlignment="1">
      <alignment horizontal="center"/>
    </xf>
    <xf numFmtId="3" fontId="37" fillId="17" borderId="0" xfId="5" applyNumberFormat="1" applyFont="1" applyFill="1" applyAlignment="1">
      <alignment horizontal="center"/>
    </xf>
    <xf numFmtId="165" fontId="3" fillId="0" borderId="0" xfId="5" applyNumberFormat="1" applyFont="1" applyFill="1" applyBorder="1" applyAlignment="1">
      <alignment horizontal="center"/>
    </xf>
    <xf numFmtId="3" fontId="0" fillId="8" borderId="0" xfId="0" applyNumberFormat="1" applyFill="1" applyAlignment="1">
      <alignment horizontal="center"/>
    </xf>
    <xf numFmtId="0" fontId="37" fillId="17" borderId="10" xfId="0" applyFont="1" applyFill="1" applyBorder="1" applyAlignment="1">
      <alignment horizontal="center"/>
    </xf>
    <xf numFmtId="0" fontId="6" fillId="0" borderId="13" xfId="2" applyFont="1" applyFill="1" applyBorder="1" applyAlignment="1">
      <alignment horizontal="center" vertical="center" shrinkToFit="1"/>
    </xf>
    <xf numFmtId="0" fontId="10" fillId="0" borderId="13" xfId="2" applyFont="1" applyFill="1" applyBorder="1" applyAlignment="1">
      <alignment horizontal="center" vertical="center" shrinkToFit="1"/>
    </xf>
    <xf numFmtId="3" fontId="13" fillId="0" borderId="0" xfId="4" applyNumberFormat="1" applyFont="1" applyAlignment="1">
      <alignment horizontal="center"/>
    </xf>
    <xf numFmtId="4" fontId="3" fillId="9" borderId="8" xfId="0" applyNumberFormat="1" applyFont="1" applyFill="1" applyBorder="1" applyAlignment="1">
      <alignment horizontal="center" vertical="center"/>
    </xf>
    <xf numFmtId="4" fontId="0" fillId="0" borderId="0" xfId="0" applyNumberFormat="1" applyAlignment="1">
      <alignment horizontal="center"/>
    </xf>
    <xf numFmtId="165" fontId="3" fillId="11" borderId="5" xfId="5" applyNumberFormat="1" applyFont="1" applyFill="1" applyBorder="1" applyAlignment="1">
      <alignment horizontal="center" vertical="center"/>
    </xf>
    <xf numFmtId="0" fontId="13" fillId="11" borderId="0" xfId="4" applyFont="1" applyFill="1" applyAlignment="1">
      <alignment horizontal="center"/>
    </xf>
    <xf numFmtId="0" fontId="47" fillId="0" borderId="0" xfId="0" applyFont="1"/>
    <xf numFmtId="0" fontId="3" fillId="9" borderId="29" xfId="0" applyFont="1" applyFill="1" applyBorder="1" applyAlignment="1">
      <alignment horizontal="center"/>
    </xf>
    <xf numFmtId="0" fontId="3" fillId="9" borderId="30" xfId="0" applyFont="1" applyFill="1" applyBorder="1" applyAlignment="1">
      <alignment horizontal="center"/>
    </xf>
    <xf numFmtId="0" fontId="3" fillId="9" borderId="25" xfId="0" applyFont="1" applyFill="1" applyBorder="1" applyAlignment="1">
      <alignment horizontal="center"/>
    </xf>
    <xf numFmtId="0" fontId="3" fillId="9" borderId="29" xfId="0" applyFont="1" applyFill="1" applyBorder="1" applyAlignment="1">
      <alignment horizontal="left" vertical="center"/>
    </xf>
    <xf numFmtId="0" fontId="3" fillId="9" borderId="30" xfId="0" applyFont="1" applyFill="1" applyBorder="1" applyAlignment="1">
      <alignment horizontal="left" vertical="center"/>
    </xf>
    <xf numFmtId="0" fontId="3" fillId="9" borderId="46" xfId="0" applyFont="1" applyFill="1" applyBorder="1" applyAlignment="1">
      <alignment horizontal="left" vertical="center"/>
    </xf>
    <xf numFmtId="0" fontId="3" fillId="9" borderId="25" xfId="0" applyFont="1" applyFill="1" applyBorder="1" applyAlignment="1">
      <alignment horizontal="left" vertical="center"/>
    </xf>
    <xf numFmtId="0" fontId="14" fillId="7" borderId="0" xfId="4" applyFont="1" applyFill="1" applyAlignment="1">
      <alignment horizontal="left"/>
    </xf>
    <xf numFmtId="0" fontId="14" fillId="10" borderId="0" xfId="4" applyFont="1" applyFill="1" applyAlignment="1">
      <alignment horizontal="left"/>
    </xf>
    <xf numFmtId="0" fontId="12" fillId="0" borderId="0" xfId="3" applyFont="1" applyAlignment="1">
      <alignment horizontal="center"/>
    </xf>
    <xf numFmtId="0" fontId="7" fillId="9" borderId="23" xfId="0" applyFont="1" applyFill="1" applyBorder="1" applyAlignment="1">
      <alignment horizontal="center" vertical="center" textRotation="90" wrapText="1"/>
    </xf>
    <xf numFmtId="0" fontId="7" fillId="9" borderId="19" xfId="0" applyFont="1" applyFill="1" applyBorder="1" applyAlignment="1">
      <alignment horizontal="center" vertical="center" textRotation="90" wrapText="1"/>
    </xf>
    <xf numFmtId="0" fontId="7" fillId="9" borderId="28" xfId="0" applyFont="1" applyFill="1" applyBorder="1" applyAlignment="1">
      <alignment horizontal="center" vertical="center" textRotation="90" wrapText="1"/>
    </xf>
    <xf numFmtId="0" fontId="0" fillId="23" borderId="23" xfId="0" applyFill="1" applyBorder="1" applyAlignment="1">
      <alignment horizontal="center" vertical="center"/>
    </xf>
    <xf numFmtId="0" fontId="0" fillId="23" borderId="28" xfId="0" applyFill="1" applyBorder="1" applyAlignment="1">
      <alignment horizontal="center" vertical="center"/>
    </xf>
  </cellXfs>
  <cellStyles count="8">
    <cellStyle name="Hipervínculo" xfId="7" builtinId="8"/>
    <cellStyle name="Millares" xfId="5" builtinId="3"/>
    <cellStyle name="Normal" xfId="0" builtinId="0"/>
    <cellStyle name="Normal 2" xfId="4"/>
    <cellStyle name="Normal 3" xfId="3"/>
    <cellStyle name="Notas" xfId="2" builtinId="10"/>
    <cellStyle name="Porcentaje" xfId="6" builtinId="5"/>
    <cellStyle name="Salida" xfId="1" builtinId="21"/>
  </cellStyles>
  <dxfs count="18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3F3F3F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164" formatCode="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3F3F3F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7"/>
          <bgColor theme="7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7"/>
        </top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9" formatCode="dd/mm/yyyy"/>
      <fill>
        <patternFill patternType="solid">
          <fgColor theme="7"/>
          <bgColor theme="7"/>
        </patternFill>
      </fill>
      <alignment horizontal="center" vertical="bottom" textRotation="0" wrapText="0" indent="0" justifyLastLine="0" shrinkToFit="0" readingOrder="0"/>
    </dxf>
    <dxf>
      <numFmt numFmtId="22" formatCode="mmm\-yy"/>
      <fill>
        <patternFill patternType="solid">
          <fgColor indexed="64"/>
          <bgColor rgb="FFFF0000"/>
        </patternFill>
      </fill>
      <alignment horizontal="center" vertical="bottom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left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* #,##0\ _€_-;\-* #,##0\ _€_-;_-* &quot;-&quot;??\ _€_-;_-@_-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numFmt numFmtId="3" formatCode="#,##0"/>
      <alignment horizontal="right" textRotation="0" wrapText="0" indent="0" justifyLastLine="0" shrinkToFit="0" readingOrder="0"/>
      <border diagonalUp="0" diagonalDown="0" outline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* #,##0\ _€_-;\-* #,##0\ _€_-;_-* &quot;-&quot;??\ _€_-;_-@_-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3" formatCode="#,##0"/>
      <alignment horizontal="right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3F3F3F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</border>
    </dxf>
    <dxf>
      <alignment horizontal="right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* #,##0\ _€_-;\-* #,##0\ _€_-;_-* &quot;-&quot;??\ _€_-;_-@_-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3" formatCode="#,##0"/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bottom" textRotation="0" wrapText="0" indent="0" justifyLastLine="0" shrinkToFit="0" readingOrder="0"/>
    </dxf>
    <dxf>
      <alignment horizontal="lef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bottom" textRotation="0" wrapText="0" indent="0" justifyLastLine="0" shrinkToFit="0" readingOrder="0"/>
    </dxf>
    <dxf>
      <alignment horizontal="lef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3F3F3F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lef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/>
      </border>
    </dxf>
    <dxf>
      <alignment horizont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7"/>
          <bgColor theme="7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3F3F3F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164" formatCode="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3F3F3F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7"/>
          <bgColor theme="7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right style="medium">
          <color indexed="64"/>
        </right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3F3F3F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3F3F3F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sz val="14"/>
        <color rgb="FF3F3F3F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sz val="14"/>
        <color rgb="FF3F3F3F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  <horizontal style="thin">
          <color indexed="64"/>
        </horizontal>
      </border>
    </dxf>
    <dxf>
      <font>
        <b/>
        <sz val="14"/>
        <color rgb="FF3F3F3F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  <vertical style="thin">
          <color auto="1"/>
        </vertical>
        <horizontal style="thin">
          <color indexed="64"/>
        </horizontal>
      </border>
    </dxf>
    <dxf>
      <font>
        <b/>
        <sz val="14"/>
        <color auto="1"/>
      </font>
      <numFmt numFmtId="164" formatCode="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  <border diagonalUp="0" diagonalDown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  <vertical style="thin">
          <color auto="1"/>
        </vertical>
        <horizontal style="thin">
          <color indexed="64"/>
        </horizontal>
      </border>
      <protection locked="0" hidden="0"/>
    </dxf>
    <dxf>
      <font>
        <b/>
        <sz val="14"/>
        <color rgb="FF3F3F3F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  <vertical style="thin">
          <color auto="1"/>
        </vertical>
        <horizontal style="thin">
          <color indexed="64"/>
        </horizontal>
      </border>
    </dxf>
    <dxf>
      <font>
        <b/>
        <sz val="14"/>
        <color rgb="FF3F3F3F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  <vertical style="thin">
          <color auto="1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>
          <bgColor theme="0" tint="-0.14996795556505021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</dxfs>
  <tableStyles count="0" defaultTableStyle="TableStyleMedium2" defaultPivotStyle="PivotStyleLight16"/>
  <colors>
    <mruColors>
      <color rgb="FFFF66CC"/>
      <color rgb="FFFFFFFF"/>
      <color rgb="FFCC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1800" baseline="0"/>
              <a:t>Tipo de Contador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BFD-49FE-A3A4-CFBFA4CF77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BFD-49FE-A3A4-CFBFA4CF77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BFD-49FE-A3A4-CFBFA4CF77ED}"/>
              </c:ext>
            </c:extLst>
          </c:dPt>
          <c:cat>
            <c:strRef>
              <c:f>pruebas!$B$7:$D$7</c:f>
              <c:strCache>
                <c:ptCount val="3"/>
                <c:pt idx="0">
                  <c:v>PM</c:v>
                </c:pt>
                <c:pt idx="1">
                  <c:v>3F</c:v>
                </c:pt>
                <c:pt idx="2">
                  <c:v>MF</c:v>
                </c:pt>
              </c:strCache>
            </c:strRef>
          </c:cat>
          <c:val>
            <c:numRef>
              <c:f>pruebas!$B$8:$D$8</c:f>
              <c:numCache>
                <c:formatCode>General</c:formatCode>
                <c:ptCount val="3"/>
                <c:pt idx="0">
                  <c:v>58</c:v>
                </c:pt>
                <c:pt idx="1">
                  <c:v>375</c:v>
                </c:pt>
                <c:pt idx="2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89-4F6D-B484-BCA369A4D0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Telemedida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52E1-458F-B770-C5D714EE006A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52E1-458F-B770-C5D714EE006A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5-52E1-458F-B770-C5D714EE006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pruebas!$B$10:$C$10</c:f>
              <c:strCache>
                <c:ptCount val="2"/>
                <c:pt idx="0">
                  <c:v>INSTALADA</c:v>
                </c:pt>
                <c:pt idx="1">
                  <c:v>SIN INSTALAR</c:v>
                </c:pt>
              </c:strCache>
            </c:strRef>
          </c:cat>
          <c:val>
            <c:numRef>
              <c:f>pruebas!$B$12:$C$12</c:f>
              <c:numCache>
                <c:formatCode>General</c:formatCode>
                <c:ptCount val="2"/>
                <c:pt idx="0">
                  <c:v>127</c:v>
                </c:pt>
                <c:pt idx="1">
                  <c:v>330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2E1-458F-B770-C5D714EE006A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CON TRAFO INTENSIDAD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004-4E32-926E-B15FA907629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004-4E32-926E-B15FA907629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004-4E32-926E-B15FA907629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pruebas!$B$14:$C$14</c:f>
              <c:strCache>
                <c:ptCount val="2"/>
                <c:pt idx="0">
                  <c:v>SIN TRAFO</c:v>
                </c:pt>
                <c:pt idx="1">
                  <c:v>CON TRAFO</c:v>
                </c:pt>
              </c:strCache>
            </c:strRef>
          </c:cat>
          <c:val>
            <c:numRef>
              <c:f>pruebas!$B$16:$C$16</c:f>
              <c:numCache>
                <c:formatCode>General</c:formatCode>
                <c:ptCount val="2"/>
                <c:pt idx="0">
                  <c:v>422</c:v>
                </c:pt>
                <c:pt idx="1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004-4E32-926E-B15FA907629B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PUERTO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995-4E46-9A3C-D876EB182CB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995-4E46-9A3C-D876EB182CB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EC9-491C-879C-C7CBA61AB899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pruebas!$B$3:$F$3</c15:sqref>
                  </c15:fullRef>
                </c:ext>
              </c:extLst>
              <c:f>(pruebas!$B$3,pruebas!$D$3,pruebas!$F$3)</c:f>
              <c:strCache>
                <c:ptCount val="3"/>
                <c:pt idx="0">
                  <c:v>GANDIA</c:v>
                </c:pt>
                <c:pt idx="1">
                  <c:v>VALENCIA</c:v>
                </c:pt>
                <c:pt idx="2">
                  <c:v>SAGUNTO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pruebas!$B$4:$F$4</c15:sqref>
                  </c15:fullRef>
                </c:ext>
              </c:extLst>
              <c:f>(pruebas!$B$4,pruebas!$D$4,pruebas!$F$4)</c:f>
              <c:numCache>
                <c:formatCode>General</c:formatCode>
                <c:ptCount val="3"/>
                <c:pt idx="0">
                  <c:v>45</c:v>
                </c:pt>
                <c:pt idx="1">
                  <c:v>241</c:v>
                </c:pt>
                <c:pt idx="2">
                  <c:v>74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pruebas!$C$4</c15:sqref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6-F995-4E46-9A3C-D876EB182CBC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571500</xdr:colOff>
          <xdr:row>0</xdr:row>
          <xdr:rowOff>161925</xdr:rowOff>
        </xdr:from>
        <xdr:to>
          <xdr:col>47</xdr:col>
          <xdr:colOff>76200</xdr:colOff>
          <xdr:row>2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</a:t>
              </a:r>
            </a:p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LECTURAS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161925</xdr:rowOff>
        </xdr:from>
        <xdr:to>
          <xdr:col>46</xdr:col>
          <xdr:colOff>752475</xdr:colOff>
          <xdr:row>5</xdr:row>
          <xdr:rowOff>28575</xdr:rowOff>
        </xdr:to>
        <xdr:sp macro="" textlink="">
          <xdr:nvSpPr>
            <xdr:cNvPr id="12378" name="Button 90" hidden="1">
              <a:extLst>
                <a:ext uri="{63B3BB69-23CF-44E3-9099-C40C66FF867C}">
                  <a14:compatExt spid="_x0000_s12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</a:t>
              </a:r>
            </a:p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LECTURAS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190500</xdr:colOff>
          <xdr:row>2</xdr:row>
          <xdr:rowOff>66675</xdr:rowOff>
        </xdr:from>
        <xdr:to>
          <xdr:col>37</xdr:col>
          <xdr:colOff>590550</xdr:colOff>
          <xdr:row>3</xdr:row>
          <xdr:rowOff>200025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s-E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 AUTOCONSUMOS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323850</xdr:colOff>
          <xdr:row>1</xdr:row>
          <xdr:rowOff>114300</xdr:rowOff>
        </xdr:from>
        <xdr:to>
          <xdr:col>9</xdr:col>
          <xdr:colOff>666750</xdr:colOff>
          <xdr:row>6</xdr:row>
          <xdr:rowOff>57150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 PLANTILLA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419100</xdr:colOff>
          <xdr:row>5</xdr:row>
          <xdr:rowOff>133350</xdr:rowOff>
        </xdr:from>
        <xdr:to>
          <xdr:col>14</xdr:col>
          <xdr:colOff>466725</xdr:colOff>
          <xdr:row>9</xdr:row>
          <xdr:rowOff>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 FACTURACION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12</xdr:row>
      <xdr:rowOff>0</xdr:rowOff>
    </xdr:from>
    <xdr:to>
      <xdr:col>3</xdr:col>
      <xdr:colOff>571500</xdr:colOff>
      <xdr:row>12</xdr:row>
      <xdr:rowOff>7620</xdr:rowOff>
    </xdr:to>
    <xdr:pic>
      <xdr:nvPicPr>
        <xdr:cNvPr id="13" name="12 Imagen" descr="https://www.iberdrola.es/02sica/ngc/es/img/sp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75960" y="3535680"/>
          <a:ext cx="5715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</xdr:row>
      <xdr:rowOff>0</xdr:rowOff>
    </xdr:from>
    <xdr:to>
      <xdr:col>4</xdr:col>
      <xdr:colOff>571500</xdr:colOff>
      <xdr:row>12</xdr:row>
      <xdr:rowOff>7620</xdr:rowOff>
    </xdr:to>
    <xdr:pic>
      <xdr:nvPicPr>
        <xdr:cNvPr id="14" name="13 Imagen" descr="https://www.iberdrola.es/02sica/ngc/es/img/sp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68440" y="3535680"/>
          <a:ext cx="5715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12</xdr:row>
      <xdr:rowOff>0</xdr:rowOff>
    </xdr:from>
    <xdr:to>
      <xdr:col>5</xdr:col>
      <xdr:colOff>571500</xdr:colOff>
      <xdr:row>12</xdr:row>
      <xdr:rowOff>7620</xdr:rowOff>
    </xdr:to>
    <xdr:pic>
      <xdr:nvPicPr>
        <xdr:cNvPr id="15" name="14 Imagen" descr="https://www.iberdrola.es/02sica/ngc/es/img/sp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0920" y="3535680"/>
          <a:ext cx="5715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21</xdr:row>
      <xdr:rowOff>76200</xdr:rowOff>
    </xdr:from>
    <xdr:to>
      <xdr:col>5</xdr:col>
      <xdr:colOff>476250</xdr:colOff>
      <xdr:row>41</xdr:row>
      <xdr:rowOff>57150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457200</xdr:colOff>
      <xdr:row>21</xdr:row>
      <xdr:rowOff>133350</xdr:rowOff>
    </xdr:from>
    <xdr:to>
      <xdr:col>11</xdr:col>
      <xdr:colOff>180975</xdr:colOff>
      <xdr:row>40</xdr:row>
      <xdr:rowOff>133350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219075</xdr:colOff>
      <xdr:row>3</xdr:row>
      <xdr:rowOff>57150</xdr:rowOff>
    </xdr:from>
    <xdr:to>
      <xdr:col>10</xdr:col>
      <xdr:colOff>9525</xdr:colOff>
      <xdr:row>20</xdr:row>
      <xdr:rowOff>0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57150</xdr:colOff>
      <xdr:row>2</xdr:row>
      <xdr:rowOff>152400</xdr:rowOff>
    </xdr:from>
    <xdr:to>
      <xdr:col>15</xdr:col>
      <xdr:colOff>133350</xdr:colOff>
      <xdr:row>20</xdr:row>
      <xdr:rowOff>95250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457200</xdr:colOff>
          <xdr:row>1</xdr:row>
          <xdr:rowOff>171450</xdr:rowOff>
        </xdr:from>
        <xdr:to>
          <xdr:col>8</xdr:col>
          <xdr:colOff>1114425</xdr:colOff>
          <xdr:row>7</xdr:row>
          <xdr:rowOff>161925</xdr:rowOff>
        </xdr:to>
        <xdr:sp macro="" textlink="">
          <xdr:nvSpPr>
            <xdr:cNvPr id="31748" name="Button 4" hidden="1">
              <a:extLst>
                <a:ext uri="{63B3BB69-23CF-44E3-9099-C40C66FF867C}">
                  <a14:compatExt spid="_x0000_s31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 PLANTILLA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1</xdr:row>
          <xdr:rowOff>152400</xdr:rowOff>
        </xdr:from>
        <xdr:to>
          <xdr:col>10</xdr:col>
          <xdr:colOff>542925</xdr:colOff>
          <xdr:row>6</xdr:row>
          <xdr:rowOff>95250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 PLANTILLA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8" name="Tabla7" displayName="Tabla7" ref="A2:AR463" totalsRowShown="0" headerRowDxfId="168" dataDxfId="167">
  <autoFilter ref="A2:AR463"/>
  <sortState ref="A3:AR463">
    <sortCondition ref="D2:D463"/>
  </sortState>
  <tableColumns count="44">
    <tableColumn id="1" name="ZONA" dataDxfId="166" dataCellStyle="Salida"/>
    <tableColumn id="2" name="PETICIÓN" dataDxfId="165" dataCellStyle="Salida"/>
    <tableColumn id="3" name="CONTADOR" dataDxfId="164" dataCellStyle="Notas"/>
    <tableColumn id="4" name="CT" dataDxfId="163" dataCellStyle="Salida"/>
    <tableColumn id="5" name="REF" dataDxfId="162" dataCellStyle="Salida"/>
    <tableColumn id="6" name="ABONADO" dataDxfId="161"/>
    <tableColumn id="7" name="UBICACIÓN" dataDxfId="160"/>
    <tableColumn id="8" name="OBSERVACIONES" dataDxfId="159"/>
    <tableColumn id="9" name="OBSERVACIONES FACTURACIÓN" dataDxfId="158"/>
    <tableColumn id="10" name="31/12/2017" dataDxfId="157"/>
    <tableColumn id="11" name="15/01/2018" dataDxfId="156"/>
    <tableColumn id="12" name="15/02/2018" dataDxfId="155"/>
    <tableColumn id="13" name="15/03/2018" dataDxfId="154"/>
    <tableColumn id="14" name="15/04/2018" dataDxfId="153"/>
    <tableColumn id="15" name="15/05/2018" dataDxfId="152"/>
    <tableColumn id="16" name="15/06/2018" dataDxfId="151"/>
    <tableColumn id="17" name="15/07/2018" dataDxfId="150"/>
    <tableColumn id="18" name="15/08/2018" dataDxfId="149"/>
    <tableColumn id="19" name="15/09/2018" dataDxfId="148"/>
    <tableColumn id="20" name="15/10/2018" dataDxfId="147"/>
    <tableColumn id="21" name="15/11/2018" dataDxfId="146"/>
    <tableColumn id="22" name="15/12/2018" dataDxfId="145"/>
    <tableColumn id="23" name="28/12/2018" dataDxfId="144"/>
    <tableColumn id="24" name="Columna1" dataDxfId="143"/>
    <tableColumn id="25" name="ENE" dataDxfId="142">
      <calculatedColumnFormula>IF(OR(ISBLANK(K3),ISBLANK(J3)),"",IF(AND(K3&gt;=J3,K3-J3&lt;=K3),(K3-J3)*$AK3,"!!!!"))</calculatedColumnFormula>
    </tableColumn>
    <tableColumn id="26" name="FEB" dataDxfId="141">
      <calculatedColumnFormula>IF(OR(ISBLANK(L3),ISBLANK(K3)),"",IF(AND(L3&gt;=K3,L3-K3&lt;=L3),(L3-K3)*$AK3,"!!!!"))</calculatedColumnFormula>
    </tableColumn>
    <tableColumn id="27" name="MAR" dataDxfId="140">
      <calculatedColumnFormula>IF(OR(ISBLANK(#REF!),ISBLANK(L3)),"",IF(AND(#REF!&gt;=L3,#REF!-L3&lt;=#REF!),(#REF!-L3)*$AK3,"!!!!"))</calculatedColumnFormula>
    </tableColumn>
    <tableColumn id="28" name="ABR" dataDxfId="139">
      <calculatedColumnFormula>IF(OR(ISBLANK(N3),ISBLANK(#REF!)),"",IF(AND(N3&gt;=#REF!,N3-#REF!&lt;=N3),(N3-#REF!)*$AK3,"!!!!"))</calculatedColumnFormula>
    </tableColumn>
    <tableColumn id="29" name="MAY" dataDxfId="138">
      <calculatedColumnFormula>IF(OR(ISBLANK(O3),ISBLANK(N3)),"",IF(AND(O3&gt;=N3,O3-N3&lt;=O3),(O3-N3)*$AK3,"!!!!"))</calculatedColumnFormula>
    </tableColumn>
    <tableColumn id="30" name="JUN" dataDxfId="137">
      <calculatedColumnFormula>IF(OR(ISBLANK(P3),ISBLANK(O3)),"",IF(AND(P3&gt;=O3,P3-O3&lt;=P3),(P3-O3)*$AK3,"!!!!"))</calculatedColumnFormula>
    </tableColumn>
    <tableColumn id="31" name="JUL" dataDxfId="136">
      <calculatedColumnFormula>IF(OR(ISBLANK(Q3),ISBLANK(P3)),"",IF(AND(Q3&gt;=P3,Q3-P3&lt;=Q3),(Q3-P3)*$AK3,"!!!!"))</calculatedColumnFormula>
    </tableColumn>
    <tableColumn id="32" name="AGO" dataDxfId="135">
      <calculatedColumnFormula>IF(OR(ISBLANK(R3),ISBLANK(Q3)),"",IF(AND(R3&gt;=Q3,R3-Q3&lt;=R3),(R3-Q3)*$AK3,"!!!!"))</calculatedColumnFormula>
    </tableColumn>
    <tableColumn id="33" name="SEP" dataDxfId="134">
      <calculatedColumnFormula>IF(OR(ISBLANK(S3),ISBLANK(R3)),"",IF(AND(S3&gt;=R3,S3-R3&lt;=S3),(S3-R3)*$AK3,"!!!!"))</calculatedColumnFormula>
    </tableColumn>
    <tableColumn id="34" name="OCT" dataDxfId="133">
      <calculatedColumnFormula>IF(OR(ISBLANK(T3),ISBLANK(S3)),"",IF(AND(T3&gt;=S3,T3-S3&lt;=T3),(T3-S3)*$AK3,"!!!!"))</calculatedColumnFormula>
    </tableColumn>
    <tableColumn id="35" name="NOV" dataDxfId="132">
      <calculatedColumnFormula>IF(OR(ISBLANK(U3),ISBLANK(T3)),"",IF(AND(U3&gt;=T3,U3-T3&lt;=U3),(U3-T3)*$AK3,"!!!!"))</calculatedColumnFormula>
    </tableColumn>
    <tableColumn id="36" name="DIC" dataDxfId="131">
      <calculatedColumnFormula>IF(OR(ISBLANK(V3),ISBLANK(U3)),"",IF(AND(V3&gt;=U3,V3-U3&lt;=V3),(V3-U3)*$AK3,"!!!!"))</calculatedColumnFormula>
    </tableColumn>
    <tableColumn id="37" name="RT" dataDxfId="130"/>
    <tableColumn id="40" name="PenLect" dataDxfId="129">
      <calculatedColumnFormula>IF(DAY(TODAY())&lt;16,INDEX(J3:X3,1,MONTH(TODAY())-1),INDEX(J3:X3,1,MONTH(TODAY())))</calculatedColumnFormula>
    </tableColumn>
    <tableColumn id="39" name="UltLec" dataDxfId="128">
      <calculatedColumnFormula>IF(DAY(TODAY())&lt;16,INDEX(J3:X3,1,MONTH(TODAY())),INDEX(J3:X3,1,MONTH(TODAY())+1))</calculatedColumnFormula>
    </tableColumn>
    <tableColumn id="41" name="UltConsumo" dataDxfId="127">
      <calculatedColumnFormula>IF(AND(Tabla7[[#This Row],[UltLec]]&lt;&gt;0,Tabla7[[#This Row],[PenLect]]&lt;&gt;0),(AM3-AL3)*Tabla7[[#This Row],[RT]],"N/A")</calculatedColumnFormula>
    </tableColumn>
    <tableColumn id="44" name="PLANT" dataDxfId="126" dataCellStyle="Salida"/>
    <tableColumn id="43" name="TELE" dataDxfId="125" dataCellStyle="Salida"/>
    <tableColumn id="42" name="TIPO" dataDxfId="124" dataCellStyle="Salida"/>
    <tableColumn id="38" name="CHECK" dataDxfId="123">
      <calculatedColumnFormula>COUNTIF(Y3:AJ3,"!!!!")</calculatedColumnFormula>
    </tableColumn>
  </tableColumns>
  <tableStyleInfo name="TableStyleLight12" showFirstColumn="0" showLastColumn="0" showRowStripes="1" showColumnStripes="0"/>
</table>
</file>

<file path=xl/tables/table2.xml><?xml version="1.0" encoding="utf-8"?>
<table xmlns="http://schemas.openxmlformats.org/spreadsheetml/2006/main" id="1" name="Tabla1" displayName="Tabla1" ref="B2:AI171" totalsRowShown="0" headerRowDxfId="109" dataDxfId="108" tableBorderDxfId="107">
  <autoFilter ref="B2:AI171"/>
  <sortState ref="B3:AI171">
    <sortCondition ref="D2:D171"/>
  </sortState>
  <tableColumns count="34">
    <tableColumn id="1" name="CONTADOR" dataDxfId="106" dataCellStyle="Notas"/>
    <tableColumn id="2" name="CT" dataDxfId="105" dataCellStyle="Notas"/>
    <tableColumn id="3" name="REF" dataDxfId="104" dataCellStyle="Notas"/>
    <tableColumn id="4" name="ABONADO" dataDxfId="103" dataCellStyle="Notas"/>
    <tableColumn id="5" name="UBICACIÓN" dataDxfId="102" dataCellStyle="Notas"/>
    <tableColumn id="6" name="OBSERVACIONES" dataDxfId="101" dataCellStyle="Notas"/>
    <tableColumn id="7" name="OBSERVACIONES FACTURACIÓN" dataDxfId="100" dataCellStyle="Notas"/>
    <tableColumn id="8" name="31/12/2017" dataDxfId="99" dataCellStyle="Notas"/>
    <tableColumn id="9" name="15/01/2018" dataDxfId="98" dataCellStyle="Notas"/>
    <tableColumn id="10" name="15/02/2018" dataDxfId="97" dataCellStyle="Notas"/>
    <tableColumn id="11" name="15/03/2018" dataDxfId="96" dataCellStyle="Notas"/>
    <tableColumn id="12" name="15/04/2018" dataDxfId="95" dataCellStyle="Notas"/>
    <tableColumn id="13" name="15/05/2018" dataDxfId="94" dataCellStyle="Notas"/>
    <tableColumn id="14" name="15/06/2018" dataDxfId="93" dataCellStyle="Notas"/>
    <tableColumn id="15" name="15/07/2018" dataDxfId="92" dataCellStyle="Notas"/>
    <tableColumn id="16" name="15/08/2018" dataDxfId="91" dataCellStyle="Notas"/>
    <tableColumn id="17" name="15/09/2018" dataDxfId="90"/>
    <tableColumn id="18" name="15/09/20182" dataDxfId="89"/>
    <tableColumn id="19" name="15/10/2018" dataDxfId="88"/>
    <tableColumn id="20" name="15/11/2018" dataDxfId="87"/>
    <tableColumn id="21" name="28/12/2018" dataDxfId="86"/>
    <tableColumn id="23" name="Columna1" dataDxfId="85"/>
    <tableColumn id="24" name="ENE" dataDxfId="84"/>
    <tableColumn id="25" name="FEB" dataDxfId="83"/>
    <tableColumn id="26" name="MAR" dataDxfId="82"/>
    <tableColumn id="27" name="ABR" dataDxfId="81"/>
    <tableColumn id="28" name="MAY" dataDxfId="80"/>
    <tableColumn id="29" name="JUN" dataDxfId="79"/>
    <tableColumn id="30" name="JUL" dataDxfId="78"/>
    <tableColumn id="31" name="AGO" dataDxfId="77"/>
    <tableColumn id="32" name="SEP" dataDxfId="76"/>
    <tableColumn id="33" name="OCT" dataDxfId="75"/>
    <tableColumn id="34" name="NOV" dataDxfId="74"/>
    <tableColumn id="22" name="DIC" dataDxfId="73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5" name="Tabla5" displayName="Tabla5" ref="A1:G260" totalsRowShown="0" headerRowDxfId="65" dataDxfId="63" headerRowBorderDxfId="64" tableBorderDxfId="62" totalsRowBorderDxfId="61">
  <sortState ref="A2:G260">
    <sortCondition ref="A1"/>
  </sortState>
  <tableColumns count="7">
    <tableColumn id="1" name="CT" dataDxfId="60" dataCellStyle="Salida"/>
    <tableColumn id="2" name="CONTADOR" dataDxfId="59" dataCellStyle="Notas"/>
    <tableColumn id="3" name="REF" dataDxfId="58" dataCellStyle="Salida"/>
    <tableColumn id="4" name="15/09/2018" dataDxfId="57"/>
    <tableColumn id="5" name="15/10/2018" dataDxfId="56"/>
    <tableColumn id="6" name="ABONADO" dataDxfId="55"/>
    <tableColumn id="7" name="UBICACIÓN" dataDxfId="54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2" name="Tabla2" displayName="Tabla2" ref="A1:H236" totalsRowShown="0" headerRowDxfId="52" headerRowBorderDxfId="51" tableBorderDxfId="50">
  <autoFilter ref="A1:H236"/>
  <sortState ref="A2:H219">
    <sortCondition ref="F1:F219"/>
  </sortState>
  <tableColumns count="8">
    <tableColumn id="1" name="CONTADOR" dataDxfId="49" totalsRowDxfId="48"/>
    <tableColumn id="8" name="CT" dataDxfId="47" totalsRowDxfId="46"/>
    <tableColumn id="2" name="ABONADO" dataDxfId="45" totalsRowDxfId="44"/>
    <tableColumn id="3" name="UBICACIÓN" dataDxfId="43" totalsRowDxfId="42"/>
    <tableColumn id="4" name="PenLect" dataDxfId="41" totalsRowDxfId="40"/>
    <tableColumn id="5" name="REF" dataDxfId="39" totalsRowDxfId="38"/>
    <tableColumn id="6" name="UltLec" dataDxfId="37" totalsRowDxfId="36"/>
    <tableColumn id="7" name="UltConsumo" dataDxfId="35" totalsRowDxfId="34"/>
  </tableColumns>
  <tableStyleInfo name="TableStyleLight19" showFirstColumn="0" showLastColumn="0" showRowStripes="1" showColumnStripes="0"/>
</table>
</file>

<file path=xl/tables/table5.xml><?xml version="1.0" encoding="utf-8"?>
<table xmlns="http://schemas.openxmlformats.org/spreadsheetml/2006/main" id="3" name="Tabla3" displayName="Tabla3" ref="A2:J37" totalsRowShown="0">
  <autoFilter ref="A2:J37"/>
  <tableColumns count="10">
    <tableColumn id="1" name="FECHA" dataDxfId="33"/>
    <tableColumn id="2" name="MOVIMIENTO" dataDxfId="32"/>
    <tableColumn id="3" name="CONTADOR" dataDxfId="31"/>
    <tableColumn id="4" name="CT" dataDxfId="30"/>
    <tableColumn id="5" name="REF" dataDxfId="29"/>
    <tableColumn id="6" name="ABONADO" dataDxfId="28"/>
    <tableColumn id="7" name="UBICACION" dataDxfId="27"/>
    <tableColumn id="8" name="ACTUACION" dataDxfId="26"/>
    <tableColumn id="9" name="Columna1"/>
    <tableColumn id="10" name="Columna2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4" name="Tabla4" displayName="Tabla4" ref="A4:D18" totalsRowShown="0" headerRowDxfId="25">
  <autoFilter ref="A4:D18"/>
  <tableColumns count="4">
    <tableColumn id="1" name="ago-17"/>
    <tableColumn id="3" name="ESTADO"/>
    <tableColumn id="4" name="ACTUACION"/>
    <tableColumn id="2" name="feb-18"/>
  </tableColumns>
  <tableStyleInfo name="TableStyleLight10" showFirstColumn="0" showLastColumn="0" showRowStripes="1" showColumnStripes="0"/>
</table>
</file>

<file path=xl/tables/table7.xml><?xml version="1.0" encoding="utf-8"?>
<table xmlns="http://schemas.openxmlformats.org/spreadsheetml/2006/main" id="7" name="Tabla8" displayName="Tabla8" ref="A1:G88" totalsRowShown="0" headerRowDxfId="24" dataDxfId="23" tableBorderDxfId="22">
  <sortState ref="A2:G88">
    <sortCondition ref="B1:B88"/>
  </sortState>
  <tableColumns count="7">
    <tableColumn id="1" name="CONTADOR" dataDxfId="21"/>
    <tableColumn id="2" name="CT" dataDxfId="20"/>
    <tableColumn id="3" name="REF" dataDxfId="19"/>
    <tableColumn id="4" name="15/09/2018" dataDxfId="18"/>
    <tableColumn id="5" name="15/10/2018" dataDxfId="17"/>
    <tableColumn id="6" name="ABONADO" dataDxfId="16"/>
    <tableColumn id="7" name="UBICACIÓN" dataDxfId="15"/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id="6" name="Tabla57" displayName="Tabla57" ref="A1:G53" totalsRowShown="0" headerRowDxfId="11" dataDxfId="9" headerRowBorderDxfId="10" tableBorderDxfId="8" totalsRowBorderDxfId="7">
  <sortState ref="A2:G58">
    <sortCondition ref="A2:A58"/>
    <sortCondition ref="B2:B58"/>
  </sortState>
  <tableColumns count="7">
    <tableColumn id="1" name="CT" dataDxfId="6" dataCellStyle="Salida"/>
    <tableColumn id="2" name="CONTADOR" dataDxfId="5" dataCellStyle="Notas"/>
    <tableColumn id="3" name="REF" dataDxfId="4" dataCellStyle="Salida"/>
    <tableColumn id="4" name="UltLec" dataDxfId="3"/>
    <tableColumn id="5" name="15/11/2018" dataDxfId="2"/>
    <tableColumn id="6" name="ABONADO" dataDxfId="1"/>
    <tableColumn id="7" name="UBICACIÓN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javascript:showDetalle('0265898031','ELE',%20'05400101');" TargetMode="External"/><Relationship Id="rId3" Type="http://schemas.openxmlformats.org/officeDocument/2006/relationships/hyperlink" Target="javascript:showDetalle('0383107842','ELE',%20'05400101');" TargetMode="External"/><Relationship Id="rId7" Type="http://schemas.openxmlformats.org/officeDocument/2006/relationships/hyperlink" Target="javascript:showDetalle('0265897786','ELE',%20'05400101');" TargetMode="External"/><Relationship Id="rId2" Type="http://schemas.openxmlformats.org/officeDocument/2006/relationships/hyperlink" Target="javascript:showDetalle('0383127592','ELE',%20'05400101');" TargetMode="External"/><Relationship Id="rId1" Type="http://schemas.openxmlformats.org/officeDocument/2006/relationships/hyperlink" Target="javascript:showDetalle('0393263060','ELE',%20'05400101');" TargetMode="External"/><Relationship Id="rId6" Type="http://schemas.openxmlformats.org/officeDocument/2006/relationships/hyperlink" Target="javascript:showDetalle('0265897907','ELE',%20'05400101');" TargetMode="External"/><Relationship Id="rId5" Type="http://schemas.openxmlformats.org/officeDocument/2006/relationships/hyperlink" Target="javascript:showDetalle('0273154450','ELE',%20'05400101');" TargetMode="External"/><Relationship Id="rId4" Type="http://schemas.openxmlformats.org/officeDocument/2006/relationships/hyperlink" Target="javascript:showDetalle('0273154588','ELE',%20'05400101');" TargetMode="External"/><Relationship Id="rId9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7.xml"/><Relationship Id="rId5" Type="http://schemas.openxmlformats.org/officeDocument/2006/relationships/comments" Target="../comments5.xml"/><Relationship Id="rId4" Type="http://schemas.openxmlformats.org/officeDocument/2006/relationships/table" Target="../tables/table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table" Target="../tables/table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FF0000"/>
    <pageSetUpPr fitToPage="1"/>
  </sheetPr>
  <dimension ref="A1:BP662"/>
  <sheetViews>
    <sheetView tabSelected="1" zoomScale="55" zoomScaleNormal="55" workbookViewId="0">
      <pane xSplit="5" ySplit="2" topLeftCell="AZ415" activePane="bottomRight" state="frozen"/>
      <selection pane="topRight" activeCell="F1" sqref="F1"/>
      <selection pane="bottomLeft" activeCell="A3" sqref="A3"/>
      <selection pane="bottomRight" activeCell="BD421" sqref="BD421"/>
    </sheetView>
  </sheetViews>
  <sheetFormatPr baseColWidth="10" defaultRowHeight="15" x14ac:dyDescent="0.25"/>
  <cols>
    <col min="1" max="1" width="17" bestFit="1" customWidth="1"/>
    <col min="2" max="2" width="11.7109375" customWidth="1"/>
    <col min="3" max="3" width="28.28515625" customWidth="1"/>
    <col min="4" max="4" width="13.28515625" customWidth="1"/>
    <col min="5" max="5" width="12.85546875" bestFit="1" customWidth="1"/>
    <col min="6" max="6" width="36.85546875" customWidth="1"/>
    <col min="7" max="7" width="48.5703125" customWidth="1"/>
    <col min="8" max="8" width="36.7109375" customWidth="1"/>
    <col min="9" max="9" width="78.7109375" customWidth="1"/>
    <col min="10" max="10" width="14.7109375" customWidth="1"/>
    <col min="11" max="11" width="19.7109375" customWidth="1"/>
    <col min="12" max="12" width="16" customWidth="1"/>
    <col min="13" max="13" width="20.140625" customWidth="1"/>
    <col min="14" max="14" width="14.7109375" style="2" customWidth="1"/>
    <col min="15" max="15" width="20.5703125" customWidth="1"/>
    <col min="16" max="16" width="14.7109375" customWidth="1"/>
    <col min="17" max="17" width="20.5703125" customWidth="1"/>
    <col min="18" max="19" width="14.7109375" customWidth="1"/>
    <col min="20" max="20" width="20.5703125" style="2" customWidth="1"/>
    <col min="21" max="21" width="20.140625" style="266" customWidth="1"/>
    <col min="22" max="22" width="19.7109375" customWidth="1"/>
    <col min="23" max="23" width="20.5703125" customWidth="1"/>
    <col min="24" max="24" width="15" hidden="1" customWidth="1"/>
    <col min="25" max="30" width="11.5703125" hidden="1" customWidth="1"/>
    <col min="31" max="31" width="12.5703125" hidden="1" customWidth="1"/>
    <col min="32" max="32" width="13.5703125" hidden="1" customWidth="1"/>
    <col min="33" max="33" width="11.5703125" hidden="1" customWidth="1"/>
    <col min="34" max="34" width="16.28515625" hidden="1" customWidth="1"/>
    <col min="35" max="36" width="11.5703125" hidden="1" customWidth="1"/>
    <col min="37" max="37" width="10.5703125" hidden="1" customWidth="1"/>
    <col min="38" max="38" width="17.85546875" hidden="1" customWidth="1"/>
    <col min="39" max="40" width="15.7109375" hidden="1" customWidth="1"/>
    <col min="41" max="43" width="11.5703125" hidden="1" customWidth="1"/>
    <col min="44" max="45" width="11.42578125" hidden="1" customWidth="1"/>
    <col min="46" max="46" width="13.5703125" hidden="1" customWidth="1"/>
    <col min="47" max="47" width="11.42578125" customWidth="1"/>
    <col min="48" max="61" width="13.5703125" customWidth="1"/>
    <col min="62" max="62" width="13.5703125" hidden="1" customWidth="1"/>
    <col min="63" max="65" width="11.42578125" hidden="1" customWidth="1"/>
    <col min="66" max="66" width="43.140625" hidden="1" customWidth="1"/>
    <col min="67" max="67" width="21.140625" hidden="1" customWidth="1"/>
  </cols>
  <sheetData>
    <row r="1" spans="1:68" ht="15.75" thickBot="1" x14ac:dyDescent="0.3">
      <c r="A1" s="633" t="s">
        <v>835</v>
      </c>
      <c r="B1" s="634"/>
      <c r="C1" s="634"/>
      <c r="D1" s="634"/>
      <c r="E1" s="634"/>
      <c r="F1" s="634"/>
      <c r="G1" s="634"/>
      <c r="H1" s="634"/>
      <c r="I1" s="635"/>
      <c r="J1" s="633" t="s">
        <v>719</v>
      </c>
      <c r="K1" s="634"/>
      <c r="L1" s="634"/>
      <c r="M1" s="634"/>
      <c r="N1" s="634"/>
      <c r="O1" s="634"/>
      <c r="P1" s="634"/>
      <c r="Q1" s="634"/>
      <c r="R1" s="634"/>
      <c r="S1" s="634"/>
      <c r="T1" s="634"/>
      <c r="U1" s="634"/>
      <c r="V1" s="634"/>
      <c r="W1" s="634"/>
      <c r="X1" s="635"/>
      <c r="Y1" s="633" t="s">
        <v>834</v>
      </c>
      <c r="Z1" s="634"/>
      <c r="AA1" s="634"/>
      <c r="AB1" s="634"/>
      <c r="AC1" s="634"/>
      <c r="AD1" s="634"/>
      <c r="AE1" s="634"/>
      <c r="AF1" s="634"/>
      <c r="AG1" s="634"/>
      <c r="AH1" s="634"/>
      <c r="AI1" s="634"/>
      <c r="AJ1" s="634"/>
      <c r="AK1" s="405"/>
      <c r="AL1" s="350"/>
      <c r="AM1" s="350" t="str">
        <f ca="1">CONCATENATE("15",RIGHT(TEXT(TODAY(),"dd/mm/aaaa"),8))</f>
        <v>15/06/2019</v>
      </c>
      <c r="AN1" s="350"/>
      <c r="AO1" s="269"/>
      <c r="AP1" s="269"/>
      <c r="AQ1" s="269"/>
      <c r="AR1" s="263">
        <f>SUM(AR3:AR463)</f>
        <v>12</v>
      </c>
    </row>
    <row r="2" spans="1:68" ht="15.75" thickBot="1" x14ac:dyDescent="0.3">
      <c r="A2" s="2" t="s">
        <v>711</v>
      </c>
      <c r="B2" s="2" t="s">
        <v>17</v>
      </c>
      <c r="C2" s="2" t="s">
        <v>18</v>
      </c>
      <c r="D2" s="2" t="s">
        <v>0</v>
      </c>
      <c r="E2" s="2" t="s">
        <v>710</v>
      </c>
      <c r="F2" s="2" t="s">
        <v>1</v>
      </c>
      <c r="G2" s="2" t="s">
        <v>2</v>
      </c>
      <c r="H2" s="2" t="s">
        <v>3</v>
      </c>
      <c r="I2" s="2" t="s">
        <v>4</v>
      </c>
      <c r="J2" s="253" t="s">
        <v>1100</v>
      </c>
      <c r="K2" s="253" t="s">
        <v>1050</v>
      </c>
      <c r="L2" s="253" t="s">
        <v>1101</v>
      </c>
      <c r="M2" s="253" t="s">
        <v>1102</v>
      </c>
      <c r="N2" s="253" t="s">
        <v>1103</v>
      </c>
      <c r="O2" s="253" t="s">
        <v>1104</v>
      </c>
      <c r="P2" s="253" t="s">
        <v>1105</v>
      </c>
      <c r="Q2" s="253" t="s">
        <v>1106</v>
      </c>
      <c r="R2" s="253" t="s">
        <v>1107</v>
      </c>
      <c r="S2" s="534" t="s">
        <v>1108</v>
      </c>
      <c r="T2" s="253" t="s">
        <v>1110</v>
      </c>
      <c r="U2" s="253" t="s">
        <v>1111</v>
      </c>
      <c r="V2" s="253" t="s">
        <v>1436</v>
      </c>
      <c r="W2" s="253" t="s">
        <v>1112</v>
      </c>
      <c r="X2" s="253" t="s">
        <v>756</v>
      </c>
      <c r="Y2" s="2" t="s">
        <v>488</v>
      </c>
      <c r="Z2" s="2" t="s">
        <v>489</v>
      </c>
      <c r="AA2" s="2" t="s">
        <v>490</v>
      </c>
      <c r="AB2" s="2" t="s">
        <v>491</v>
      </c>
      <c r="AC2" s="2" t="s">
        <v>492</v>
      </c>
      <c r="AD2" s="2" t="s">
        <v>493</v>
      </c>
      <c r="AE2" s="2" t="s">
        <v>494</v>
      </c>
      <c r="AF2" s="2" t="s">
        <v>495</v>
      </c>
      <c r="AG2" s="2" t="s">
        <v>496</v>
      </c>
      <c r="AH2" s="2" t="s">
        <v>497</v>
      </c>
      <c r="AI2" s="2" t="s">
        <v>498</v>
      </c>
      <c r="AJ2" s="2" t="s">
        <v>499</v>
      </c>
      <c r="AK2" s="406" t="s">
        <v>833</v>
      </c>
      <c r="AL2" s="274" t="s">
        <v>849</v>
      </c>
      <c r="AM2" s="274" t="s">
        <v>848</v>
      </c>
      <c r="AN2" s="274" t="s">
        <v>850</v>
      </c>
      <c r="AO2" s="274" t="s">
        <v>865</v>
      </c>
      <c r="AP2" s="274" t="s">
        <v>1188</v>
      </c>
      <c r="AQ2" s="274" t="s">
        <v>1187</v>
      </c>
      <c r="AR2" s="407" t="s">
        <v>733</v>
      </c>
      <c r="AV2" t="str">
        <f>Tabla7[[#Headers],[31/12/2017]]</f>
        <v>31/12/2017</v>
      </c>
      <c r="AW2" t="str">
        <f>Tabla7[[#Headers],[15/01/2018]]</f>
        <v>15/01/2018</v>
      </c>
      <c r="AX2" t="str">
        <f>Tabla7[[#Headers],[15/02/2018]]</f>
        <v>15/02/2018</v>
      </c>
      <c r="AY2" t="str">
        <f>Tabla7[[#Headers],[15/03/2018]]</f>
        <v>15/03/2018</v>
      </c>
      <c r="AZ2" t="str">
        <f>Tabla7[[#Headers],[15/04/2018]]</f>
        <v>15/04/2018</v>
      </c>
      <c r="BA2" t="str">
        <f>Tabla7[[#Headers],[15/05/2018]]</f>
        <v>15/05/2018</v>
      </c>
      <c r="BB2" t="str">
        <f>Tabla7[[#Headers],[15/06/2018]]</f>
        <v>15/06/2018</v>
      </c>
      <c r="BC2" t="str">
        <f>Tabla7[[#Headers],[15/07/2018]]</f>
        <v>15/07/2018</v>
      </c>
      <c r="BD2" t="str">
        <f>Tabla7[[#Headers],[15/08/2018]]</f>
        <v>15/08/2018</v>
      </c>
      <c r="BE2" t="str">
        <f>Tabla7[[#Headers],[15/09/2018]]</f>
        <v>15/09/2018</v>
      </c>
      <c r="BF2" t="str">
        <f>Tabla7[[#Headers],[15/10/2018]]</f>
        <v>15/10/2018</v>
      </c>
      <c r="BG2" t="str">
        <f>Tabla7[[#Headers],[15/11/2018]]</f>
        <v>15/11/2018</v>
      </c>
      <c r="BH2" t="str">
        <f>Tabla7[[#Headers],[15/12/2018]]</f>
        <v>15/12/2018</v>
      </c>
    </row>
    <row r="3" spans="1:68" ht="18" customHeight="1" x14ac:dyDescent="0.25">
      <c r="A3" s="512" t="s">
        <v>1097</v>
      </c>
      <c r="B3" s="514"/>
      <c r="C3" s="513">
        <v>79062</v>
      </c>
      <c r="D3" s="514" t="s">
        <v>1098</v>
      </c>
      <c r="E3" s="515">
        <v>39836</v>
      </c>
      <c r="F3" s="377" t="s">
        <v>618</v>
      </c>
      <c r="G3" s="376" t="s">
        <v>619</v>
      </c>
      <c r="H3" s="376"/>
      <c r="I3" s="518" t="s">
        <v>1096</v>
      </c>
      <c r="J3" s="376">
        <v>33506</v>
      </c>
      <c r="K3" s="376"/>
      <c r="L3" s="376"/>
      <c r="M3" s="383">
        <v>35958.699999999997</v>
      </c>
      <c r="N3" s="383">
        <v>36658.300000000003</v>
      </c>
      <c r="O3" s="383">
        <v>36975</v>
      </c>
      <c r="P3" s="383"/>
      <c r="Q3" s="376"/>
      <c r="R3" s="376"/>
      <c r="S3" s="376"/>
      <c r="T3" s="376"/>
      <c r="U3" s="519"/>
      <c r="V3" s="377"/>
      <c r="W3" s="376"/>
      <c r="X3" s="376"/>
      <c r="Y3" s="376" t="str">
        <f t="shared" ref="Y3:AJ8" si="0">IF(OR(ISBLANK(K3),ISBLANK(J3)),"",IF(AND(K3&gt;=J3,K3-J3&lt;=K3),(K3-J3)*$AK3,"!!!!"))</f>
        <v/>
      </c>
      <c r="Z3" s="376" t="str">
        <f t="shared" si="0"/>
        <v/>
      </c>
      <c r="AA3" s="376" t="str">
        <f t="shared" si="0"/>
        <v/>
      </c>
      <c r="AB3" s="376">
        <f t="shared" si="0"/>
        <v>699.60000000000582</v>
      </c>
      <c r="AC3" s="376">
        <f t="shared" si="0"/>
        <v>316.69999999999709</v>
      </c>
      <c r="AD3" s="376" t="str">
        <f t="shared" si="0"/>
        <v/>
      </c>
      <c r="AE3" s="376" t="str">
        <f t="shared" si="0"/>
        <v/>
      </c>
      <c r="AF3" s="376" t="str">
        <f t="shared" si="0"/>
        <v/>
      </c>
      <c r="AG3" s="376" t="str">
        <f t="shared" si="0"/>
        <v/>
      </c>
      <c r="AH3" s="376" t="str">
        <f t="shared" si="0"/>
        <v/>
      </c>
      <c r="AI3" s="376" t="str">
        <f t="shared" si="0"/>
        <v/>
      </c>
      <c r="AJ3" s="376" t="str">
        <f t="shared" si="0"/>
        <v/>
      </c>
      <c r="AK3" s="408">
        <v>1</v>
      </c>
      <c r="AL3" s="377">
        <f t="shared" ref="AL3:AL66" ca="1" si="1">IF(DAY(TODAY())&lt;16,INDEX(J3:X3,1,MONTH(TODAY())-1),INDEX(J3:X3,1,MONTH(TODAY())))</f>
        <v>36658.300000000003</v>
      </c>
      <c r="AM3" s="383">
        <f t="shared" ref="AM3:AM66" ca="1" si="2">IF(DAY(TODAY())&lt;16,INDEX(J3:X3,1,MONTH(TODAY())),INDEX(J3:X3,1,MONTH(TODAY())+1))</f>
        <v>36975</v>
      </c>
      <c r="AN3" s="377">
        <f ca="1">IF(AND(Tabla7[[#This Row],[UltLec]]&lt;&gt;0,Tabla7[[#This Row],[PenLect]]&lt;&gt;0),(AM3-AL3)*Tabla7[[#This Row],[RT]],"N/A")</f>
        <v>316.69999999999709</v>
      </c>
      <c r="AO3" s="516" t="s">
        <v>1281</v>
      </c>
      <c r="AP3" s="433" t="s">
        <v>1190</v>
      </c>
      <c r="AQ3" s="433" t="s">
        <v>1193</v>
      </c>
      <c r="AR3" s="409">
        <f t="shared" ref="AR3:AR66" si="3">COUNTIF(Y3:AJ3,"!!!!")</f>
        <v>0</v>
      </c>
      <c r="AT3" s="2">
        <f t="shared" ref="AT3:AT67" ca="1" si="4">IF(IF(DAY(TODAY())&gt;15,INDEX($Y3:$AJ3,1,MONTH(TODAY())-1),INDEX($Y3:$AJ3,1,MONTH(TODAY())-2))=0,"0",IF(DAY(TODAY())&gt;15,INDEX($Y3:$AJ3,1,MONTH(TODAY())),INDEX($Y3:$AJ3,1,MONTH(TODAY())-1))/IF(DAY(TODAY())&gt;15,INDEX($Y3:$AJ3,1,MONTH(TODAY())-1),INDEX($Y3:$AJ3,1,MONTH(TODAY())-2)))</f>
        <v>0.45268724985705328</v>
      </c>
      <c r="AV3">
        <f>IF(ISBLANK(Tabla7[[#This Row],[31/12/2017]]),0,Tabla7[[#This Row],[31/12/2017]])</f>
        <v>33506</v>
      </c>
      <c r="AW3">
        <f>IF(ISBLANK(Tabla7[[#This Row],[15/01/2018]]),0,Tabla7[[#This Row],[15/01/2018]])</f>
        <v>0</v>
      </c>
      <c r="AX3">
        <f>IF(ISBLANK(Tabla7[[#This Row],[15/02/2018]]),0,Tabla7[[#This Row],[15/02/2018]])</f>
        <v>0</v>
      </c>
      <c r="AY3">
        <f>IF(ISBLANK(Tabla7[[#This Row],[15/03/2018]]),0,Tabla7[[#This Row],[15/03/2018]])</f>
        <v>35958.699999999997</v>
      </c>
      <c r="AZ3">
        <f>IF(ISBLANK(Tabla7[[#This Row],[15/04/2018]]),0,Tabla7[[#This Row],[15/04/2018]])</f>
        <v>36658.300000000003</v>
      </c>
      <c r="BA3">
        <f>IF(ISBLANK(Tabla7[[#This Row],[15/05/2018]]),0,Tabla7[[#This Row],[15/05/2018]])</f>
        <v>36975</v>
      </c>
      <c r="BB3">
        <f>IF(ISBLANK(Tabla7[[#This Row],[15/06/2018]]),0,Tabla7[[#This Row],[15/06/2018]])</f>
        <v>0</v>
      </c>
      <c r="BC3">
        <f>IF(ISBLANK(Tabla7[[#This Row],[15/07/2018]]),0,Tabla7[[#This Row],[15/07/2018]])</f>
        <v>0</v>
      </c>
      <c r="BD3">
        <f>IF(ISBLANK(Tabla7[[#This Row],[15/08/2018]]),0,Tabla7[[#This Row],[15/08/2018]])</f>
        <v>0</v>
      </c>
      <c r="BE3">
        <f>IF(ISBLANK(Tabla7[[#This Row],[15/09/2018]]),0,Tabla7[[#This Row],[15/09/2018]])</f>
        <v>0</v>
      </c>
      <c r="BF3">
        <f>IF(ISBLANK(Tabla7[[#This Row],[15/10/2018]]),0,Tabla7[[#This Row],[15/10/2018]])</f>
        <v>0</v>
      </c>
      <c r="BG3">
        <f>IF(ISBLANK(Tabla7[[#This Row],[15/11/2018]]),0,Tabla7[[#This Row],[15/11/2018]])</f>
        <v>0</v>
      </c>
      <c r="BH3">
        <f>IF(ISBLANK(Tabla7[[#This Row],[15/12/2018]]),0,Tabla7[[#This Row],[15/12/2018]])</f>
        <v>0</v>
      </c>
      <c r="BI3">
        <f>IF(ISBLANK(Tabla7[[#This Row],[28/12/2018]]),0,Tabla7[[#This Row],[28/12/2018]])</f>
        <v>0</v>
      </c>
      <c r="BN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('79062','GBAJA','BGCT01','39836','Agencia Estatal de AdministracionTributaria','Hornacina exterior Edif. Aduana','','DADO DE BAJA');</v>
      </c>
      <c r="BO3" t="s">
        <v>243</v>
      </c>
      <c r="BP3" s="632" t="str">
        <f>CONCATENATE("insert into lecturas values ","('",Tabla7[[#This Row],[CONTADOR]],"',STR_TO_DATE('",Tabla7[[#Headers],[31/12/2017]],"','%d/%m/%Y'),",AV3,"),","('",Tabla7[[#This Row],[CONTADOR]],"',STR_TO_DATE('",Tabla7[[#Headers],[15/01/2018]],"','%d/%m/%Y'),",AW3,"),","('",Tabla7[[#This Row],[CONTADOR]],"',STR_TO_DATE('",Tabla7[[#Headers],[15/02/2018]],"','%d/%m/%Y'),",AX3,"),","('",Tabla7[[#This Row],[CONTADOR]],"',STR_TO_DATE('",Tabla7[[#Headers],[15/03/2018]],"','%d/%m/%Y'),",AY3,"),","('",Tabla7[[#This Row],[CONTADOR]],"',STR_TO_DATE('",Tabla7[[#Headers],[15/04/2018]],"','%d/%m/%Y'),",AZ3,"),","('",Tabla7[[#This Row],[CONTADOR]],"',STR_TO_DATE('",Tabla7[[#Headers],[15/05/2018]],"','%d/%m/%Y'),",BA3,"),","('",Tabla7[[#This Row],[CONTADOR]],"',STR_TO_DATE('",Tabla7[[#Headers],[15/06/2018]],"','%d/%m/%Y'),",BB3,"),","('",Tabla7[[#This Row],[CONTADOR]],"',STR_TO_DATE('",Tabla7[[#Headers],[15/07/2018]],"','%d/%m/%Y'),",BC3,"),","('",Tabla7[[#This Row],[CONTADOR]],"',STR_TO_DATE('",Tabla7[[#Headers],[15/08/2018]],"','%d/%m/%Y'),",BD3,"),","('",Tabla7[[#This Row],[CONTADOR]],"',STR_TO_DATE('",Tabla7[[#Headers],[15/09/2018]],"','%d/%m/%Y'),",BE3,"),","('",Tabla7[[#This Row],[CONTADOR]],"',STR_TO_DATE('",Tabla7[[#Headers],[15/10/2018]],"','%d/%m/%Y'),",BF3,"),","('",Tabla7[[#This Row],[CONTADOR]],"',STR_TO_DATE('",Tabla7[[#Headers],[15/11/2018]],"','%d/%m/%Y'),",BG3,"),","('",Tabla7[[#This Row],[CONTADOR]],"',STR_TO_DATE('",Tabla7[[#Headers],[15/12/2018]],"','%d/%m/%Y'),",BH3,");")</f>
        <v>insert into lecturas values ('79062',STR_TO_DATE('31/12/2017','%d/%m/%Y'),33506),('79062',STR_TO_DATE('15/01/2018','%d/%m/%Y'),0),('79062',STR_TO_DATE('15/02/2018','%d/%m/%Y'),0),('79062',STR_TO_DATE('15/03/2018','%d/%m/%Y'),35958,7),('79062',STR_TO_DATE('15/04/2018','%d/%m/%Y'),36658,3),('79062',STR_TO_DATE('15/05/2018','%d/%m/%Y'),36975),('79062',STR_TO_DATE('15/06/2018','%d/%m/%Y'),0),('79062',STR_TO_DATE('15/07/2018','%d/%m/%Y'),0),('79062',STR_TO_DATE('15/08/2018','%d/%m/%Y'),0),('79062',STR_TO_DATE('15/09/2018','%d/%m/%Y'),0),('79062',STR_TO_DATE('15/10/2018','%d/%m/%Y'),0),('79062',STR_TO_DATE('15/11/2018','%d/%m/%Y'),0),('79062',STR_TO_DATE('15/12/2018','%d/%m/%Y'),0);</v>
      </c>
    </row>
    <row r="4" spans="1:68" ht="18" customHeight="1" x14ac:dyDescent="0.25">
      <c r="A4" s="372" t="s">
        <v>1175</v>
      </c>
      <c r="B4" s="60" t="s">
        <v>1060</v>
      </c>
      <c r="C4" s="373">
        <v>5356221</v>
      </c>
      <c r="D4" s="374" t="s">
        <v>1091</v>
      </c>
      <c r="E4" s="375" t="s">
        <v>1060</v>
      </c>
      <c r="F4" s="376" t="s">
        <v>1065</v>
      </c>
      <c r="G4" s="376" t="s">
        <v>583</v>
      </c>
      <c r="H4" s="376"/>
      <c r="I4" s="376"/>
      <c r="J4" s="377"/>
      <c r="K4" s="377"/>
      <c r="L4" s="377"/>
      <c r="M4" s="377"/>
      <c r="N4" s="377"/>
      <c r="O4" s="377"/>
      <c r="P4" s="454"/>
      <c r="Q4" s="377"/>
      <c r="R4" s="377"/>
      <c r="S4" s="377"/>
      <c r="T4" s="376"/>
      <c r="U4" s="519"/>
      <c r="V4" s="379"/>
      <c r="W4" s="377"/>
      <c r="X4" s="376"/>
      <c r="Y4" s="376" t="str">
        <f t="shared" si="0"/>
        <v/>
      </c>
      <c r="Z4" s="376" t="str">
        <f t="shared" si="0"/>
        <v/>
      </c>
      <c r="AA4" s="376" t="str">
        <f t="shared" si="0"/>
        <v/>
      </c>
      <c r="AB4" s="376" t="str">
        <f t="shared" si="0"/>
        <v/>
      </c>
      <c r="AC4" s="376" t="str">
        <f t="shared" si="0"/>
        <v/>
      </c>
      <c r="AD4" s="376" t="str">
        <f t="shared" si="0"/>
        <v/>
      </c>
      <c r="AE4" s="376" t="str">
        <f t="shared" si="0"/>
        <v/>
      </c>
      <c r="AF4" s="376" t="str">
        <f t="shared" si="0"/>
        <v/>
      </c>
      <c r="AG4" s="376" t="str">
        <f t="shared" si="0"/>
        <v/>
      </c>
      <c r="AH4" s="376" t="str">
        <f t="shared" si="0"/>
        <v/>
      </c>
      <c r="AI4" s="376" t="str">
        <f t="shared" si="0"/>
        <v/>
      </c>
      <c r="AJ4" s="376" t="str">
        <f t="shared" si="0"/>
        <v/>
      </c>
      <c r="AK4" s="408">
        <v>20</v>
      </c>
      <c r="AL4" s="377">
        <f t="shared" ca="1" si="1"/>
        <v>0</v>
      </c>
      <c r="AM4" s="383">
        <f t="shared" ca="1" si="2"/>
        <v>0</v>
      </c>
      <c r="AN4" s="377" t="str">
        <f ca="1">IF(AND(Tabla7[[#This Row],[UltLec]]&lt;&gt;0,Tabla7[[#This Row],[PenLect]]&lt;&gt;0),(AM4-AL4)*Tabla7[[#This Row],[RT]],"N/A")</f>
        <v>N/A</v>
      </c>
      <c r="AO4" s="424" t="s">
        <v>1281</v>
      </c>
      <c r="AP4" s="433" t="s">
        <v>1190</v>
      </c>
      <c r="AQ4" s="433" t="s">
        <v>1189</v>
      </c>
      <c r="AR4" s="425">
        <f t="shared" si="3"/>
        <v>0</v>
      </c>
      <c r="AT4" s="2" t="e">
        <f t="shared" ca="1" si="4"/>
        <v>#VALUE!</v>
      </c>
      <c r="AV4">
        <f>IF(ISBLANK(Tabla7[[#This Row],[31/12/2017]]),0,Tabla7[[#This Row],[31/12/2017]])</f>
        <v>0</v>
      </c>
      <c r="AW4">
        <f>IF(ISBLANK(Tabla7[[#This Row],[15/01/2018]]),0,Tabla7[[#This Row],[15/01/2018]])</f>
        <v>0</v>
      </c>
      <c r="AX4">
        <f>IF(ISBLANK(Tabla7[[#This Row],[15/02/2018]]),0,Tabla7[[#This Row],[15/02/2018]])</f>
        <v>0</v>
      </c>
      <c r="AY4">
        <f>IF(ISBLANK(Tabla7[[#This Row],[15/03/2018]]),0,Tabla7[[#This Row],[15/03/2018]])</f>
        <v>0</v>
      </c>
      <c r="AZ4">
        <f>IF(ISBLANK(Tabla7[[#This Row],[15/04/2018]]),0,Tabla7[[#This Row],[15/04/2018]])</f>
        <v>0</v>
      </c>
      <c r="BA4">
        <f>IF(ISBLANK(Tabla7[[#This Row],[15/05/2018]]),0,Tabla7[[#This Row],[15/05/2018]])</f>
        <v>0</v>
      </c>
      <c r="BB4">
        <f>IF(ISBLANK(Tabla7[[#This Row],[15/06/2018]]),0,Tabla7[[#This Row],[15/06/2018]])</f>
        <v>0</v>
      </c>
      <c r="BC4">
        <f>IF(ISBLANK(Tabla7[[#This Row],[15/07/2018]]),0,Tabla7[[#This Row],[15/07/2018]])</f>
        <v>0</v>
      </c>
      <c r="BD4">
        <f>IF(ISBLANK(Tabla7[[#This Row],[15/08/2018]]),0,Tabla7[[#This Row],[15/08/2018]])</f>
        <v>0</v>
      </c>
      <c r="BE4">
        <f>IF(ISBLANK(Tabla7[[#This Row],[15/09/2018]]),0,Tabla7[[#This Row],[15/09/2018]])</f>
        <v>0</v>
      </c>
      <c r="BF4">
        <f>IF(ISBLANK(Tabla7[[#This Row],[15/10/2018]]),0,Tabla7[[#This Row],[15/10/2018]])</f>
        <v>0</v>
      </c>
      <c r="BG4">
        <f>IF(ISBLANK(Tabla7[[#This Row],[15/11/2018]]),0,Tabla7[[#This Row],[15/11/2018]])</f>
        <v>0</v>
      </c>
      <c r="BH4">
        <f>IF(ISBLANK(Tabla7[[#This Row],[15/12/2018]]),0,Tabla7[[#This Row],[15/12/2018]])</f>
        <v>0</v>
      </c>
      <c r="BI4">
        <f>IF(ISBLANK(Tabla7[[#This Row],[28/12/2018]]),0,Tabla7[[#This Row],[28/12/2018]])</f>
        <v>0</v>
      </c>
      <c r="BN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('5356221','SBAJA','BSCT08','BAJA','39979 CARPORT SAGUNTO, S.L.         ','Torre Alumbrado centro 2','','');</v>
      </c>
      <c r="BO4" t="s">
        <v>243</v>
      </c>
      <c r="BP4" s="632" t="str">
        <f>CONCATENATE("insert into lecturas values ","('",Tabla7[[#This Row],[CONTADOR]],"',STR_TO_DATE('",Tabla7[[#Headers],[31/12/2017]],"','%d/%m/%Y'),",AV4,"),","('",Tabla7[[#This Row],[CONTADOR]],"',STR_TO_DATE('",Tabla7[[#Headers],[15/01/2018]],"','%d/%m/%Y'),",AW4,"),","('",Tabla7[[#This Row],[CONTADOR]],"',STR_TO_DATE('",Tabla7[[#Headers],[15/02/2018]],"','%d/%m/%Y'),",AX4,"),","('",Tabla7[[#This Row],[CONTADOR]],"',STR_TO_DATE('",Tabla7[[#Headers],[15/03/2018]],"','%d/%m/%Y'),",AY4,"),","('",Tabla7[[#This Row],[CONTADOR]],"',STR_TO_DATE('",Tabla7[[#Headers],[15/04/2018]],"','%d/%m/%Y'),",AZ4,"),","('",Tabla7[[#This Row],[CONTADOR]],"',STR_TO_DATE('",Tabla7[[#Headers],[15/05/2018]],"','%d/%m/%Y'),",BA4,"),","('",Tabla7[[#This Row],[CONTADOR]],"',STR_TO_DATE('",Tabla7[[#Headers],[15/06/2018]],"','%d/%m/%Y'),",BB4,"),","('",Tabla7[[#This Row],[CONTADOR]],"',STR_TO_DATE('",Tabla7[[#Headers],[15/07/2018]],"','%d/%m/%Y'),",BC4,"),","('",Tabla7[[#This Row],[CONTADOR]],"',STR_TO_DATE('",Tabla7[[#Headers],[15/08/2018]],"','%d/%m/%Y'),",BD4,"),","('",Tabla7[[#This Row],[CONTADOR]],"',STR_TO_DATE('",Tabla7[[#Headers],[15/09/2018]],"','%d/%m/%Y'),",BE4,"),","('",Tabla7[[#This Row],[CONTADOR]],"',STR_TO_DATE('",Tabla7[[#Headers],[15/10/2018]],"','%d/%m/%Y'),",BF4,"),","('",Tabla7[[#This Row],[CONTADOR]],"',STR_TO_DATE('",Tabla7[[#Headers],[15/11/2018]],"','%d/%m/%Y'),",BG4,"),","('",Tabla7[[#This Row],[CONTADOR]],"',STR_TO_DATE('",Tabla7[[#Headers],[15/12/2018]],"','%d/%m/%Y'),",BH4,");")</f>
        <v>insert into lecturas values ('5356221',STR_TO_DATE('31/12/2017','%d/%m/%Y'),0),('5356221',STR_TO_DATE('15/01/2018','%d/%m/%Y'),0),('5356221',STR_TO_DATE('15/02/2018','%d/%m/%Y'),0),('5356221',STR_TO_DATE('15/03/2018','%d/%m/%Y'),0),('5356221',STR_TO_DATE('15/04/2018','%d/%m/%Y'),0),('5356221',STR_TO_DATE('15/05/2018','%d/%m/%Y'),0),('5356221',STR_TO_DATE('15/06/2018','%d/%m/%Y'),0),('5356221',STR_TO_DATE('15/07/2018','%d/%m/%Y'),0),('5356221',STR_TO_DATE('15/08/2018','%d/%m/%Y'),0),('5356221',STR_TO_DATE('15/09/2018','%d/%m/%Y'),0),('5356221',STR_TO_DATE('15/10/2018','%d/%m/%Y'),0),('5356221',STR_TO_DATE('15/11/2018','%d/%m/%Y'),0),('5356221',STR_TO_DATE('15/12/2018','%d/%m/%Y'),0);</v>
      </c>
    </row>
    <row r="5" spans="1:68" ht="18" customHeight="1" x14ac:dyDescent="0.3">
      <c r="A5" s="372" t="s">
        <v>1175</v>
      </c>
      <c r="B5" s="60" t="s">
        <v>1060</v>
      </c>
      <c r="C5" s="373">
        <v>10121</v>
      </c>
      <c r="D5" s="374" t="s">
        <v>1090</v>
      </c>
      <c r="E5" s="375" t="s">
        <v>1060</v>
      </c>
      <c r="F5" s="376" t="s">
        <v>1066</v>
      </c>
      <c r="G5" s="376" t="s">
        <v>596</v>
      </c>
      <c r="H5" s="381" t="s">
        <v>596</v>
      </c>
      <c r="I5" s="376" t="s">
        <v>595</v>
      </c>
      <c r="J5" s="376"/>
      <c r="K5" s="376"/>
      <c r="L5" s="376"/>
      <c r="M5" s="376"/>
      <c r="N5" s="376"/>
      <c r="O5" s="376"/>
      <c r="P5" s="454"/>
      <c r="Q5" s="376"/>
      <c r="R5" s="377"/>
      <c r="S5" s="377"/>
      <c r="T5" s="376"/>
      <c r="U5" s="519"/>
      <c r="V5" s="379"/>
      <c r="W5" s="376"/>
      <c r="X5" s="376"/>
      <c r="Y5" s="376" t="str">
        <f t="shared" si="0"/>
        <v/>
      </c>
      <c r="Z5" s="376" t="str">
        <f t="shared" si="0"/>
        <v/>
      </c>
      <c r="AA5" s="376" t="str">
        <f t="shared" si="0"/>
        <v/>
      </c>
      <c r="AB5" s="376" t="str">
        <f t="shared" si="0"/>
        <v/>
      </c>
      <c r="AC5" s="376" t="str">
        <f t="shared" si="0"/>
        <v/>
      </c>
      <c r="AD5" s="376" t="str">
        <f t="shared" si="0"/>
        <v/>
      </c>
      <c r="AE5" s="376" t="str">
        <f t="shared" si="0"/>
        <v/>
      </c>
      <c r="AF5" s="376" t="str">
        <f t="shared" si="0"/>
        <v/>
      </c>
      <c r="AG5" s="376" t="str">
        <f t="shared" si="0"/>
        <v/>
      </c>
      <c r="AH5" s="376" t="str">
        <f t="shared" si="0"/>
        <v/>
      </c>
      <c r="AI5" s="376" t="str">
        <f t="shared" si="0"/>
        <v/>
      </c>
      <c r="AJ5" s="376" t="str">
        <f t="shared" si="0"/>
        <v/>
      </c>
      <c r="AK5" s="408">
        <v>1</v>
      </c>
      <c r="AL5" s="377">
        <f t="shared" ca="1" si="1"/>
        <v>0</v>
      </c>
      <c r="AM5" s="383">
        <f t="shared" ca="1" si="2"/>
        <v>0</v>
      </c>
      <c r="AN5" s="377" t="str">
        <f ca="1">IF(AND(Tabla7[[#This Row],[UltLec]]&lt;&gt;0,Tabla7[[#This Row],[PenLect]]&lt;&gt;0),(AM5-AL5)*Tabla7[[#This Row],[RT]],"N/A")</f>
        <v>N/A</v>
      </c>
      <c r="AO5" s="380" t="s">
        <v>1281</v>
      </c>
      <c r="AP5" s="433" t="s">
        <v>1190</v>
      </c>
      <c r="AQ5" s="433" t="s">
        <v>1189</v>
      </c>
      <c r="AR5" s="409">
        <f t="shared" si="3"/>
        <v>0</v>
      </c>
      <c r="AT5" s="2" t="e">
        <f t="shared" ca="1" si="4"/>
        <v>#VALUE!</v>
      </c>
      <c r="AV5">
        <f>IF(ISBLANK(Tabla7[[#This Row],[31/12/2017]]),0,Tabla7[[#This Row],[31/12/2017]])</f>
        <v>0</v>
      </c>
      <c r="AW5">
        <f>IF(ISBLANK(Tabla7[[#This Row],[15/01/2018]]),0,Tabla7[[#This Row],[15/01/2018]])</f>
        <v>0</v>
      </c>
      <c r="AX5">
        <f>IF(ISBLANK(Tabla7[[#This Row],[15/02/2018]]),0,Tabla7[[#This Row],[15/02/2018]])</f>
        <v>0</v>
      </c>
      <c r="AY5">
        <f>IF(ISBLANK(Tabla7[[#This Row],[15/03/2018]]),0,Tabla7[[#This Row],[15/03/2018]])</f>
        <v>0</v>
      </c>
      <c r="AZ5">
        <f>IF(ISBLANK(Tabla7[[#This Row],[15/04/2018]]),0,Tabla7[[#This Row],[15/04/2018]])</f>
        <v>0</v>
      </c>
      <c r="BA5">
        <f>IF(ISBLANK(Tabla7[[#This Row],[15/05/2018]]),0,Tabla7[[#This Row],[15/05/2018]])</f>
        <v>0</v>
      </c>
      <c r="BB5">
        <f>IF(ISBLANK(Tabla7[[#This Row],[15/06/2018]]),0,Tabla7[[#This Row],[15/06/2018]])</f>
        <v>0</v>
      </c>
      <c r="BC5">
        <f>IF(ISBLANK(Tabla7[[#This Row],[15/07/2018]]),0,Tabla7[[#This Row],[15/07/2018]])</f>
        <v>0</v>
      </c>
      <c r="BD5">
        <f>IF(ISBLANK(Tabla7[[#This Row],[15/08/2018]]),0,Tabla7[[#This Row],[15/08/2018]])</f>
        <v>0</v>
      </c>
      <c r="BE5">
        <f>IF(ISBLANK(Tabla7[[#This Row],[15/09/2018]]),0,Tabla7[[#This Row],[15/09/2018]])</f>
        <v>0</v>
      </c>
      <c r="BF5">
        <f>IF(ISBLANK(Tabla7[[#This Row],[15/10/2018]]),0,Tabla7[[#This Row],[15/10/2018]])</f>
        <v>0</v>
      </c>
      <c r="BG5">
        <f>IF(ISBLANK(Tabla7[[#This Row],[15/11/2018]]),0,Tabla7[[#This Row],[15/11/2018]])</f>
        <v>0</v>
      </c>
      <c r="BH5">
        <f>IF(ISBLANK(Tabla7[[#This Row],[15/12/2018]]),0,Tabla7[[#This Row],[15/12/2018]])</f>
        <v>0</v>
      </c>
      <c r="BI5">
        <f>IF(ISBLANK(Tabla7[[#This Row],[28/12/2018]]),0,Tabla7[[#This Row],[28/12/2018]])</f>
        <v>0</v>
      </c>
      <c r="BN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('10121','SBAJA','BSCT12','BAJA','39392 CARPORT SAGUNTO, S.L.         ','Torre Alumbrado Sur 2 1','Torre Alumbrado Sur 2 1','No se puede acceder a lecturas');</v>
      </c>
      <c r="BO5" t="s">
        <v>243</v>
      </c>
      <c r="BP5" s="632" t="str">
        <f>CONCATENATE("insert into lecturas values ","('",Tabla7[[#This Row],[CONTADOR]],"',STR_TO_DATE('",Tabla7[[#Headers],[31/12/2017]],"','%d/%m/%Y'),",AV5,"),","('",Tabla7[[#This Row],[CONTADOR]],"',STR_TO_DATE('",Tabla7[[#Headers],[15/01/2018]],"','%d/%m/%Y'),",AW5,"),","('",Tabla7[[#This Row],[CONTADOR]],"',STR_TO_DATE('",Tabla7[[#Headers],[15/02/2018]],"','%d/%m/%Y'),",AX5,"),","('",Tabla7[[#This Row],[CONTADOR]],"',STR_TO_DATE('",Tabla7[[#Headers],[15/03/2018]],"','%d/%m/%Y'),",AY5,"),","('",Tabla7[[#This Row],[CONTADOR]],"',STR_TO_DATE('",Tabla7[[#Headers],[15/04/2018]],"','%d/%m/%Y'),",AZ5,"),","('",Tabla7[[#This Row],[CONTADOR]],"',STR_TO_DATE('",Tabla7[[#Headers],[15/05/2018]],"','%d/%m/%Y'),",BA5,"),","('",Tabla7[[#This Row],[CONTADOR]],"',STR_TO_DATE('",Tabla7[[#Headers],[15/06/2018]],"','%d/%m/%Y'),",BB5,"),","('",Tabla7[[#This Row],[CONTADOR]],"',STR_TO_DATE('",Tabla7[[#Headers],[15/07/2018]],"','%d/%m/%Y'),",BC5,"),","('",Tabla7[[#This Row],[CONTADOR]],"',STR_TO_DATE('",Tabla7[[#Headers],[15/08/2018]],"','%d/%m/%Y'),",BD5,"),","('",Tabla7[[#This Row],[CONTADOR]],"',STR_TO_DATE('",Tabla7[[#Headers],[15/09/2018]],"','%d/%m/%Y'),",BE5,"),","('",Tabla7[[#This Row],[CONTADOR]],"',STR_TO_DATE('",Tabla7[[#Headers],[15/10/2018]],"','%d/%m/%Y'),",BF5,"),","('",Tabla7[[#This Row],[CONTADOR]],"',STR_TO_DATE('",Tabla7[[#Headers],[15/11/2018]],"','%d/%m/%Y'),",BG5,"),","('",Tabla7[[#This Row],[CONTADOR]],"',STR_TO_DATE('",Tabla7[[#Headers],[15/12/2018]],"','%d/%m/%Y'),",BH5,");")</f>
        <v>insert into lecturas values ('10121',STR_TO_DATE('31/12/2017','%d/%m/%Y'),0),('10121',STR_TO_DATE('15/01/2018','%d/%m/%Y'),0),('10121',STR_TO_DATE('15/02/2018','%d/%m/%Y'),0),('10121',STR_TO_DATE('15/03/2018','%d/%m/%Y'),0),('10121',STR_TO_DATE('15/04/2018','%d/%m/%Y'),0),('10121',STR_TO_DATE('15/05/2018','%d/%m/%Y'),0),('10121',STR_TO_DATE('15/06/2018','%d/%m/%Y'),0),('10121',STR_TO_DATE('15/07/2018','%d/%m/%Y'),0),('10121',STR_TO_DATE('15/08/2018','%d/%m/%Y'),0),('10121',STR_TO_DATE('15/09/2018','%d/%m/%Y'),0),('10121',STR_TO_DATE('15/10/2018','%d/%m/%Y'),0),('10121',STR_TO_DATE('15/11/2018','%d/%m/%Y'),0),('10121',STR_TO_DATE('15/12/2018','%d/%m/%Y'),0);</v>
      </c>
    </row>
    <row r="6" spans="1:68" ht="18" customHeight="1" x14ac:dyDescent="0.3">
      <c r="A6" s="372" t="s">
        <v>1175</v>
      </c>
      <c r="B6" s="60" t="s">
        <v>1060</v>
      </c>
      <c r="C6" s="522">
        <v>10122</v>
      </c>
      <c r="D6" s="374" t="s">
        <v>1090</v>
      </c>
      <c r="E6" s="375" t="s">
        <v>1060</v>
      </c>
      <c r="F6" s="377" t="s">
        <v>1067</v>
      </c>
      <c r="G6" s="377" t="s">
        <v>594</v>
      </c>
      <c r="H6" s="381" t="s">
        <v>594</v>
      </c>
      <c r="I6" s="376" t="s">
        <v>595</v>
      </c>
      <c r="J6" s="376"/>
      <c r="K6" s="377"/>
      <c r="L6" s="376"/>
      <c r="M6" s="376"/>
      <c r="N6" s="376"/>
      <c r="O6" s="376"/>
      <c r="P6" s="454"/>
      <c r="Q6" s="376"/>
      <c r="R6" s="377"/>
      <c r="S6" s="376"/>
      <c r="T6" s="377"/>
      <c r="U6" s="383"/>
      <c r="V6" s="379"/>
      <c r="W6" s="376"/>
      <c r="X6" s="376"/>
      <c r="Y6" s="376" t="str">
        <f t="shared" si="0"/>
        <v/>
      </c>
      <c r="Z6" s="376" t="str">
        <f t="shared" si="0"/>
        <v/>
      </c>
      <c r="AA6" s="376" t="str">
        <f t="shared" si="0"/>
        <v/>
      </c>
      <c r="AB6" s="376" t="str">
        <f t="shared" si="0"/>
        <v/>
      </c>
      <c r="AC6" s="376" t="str">
        <f t="shared" si="0"/>
        <v/>
      </c>
      <c r="AD6" s="376" t="str">
        <f t="shared" si="0"/>
        <v/>
      </c>
      <c r="AE6" s="376" t="str">
        <f t="shared" si="0"/>
        <v/>
      </c>
      <c r="AF6" s="376" t="str">
        <f t="shared" si="0"/>
        <v/>
      </c>
      <c r="AG6" s="376" t="str">
        <f t="shared" si="0"/>
        <v/>
      </c>
      <c r="AH6" s="376" t="str">
        <f t="shared" si="0"/>
        <v/>
      </c>
      <c r="AI6" s="376" t="str">
        <f t="shared" si="0"/>
        <v/>
      </c>
      <c r="AJ6" s="376" t="str">
        <f t="shared" si="0"/>
        <v/>
      </c>
      <c r="AK6" s="408">
        <v>1</v>
      </c>
      <c r="AL6" s="377">
        <f t="shared" ca="1" si="1"/>
        <v>0</v>
      </c>
      <c r="AM6" s="383">
        <f t="shared" ca="1" si="2"/>
        <v>0</v>
      </c>
      <c r="AN6" s="377" t="str">
        <f ca="1">IF(AND(Tabla7[[#This Row],[UltLec]]&lt;&gt;0,Tabla7[[#This Row],[PenLect]]&lt;&gt;0),(AM6-AL6)*Tabla7[[#This Row],[RT]],"N/A")</f>
        <v>N/A</v>
      </c>
      <c r="AO6" s="424" t="s">
        <v>1281</v>
      </c>
      <c r="AP6" s="433" t="s">
        <v>1190</v>
      </c>
      <c r="AQ6" s="433" t="s">
        <v>1189</v>
      </c>
      <c r="AR6" s="425">
        <f t="shared" si="3"/>
        <v>0</v>
      </c>
      <c r="AT6" s="2" t="e">
        <f t="shared" ca="1" si="4"/>
        <v>#VALUE!</v>
      </c>
      <c r="AV6">
        <f>IF(ISBLANK(Tabla7[[#This Row],[31/12/2017]]),0,Tabla7[[#This Row],[31/12/2017]])</f>
        <v>0</v>
      </c>
      <c r="AW6">
        <f>IF(ISBLANK(Tabla7[[#This Row],[15/01/2018]]),0,Tabla7[[#This Row],[15/01/2018]])</f>
        <v>0</v>
      </c>
      <c r="AX6">
        <f>IF(ISBLANK(Tabla7[[#This Row],[15/02/2018]]),0,Tabla7[[#This Row],[15/02/2018]])</f>
        <v>0</v>
      </c>
      <c r="AY6">
        <f>IF(ISBLANK(Tabla7[[#This Row],[15/03/2018]]),0,Tabla7[[#This Row],[15/03/2018]])</f>
        <v>0</v>
      </c>
      <c r="AZ6">
        <f>IF(ISBLANK(Tabla7[[#This Row],[15/04/2018]]),0,Tabla7[[#This Row],[15/04/2018]])</f>
        <v>0</v>
      </c>
      <c r="BA6">
        <f>IF(ISBLANK(Tabla7[[#This Row],[15/05/2018]]),0,Tabla7[[#This Row],[15/05/2018]])</f>
        <v>0</v>
      </c>
      <c r="BB6">
        <f>IF(ISBLANK(Tabla7[[#This Row],[15/06/2018]]),0,Tabla7[[#This Row],[15/06/2018]])</f>
        <v>0</v>
      </c>
      <c r="BC6">
        <f>IF(ISBLANK(Tabla7[[#This Row],[15/07/2018]]),0,Tabla7[[#This Row],[15/07/2018]])</f>
        <v>0</v>
      </c>
      <c r="BD6">
        <f>IF(ISBLANK(Tabla7[[#This Row],[15/08/2018]]),0,Tabla7[[#This Row],[15/08/2018]])</f>
        <v>0</v>
      </c>
      <c r="BE6">
        <f>IF(ISBLANK(Tabla7[[#This Row],[15/09/2018]]),0,Tabla7[[#This Row],[15/09/2018]])</f>
        <v>0</v>
      </c>
      <c r="BF6">
        <f>IF(ISBLANK(Tabla7[[#This Row],[15/10/2018]]),0,Tabla7[[#This Row],[15/10/2018]])</f>
        <v>0</v>
      </c>
      <c r="BG6">
        <f>IF(ISBLANK(Tabla7[[#This Row],[15/11/2018]]),0,Tabla7[[#This Row],[15/11/2018]])</f>
        <v>0</v>
      </c>
      <c r="BH6">
        <f>IF(ISBLANK(Tabla7[[#This Row],[15/12/2018]]),0,Tabla7[[#This Row],[15/12/2018]])</f>
        <v>0</v>
      </c>
      <c r="BI6">
        <f>IF(ISBLANK(Tabla7[[#This Row],[28/12/2018]]),0,Tabla7[[#This Row],[28/12/2018]])</f>
        <v>0</v>
      </c>
      <c r="BN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('10122','SBAJA','BSCT12','BAJA','39391 CARPORT SAGUNTO, S.L.         ','Torre Alumbrado Sur 2 2','Torre Alumbrado Sur 2 2','No se puede acceder a lecturas');</v>
      </c>
      <c r="BO6" t="s">
        <v>243</v>
      </c>
      <c r="BP6" s="632" t="str">
        <f>CONCATENATE("insert into lecturas values ","('",Tabla7[[#This Row],[CONTADOR]],"',STR_TO_DATE('",Tabla7[[#Headers],[31/12/2017]],"','%d/%m/%Y'),",AV6,"),","('",Tabla7[[#This Row],[CONTADOR]],"',STR_TO_DATE('",Tabla7[[#Headers],[15/01/2018]],"','%d/%m/%Y'),",AW6,"),","('",Tabla7[[#This Row],[CONTADOR]],"',STR_TO_DATE('",Tabla7[[#Headers],[15/02/2018]],"','%d/%m/%Y'),",AX6,"),","('",Tabla7[[#This Row],[CONTADOR]],"',STR_TO_DATE('",Tabla7[[#Headers],[15/03/2018]],"','%d/%m/%Y'),",AY6,"),","('",Tabla7[[#This Row],[CONTADOR]],"',STR_TO_DATE('",Tabla7[[#Headers],[15/04/2018]],"','%d/%m/%Y'),",AZ6,"),","('",Tabla7[[#This Row],[CONTADOR]],"',STR_TO_DATE('",Tabla7[[#Headers],[15/05/2018]],"','%d/%m/%Y'),",BA6,"),","('",Tabla7[[#This Row],[CONTADOR]],"',STR_TO_DATE('",Tabla7[[#Headers],[15/06/2018]],"','%d/%m/%Y'),",BB6,"),","('",Tabla7[[#This Row],[CONTADOR]],"',STR_TO_DATE('",Tabla7[[#Headers],[15/07/2018]],"','%d/%m/%Y'),",BC6,"),","('",Tabla7[[#This Row],[CONTADOR]],"',STR_TO_DATE('",Tabla7[[#Headers],[15/08/2018]],"','%d/%m/%Y'),",BD6,"),","('",Tabla7[[#This Row],[CONTADOR]],"',STR_TO_DATE('",Tabla7[[#Headers],[15/09/2018]],"','%d/%m/%Y'),",BE6,"),","('",Tabla7[[#This Row],[CONTADOR]],"',STR_TO_DATE('",Tabla7[[#Headers],[15/10/2018]],"','%d/%m/%Y'),",BF6,"),","('",Tabla7[[#This Row],[CONTADOR]],"',STR_TO_DATE('",Tabla7[[#Headers],[15/11/2018]],"','%d/%m/%Y'),",BG6,"),","('",Tabla7[[#This Row],[CONTADOR]],"',STR_TO_DATE('",Tabla7[[#Headers],[15/12/2018]],"','%d/%m/%Y'),",BH6,");")</f>
        <v>insert into lecturas values ('10122',STR_TO_DATE('31/12/2017','%d/%m/%Y'),0),('10122',STR_TO_DATE('15/01/2018','%d/%m/%Y'),0),('10122',STR_TO_DATE('15/02/2018','%d/%m/%Y'),0),('10122',STR_TO_DATE('15/03/2018','%d/%m/%Y'),0),('10122',STR_TO_DATE('15/04/2018','%d/%m/%Y'),0),('10122',STR_TO_DATE('15/05/2018','%d/%m/%Y'),0),('10122',STR_TO_DATE('15/06/2018','%d/%m/%Y'),0),('10122',STR_TO_DATE('15/07/2018','%d/%m/%Y'),0),('10122',STR_TO_DATE('15/08/2018','%d/%m/%Y'),0),('10122',STR_TO_DATE('15/09/2018','%d/%m/%Y'),0),('10122',STR_TO_DATE('15/10/2018','%d/%m/%Y'),0),('10122',STR_TO_DATE('15/11/2018','%d/%m/%Y'),0),('10122',STR_TO_DATE('15/12/2018','%d/%m/%Y'),0);</v>
      </c>
    </row>
    <row r="7" spans="1:68" ht="18" customHeight="1" x14ac:dyDescent="0.25">
      <c r="A7" s="241" t="s">
        <v>743</v>
      </c>
      <c r="B7" s="483"/>
      <c r="C7" s="223">
        <v>78226859</v>
      </c>
      <c r="D7" s="273" t="s">
        <v>615</v>
      </c>
      <c r="E7" s="258">
        <v>0</v>
      </c>
      <c r="F7" s="274" t="s">
        <v>21</v>
      </c>
      <c r="G7" s="274" t="s">
        <v>616</v>
      </c>
      <c r="H7" s="274" t="s">
        <v>1391</v>
      </c>
      <c r="I7" s="2"/>
      <c r="J7" s="274">
        <v>16546510</v>
      </c>
      <c r="K7" s="274">
        <v>16603699</v>
      </c>
      <c r="L7" s="311">
        <v>16702778</v>
      </c>
      <c r="M7" s="311">
        <v>16845675</v>
      </c>
      <c r="N7" s="311">
        <v>16940351</v>
      </c>
      <c r="O7" s="311">
        <v>17049248</v>
      </c>
      <c r="P7" s="454">
        <v>17181117</v>
      </c>
      <c r="Q7" s="311">
        <v>17302739</v>
      </c>
      <c r="R7" s="311">
        <v>17435174</v>
      </c>
      <c r="S7" s="353">
        <v>17545099</v>
      </c>
      <c r="T7" s="353">
        <v>17639107</v>
      </c>
      <c r="U7" s="353">
        <v>17749806</v>
      </c>
      <c r="V7" s="353">
        <v>17849660</v>
      </c>
      <c r="W7" s="274"/>
      <c r="X7" s="274"/>
      <c r="Y7" s="2">
        <f t="shared" si="0"/>
        <v>57189</v>
      </c>
      <c r="Z7" s="2">
        <f t="shared" si="0"/>
        <v>99079</v>
      </c>
      <c r="AA7" s="2">
        <f t="shared" si="0"/>
        <v>142897</v>
      </c>
      <c r="AB7" s="2">
        <f t="shared" si="0"/>
        <v>94676</v>
      </c>
      <c r="AC7" s="2">
        <f t="shared" si="0"/>
        <v>108897</v>
      </c>
      <c r="AD7" s="2">
        <f t="shared" si="0"/>
        <v>131869</v>
      </c>
      <c r="AE7" s="2">
        <f t="shared" si="0"/>
        <v>121622</v>
      </c>
      <c r="AF7" s="2">
        <f t="shared" si="0"/>
        <v>132435</v>
      </c>
      <c r="AG7" s="2">
        <f t="shared" si="0"/>
        <v>109925</v>
      </c>
      <c r="AH7" s="2">
        <f t="shared" si="0"/>
        <v>94008</v>
      </c>
      <c r="AI7" s="2">
        <f t="shared" si="0"/>
        <v>110699</v>
      </c>
      <c r="AJ7" s="2">
        <f t="shared" si="0"/>
        <v>99854</v>
      </c>
      <c r="AK7" s="406">
        <v>1</v>
      </c>
      <c r="AL7" s="274">
        <f t="shared" ca="1" si="1"/>
        <v>16940351</v>
      </c>
      <c r="AM7" s="311">
        <f t="shared" ca="1" si="2"/>
        <v>17049248</v>
      </c>
      <c r="AN7" s="274">
        <f ca="1">IF(AND(Tabla7[[#This Row],[UltLec]]&lt;&gt;0,Tabla7[[#This Row],[PenLect]]&lt;&gt;0),(AM7-AL7)*Tabla7[[#This Row],[RT]],"N/A")</f>
        <v>108897</v>
      </c>
      <c r="AO7" s="273" t="s">
        <v>910</v>
      </c>
      <c r="AP7" s="392" t="s">
        <v>1190</v>
      </c>
      <c r="AQ7" s="392" t="s">
        <v>1189</v>
      </c>
      <c r="AR7" s="407">
        <f t="shared" si="3"/>
        <v>0</v>
      </c>
      <c r="AT7" s="2">
        <f t="shared" ca="1" si="4"/>
        <v>1.1502070218429168</v>
      </c>
      <c r="AU7" s="266"/>
      <c r="AV7">
        <f>IF(ISBLANK(Tabla7[[#This Row],[31/12/2017]]),0,Tabla7[[#This Row],[31/12/2017]])</f>
        <v>16546510</v>
      </c>
      <c r="AW7">
        <f>IF(ISBLANK(Tabla7[[#This Row],[15/01/2018]]),0,Tabla7[[#This Row],[15/01/2018]])</f>
        <v>16603699</v>
      </c>
      <c r="AX7">
        <f>IF(ISBLANK(Tabla7[[#This Row],[15/02/2018]]),0,Tabla7[[#This Row],[15/02/2018]])</f>
        <v>16702778</v>
      </c>
      <c r="AY7">
        <f>IF(ISBLANK(Tabla7[[#This Row],[15/03/2018]]),0,Tabla7[[#This Row],[15/03/2018]])</f>
        <v>16845675</v>
      </c>
      <c r="AZ7">
        <f>IF(ISBLANK(Tabla7[[#This Row],[15/04/2018]]),0,Tabla7[[#This Row],[15/04/2018]])</f>
        <v>16940351</v>
      </c>
      <c r="BA7">
        <f>IF(ISBLANK(Tabla7[[#This Row],[15/05/2018]]),0,Tabla7[[#This Row],[15/05/2018]])</f>
        <v>17049248</v>
      </c>
      <c r="BB7">
        <f>IF(ISBLANK(Tabla7[[#This Row],[15/06/2018]]),0,Tabla7[[#This Row],[15/06/2018]])</f>
        <v>17181117</v>
      </c>
      <c r="BC7">
        <f>IF(ISBLANK(Tabla7[[#This Row],[15/07/2018]]),0,Tabla7[[#This Row],[15/07/2018]])</f>
        <v>17302739</v>
      </c>
      <c r="BD7">
        <f>IF(ISBLANK(Tabla7[[#This Row],[15/08/2018]]),0,Tabla7[[#This Row],[15/08/2018]])</f>
        <v>17435174</v>
      </c>
      <c r="BE7">
        <f>IF(ISBLANK(Tabla7[[#This Row],[15/09/2018]]),0,Tabla7[[#This Row],[15/09/2018]])</f>
        <v>17545099</v>
      </c>
      <c r="BF7">
        <f>IF(ISBLANK(Tabla7[[#This Row],[15/10/2018]]),0,Tabla7[[#This Row],[15/10/2018]])</f>
        <v>17639107</v>
      </c>
      <c r="BG7">
        <f>IF(ISBLANK(Tabla7[[#This Row],[15/11/2018]]),0,Tabla7[[#This Row],[15/11/2018]])</f>
        <v>17749806</v>
      </c>
      <c r="BH7">
        <f>IF(ISBLANK(Tabla7[[#This Row],[15/12/2018]]),0,Tabla7[[#This Row],[15/12/2018]])</f>
        <v>17849660</v>
      </c>
      <c r="BI7">
        <f>IF(ISBLANK(Tabla7[[#This Row],[28/12/2018]]),0,Tabla7[[#This Row],[28/12/2018]])</f>
        <v>0</v>
      </c>
      <c r="BN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('78226859','GTOT','GCDD','0','APV','Centro Distrib. Recinto Palmera','Red MT APV','');</v>
      </c>
      <c r="BO7" t="s">
        <v>243</v>
      </c>
      <c r="BP7" s="632" t="str">
        <f>CONCATENATE("insert into lecturas values ","('",Tabla7[[#This Row],[CONTADOR]],"',STR_TO_DATE('",Tabla7[[#Headers],[31/12/2017]],"','%d/%m/%Y'),",AV7,"),","('",Tabla7[[#This Row],[CONTADOR]],"',STR_TO_DATE('",Tabla7[[#Headers],[15/01/2018]],"','%d/%m/%Y'),",AW7,"),","('",Tabla7[[#This Row],[CONTADOR]],"',STR_TO_DATE('",Tabla7[[#Headers],[15/02/2018]],"','%d/%m/%Y'),",AX7,"),","('",Tabla7[[#This Row],[CONTADOR]],"',STR_TO_DATE('",Tabla7[[#Headers],[15/03/2018]],"','%d/%m/%Y'),",AY7,"),","('",Tabla7[[#This Row],[CONTADOR]],"',STR_TO_DATE('",Tabla7[[#Headers],[15/04/2018]],"','%d/%m/%Y'),",AZ7,"),","('",Tabla7[[#This Row],[CONTADOR]],"',STR_TO_DATE('",Tabla7[[#Headers],[15/05/2018]],"','%d/%m/%Y'),",BA7,"),","('",Tabla7[[#This Row],[CONTADOR]],"',STR_TO_DATE('",Tabla7[[#Headers],[15/06/2018]],"','%d/%m/%Y'),",BB7,"),","('",Tabla7[[#This Row],[CONTADOR]],"',STR_TO_DATE('",Tabla7[[#Headers],[15/07/2018]],"','%d/%m/%Y'),",BC7,"),","('",Tabla7[[#This Row],[CONTADOR]],"',STR_TO_DATE('",Tabla7[[#Headers],[15/08/2018]],"','%d/%m/%Y'),",BD7,"),","('",Tabla7[[#This Row],[CONTADOR]],"',STR_TO_DATE('",Tabla7[[#Headers],[15/09/2018]],"','%d/%m/%Y'),",BE7,"),","('",Tabla7[[#This Row],[CONTADOR]],"',STR_TO_DATE('",Tabla7[[#Headers],[15/10/2018]],"','%d/%m/%Y'),",BF7,"),","('",Tabla7[[#This Row],[CONTADOR]],"',STR_TO_DATE('",Tabla7[[#Headers],[15/11/2018]],"','%d/%m/%Y'),",BG7,"),","('",Tabla7[[#This Row],[CONTADOR]],"',STR_TO_DATE('",Tabla7[[#Headers],[15/12/2018]],"','%d/%m/%Y'),",BH7,");")</f>
        <v>insert into lecturas values ('78226859',STR_TO_DATE('31/12/2017','%d/%m/%Y'),16546510),('78226859',STR_TO_DATE('15/01/2018','%d/%m/%Y'),16603699),('78226859',STR_TO_DATE('15/02/2018','%d/%m/%Y'),16702778),('78226859',STR_TO_DATE('15/03/2018','%d/%m/%Y'),16845675),('78226859',STR_TO_DATE('15/04/2018','%d/%m/%Y'),16940351),('78226859',STR_TO_DATE('15/05/2018','%d/%m/%Y'),17049248),('78226859',STR_TO_DATE('15/06/2018','%d/%m/%Y'),17181117),('78226859',STR_TO_DATE('15/07/2018','%d/%m/%Y'),17302739),('78226859',STR_TO_DATE('15/08/2018','%d/%m/%Y'),17435174),('78226859',STR_TO_DATE('15/09/2018','%d/%m/%Y'),17545099),('78226859',STR_TO_DATE('15/10/2018','%d/%m/%Y'),17639107),('78226859',STR_TO_DATE('15/11/2018','%d/%m/%Y'),17749806),('78226859',STR_TO_DATE('15/12/2018','%d/%m/%Y'),17849660);</v>
      </c>
    </row>
    <row r="8" spans="1:68" ht="18" customHeight="1" x14ac:dyDescent="0.25">
      <c r="A8" s="241" t="s">
        <v>614</v>
      </c>
      <c r="B8" s="60"/>
      <c r="C8" s="520">
        <v>79007</v>
      </c>
      <c r="D8" s="60" t="s">
        <v>617</v>
      </c>
      <c r="E8" s="258">
        <v>3</v>
      </c>
      <c r="F8" s="2" t="s">
        <v>1390</v>
      </c>
      <c r="G8" s="2" t="s">
        <v>619</v>
      </c>
      <c r="H8" s="2" t="s">
        <v>620</v>
      </c>
      <c r="I8" s="274"/>
      <c r="J8" s="2">
        <v>54812.3</v>
      </c>
      <c r="K8" s="274">
        <v>55717.2</v>
      </c>
      <c r="L8" s="2">
        <v>56886</v>
      </c>
      <c r="M8" s="311">
        <v>58209.7</v>
      </c>
      <c r="N8" s="311">
        <v>59014.5</v>
      </c>
      <c r="O8" s="311">
        <v>59713.3</v>
      </c>
      <c r="P8" s="481">
        <v>60502</v>
      </c>
      <c r="Q8" s="492">
        <v>60997.8</v>
      </c>
      <c r="R8" s="311">
        <v>61931.3</v>
      </c>
      <c r="S8" s="492">
        <v>62717.2</v>
      </c>
      <c r="T8" s="492">
        <v>63709.9</v>
      </c>
      <c r="U8" s="492">
        <v>65236.5</v>
      </c>
      <c r="V8" s="353">
        <v>66672.899999999994</v>
      </c>
      <c r="W8" s="2"/>
      <c r="X8" s="2"/>
      <c r="Y8" s="2">
        <f t="shared" si="0"/>
        <v>904.89999999999418</v>
      </c>
      <c r="Z8" s="2">
        <f t="shared" si="0"/>
        <v>1168.8000000000029</v>
      </c>
      <c r="AA8" s="2">
        <f t="shared" si="0"/>
        <v>1323.6999999999971</v>
      </c>
      <c r="AB8" s="2">
        <f t="shared" si="0"/>
        <v>804.80000000000291</v>
      </c>
      <c r="AC8" s="2">
        <f t="shared" si="0"/>
        <v>698.80000000000291</v>
      </c>
      <c r="AD8" s="2">
        <f t="shared" si="0"/>
        <v>788.69999999999709</v>
      </c>
      <c r="AE8" s="2">
        <f t="shared" si="0"/>
        <v>495.80000000000291</v>
      </c>
      <c r="AF8" s="2">
        <f t="shared" si="0"/>
        <v>933.5</v>
      </c>
      <c r="AG8" s="2">
        <f t="shared" si="0"/>
        <v>785.89999999999418</v>
      </c>
      <c r="AH8" s="2">
        <f t="shared" si="0"/>
        <v>992.70000000000437</v>
      </c>
      <c r="AI8" s="2">
        <f t="shared" si="0"/>
        <v>1526.5999999999985</v>
      </c>
      <c r="AJ8" s="2">
        <f t="shared" si="0"/>
        <v>1436.3999999999942</v>
      </c>
      <c r="AK8" s="406">
        <v>1</v>
      </c>
      <c r="AL8" s="274">
        <f t="shared" ca="1" si="1"/>
        <v>59014.5</v>
      </c>
      <c r="AM8" s="311">
        <f t="shared" ca="1" si="2"/>
        <v>59713.3</v>
      </c>
      <c r="AN8" s="274">
        <f ca="1">IF(AND(Tabla7[[#This Row],[UltLec]]&lt;&gt;0,Tabla7[[#This Row],[PenLect]]&lt;&gt;0),(AM8-AL8)*Tabla7[[#This Row],[RT]],"N/A")</f>
        <v>698.80000000000291</v>
      </c>
      <c r="AO8" s="273" t="s">
        <v>910</v>
      </c>
      <c r="AP8" s="441" t="s">
        <v>1190</v>
      </c>
      <c r="AQ8" s="441" t="s">
        <v>1189</v>
      </c>
      <c r="AR8" s="407">
        <f t="shared" si="3"/>
        <v>0</v>
      </c>
      <c r="AT8" s="2">
        <f t="shared" ca="1" si="4"/>
        <v>0.86829025844930463</v>
      </c>
      <c r="AU8" s="266"/>
      <c r="AV8">
        <f>IF(ISBLANK(Tabla7[[#This Row],[31/12/2017]]),0,Tabla7[[#This Row],[31/12/2017]])</f>
        <v>54812.3</v>
      </c>
      <c r="AW8">
        <f>IF(ISBLANK(Tabla7[[#This Row],[15/01/2018]]),0,Tabla7[[#This Row],[15/01/2018]])</f>
        <v>55717.2</v>
      </c>
      <c r="AX8">
        <f>IF(ISBLANK(Tabla7[[#This Row],[15/02/2018]]),0,Tabla7[[#This Row],[15/02/2018]])</f>
        <v>56886</v>
      </c>
      <c r="AY8">
        <f>IF(ISBLANK(Tabla7[[#This Row],[15/03/2018]]),0,Tabla7[[#This Row],[15/03/2018]])</f>
        <v>58209.7</v>
      </c>
      <c r="AZ8">
        <f>IF(ISBLANK(Tabla7[[#This Row],[15/04/2018]]),0,Tabla7[[#This Row],[15/04/2018]])</f>
        <v>59014.5</v>
      </c>
      <c r="BA8">
        <f>IF(ISBLANK(Tabla7[[#This Row],[15/05/2018]]),0,Tabla7[[#This Row],[15/05/2018]])</f>
        <v>59713.3</v>
      </c>
      <c r="BB8">
        <f>IF(ISBLANK(Tabla7[[#This Row],[15/06/2018]]),0,Tabla7[[#This Row],[15/06/2018]])</f>
        <v>60502</v>
      </c>
      <c r="BC8">
        <f>IF(ISBLANK(Tabla7[[#This Row],[15/07/2018]]),0,Tabla7[[#This Row],[15/07/2018]])</f>
        <v>60997.8</v>
      </c>
      <c r="BD8">
        <f>IF(ISBLANK(Tabla7[[#This Row],[15/08/2018]]),0,Tabla7[[#This Row],[15/08/2018]])</f>
        <v>61931.3</v>
      </c>
      <c r="BE8">
        <f>IF(ISBLANK(Tabla7[[#This Row],[15/09/2018]]),0,Tabla7[[#This Row],[15/09/2018]])</f>
        <v>62717.2</v>
      </c>
      <c r="BF8">
        <f>IF(ISBLANK(Tabla7[[#This Row],[15/10/2018]]),0,Tabla7[[#This Row],[15/10/2018]])</f>
        <v>63709.9</v>
      </c>
      <c r="BG8">
        <f>IF(ISBLANK(Tabla7[[#This Row],[15/11/2018]]),0,Tabla7[[#This Row],[15/11/2018]])</f>
        <v>65236.5</v>
      </c>
      <c r="BH8">
        <f>IF(ISBLANK(Tabla7[[#This Row],[15/12/2018]]),0,Tabla7[[#This Row],[15/12/2018]])</f>
        <v>66672.899999999994</v>
      </c>
      <c r="BI8">
        <f>IF(ISBLANK(Tabla7[[#This Row],[28/12/2018]]),0,Tabla7[[#This Row],[28/12/2018]])</f>
        <v>0</v>
      </c>
      <c r="BN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('79007','G','GCT01','3','APV-Alumbrado Exterior P.Principal','Hornacina exterior Edif. Aduana','Alumbrado Exterior P.Principal','');</v>
      </c>
      <c r="BO8" t="s">
        <v>243</v>
      </c>
      <c r="BP8" s="632" t="str">
        <f>CONCATENATE("insert into lecturas values ","('",Tabla7[[#This Row],[CONTADOR]],"',STR_TO_DATE('",Tabla7[[#Headers],[31/12/2017]],"','%d/%m/%Y'),",AV8,"),","('",Tabla7[[#This Row],[CONTADOR]],"',STR_TO_DATE('",Tabla7[[#Headers],[15/01/2018]],"','%d/%m/%Y'),",AW8,"),","('",Tabla7[[#This Row],[CONTADOR]],"',STR_TO_DATE('",Tabla7[[#Headers],[15/02/2018]],"','%d/%m/%Y'),",AX8,"),","('",Tabla7[[#This Row],[CONTADOR]],"',STR_TO_DATE('",Tabla7[[#Headers],[15/03/2018]],"','%d/%m/%Y'),",AY8,"),","('",Tabla7[[#This Row],[CONTADOR]],"',STR_TO_DATE('",Tabla7[[#Headers],[15/04/2018]],"','%d/%m/%Y'),",AZ8,"),","('",Tabla7[[#This Row],[CONTADOR]],"',STR_TO_DATE('",Tabla7[[#Headers],[15/05/2018]],"','%d/%m/%Y'),",BA8,"),","('",Tabla7[[#This Row],[CONTADOR]],"',STR_TO_DATE('",Tabla7[[#Headers],[15/06/2018]],"','%d/%m/%Y'),",BB8,"),","('",Tabla7[[#This Row],[CONTADOR]],"',STR_TO_DATE('",Tabla7[[#Headers],[15/07/2018]],"','%d/%m/%Y'),",BC8,"),","('",Tabla7[[#This Row],[CONTADOR]],"',STR_TO_DATE('",Tabla7[[#Headers],[15/08/2018]],"','%d/%m/%Y'),",BD8,"),","('",Tabla7[[#This Row],[CONTADOR]],"',STR_TO_DATE('",Tabla7[[#Headers],[15/09/2018]],"','%d/%m/%Y'),",BE8,"),","('",Tabla7[[#This Row],[CONTADOR]],"',STR_TO_DATE('",Tabla7[[#Headers],[15/10/2018]],"','%d/%m/%Y'),",BF8,"),","('",Tabla7[[#This Row],[CONTADOR]],"',STR_TO_DATE('",Tabla7[[#Headers],[15/11/2018]],"','%d/%m/%Y'),",BG8,"),","('",Tabla7[[#This Row],[CONTADOR]],"',STR_TO_DATE('",Tabla7[[#Headers],[15/12/2018]],"','%d/%m/%Y'),",BH8,");")</f>
        <v>insert into lecturas values ('79007',STR_TO_DATE('31/12/2017','%d/%m/%Y'),54812,3),('79007',STR_TO_DATE('15/01/2018','%d/%m/%Y'),55717,2),('79007',STR_TO_DATE('15/02/2018','%d/%m/%Y'),56886),('79007',STR_TO_DATE('15/03/2018','%d/%m/%Y'),58209,7),('79007',STR_TO_DATE('15/04/2018','%d/%m/%Y'),59014,5),('79007',STR_TO_DATE('15/05/2018','%d/%m/%Y'),59713,3),('79007',STR_TO_DATE('15/06/2018','%d/%m/%Y'),60502),('79007',STR_TO_DATE('15/07/2018','%d/%m/%Y'),60997,8),('79007',STR_TO_DATE('15/08/2018','%d/%m/%Y'),61931,3),('79007',STR_TO_DATE('15/09/2018','%d/%m/%Y'),62717,2),('79007',STR_TO_DATE('15/10/2018','%d/%m/%Y'),63709,9),('79007',STR_TO_DATE('15/11/2018','%d/%m/%Y'),65236,5),('79007',STR_TO_DATE('15/12/2018','%d/%m/%Y'),66672,9);</v>
      </c>
    </row>
    <row r="9" spans="1:68" ht="18.75" customHeight="1" x14ac:dyDescent="0.25">
      <c r="A9" s="241" t="s">
        <v>614</v>
      </c>
      <c r="B9" s="60"/>
      <c r="C9" s="223">
        <v>79062</v>
      </c>
      <c r="D9" s="60" t="s">
        <v>617</v>
      </c>
      <c r="E9" s="258">
        <v>3</v>
      </c>
      <c r="F9" s="274" t="s">
        <v>21</v>
      </c>
      <c r="G9" s="274" t="s">
        <v>619</v>
      </c>
      <c r="H9" s="274" t="s">
        <v>1365</v>
      </c>
      <c r="I9" s="274"/>
      <c r="J9" s="274"/>
      <c r="K9" s="274"/>
      <c r="L9" s="311"/>
      <c r="M9" s="311"/>
      <c r="N9" s="311"/>
      <c r="O9" s="311">
        <v>36975</v>
      </c>
      <c r="P9" s="481">
        <v>37459</v>
      </c>
      <c r="Q9" s="354"/>
      <c r="R9" s="311">
        <v>38966.300000000003</v>
      </c>
      <c r="S9" s="353">
        <v>39664.9</v>
      </c>
      <c r="T9" s="353">
        <v>40111.9</v>
      </c>
      <c r="U9" s="353">
        <v>40488.1</v>
      </c>
      <c r="V9" s="353">
        <v>41204.800000000003</v>
      </c>
      <c r="W9" s="274"/>
      <c r="X9" s="274"/>
      <c r="Y9" s="2" t="str">
        <f t="shared" ref="Y9:Y56" si="5">IF(OR(ISBLANK(K9),ISBLANK(J9)),"",IF(AND(K9&gt;=J9,K9-J9&lt;=K9),(K9-J9)*$AK9,"!!!!"))</f>
        <v/>
      </c>
      <c r="Z9" s="2" t="str">
        <f t="shared" ref="Z9:Z56" si="6">IF(OR(ISBLANK(L9),ISBLANK(K9)),"",IF(AND(L9&gt;=K9,L9-K9&lt;=L9),(L9-K9)*$AK9,"!!!!"))</f>
        <v/>
      </c>
      <c r="AA9" s="2" t="str">
        <f>IF(OR(ISBLANK(#REF!),ISBLANK(L9)),"",IF(AND(#REF!&gt;=L9,#REF!-L9&lt;=#REF!),(#REF!-L9)*$AK9,"!!!!"))</f>
        <v/>
      </c>
      <c r="AB9" s="2" t="str">
        <f>IF(OR(ISBLANK(N9),ISBLANK(#REF!)),"",IF(AND(N9&gt;=#REF!,N9-#REF!&lt;=N9),(N9-#REF!)*$AK9,"!!!!"))</f>
        <v/>
      </c>
      <c r="AC9" s="2" t="str">
        <f t="shared" ref="AC9:AC40" si="7">IF(OR(ISBLANK(O9),ISBLANK(N9)),"",IF(AND(O9&gt;=N9,O9-N9&lt;=O9),(O9-N9)*$AK9,"!!!!"))</f>
        <v/>
      </c>
      <c r="AD9" s="2">
        <f t="shared" ref="AD9:AD40" si="8">IF(OR(ISBLANK(P9),ISBLANK(O9)),"",IF(AND(P9&gt;=O9,P9-O9&lt;=P9),(P9-O9)*$AK9,"!!!!"))</f>
        <v>484</v>
      </c>
      <c r="AE9" s="2" t="str">
        <f t="shared" ref="AE9:AE40" si="9">IF(OR(ISBLANK(Q9),ISBLANK(P9)),"",IF(AND(Q9&gt;=P9,Q9-P9&lt;=Q9),(Q9-P9)*$AK9,"!!!!"))</f>
        <v/>
      </c>
      <c r="AF9" s="2" t="str">
        <f t="shared" ref="AF9:AF40" si="10">IF(OR(ISBLANK(R9),ISBLANK(Q9)),"",IF(AND(R9&gt;=Q9,R9-Q9&lt;=R9),(R9-Q9)*$AK9,"!!!!"))</f>
        <v/>
      </c>
      <c r="AG9" s="2">
        <f t="shared" ref="AG9:AG40" si="11">IF(OR(ISBLANK(S9),ISBLANK(R9)),"",IF(AND(S9&gt;=R9,S9-R9&lt;=S9),(S9-R9)*$AK9,"!!!!"))</f>
        <v>698.59999999999854</v>
      </c>
      <c r="AH9" s="271">
        <f t="shared" ref="AH9:AH40" si="12">IF(OR(ISBLANK(T9),ISBLANK(S9)),"",IF(AND(T9&gt;=S9,T9-S9&lt;=T9),(T9-S9)*$AK9,"!!!!"))</f>
        <v>447</v>
      </c>
      <c r="AI9" s="2">
        <f t="shared" ref="AI9:AI40" si="13">IF(OR(ISBLANK(U9),ISBLANK(T9)),"",IF(AND(U9&gt;=T9,U9-T9&lt;=U9),(U9-T9)*$AK9,"!!!!"))</f>
        <v>376.19999999999709</v>
      </c>
      <c r="AJ9" s="2">
        <f t="shared" ref="AJ9:AJ40" si="14">IF(OR(ISBLANK(V9),ISBLANK(U9)),"",IF(AND(V9&gt;=U9,V9-U9&lt;=V9),(V9-U9)*$AK9,"!!!!"))</f>
        <v>716.70000000000437</v>
      </c>
      <c r="AK9" s="406">
        <v>1</v>
      </c>
      <c r="AL9" s="412">
        <f t="shared" ca="1" si="1"/>
        <v>0</v>
      </c>
      <c r="AM9" s="311">
        <f t="shared" ca="1" si="2"/>
        <v>36975</v>
      </c>
      <c r="AN9" s="412" t="str">
        <f ca="1">IF(AND(Tabla7[[#This Row],[UltLec]]&lt;&gt;0,Tabla7[[#This Row],[PenLect]]&lt;&gt;0),(AM9-AL9)*Tabla7[[#This Row],[RT]],"N/A")</f>
        <v>N/A</v>
      </c>
      <c r="AO9" s="273" t="s">
        <v>910</v>
      </c>
      <c r="AP9" s="392" t="s">
        <v>1190</v>
      </c>
      <c r="AQ9" s="392" t="s">
        <v>1193</v>
      </c>
      <c r="AR9" s="407">
        <f t="shared" si="3"/>
        <v>0</v>
      </c>
      <c r="AT9" s="2" t="e">
        <f t="shared" ca="1" si="4"/>
        <v>#VALUE!</v>
      </c>
      <c r="AV9">
        <f>IF(ISBLANK(Tabla7[[#This Row],[31/12/2017]]),0,Tabla7[[#This Row],[31/12/2017]])</f>
        <v>0</v>
      </c>
      <c r="AW9">
        <f>IF(ISBLANK(Tabla7[[#This Row],[15/01/2018]]),0,Tabla7[[#This Row],[15/01/2018]])</f>
        <v>0</v>
      </c>
      <c r="AX9">
        <f>IF(ISBLANK(Tabla7[[#This Row],[15/02/2018]]),0,Tabla7[[#This Row],[15/02/2018]])</f>
        <v>0</v>
      </c>
      <c r="AY9">
        <f>IF(ISBLANK(Tabla7[[#This Row],[15/03/2018]]),0,Tabla7[[#This Row],[15/03/2018]])</f>
        <v>0</v>
      </c>
      <c r="AZ9">
        <f>IF(ISBLANK(Tabla7[[#This Row],[15/04/2018]]),0,Tabla7[[#This Row],[15/04/2018]])</f>
        <v>0</v>
      </c>
      <c r="BA9">
        <f>IF(ISBLANK(Tabla7[[#This Row],[15/05/2018]]),0,Tabla7[[#This Row],[15/05/2018]])</f>
        <v>36975</v>
      </c>
      <c r="BB9">
        <f>IF(ISBLANK(Tabla7[[#This Row],[15/06/2018]]),0,Tabla7[[#This Row],[15/06/2018]])</f>
        <v>37459</v>
      </c>
      <c r="BC9">
        <f>IF(ISBLANK(Tabla7[[#This Row],[15/07/2018]]),0,Tabla7[[#This Row],[15/07/2018]])</f>
        <v>0</v>
      </c>
      <c r="BD9">
        <f>IF(ISBLANK(Tabla7[[#This Row],[15/08/2018]]),0,Tabla7[[#This Row],[15/08/2018]])</f>
        <v>38966.300000000003</v>
      </c>
      <c r="BE9">
        <f>IF(ISBLANK(Tabla7[[#This Row],[15/09/2018]]),0,Tabla7[[#This Row],[15/09/2018]])</f>
        <v>39664.9</v>
      </c>
      <c r="BF9">
        <f>IF(ISBLANK(Tabla7[[#This Row],[15/10/2018]]),0,Tabla7[[#This Row],[15/10/2018]])</f>
        <v>40111.9</v>
      </c>
      <c r="BG9">
        <f>IF(ISBLANK(Tabla7[[#This Row],[15/11/2018]]),0,Tabla7[[#This Row],[15/11/2018]])</f>
        <v>40488.1</v>
      </c>
      <c r="BH9">
        <f>IF(ISBLANK(Tabla7[[#This Row],[15/12/2018]]),0,Tabla7[[#This Row],[15/12/2018]])</f>
        <v>41204.800000000003</v>
      </c>
      <c r="BI9">
        <f>IF(ISBLANK(Tabla7[[#This Row],[28/12/2018]]),0,Tabla7[[#This Row],[28/12/2018]])</f>
        <v>0</v>
      </c>
      <c r="BN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('79062','G','GCT01','3','APV','Hornacina exterior Edif. Aduana','Casetas prefabricadas Guardia Civil','');</v>
      </c>
      <c r="BO9" t="s">
        <v>243</v>
      </c>
      <c r="BP9" s="632" t="str">
        <f>CONCATENATE("insert into lecturas values ","('",Tabla7[[#This Row],[CONTADOR]],"',STR_TO_DATE('",Tabla7[[#Headers],[31/12/2017]],"','%d/%m/%Y'),",AV9,"),","('",Tabla7[[#This Row],[CONTADOR]],"',STR_TO_DATE('",Tabla7[[#Headers],[15/01/2018]],"','%d/%m/%Y'),",AW9,"),","('",Tabla7[[#This Row],[CONTADOR]],"',STR_TO_DATE('",Tabla7[[#Headers],[15/02/2018]],"','%d/%m/%Y'),",AX9,"),","('",Tabla7[[#This Row],[CONTADOR]],"',STR_TO_DATE('",Tabla7[[#Headers],[15/03/2018]],"','%d/%m/%Y'),",AY9,"),","('",Tabla7[[#This Row],[CONTADOR]],"',STR_TO_DATE('",Tabla7[[#Headers],[15/04/2018]],"','%d/%m/%Y'),",AZ9,"),","('",Tabla7[[#This Row],[CONTADOR]],"',STR_TO_DATE('",Tabla7[[#Headers],[15/05/2018]],"','%d/%m/%Y'),",BA9,"),","('",Tabla7[[#This Row],[CONTADOR]],"',STR_TO_DATE('",Tabla7[[#Headers],[15/06/2018]],"','%d/%m/%Y'),",BB9,"),","('",Tabla7[[#This Row],[CONTADOR]],"',STR_TO_DATE('",Tabla7[[#Headers],[15/07/2018]],"','%d/%m/%Y'),",BC9,"),","('",Tabla7[[#This Row],[CONTADOR]],"',STR_TO_DATE('",Tabla7[[#Headers],[15/08/2018]],"','%d/%m/%Y'),",BD9,"),","('",Tabla7[[#This Row],[CONTADOR]],"',STR_TO_DATE('",Tabla7[[#Headers],[15/09/2018]],"','%d/%m/%Y'),",BE9,"),","('",Tabla7[[#This Row],[CONTADOR]],"',STR_TO_DATE('",Tabla7[[#Headers],[15/10/2018]],"','%d/%m/%Y'),",BF9,"),","('",Tabla7[[#This Row],[CONTADOR]],"',STR_TO_DATE('",Tabla7[[#Headers],[15/11/2018]],"','%d/%m/%Y'),",BG9,"),","('",Tabla7[[#This Row],[CONTADOR]],"',STR_TO_DATE('",Tabla7[[#Headers],[15/12/2018]],"','%d/%m/%Y'),",BH9,");")</f>
        <v>insert into lecturas values ('79062',STR_TO_DATE('31/12/2017','%d/%m/%Y'),0),('79062',STR_TO_DATE('15/01/2018','%d/%m/%Y'),0),('79062',STR_TO_DATE('15/02/2018','%d/%m/%Y'),0),('79062',STR_TO_DATE('15/03/2018','%d/%m/%Y'),0),('79062',STR_TO_DATE('15/04/2018','%d/%m/%Y'),0),('79062',STR_TO_DATE('15/05/2018','%d/%m/%Y'),36975),('79062',STR_TO_DATE('15/06/2018','%d/%m/%Y'),37459),('79062',STR_TO_DATE('15/07/2018','%d/%m/%Y'),0),('79062',STR_TO_DATE('15/08/2018','%d/%m/%Y'),38966,3),('79062',STR_TO_DATE('15/09/2018','%d/%m/%Y'),39664,9),('79062',STR_TO_DATE('15/10/2018','%d/%m/%Y'),40111,9),('79062',STR_TO_DATE('15/11/2018','%d/%m/%Y'),40488,1),('79062',STR_TO_DATE('15/12/2018','%d/%m/%Y'),41204,8);</v>
      </c>
    </row>
    <row r="10" spans="1:68" ht="18" customHeight="1" x14ac:dyDescent="0.25">
      <c r="A10" s="241" t="s">
        <v>614</v>
      </c>
      <c r="B10" s="60"/>
      <c r="C10" s="223">
        <v>547463</v>
      </c>
      <c r="D10" s="60" t="s">
        <v>617</v>
      </c>
      <c r="E10" s="258">
        <v>39832</v>
      </c>
      <c r="F10" s="274" t="s">
        <v>634</v>
      </c>
      <c r="G10" s="2" t="s">
        <v>635</v>
      </c>
      <c r="H10" s="2" t="s">
        <v>1400</v>
      </c>
      <c r="I10" s="274"/>
      <c r="J10" s="274">
        <v>19029</v>
      </c>
      <c r="K10" s="274">
        <v>19114</v>
      </c>
      <c r="L10" s="274">
        <v>19371</v>
      </c>
      <c r="M10" s="311">
        <v>19859</v>
      </c>
      <c r="N10" s="311">
        <v>19929</v>
      </c>
      <c r="O10" s="311">
        <v>19955</v>
      </c>
      <c r="P10" s="454">
        <v>20007</v>
      </c>
      <c r="Q10" s="311">
        <v>20013</v>
      </c>
      <c r="R10" s="311">
        <v>20076</v>
      </c>
      <c r="S10" s="311">
        <v>20121</v>
      </c>
      <c r="T10" s="311">
        <v>20137</v>
      </c>
      <c r="U10" s="311">
        <v>20263</v>
      </c>
      <c r="V10" s="353">
        <v>20377</v>
      </c>
      <c r="W10" s="274"/>
      <c r="X10" s="2"/>
      <c r="Y10" s="2">
        <f t="shared" si="5"/>
        <v>85</v>
      </c>
      <c r="Z10" s="2">
        <f t="shared" si="6"/>
        <v>257</v>
      </c>
      <c r="AA10" s="2">
        <f t="shared" ref="AA10:AA39" si="15">IF(OR(ISBLANK(M10),ISBLANK(L10)),"",IF(AND(M10&gt;=L10,M10-L10&lt;=M10),(M10-L10)*$AK10,"!!!!"))</f>
        <v>488</v>
      </c>
      <c r="AB10" s="2">
        <f t="shared" ref="AB10:AB39" si="16">IF(OR(ISBLANK(N10),ISBLANK(M10)),"",IF(AND(N10&gt;=M10,N10-M10&lt;=N10),(N10-M10)*$AK10,"!!!!"))</f>
        <v>70</v>
      </c>
      <c r="AC10" s="2">
        <f t="shared" si="7"/>
        <v>26</v>
      </c>
      <c r="AD10" s="2">
        <f t="shared" si="8"/>
        <v>52</v>
      </c>
      <c r="AE10" s="2">
        <f t="shared" si="9"/>
        <v>6</v>
      </c>
      <c r="AF10" s="2">
        <f t="shared" si="10"/>
        <v>63</v>
      </c>
      <c r="AG10" s="2">
        <f t="shared" si="11"/>
        <v>45</v>
      </c>
      <c r="AH10" s="2">
        <f t="shared" si="12"/>
        <v>16</v>
      </c>
      <c r="AI10" s="2">
        <f t="shared" si="13"/>
        <v>126</v>
      </c>
      <c r="AJ10" s="2">
        <f t="shared" si="14"/>
        <v>114</v>
      </c>
      <c r="AK10" s="406">
        <v>1</v>
      </c>
      <c r="AL10" s="274">
        <f t="shared" ca="1" si="1"/>
        <v>19929</v>
      </c>
      <c r="AM10" s="311">
        <f t="shared" ca="1" si="2"/>
        <v>19955</v>
      </c>
      <c r="AN10" s="274">
        <f ca="1">IF(AND(Tabla7[[#This Row],[UltLec]]&lt;&gt;0,Tabla7[[#This Row],[PenLect]]&lt;&gt;0),(AM10-AL10)*Tabla7[[#This Row],[RT]],"N/A")</f>
        <v>26</v>
      </c>
      <c r="AO10" s="273" t="s">
        <v>910</v>
      </c>
      <c r="AP10" s="392" t="s">
        <v>1190</v>
      </c>
      <c r="AQ10" s="392" t="s">
        <v>1189</v>
      </c>
      <c r="AR10" s="407">
        <f t="shared" si="3"/>
        <v>0</v>
      </c>
      <c r="AS10" s="270"/>
      <c r="AT10" s="2">
        <f t="shared" ca="1" si="4"/>
        <v>0.37142857142857144</v>
      </c>
      <c r="AV10">
        <f>IF(ISBLANK(Tabla7[[#This Row],[31/12/2017]]),0,Tabla7[[#This Row],[31/12/2017]])</f>
        <v>19029</v>
      </c>
      <c r="AW10">
        <f>IF(ISBLANK(Tabla7[[#This Row],[15/01/2018]]),0,Tabla7[[#This Row],[15/01/2018]])</f>
        <v>19114</v>
      </c>
      <c r="AX10">
        <f>IF(ISBLANK(Tabla7[[#This Row],[15/02/2018]]),0,Tabla7[[#This Row],[15/02/2018]])</f>
        <v>19371</v>
      </c>
      <c r="AY10">
        <f>IF(ISBLANK(Tabla7[[#This Row],[15/03/2018]]),0,Tabla7[[#This Row],[15/03/2018]])</f>
        <v>19859</v>
      </c>
      <c r="AZ10">
        <f>IF(ISBLANK(Tabla7[[#This Row],[15/04/2018]]),0,Tabla7[[#This Row],[15/04/2018]])</f>
        <v>19929</v>
      </c>
      <c r="BA10">
        <f>IF(ISBLANK(Tabla7[[#This Row],[15/05/2018]]),0,Tabla7[[#This Row],[15/05/2018]])</f>
        <v>19955</v>
      </c>
      <c r="BB10">
        <f>IF(ISBLANK(Tabla7[[#This Row],[15/06/2018]]),0,Tabla7[[#This Row],[15/06/2018]])</f>
        <v>20007</v>
      </c>
      <c r="BC10">
        <f>IF(ISBLANK(Tabla7[[#This Row],[15/07/2018]]),0,Tabla7[[#This Row],[15/07/2018]])</f>
        <v>20013</v>
      </c>
      <c r="BD10">
        <f>IF(ISBLANK(Tabla7[[#This Row],[15/08/2018]]),0,Tabla7[[#This Row],[15/08/2018]])</f>
        <v>20076</v>
      </c>
      <c r="BE10">
        <f>IF(ISBLANK(Tabla7[[#This Row],[15/09/2018]]),0,Tabla7[[#This Row],[15/09/2018]])</f>
        <v>20121</v>
      </c>
      <c r="BF10">
        <f>IF(ISBLANK(Tabla7[[#This Row],[15/10/2018]]),0,Tabla7[[#This Row],[15/10/2018]])</f>
        <v>20137</v>
      </c>
      <c r="BG10">
        <f>IF(ISBLANK(Tabla7[[#This Row],[15/11/2018]]),0,Tabla7[[#This Row],[15/11/2018]])</f>
        <v>20263</v>
      </c>
      <c r="BH10">
        <f>IF(ISBLANK(Tabla7[[#This Row],[15/12/2018]]),0,Tabla7[[#This Row],[15/12/2018]])</f>
        <v>20377</v>
      </c>
      <c r="BI10">
        <f>IF(ISBLANK(Tabla7[[#This Row],[28/12/2018]]),0,Tabla7[[#This Row],[28/12/2018]])</f>
        <v>0</v>
      </c>
      <c r="BN1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('547463','G','GCT01','39832','UNIVERSIDAD POLITÉCNICA DE VALENCIA','INT. T. FRUTEROS 13-14','TINGLADOS FRUTEROS Nº 4 y 5-UPV CAMPUS GANDÍA','');</v>
      </c>
      <c r="BO10" t="s">
        <v>243</v>
      </c>
      <c r="BP10" s="632" t="str">
        <f>CONCATENATE("insert into lecturas values ","('",Tabla7[[#This Row],[CONTADOR]],"',STR_TO_DATE('",Tabla7[[#Headers],[31/12/2017]],"','%d/%m/%Y'),",AV10,"),","('",Tabla7[[#This Row],[CONTADOR]],"',STR_TO_DATE('",Tabla7[[#Headers],[15/01/2018]],"','%d/%m/%Y'),",AW10,"),","('",Tabla7[[#This Row],[CONTADOR]],"',STR_TO_DATE('",Tabla7[[#Headers],[15/02/2018]],"','%d/%m/%Y'),",AX10,"),","('",Tabla7[[#This Row],[CONTADOR]],"',STR_TO_DATE('",Tabla7[[#Headers],[15/03/2018]],"','%d/%m/%Y'),",AY10,"),","('",Tabla7[[#This Row],[CONTADOR]],"',STR_TO_DATE('",Tabla7[[#Headers],[15/04/2018]],"','%d/%m/%Y'),",AZ10,"),","('",Tabla7[[#This Row],[CONTADOR]],"',STR_TO_DATE('",Tabla7[[#Headers],[15/05/2018]],"','%d/%m/%Y'),",BA10,"),","('",Tabla7[[#This Row],[CONTADOR]],"',STR_TO_DATE('",Tabla7[[#Headers],[15/06/2018]],"','%d/%m/%Y'),",BB10,"),","('",Tabla7[[#This Row],[CONTADOR]],"',STR_TO_DATE('",Tabla7[[#Headers],[15/07/2018]],"','%d/%m/%Y'),",BC10,"),","('",Tabla7[[#This Row],[CONTADOR]],"',STR_TO_DATE('",Tabla7[[#Headers],[15/08/2018]],"','%d/%m/%Y'),",BD10,"),","('",Tabla7[[#This Row],[CONTADOR]],"',STR_TO_DATE('",Tabla7[[#Headers],[15/09/2018]],"','%d/%m/%Y'),",BE10,"),","('",Tabla7[[#This Row],[CONTADOR]],"',STR_TO_DATE('",Tabla7[[#Headers],[15/10/2018]],"','%d/%m/%Y'),",BF10,"),","('",Tabla7[[#This Row],[CONTADOR]],"',STR_TO_DATE('",Tabla7[[#Headers],[15/11/2018]],"','%d/%m/%Y'),",BG10,"),","('",Tabla7[[#This Row],[CONTADOR]],"',STR_TO_DATE('",Tabla7[[#Headers],[15/12/2018]],"','%d/%m/%Y'),",BH10,");")</f>
        <v>insert into lecturas values ('547463',STR_TO_DATE('31/12/2017','%d/%m/%Y'),19029),('547463',STR_TO_DATE('15/01/2018','%d/%m/%Y'),19114),('547463',STR_TO_DATE('15/02/2018','%d/%m/%Y'),19371),('547463',STR_TO_DATE('15/03/2018','%d/%m/%Y'),19859),('547463',STR_TO_DATE('15/04/2018','%d/%m/%Y'),19929),('547463',STR_TO_DATE('15/05/2018','%d/%m/%Y'),19955),('547463',STR_TO_DATE('15/06/2018','%d/%m/%Y'),20007),('547463',STR_TO_DATE('15/07/2018','%d/%m/%Y'),20013),('547463',STR_TO_DATE('15/08/2018','%d/%m/%Y'),20076),('547463',STR_TO_DATE('15/09/2018','%d/%m/%Y'),20121),('547463',STR_TO_DATE('15/10/2018','%d/%m/%Y'),20137),('547463',STR_TO_DATE('15/11/2018','%d/%m/%Y'),20263),('547463',STR_TO_DATE('15/12/2018','%d/%m/%Y'),20377);</v>
      </c>
    </row>
    <row r="11" spans="1:68" ht="18.75" customHeight="1" x14ac:dyDescent="0.25">
      <c r="A11" s="241" t="s">
        <v>614</v>
      </c>
      <c r="B11" s="60"/>
      <c r="C11" s="223">
        <v>4492967</v>
      </c>
      <c r="D11" s="60" t="s">
        <v>617</v>
      </c>
      <c r="E11" s="258">
        <v>39875</v>
      </c>
      <c r="F11" s="274" t="s">
        <v>550</v>
      </c>
      <c r="G11" s="2" t="s">
        <v>664</v>
      </c>
      <c r="H11" s="2" t="s">
        <v>665</v>
      </c>
      <c r="I11" s="274"/>
      <c r="J11" s="311">
        <v>17051</v>
      </c>
      <c r="K11" s="311">
        <v>17105</v>
      </c>
      <c r="L11" s="274">
        <v>17179</v>
      </c>
      <c r="M11" s="311">
        <v>17291</v>
      </c>
      <c r="N11" s="311">
        <v>17361</v>
      </c>
      <c r="O11" s="311">
        <v>17462</v>
      </c>
      <c r="P11" s="454">
        <v>17645</v>
      </c>
      <c r="Q11" s="311">
        <v>17758</v>
      </c>
      <c r="R11" s="311">
        <v>17908</v>
      </c>
      <c r="S11" s="311">
        <v>18048</v>
      </c>
      <c r="T11" s="311">
        <v>18170</v>
      </c>
      <c r="U11" s="311">
        <v>18362</v>
      </c>
      <c r="V11" s="353">
        <v>18450</v>
      </c>
      <c r="W11" s="274"/>
      <c r="X11" s="274"/>
      <c r="Y11" s="2">
        <f t="shared" si="5"/>
        <v>54</v>
      </c>
      <c r="Z11" s="2">
        <f t="shared" si="6"/>
        <v>74</v>
      </c>
      <c r="AA11" s="2">
        <f t="shared" si="15"/>
        <v>112</v>
      </c>
      <c r="AB11" s="2">
        <f t="shared" si="16"/>
        <v>70</v>
      </c>
      <c r="AC11" s="2">
        <f t="shared" si="7"/>
        <v>101</v>
      </c>
      <c r="AD11" s="2">
        <f t="shared" si="8"/>
        <v>183</v>
      </c>
      <c r="AE11" s="2">
        <f t="shared" si="9"/>
        <v>113</v>
      </c>
      <c r="AF11" s="2">
        <f t="shared" si="10"/>
        <v>150</v>
      </c>
      <c r="AG11" s="2">
        <f t="shared" si="11"/>
        <v>140</v>
      </c>
      <c r="AH11" s="2">
        <f t="shared" si="12"/>
        <v>122</v>
      </c>
      <c r="AI11" s="2">
        <f t="shared" si="13"/>
        <v>192</v>
      </c>
      <c r="AJ11" s="2">
        <f t="shared" si="14"/>
        <v>88</v>
      </c>
      <c r="AK11" s="406">
        <v>1</v>
      </c>
      <c r="AL11" s="274">
        <f t="shared" ca="1" si="1"/>
        <v>17361</v>
      </c>
      <c r="AM11" s="311">
        <f t="shared" ca="1" si="2"/>
        <v>17462</v>
      </c>
      <c r="AN11" s="274">
        <f ca="1">IF(AND(Tabla7[[#This Row],[UltLec]]&lt;&gt;0,Tabla7[[#This Row],[PenLect]]&lt;&gt;0),(AM11-AL11)*Tabla7[[#This Row],[RT]],"N/A")</f>
        <v>101</v>
      </c>
      <c r="AO11" s="273" t="s">
        <v>910</v>
      </c>
      <c r="AP11" s="392" t="s">
        <v>1190</v>
      </c>
      <c r="AQ11" s="392" t="s">
        <v>1189</v>
      </c>
      <c r="AR11" s="407">
        <f t="shared" si="3"/>
        <v>0</v>
      </c>
      <c r="AS11" s="266"/>
      <c r="AT11" s="2">
        <f t="shared" ca="1" si="4"/>
        <v>1.4428571428571428</v>
      </c>
      <c r="AV11">
        <f>IF(ISBLANK(Tabla7[[#This Row],[31/12/2017]]),0,Tabla7[[#This Row],[31/12/2017]])</f>
        <v>17051</v>
      </c>
      <c r="AW11">
        <f>IF(ISBLANK(Tabla7[[#This Row],[15/01/2018]]),0,Tabla7[[#This Row],[15/01/2018]])</f>
        <v>17105</v>
      </c>
      <c r="AX11">
        <f>IF(ISBLANK(Tabla7[[#This Row],[15/02/2018]]),0,Tabla7[[#This Row],[15/02/2018]])</f>
        <v>17179</v>
      </c>
      <c r="AY11">
        <f>IF(ISBLANK(Tabla7[[#This Row],[15/03/2018]]),0,Tabla7[[#This Row],[15/03/2018]])</f>
        <v>17291</v>
      </c>
      <c r="AZ11">
        <f>IF(ISBLANK(Tabla7[[#This Row],[15/04/2018]]),0,Tabla7[[#This Row],[15/04/2018]])</f>
        <v>17361</v>
      </c>
      <c r="BA11">
        <f>IF(ISBLANK(Tabla7[[#This Row],[15/05/2018]]),0,Tabla7[[#This Row],[15/05/2018]])</f>
        <v>17462</v>
      </c>
      <c r="BB11">
        <f>IF(ISBLANK(Tabla7[[#This Row],[15/06/2018]]),0,Tabla7[[#This Row],[15/06/2018]])</f>
        <v>17645</v>
      </c>
      <c r="BC11">
        <f>IF(ISBLANK(Tabla7[[#This Row],[15/07/2018]]),0,Tabla7[[#This Row],[15/07/2018]])</f>
        <v>17758</v>
      </c>
      <c r="BD11">
        <f>IF(ISBLANK(Tabla7[[#This Row],[15/08/2018]]),0,Tabla7[[#This Row],[15/08/2018]])</f>
        <v>17908</v>
      </c>
      <c r="BE11">
        <f>IF(ISBLANK(Tabla7[[#This Row],[15/09/2018]]),0,Tabla7[[#This Row],[15/09/2018]])</f>
        <v>18048</v>
      </c>
      <c r="BF11">
        <f>IF(ISBLANK(Tabla7[[#This Row],[15/10/2018]]),0,Tabla7[[#This Row],[15/10/2018]])</f>
        <v>18170</v>
      </c>
      <c r="BG11">
        <f>IF(ISBLANK(Tabla7[[#This Row],[15/11/2018]]),0,Tabla7[[#This Row],[15/11/2018]])</f>
        <v>18362</v>
      </c>
      <c r="BH11">
        <f>IF(ISBLANK(Tabla7[[#This Row],[15/12/2018]]),0,Tabla7[[#This Row],[15/12/2018]])</f>
        <v>18450</v>
      </c>
      <c r="BI11">
        <f>IF(ISBLANK(Tabla7[[#This Row],[28/12/2018]]),0,Tabla7[[#This Row],[28/12/2018]])</f>
        <v>0</v>
      </c>
      <c r="BN1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('4492967','G','GCT01','39875','REMOLQUES DEL MEDITERRANEO S.A','TINGLADO FRUTERO Nº 12-13','TINGLADO FRUTERO Nº 16','');</v>
      </c>
      <c r="BO11" t="s">
        <v>243</v>
      </c>
      <c r="BP11" s="632" t="str">
        <f>CONCATENATE("insert into lecturas values ","('",Tabla7[[#This Row],[CONTADOR]],"',STR_TO_DATE('",Tabla7[[#Headers],[31/12/2017]],"','%d/%m/%Y'),",AV11,"),","('",Tabla7[[#This Row],[CONTADOR]],"',STR_TO_DATE('",Tabla7[[#Headers],[15/01/2018]],"','%d/%m/%Y'),",AW11,"),","('",Tabla7[[#This Row],[CONTADOR]],"',STR_TO_DATE('",Tabla7[[#Headers],[15/02/2018]],"','%d/%m/%Y'),",AX11,"),","('",Tabla7[[#This Row],[CONTADOR]],"',STR_TO_DATE('",Tabla7[[#Headers],[15/03/2018]],"','%d/%m/%Y'),",AY11,"),","('",Tabla7[[#This Row],[CONTADOR]],"',STR_TO_DATE('",Tabla7[[#Headers],[15/04/2018]],"','%d/%m/%Y'),",AZ11,"),","('",Tabla7[[#This Row],[CONTADOR]],"',STR_TO_DATE('",Tabla7[[#Headers],[15/05/2018]],"','%d/%m/%Y'),",BA11,"),","('",Tabla7[[#This Row],[CONTADOR]],"',STR_TO_DATE('",Tabla7[[#Headers],[15/06/2018]],"','%d/%m/%Y'),",BB11,"),","('",Tabla7[[#This Row],[CONTADOR]],"',STR_TO_DATE('",Tabla7[[#Headers],[15/07/2018]],"','%d/%m/%Y'),",BC11,"),","('",Tabla7[[#This Row],[CONTADOR]],"',STR_TO_DATE('",Tabla7[[#Headers],[15/08/2018]],"','%d/%m/%Y'),",BD11,"),","('",Tabla7[[#This Row],[CONTADOR]],"',STR_TO_DATE('",Tabla7[[#Headers],[15/09/2018]],"','%d/%m/%Y'),",BE11,"),","('",Tabla7[[#This Row],[CONTADOR]],"',STR_TO_DATE('",Tabla7[[#Headers],[15/10/2018]],"','%d/%m/%Y'),",BF11,"),","('",Tabla7[[#This Row],[CONTADOR]],"',STR_TO_DATE('",Tabla7[[#Headers],[15/11/2018]],"','%d/%m/%Y'),",BG11,"),","('",Tabla7[[#This Row],[CONTADOR]],"',STR_TO_DATE('",Tabla7[[#Headers],[15/12/2018]],"','%d/%m/%Y'),",BH11,");")</f>
        <v>insert into lecturas values ('4492967',STR_TO_DATE('31/12/2017','%d/%m/%Y'),17051),('4492967',STR_TO_DATE('15/01/2018','%d/%m/%Y'),17105),('4492967',STR_TO_DATE('15/02/2018','%d/%m/%Y'),17179),('4492967',STR_TO_DATE('15/03/2018','%d/%m/%Y'),17291),('4492967',STR_TO_DATE('15/04/2018','%d/%m/%Y'),17361),('4492967',STR_TO_DATE('15/05/2018','%d/%m/%Y'),17462),('4492967',STR_TO_DATE('15/06/2018','%d/%m/%Y'),17645),('4492967',STR_TO_DATE('15/07/2018','%d/%m/%Y'),17758),('4492967',STR_TO_DATE('15/08/2018','%d/%m/%Y'),17908),('4492967',STR_TO_DATE('15/09/2018','%d/%m/%Y'),18048),('4492967',STR_TO_DATE('15/10/2018','%d/%m/%Y'),18170),('4492967',STR_TO_DATE('15/11/2018','%d/%m/%Y'),18362),('4492967',STR_TO_DATE('15/12/2018','%d/%m/%Y'),18450);</v>
      </c>
    </row>
    <row r="12" spans="1:68" ht="18.75" customHeight="1" x14ac:dyDescent="0.25">
      <c r="A12" s="241" t="s">
        <v>614</v>
      </c>
      <c r="B12" s="60"/>
      <c r="C12" s="223">
        <v>7107776</v>
      </c>
      <c r="D12" s="60" t="s">
        <v>617</v>
      </c>
      <c r="E12" s="258">
        <v>39478</v>
      </c>
      <c r="F12" s="307" t="s">
        <v>902</v>
      </c>
      <c r="G12" s="275" t="s">
        <v>903</v>
      </c>
      <c r="H12" s="2" t="s">
        <v>1419</v>
      </c>
      <c r="I12" s="2" t="s">
        <v>904</v>
      </c>
      <c r="J12" s="2">
        <v>74224</v>
      </c>
      <c r="K12" s="274">
        <v>74224</v>
      </c>
      <c r="L12" s="311">
        <v>74224</v>
      </c>
      <c r="M12" s="311">
        <v>74224</v>
      </c>
      <c r="N12" s="311">
        <v>74230</v>
      </c>
      <c r="O12" s="311">
        <v>74230</v>
      </c>
      <c r="P12" s="454">
        <v>74294</v>
      </c>
      <c r="Q12" s="311">
        <v>74294</v>
      </c>
      <c r="R12" s="311">
        <v>74692</v>
      </c>
      <c r="S12" s="311">
        <v>74781</v>
      </c>
      <c r="T12" s="311">
        <v>74781</v>
      </c>
      <c r="U12" s="311">
        <v>74793</v>
      </c>
      <c r="V12" s="353">
        <v>74892</v>
      </c>
      <c r="W12" s="2"/>
      <c r="X12" s="2"/>
      <c r="Y12" s="2">
        <f t="shared" si="5"/>
        <v>0</v>
      </c>
      <c r="Z12" s="2">
        <f t="shared" si="6"/>
        <v>0</v>
      </c>
      <c r="AA12" s="2">
        <f t="shared" si="15"/>
        <v>0</v>
      </c>
      <c r="AB12" s="2">
        <f t="shared" si="16"/>
        <v>6</v>
      </c>
      <c r="AC12" s="2">
        <f t="shared" si="7"/>
        <v>0</v>
      </c>
      <c r="AD12" s="2">
        <f t="shared" si="8"/>
        <v>64</v>
      </c>
      <c r="AE12" s="2">
        <f t="shared" si="9"/>
        <v>0</v>
      </c>
      <c r="AF12" s="2">
        <f t="shared" si="10"/>
        <v>398</v>
      </c>
      <c r="AG12" s="2">
        <f t="shared" si="11"/>
        <v>89</v>
      </c>
      <c r="AH12" s="2">
        <f t="shared" si="12"/>
        <v>0</v>
      </c>
      <c r="AI12" s="2">
        <f t="shared" si="13"/>
        <v>12</v>
      </c>
      <c r="AJ12" s="2">
        <f t="shared" si="14"/>
        <v>99</v>
      </c>
      <c r="AK12" s="406">
        <v>1</v>
      </c>
      <c r="AL12" s="412">
        <f t="shared" ca="1" si="1"/>
        <v>74230</v>
      </c>
      <c r="AM12" s="311">
        <f t="shared" ca="1" si="2"/>
        <v>74230</v>
      </c>
      <c r="AN12" s="274">
        <f ca="1">IF(AND(Tabla7[[#This Row],[UltLec]]&lt;&gt;0,Tabla7[[#This Row],[PenLect]]&lt;&gt;0),(AM12-AL12)*Tabla7[[#This Row],[RT]],"N/A")</f>
        <v>0</v>
      </c>
      <c r="AO12" s="273" t="s">
        <v>910</v>
      </c>
      <c r="AP12" s="392" t="s">
        <v>1190</v>
      </c>
      <c r="AQ12" s="392" t="s">
        <v>1193</v>
      </c>
      <c r="AR12" s="407">
        <f t="shared" si="3"/>
        <v>0</v>
      </c>
      <c r="AT12" s="2">
        <f t="shared" ca="1" si="4"/>
        <v>0</v>
      </c>
      <c r="AV12">
        <f>IF(ISBLANK(Tabla7[[#This Row],[31/12/2017]]),0,Tabla7[[#This Row],[31/12/2017]])</f>
        <v>74224</v>
      </c>
      <c r="AW12">
        <f>IF(ISBLANK(Tabla7[[#This Row],[15/01/2018]]),0,Tabla7[[#This Row],[15/01/2018]])</f>
        <v>74224</v>
      </c>
      <c r="AX12">
        <f>IF(ISBLANK(Tabla7[[#This Row],[15/02/2018]]),0,Tabla7[[#This Row],[15/02/2018]])</f>
        <v>74224</v>
      </c>
      <c r="AY12">
        <f>IF(ISBLANK(Tabla7[[#This Row],[15/03/2018]]),0,Tabla7[[#This Row],[15/03/2018]])</f>
        <v>74224</v>
      </c>
      <c r="AZ12">
        <f>IF(ISBLANK(Tabla7[[#This Row],[15/04/2018]]),0,Tabla7[[#This Row],[15/04/2018]])</f>
        <v>74230</v>
      </c>
      <c r="BA12">
        <f>IF(ISBLANK(Tabla7[[#This Row],[15/05/2018]]),0,Tabla7[[#This Row],[15/05/2018]])</f>
        <v>74230</v>
      </c>
      <c r="BB12">
        <f>IF(ISBLANK(Tabla7[[#This Row],[15/06/2018]]),0,Tabla7[[#This Row],[15/06/2018]])</f>
        <v>74294</v>
      </c>
      <c r="BC12">
        <f>IF(ISBLANK(Tabla7[[#This Row],[15/07/2018]]),0,Tabla7[[#This Row],[15/07/2018]])</f>
        <v>74294</v>
      </c>
      <c r="BD12">
        <f>IF(ISBLANK(Tabla7[[#This Row],[15/08/2018]]),0,Tabla7[[#This Row],[15/08/2018]])</f>
        <v>74692</v>
      </c>
      <c r="BE12">
        <f>IF(ISBLANK(Tabla7[[#This Row],[15/09/2018]]),0,Tabla7[[#This Row],[15/09/2018]])</f>
        <v>74781</v>
      </c>
      <c r="BF12">
        <f>IF(ISBLANK(Tabla7[[#This Row],[15/10/2018]]),0,Tabla7[[#This Row],[15/10/2018]])</f>
        <v>74781</v>
      </c>
      <c r="BG12">
        <f>IF(ISBLANK(Tabla7[[#This Row],[15/11/2018]]),0,Tabla7[[#This Row],[15/11/2018]])</f>
        <v>74793</v>
      </c>
      <c r="BH12">
        <f>IF(ISBLANK(Tabla7[[#This Row],[15/12/2018]]),0,Tabla7[[#This Row],[15/12/2018]])</f>
        <v>74892</v>
      </c>
      <c r="BI12">
        <f>IF(ISBLANK(Tabla7[[#This Row],[28/12/2018]]),0,Tabla7[[#This Row],[28/12/2018]])</f>
        <v>0</v>
      </c>
      <c r="BN1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('7107776','G','GCT01','39478','COMPAÑÍA TRASMEDITERRÁNEA, S.A.','Fachada Este nave antigua FRILESA','CASETAS CFSE','Alta contador en fecha 12/05/2017');</v>
      </c>
      <c r="BO12" t="s">
        <v>243</v>
      </c>
      <c r="BP12" s="632" t="str">
        <f>CONCATENATE("insert into lecturas values ","('",Tabla7[[#This Row],[CONTADOR]],"',STR_TO_DATE('",Tabla7[[#Headers],[31/12/2017]],"','%d/%m/%Y'),",AV12,"),","('",Tabla7[[#This Row],[CONTADOR]],"',STR_TO_DATE('",Tabla7[[#Headers],[15/01/2018]],"','%d/%m/%Y'),",AW12,"),","('",Tabla7[[#This Row],[CONTADOR]],"',STR_TO_DATE('",Tabla7[[#Headers],[15/02/2018]],"','%d/%m/%Y'),",AX12,"),","('",Tabla7[[#This Row],[CONTADOR]],"',STR_TO_DATE('",Tabla7[[#Headers],[15/03/2018]],"','%d/%m/%Y'),",AY12,"),","('",Tabla7[[#This Row],[CONTADOR]],"',STR_TO_DATE('",Tabla7[[#Headers],[15/04/2018]],"','%d/%m/%Y'),",AZ12,"),","('",Tabla7[[#This Row],[CONTADOR]],"',STR_TO_DATE('",Tabla7[[#Headers],[15/05/2018]],"','%d/%m/%Y'),",BA12,"),","('",Tabla7[[#This Row],[CONTADOR]],"',STR_TO_DATE('",Tabla7[[#Headers],[15/06/2018]],"','%d/%m/%Y'),",BB12,"),","('",Tabla7[[#This Row],[CONTADOR]],"',STR_TO_DATE('",Tabla7[[#Headers],[15/07/2018]],"','%d/%m/%Y'),",BC12,"),","('",Tabla7[[#This Row],[CONTADOR]],"',STR_TO_DATE('",Tabla7[[#Headers],[15/08/2018]],"','%d/%m/%Y'),",BD12,"),","('",Tabla7[[#This Row],[CONTADOR]],"',STR_TO_DATE('",Tabla7[[#Headers],[15/09/2018]],"','%d/%m/%Y'),",BE12,"),","('",Tabla7[[#This Row],[CONTADOR]],"',STR_TO_DATE('",Tabla7[[#Headers],[15/10/2018]],"','%d/%m/%Y'),",BF12,"),","('",Tabla7[[#This Row],[CONTADOR]],"',STR_TO_DATE('",Tabla7[[#Headers],[15/11/2018]],"','%d/%m/%Y'),",BG12,"),","('",Tabla7[[#This Row],[CONTADOR]],"',STR_TO_DATE('",Tabla7[[#Headers],[15/12/2018]],"','%d/%m/%Y'),",BH12,");")</f>
        <v>insert into lecturas values ('7107776',STR_TO_DATE('31/12/2017','%d/%m/%Y'),74224),('7107776',STR_TO_DATE('15/01/2018','%d/%m/%Y'),74224),('7107776',STR_TO_DATE('15/02/2018','%d/%m/%Y'),74224),('7107776',STR_TO_DATE('15/03/2018','%d/%m/%Y'),74224),('7107776',STR_TO_DATE('15/04/2018','%d/%m/%Y'),74230),('7107776',STR_TO_DATE('15/05/2018','%d/%m/%Y'),74230),('7107776',STR_TO_DATE('15/06/2018','%d/%m/%Y'),74294),('7107776',STR_TO_DATE('15/07/2018','%d/%m/%Y'),74294),('7107776',STR_TO_DATE('15/08/2018','%d/%m/%Y'),74692),('7107776',STR_TO_DATE('15/09/2018','%d/%m/%Y'),74781),('7107776',STR_TO_DATE('15/10/2018','%d/%m/%Y'),74781),('7107776',STR_TO_DATE('15/11/2018','%d/%m/%Y'),74793),('7107776',STR_TO_DATE('15/12/2018','%d/%m/%Y'),74892);</v>
      </c>
    </row>
    <row r="13" spans="1:68" ht="18.75" customHeight="1" x14ac:dyDescent="0.25">
      <c r="A13" s="241" t="s">
        <v>614</v>
      </c>
      <c r="B13" s="60"/>
      <c r="C13" s="223">
        <v>10283585</v>
      </c>
      <c r="D13" s="60" t="s">
        <v>617</v>
      </c>
      <c r="E13" s="258">
        <v>39859</v>
      </c>
      <c r="F13" s="274" t="s">
        <v>630</v>
      </c>
      <c r="G13" s="2" t="s">
        <v>636</v>
      </c>
      <c r="H13" s="2" t="s">
        <v>1398</v>
      </c>
      <c r="I13" s="274"/>
      <c r="J13" s="311">
        <v>51387</v>
      </c>
      <c r="K13" s="311">
        <v>51590</v>
      </c>
      <c r="L13" s="311">
        <v>52465</v>
      </c>
      <c r="M13" s="311">
        <v>53937.4</v>
      </c>
      <c r="N13" s="311">
        <v>54739</v>
      </c>
      <c r="O13" s="311">
        <v>55210</v>
      </c>
      <c r="P13" s="454">
        <v>55868.7</v>
      </c>
      <c r="Q13" s="311">
        <v>57093.599999999999</v>
      </c>
      <c r="R13" s="311">
        <v>58432.1</v>
      </c>
      <c r="S13" s="311">
        <v>59211.8</v>
      </c>
      <c r="T13" s="311">
        <v>60591.1</v>
      </c>
      <c r="U13" s="311">
        <v>61836.1</v>
      </c>
      <c r="V13" s="353">
        <v>62859.3</v>
      </c>
      <c r="W13" s="274"/>
      <c r="X13" s="2"/>
      <c r="Y13" s="2">
        <f t="shared" si="5"/>
        <v>203</v>
      </c>
      <c r="Z13" s="2">
        <f t="shared" si="6"/>
        <v>875</v>
      </c>
      <c r="AA13" s="2">
        <f t="shared" si="15"/>
        <v>1472.4000000000015</v>
      </c>
      <c r="AB13" s="2">
        <f t="shared" si="16"/>
        <v>801.59999999999854</v>
      </c>
      <c r="AC13" s="2">
        <f t="shared" si="7"/>
        <v>471</v>
      </c>
      <c r="AD13" s="2">
        <f t="shared" si="8"/>
        <v>658.69999999999709</v>
      </c>
      <c r="AE13" s="2">
        <f t="shared" si="9"/>
        <v>1224.9000000000015</v>
      </c>
      <c r="AF13" s="2">
        <f t="shared" si="10"/>
        <v>1338.5</v>
      </c>
      <c r="AG13" s="2">
        <f t="shared" si="11"/>
        <v>779.70000000000437</v>
      </c>
      <c r="AH13" s="2">
        <f t="shared" si="12"/>
        <v>1379.2999999999956</v>
      </c>
      <c r="AI13" s="2">
        <f t="shared" si="13"/>
        <v>1245</v>
      </c>
      <c r="AJ13" s="2">
        <f t="shared" si="14"/>
        <v>1023.2000000000044</v>
      </c>
      <c r="AK13" s="406">
        <v>1</v>
      </c>
      <c r="AL13" s="274">
        <f t="shared" ca="1" si="1"/>
        <v>54739</v>
      </c>
      <c r="AM13" s="311">
        <f t="shared" ca="1" si="2"/>
        <v>55210</v>
      </c>
      <c r="AN13" s="274">
        <f ca="1">IF(AND(Tabla7[[#This Row],[UltLec]]&lt;&gt;0,Tabla7[[#This Row],[PenLect]]&lt;&gt;0),(AM13-AL13)*Tabla7[[#This Row],[RT]],"N/A")</f>
        <v>471</v>
      </c>
      <c r="AO13" s="273" t="s">
        <v>910</v>
      </c>
      <c r="AP13" s="392" t="s">
        <v>1190</v>
      </c>
      <c r="AQ13" s="392" t="s">
        <v>1189</v>
      </c>
      <c r="AR13" s="407">
        <f t="shared" si="3"/>
        <v>0</v>
      </c>
      <c r="AT13" s="2">
        <f t="shared" ca="1" si="4"/>
        <v>0.58757485029940226</v>
      </c>
      <c r="AV13">
        <f>IF(ISBLANK(Tabla7[[#This Row],[31/12/2017]]),0,Tabla7[[#This Row],[31/12/2017]])</f>
        <v>51387</v>
      </c>
      <c r="AW13">
        <f>IF(ISBLANK(Tabla7[[#This Row],[15/01/2018]]),0,Tabla7[[#This Row],[15/01/2018]])</f>
        <v>51590</v>
      </c>
      <c r="AX13">
        <f>IF(ISBLANK(Tabla7[[#This Row],[15/02/2018]]),0,Tabla7[[#This Row],[15/02/2018]])</f>
        <v>52465</v>
      </c>
      <c r="AY13">
        <f>IF(ISBLANK(Tabla7[[#This Row],[15/03/2018]]),0,Tabla7[[#This Row],[15/03/2018]])</f>
        <v>53937.4</v>
      </c>
      <c r="AZ13">
        <f>IF(ISBLANK(Tabla7[[#This Row],[15/04/2018]]),0,Tabla7[[#This Row],[15/04/2018]])</f>
        <v>54739</v>
      </c>
      <c r="BA13">
        <f>IF(ISBLANK(Tabla7[[#This Row],[15/05/2018]]),0,Tabla7[[#This Row],[15/05/2018]])</f>
        <v>55210</v>
      </c>
      <c r="BB13">
        <f>IF(ISBLANK(Tabla7[[#This Row],[15/06/2018]]),0,Tabla7[[#This Row],[15/06/2018]])</f>
        <v>55868.7</v>
      </c>
      <c r="BC13">
        <f>IF(ISBLANK(Tabla7[[#This Row],[15/07/2018]]),0,Tabla7[[#This Row],[15/07/2018]])</f>
        <v>57093.599999999999</v>
      </c>
      <c r="BD13">
        <f>IF(ISBLANK(Tabla7[[#This Row],[15/08/2018]]),0,Tabla7[[#This Row],[15/08/2018]])</f>
        <v>58432.1</v>
      </c>
      <c r="BE13">
        <f>IF(ISBLANK(Tabla7[[#This Row],[15/09/2018]]),0,Tabla7[[#This Row],[15/09/2018]])</f>
        <v>59211.8</v>
      </c>
      <c r="BF13">
        <f>IF(ISBLANK(Tabla7[[#This Row],[15/10/2018]]),0,Tabla7[[#This Row],[15/10/2018]])</f>
        <v>60591.1</v>
      </c>
      <c r="BG13">
        <f>IF(ISBLANK(Tabla7[[#This Row],[15/11/2018]]),0,Tabla7[[#This Row],[15/11/2018]])</f>
        <v>61836.1</v>
      </c>
      <c r="BH13">
        <f>IF(ISBLANK(Tabla7[[#This Row],[15/12/2018]]),0,Tabla7[[#This Row],[15/12/2018]])</f>
        <v>62859.3</v>
      </c>
      <c r="BI13">
        <f>IF(ISBLANK(Tabla7[[#This Row],[28/12/2018]]),0,Tabla7[[#This Row],[28/12/2018]])</f>
        <v>0</v>
      </c>
      <c r="BN1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('10283585','G','GCT01','39859','COFRADÍA PESCADORES DE GANDÍA','INTERIOR T. FRUTEROS 13-14','TINGLADOS FRUTEROS 1-2-3 (Lonja pescado azul)','');</v>
      </c>
      <c r="BO13" t="s">
        <v>243</v>
      </c>
      <c r="BP13" s="632" t="str">
        <f>CONCATENATE("insert into lecturas values ","('",Tabla7[[#This Row],[CONTADOR]],"',STR_TO_DATE('",Tabla7[[#Headers],[31/12/2017]],"','%d/%m/%Y'),",AV13,"),","('",Tabla7[[#This Row],[CONTADOR]],"',STR_TO_DATE('",Tabla7[[#Headers],[15/01/2018]],"','%d/%m/%Y'),",AW13,"),","('",Tabla7[[#This Row],[CONTADOR]],"',STR_TO_DATE('",Tabla7[[#Headers],[15/02/2018]],"','%d/%m/%Y'),",AX13,"),","('",Tabla7[[#This Row],[CONTADOR]],"',STR_TO_DATE('",Tabla7[[#Headers],[15/03/2018]],"','%d/%m/%Y'),",AY13,"),","('",Tabla7[[#This Row],[CONTADOR]],"',STR_TO_DATE('",Tabla7[[#Headers],[15/04/2018]],"','%d/%m/%Y'),",AZ13,"),","('",Tabla7[[#This Row],[CONTADOR]],"',STR_TO_DATE('",Tabla7[[#Headers],[15/05/2018]],"','%d/%m/%Y'),",BA13,"),","('",Tabla7[[#This Row],[CONTADOR]],"',STR_TO_DATE('",Tabla7[[#Headers],[15/06/2018]],"','%d/%m/%Y'),",BB13,"),","('",Tabla7[[#This Row],[CONTADOR]],"',STR_TO_DATE('",Tabla7[[#Headers],[15/07/2018]],"','%d/%m/%Y'),",BC13,"),","('",Tabla7[[#This Row],[CONTADOR]],"',STR_TO_DATE('",Tabla7[[#Headers],[15/08/2018]],"','%d/%m/%Y'),",BD13,"),","('",Tabla7[[#This Row],[CONTADOR]],"',STR_TO_DATE('",Tabla7[[#Headers],[15/09/2018]],"','%d/%m/%Y'),",BE13,"),","('",Tabla7[[#This Row],[CONTADOR]],"',STR_TO_DATE('",Tabla7[[#Headers],[15/10/2018]],"','%d/%m/%Y'),",BF13,"),","('",Tabla7[[#This Row],[CONTADOR]],"',STR_TO_DATE('",Tabla7[[#Headers],[15/11/2018]],"','%d/%m/%Y'),",BG13,"),","('",Tabla7[[#This Row],[CONTADOR]],"',STR_TO_DATE('",Tabla7[[#Headers],[15/12/2018]],"','%d/%m/%Y'),",BH13,");")</f>
        <v>insert into lecturas values ('10283585',STR_TO_DATE('31/12/2017','%d/%m/%Y'),51387),('10283585',STR_TO_DATE('15/01/2018','%d/%m/%Y'),51590),('10283585',STR_TO_DATE('15/02/2018','%d/%m/%Y'),52465),('10283585',STR_TO_DATE('15/03/2018','%d/%m/%Y'),53937,4),('10283585',STR_TO_DATE('15/04/2018','%d/%m/%Y'),54739),('10283585',STR_TO_DATE('15/05/2018','%d/%m/%Y'),55210),('10283585',STR_TO_DATE('15/06/2018','%d/%m/%Y'),55868,7),('10283585',STR_TO_DATE('15/07/2018','%d/%m/%Y'),57093,6),('10283585',STR_TO_DATE('15/08/2018','%d/%m/%Y'),58432,1),('10283585',STR_TO_DATE('15/09/2018','%d/%m/%Y'),59211,8),('10283585',STR_TO_DATE('15/10/2018','%d/%m/%Y'),60591,1),('10283585',STR_TO_DATE('15/11/2018','%d/%m/%Y'),61836,1),('10283585',STR_TO_DATE('15/12/2018','%d/%m/%Y'),62859,3);</v>
      </c>
    </row>
    <row r="14" spans="1:68" ht="18" customHeight="1" x14ac:dyDescent="0.25">
      <c r="A14" s="241" t="s">
        <v>614</v>
      </c>
      <c r="B14" s="60"/>
      <c r="C14" s="223">
        <v>10735985</v>
      </c>
      <c r="D14" s="60" t="s">
        <v>617</v>
      </c>
      <c r="E14" s="258">
        <v>39441</v>
      </c>
      <c r="F14" s="307" t="s">
        <v>902</v>
      </c>
      <c r="G14" s="2" t="s">
        <v>636</v>
      </c>
      <c r="H14" s="2" t="s">
        <v>1420</v>
      </c>
      <c r="I14" s="274"/>
      <c r="J14" s="311">
        <v>4517</v>
      </c>
      <c r="K14" s="311">
        <v>4517</v>
      </c>
      <c r="L14" s="311">
        <v>4517</v>
      </c>
      <c r="M14" s="311">
        <v>4531</v>
      </c>
      <c r="N14" s="311">
        <v>4583.8</v>
      </c>
      <c r="O14" s="311">
        <v>4583.8</v>
      </c>
      <c r="P14" s="454">
        <v>4827.3</v>
      </c>
      <c r="Q14" s="492">
        <v>5459.5</v>
      </c>
      <c r="R14" s="311">
        <v>6453.4</v>
      </c>
      <c r="S14" s="492">
        <v>7093</v>
      </c>
      <c r="T14" s="492">
        <v>7093</v>
      </c>
      <c r="U14" s="492">
        <v>7138.9</v>
      </c>
      <c r="V14" s="353">
        <v>7451.5</v>
      </c>
      <c r="W14" s="274"/>
      <c r="X14" s="274"/>
      <c r="Y14" s="2">
        <f t="shared" si="5"/>
        <v>0</v>
      </c>
      <c r="Z14" s="2">
        <f t="shared" si="6"/>
        <v>0</v>
      </c>
      <c r="AA14" s="2">
        <f t="shared" si="15"/>
        <v>14</v>
      </c>
      <c r="AB14" s="2">
        <f t="shared" si="16"/>
        <v>52.800000000000182</v>
      </c>
      <c r="AC14" s="2">
        <f t="shared" si="7"/>
        <v>0</v>
      </c>
      <c r="AD14" s="2">
        <f t="shared" si="8"/>
        <v>243.5</v>
      </c>
      <c r="AE14" s="2">
        <f t="shared" si="9"/>
        <v>632.19999999999982</v>
      </c>
      <c r="AF14" s="2">
        <f t="shared" si="10"/>
        <v>993.89999999999964</v>
      </c>
      <c r="AG14" s="2">
        <f t="shared" si="11"/>
        <v>639.60000000000036</v>
      </c>
      <c r="AH14" s="2">
        <f t="shared" si="12"/>
        <v>0</v>
      </c>
      <c r="AI14" s="2">
        <f t="shared" si="13"/>
        <v>45.899999999999636</v>
      </c>
      <c r="AJ14" s="2">
        <f t="shared" si="14"/>
        <v>312.60000000000036</v>
      </c>
      <c r="AK14" s="406">
        <v>1</v>
      </c>
      <c r="AL14" s="274">
        <f t="shared" ca="1" si="1"/>
        <v>4583.8</v>
      </c>
      <c r="AM14" s="311">
        <f t="shared" ca="1" si="2"/>
        <v>4583.8</v>
      </c>
      <c r="AN14" s="274">
        <f ca="1">IF(AND(Tabla7[[#This Row],[UltLec]]&lt;&gt;0,Tabla7[[#This Row],[PenLect]]&lt;&gt;0),(AM14-AL14)*Tabla7[[#This Row],[RT]],"N/A")</f>
        <v>0</v>
      </c>
      <c r="AO14" s="273" t="s">
        <v>910</v>
      </c>
      <c r="AP14" s="392" t="s">
        <v>1190</v>
      </c>
      <c r="AQ14" s="392" t="s">
        <v>1193</v>
      </c>
      <c r="AR14" s="407">
        <f t="shared" si="3"/>
        <v>0</v>
      </c>
      <c r="AT14" s="2">
        <f t="shared" ca="1" si="4"/>
        <v>0</v>
      </c>
      <c r="AV14">
        <f>IF(ISBLANK(Tabla7[[#This Row],[31/12/2017]]),0,Tabla7[[#This Row],[31/12/2017]])</f>
        <v>4517</v>
      </c>
      <c r="AW14">
        <f>IF(ISBLANK(Tabla7[[#This Row],[15/01/2018]]),0,Tabla7[[#This Row],[15/01/2018]])</f>
        <v>4517</v>
      </c>
      <c r="AX14">
        <f>IF(ISBLANK(Tabla7[[#This Row],[15/02/2018]]),0,Tabla7[[#This Row],[15/02/2018]])</f>
        <v>4517</v>
      </c>
      <c r="AY14">
        <f>IF(ISBLANK(Tabla7[[#This Row],[15/03/2018]]),0,Tabla7[[#This Row],[15/03/2018]])</f>
        <v>4531</v>
      </c>
      <c r="AZ14">
        <f>IF(ISBLANK(Tabla7[[#This Row],[15/04/2018]]),0,Tabla7[[#This Row],[15/04/2018]])</f>
        <v>4583.8</v>
      </c>
      <c r="BA14">
        <f>IF(ISBLANK(Tabla7[[#This Row],[15/05/2018]]),0,Tabla7[[#This Row],[15/05/2018]])</f>
        <v>4583.8</v>
      </c>
      <c r="BB14">
        <f>IF(ISBLANK(Tabla7[[#This Row],[15/06/2018]]),0,Tabla7[[#This Row],[15/06/2018]])</f>
        <v>4827.3</v>
      </c>
      <c r="BC14">
        <f>IF(ISBLANK(Tabla7[[#This Row],[15/07/2018]]),0,Tabla7[[#This Row],[15/07/2018]])</f>
        <v>5459.5</v>
      </c>
      <c r="BD14">
        <f>IF(ISBLANK(Tabla7[[#This Row],[15/08/2018]]),0,Tabla7[[#This Row],[15/08/2018]])</f>
        <v>6453.4</v>
      </c>
      <c r="BE14">
        <f>IF(ISBLANK(Tabla7[[#This Row],[15/09/2018]]),0,Tabla7[[#This Row],[15/09/2018]])</f>
        <v>7093</v>
      </c>
      <c r="BF14">
        <f>IF(ISBLANK(Tabla7[[#This Row],[15/10/2018]]),0,Tabla7[[#This Row],[15/10/2018]])</f>
        <v>7093</v>
      </c>
      <c r="BG14">
        <f>IF(ISBLANK(Tabla7[[#This Row],[15/11/2018]]),0,Tabla7[[#This Row],[15/11/2018]])</f>
        <v>7138.9</v>
      </c>
      <c r="BH14">
        <f>IF(ISBLANK(Tabla7[[#This Row],[15/12/2018]]),0,Tabla7[[#This Row],[15/12/2018]])</f>
        <v>7451.5</v>
      </c>
      <c r="BI14">
        <f>IF(ISBLANK(Tabla7[[#This Row],[28/12/2018]]),0,Tabla7[[#This Row],[28/12/2018]])</f>
        <v>0</v>
      </c>
      <c r="BN1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('10735985','G','GCT01','39441','COMPAÑÍA TRASMEDITERRÁNEA, S.A.','INTERIOR T. FRUTEROS 13-14','CASETA VENTA TICKETS','');</v>
      </c>
      <c r="BO14" t="s">
        <v>243</v>
      </c>
      <c r="BP14" s="632" t="str">
        <f>CONCATENATE("insert into lecturas values ","('",Tabla7[[#This Row],[CONTADOR]],"',STR_TO_DATE('",Tabla7[[#Headers],[31/12/2017]],"','%d/%m/%Y'),",AV14,"),","('",Tabla7[[#This Row],[CONTADOR]],"',STR_TO_DATE('",Tabla7[[#Headers],[15/01/2018]],"','%d/%m/%Y'),",AW14,"),","('",Tabla7[[#This Row],[CONTADOR]],"',STR_TO_DATE('",Tabla7[[#Headers],[15/02/2018]],"','%d/%m/%Y'),",AX14,"),","('",Tabla7[[#This Row],[CONTADOR]],"',STR_TO_DATE('",Tabla7[[#Headers],[15/03/2018]],"','%d/%m/%Y'),",AY14,"),","('",Tabla7[[#This Row],[CONTADOR]],"',STR_TO_DATE('",Tabla7[[#Headers],[15/04/2018]],"','%d/%m/%Y'),",AZ14,"),","('",Tabla7[[#This Row],[CONTADOR]],"',STR_TO_DATE('",Tabla7[[#Headers],[15/05/2018]],"','%d/%m/%Y'),",BA14,"),","('",Tabla7[[#This Row],[CONTADOR]],"',STR_TO_DATE('",Tabla7[[#Headers],[15/06/2018]],"','%d/%m/%Y'),",BB14,"),","('",Tabla7[[#This Row],[CONTADOR]],"',STR_TO_DATE('",Tabla7[[#Headers],[15/07/2018]],"','%d/%m/%Y'),",BC14,"),","('",Tabla7[[#This Row],[CONTADOR]],"',STR_TO_DATE('",Tabla7[[#Headers],[15/08/2018]],"','%d/%m/%Y'),",BD14,"),","('",Tabla7[[#This Row],[CONTADOR]],"',STR_TO_DATE('",Tabla7[[#Headers],[15/09/2018]],"','%d/%m/%Y'),",BE14,"),","('",Tabla7[[#This Row],[CONTADOR]],"',STR_TO_DATE('",Tabla7[[#Headers],[15/10/2018]],"','%d/%m/%Y'),",BF14,"),","('",Tabla7[[#This Row],[CONTADOR]],"',STR_TO_DATE('",Tabla7[[#Headers],[15/11/2018]],"','%d/%m/%Y'),",BG14,"),","('",Tabla7[[#This Row],[CONTADOR]],"',STR_TO_DATE('",Tabla7[[#Headers],[15/12/2018]],"','%d/%m/%Y'),",BH14,");")</f>
        <v>insert into lecturas values ('10735985',STR_TO_DATE('31/12/2017','%d/%m/%Y'),4517),('10735985',STR_TO_DATE('15/01/2018','%d/%m/%Y'),4517),('10735985',STR_TO_DATE('15/02/2018','%d/%m/%Y'),4517),('10735985',STR_TO_DATE('15/03/2018','%d/%m/%Y'),4531),('10735985',STR_TO_DATE('15/04/2018','%d/%m/%Y'),4583,8),('10735985',STR_TO_DATE('15/05/2018','%d/%m/%Y'),4583,8),('10735985',STR_TO_DATE('15/06/2018','%d/%m/%Y'),4827,3),('10735985',STR_TO_DATE('15/07/2018','%d/%m/%Y'),5459,5),('10735985',STR_TO_DATE('15/08/2018','%d/%m/%Y'),6453,4),('10735985',STR_TO_DATE('15/09/2018','%d/%m/%Y'),7093),('10735985',STR_TO_DATE('15/10/2018','%d/%m/%Y'),7093),('10735985',STR_TO_DATE('15/11/2018','%d/%m/%Y'),7138,9),('10735985',STR_TO_DATE('15/12/2018','%d/%m/%Y'),7451,5);</v>
      </c>
    </row>
    <row r="15" spans="1:68" ht="18" customHeight="1" x14ac:dyDescent="0.25">
      <c r="A15" s="372" t="s">
        <v>1097</v>
      </c>
      <c r="B15" s="60"/>
      <c r="C15" s="373">
        <v>10735985</v>
      </c>
      <c r="D15" s="374" t="s">
        <v>617</v>
      </c>
      <c r="E15" s="375">
        <v>39807</v>
      </c>
      <c r="F15" s="377" t="s">
        <v>632</v>
      </c>
      <c r="G15" s="376" t="s">
        <v>631</v>
      </c>
      <c r="H15" s="376"/>
      <c r="I15" s="377" t="s">
        <v>909</v>
      </c>
      <c r="J15" s="383"/>
      <c r="K15" s="383"/>
      <c r="L15" s="376"/>
      <c r="M15" s="376"/>
      <c r="N15" s="453"/>
      <c r="O15" s="453">
        <v>4583.8</v>
      </c>
      <c r="P15" s="454"/>
      <c r="Q15" s="376"/>
      <c r="R15" s="311"/>
      <c r="S15" s="519"/>
      <c r="T15" s="376"/>
      <c r="U15" s="383"/>
      <c r="V15" s="377"/>
      <c r="W15" s="377"/>
      <c r="X15" s="377"/>
      <c r="Y15" s="376" t="str">
        <f t="shared" si="5"/>
        <v/>
      </c>
      <c r="Z15" s="376" t="str">
        <f t="shared" si="6"/>
        <v/>
      </c>
      <c r="AA15" s="376" t="str">
        <f t="shared" si="15"/>
        <v/>
      </c>
      <c r="AB15" s="376" t="str">
        <f t="shared" si="16"/>
        <v/>
      </c>
      <c r="AC15" s="376" t="str">
        <f t="shared" si="7"/>
        <v/>
      </c>
      <c r="AD15" s="376" t="str">
        <f t="shared" si="8"/>
        <v/>
      </c>
      <c r="AE15" s="376" t="str">
        <f t="shared" si="9"/>
        <v/>
      </c>
      <c r="AF15" s="376" t="str">
        <f t="shared" si="10"/>
        <v/>
      </c>
      <c r="AG15" s="376" t="str">
        <f t="shared" si="11"/>
        <v/>
      </c>
      <c r="AH15" s="376" t="str">
        <f t="shared" si="12"/>
        <v/>
      </c>
      <c r="AI15" s="376" t="str">
        <f t="shared" si="13"/>
        <v/>
      </c>
      <c r="AJ15" s="376" t="str">
        <f t="shared" si="14"/>
        <v/>
      </c>
      <c r="AK15" s="408">
        <v>1</v>
      </c>
      <c r="AL15" s="377">
        <f t="shared" ca="1" si="1"/>
        <v>0</v>
      </c>
      <c r="AM15" s="383">
        <f t="shared" ca="1" si="2"/>
        <v>4583.8</v>
      </c>
      <c r="AN15" s="377" t="str">
        <f ca="1">IF(AND(Tabla7[[#This Row],[UltLec]]&lt;&gt;0,Tabla7[[#This Row],[PenLect]]&lt;&gt;0),(AM15-AL15)*Tabla7[[#This Row],[RT]],"N/A")</f>
        <v>N/A</v>
      </c>
      <c r="AO15" s="380" t="s">
        <v>1281</v>
      </c>
      <c r="AP15" s="433" t="s">
        <v>1190</v>
      </c>
      <c r="AQ15" s="433" t="s">
        <v>1189</v>
      </c>
      <c r="AR15" s="409">
        <f t="shared" si="3"/>
        <v>0</v>
      </c>
      <c r="AT15" s="2" t="e">
        <f t="shared" ca="1" si="4"/>
        <v>#VALUE!</v>
      </c>
      <c r="AV15">
        <f>IF(ISBLANK(Tabla7[[#This Row],[31/12/2017]]),0,Tabla7[[#This Row],[31/12/2017]])</f>
        <v>0</v>
      </c>
      <c r="AW15">
        <f>IF(ISBLANK(Tabla7[[#This Row],[15/01/2018]]),0,Tabla7[[#This Row],[15/01/2018]])</f>
        <v>0</v>
      </c>
      <c r="AX15">
        <f>IF(ISBLANK(Tabla7[[#This Row],[15/02/2018]]),0,Tabla7[[#This Row],[15/02/2018]])</f>
        <v>0</v>
      </c>
      <c r="AY15">
        <f>IF(ISBLANK(Tabla7[[#This Row],[15/03/2018]]),0,Tabla7[[#This Row],[15/03/2018]])</f>
        <v>0</v>
      </c>
      <c r="AZ15">
        <f>IF(ISBLANK(Tabla7[[#This Row],[15/04/2018]]),0,Tabla7[[#This Row],[15/04/2018]])</f>
        <v>0</v>
      </c>
      <c r="BA15">
        <f>IF(ISBLANK(Tabla7[[#This Row],[15/05/2018]]),0,Tabla7[[#This Row],[15/05/2018]])</f>
        <v>4583.8</v>
      </c>
      <c r="BB15">
        <f>IF(ISBLANK(Tabla7[[#This Row],[15/06/2018]]),0,Tabla7[[#This Row],[15/06/2018]])</f>
        <v>0</v>
      </c>
      <c r="BC15">
        <f>IF(ISBLANK(Tabla7[[#This Row],[15/07/2018]]),0,Tabla7[[#This Row],[15/07/2018]])</f>
        <v>0</v>
      </c>
      <c r="BD15">
        <f>IF(ISBLANK(Tabla7[[#This Row],[15/08/2018]]),0,Tabla7[[#This Row],[15/08/2018]])</f>
        <v>0</v>
      </c>
      <c r="BE15">
        <f>IF(ISBLANK(Tabla7[[#This Row],[15/09/2018]]),0,Tabla7[[#This Row],[15/09/2018]])</f>
        <v>0</v>
      </c>
      <c r="BF15">
        <f>IF(ISBLANK(Tabla7[[#This Row],[15/10/2018]]),0,Tabla7[[#This Row],[15/10/2018]])</f>
        <v>0</v>
      </c>
      <c r="BG15">
        <f>IF(ISBLANK(Tabla7[[#This Row],[15/11/2018]]),0,Tabla7[[#This Row],[15/11/2018]])</f>
        <v>0</v>
      </c>
      <c r="BH15">
        <f>IF(ISBLANK(Tabla7[[#This Row],[15/12/2018]]),0,Tabla7[[#This Row],[15/12/2018]])</f>
        <v>0</v>
      </c>
      <c r="BI15">
        <f>IF(ISBLANK(Tabla7[[#This Row],[28/12/2018]]),0,Tabla7[[#This Row],[28/12/2018]])</f>
        <v>0</v>
      </c>
      <c r="BN1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('10735985','GBAJA','GCT01','39807','EXCMO. AYUNTAMIENTO GANDÍA','Muelle Frutero Nave nº 17 (Martillo)','','BAJA 04/04/2017');</v>
      </c>
      <c r="BO15" t="s">
        <v>243</v>
      </c>
      <c r="BP15" s="632" t="str">
        <f>CONCATENATE("insert into lecturas values ","('",Tabla7[[#This Row],[CONTADOR]],"',STR_TO_DATE('",Tabla7[[#Headers],[31/12/2017]],"','%d/%m/%Y'),",AV15,"),","('",Tabla7[[#This Row],[CONTADOR]],"',STR_TO_DATE('",Tabla7[[#Headers],[15/01/2018]],"','%d/%m/%Y'),",AW15,"),","('",Tabla7[[#This Row],[CONTADOR]],"',STR_TO_DATE('",Tabla7[[#Headers],[15/02/2018]],"','%d/%m/%Y'),",AX15,"),","('",Tabla7[[#This Row],[CONTADOR]],"',STR_TO_DATE('",Tabla7[[#Headers],[15/03/2018]],"','%d/%m/%Y'),",AY15,"),","('",Tabla7[[#This Row],[CONTADOR]],"',STR_TO_DATE('",Tabla7[[#Headers],[15/04/2018]],"','%d/%m/%Y'),",AZ15,"),","('",Tabla7[[#This Row],[CONTADOR]],"',STR_TO_DATE('",Tabla7[[#Headers],[15/05/2018]],"','%d/%m/%Y'),",BA15,"),","('",Tabla7[[#This Row],[CONTADOR]],"',STR_TO_DATE('",Tabla7[[#Headers],[15/06/2018]],"','%d/%m/%Y'),",BB15,"),","('",Tabla7[[#This Row],[CONTADOR]],"',STR_TO_DATE('",Tabla7[[#Headers],[15/07/2018]],"','%d/%m/%Y'),",BC15,"),","('",Tabla7[[#This Row],[CONTADOR]],"',STR_TO_DATE('",Tabla7[[#Headers],[15/08/2018]],"','%d/%m/%Y'),",BD15,"),","('",Tabla7[[#This Row],[CONTADOR]],"',STR_TO_DATE('",Tabla7[[#Headers],[15/09/2018]],"','%d/%m/%Y'),",BE15,"),","('",Tabla7[[#This Row],[CONTADOR]],"',STR_TO_DATE('",Tabla7[[#Headers],[15/10/2018]],"','%d/%m/%Y'),",BF15,"),","('",Tabla7[[#This Row],[CONTADOR]],"',STR_TO_DATE('",Tabla7[[#Headers],[15/11/2018]],"','%d/%m/%Y'),",BG15,"),","('",Tabla7[[#This Row],[CONTADOR]],"',STR_TO_DATE('",Tabla7[[#Headers],[15/12/2018]],"','%d/%m/%Y'),",BH15,");")</f>
        <v>insert into lecturas values ('10735985',STR_TO_DATE('31/12/2017','%d/%m/%Y'),0),('10735985',STR_TO_DATE('15/01/2018','%d/%m/%Y'),0),('10735985',STR_TO_DATE('15/02/2018','%d/%m/%Y'),0),('10735985',STR_TO_DATE('15/03/2018','%d/%m/%Y'),0),('10735985',STR_TO_DATE('15/04/2018','%d/%m/%Y'),0),('10735985',STR_TO_DATE('15/05/2018','%d/%m/%Y'),4583,8),('10735985',STR_TO_DATE('15/06/2018','%d/%m/%Y'),0),('10735985',STR_TO_DATE('15/07/2018','%d/%m/%Y'),0),('10735985',STR_TO_DATE('15/08/2018','%d/%m/%Y'),0),('10735985',STR_TO_DATE('15/09/2018','%d/%m/%Y'),0),('10735985',STR_TO_DATE('15/10/2018','%d/%m/%Y'),0),('10735985',STR_TO_DATE('15/11/2018','%d/%m/%Y'),0),('10735985',STR_TO_DATE('15/12/2018','%d/%m/%Y'),0);</v>
      </c>
    </row>
    <row r="16" spans="1:68" ht="18" customHeight="1" x14ac:dyDescent="0.25">
      <c r="A16" s="372" t="s">
        <v>1097</v>
      </c>
      <c r="B16" s="60"/>
      <c r="C16" s="373">
        <v>10735985</v>
      </c>
      <c r="D16" s="374" t="s">
        <v>617</v>
      </c>
      <c r="E16" s="375">
        <v>39837</v>
      </c>
      <c r="F16" s="377" t="s">
        <v>630</v>
      </c>
      <c r="G16" s="376" t="s">
        <v>631</v>
      </c>
      <c r="H16" s="376"/>
      <c r="I16" s="377" t="s">
        <v>909</v>
      </c>
      <c r="J16" s="383"/>
      <c r="K16" s="383"/>
      <c r="L16" s="376"/>
      <c r="M16" s="376"/>
      <c r="N16" s="453"/>
      <c r="O16" s="453"/>
      <c r="P16" s="454"/>
      <c r="Q16" s="376"/>
      <c r="R16" s="311"/>
      <c r="S16" s="519"/>
      <c r="T16" s="376"/>
      <c r="U16" s="383"/>
      <c r="V16" s="377"/>
      <c r="W16" s="377"/>
      <c r="X16" s="377"/>
      <c r="Y16" s="376" t="str">
        <f t="shared" si="5"/>
        <v/>
      </c>
      <c r="Z16" s="376" t="str">
        <f t="shared" si="6"/>
        <v/>
      </c>
      <c r="AA16" s="376" t="str">
        <f t="shared" si="15"/>
        <v/>
      </c>
      <c r="AB16" s="376" t="str">
        <f t="shared" si="16"/>
        <v/>
      </c>
      <c r="AC16" s="376" t="str">
        <f t="shared" si="7"/>
        <v/>
      </c>
      <c r="AD16" s="376" t="str">
        <f t="shared" si="8"/>
        <v/>
      </c>
      <c r="AE16" s="376" t="str">
        <f t="shared" si="9"/>
        <v/>
      </c>
      <c r="AF16" s="376" t="str">
        <f t="shared" si="10"/>
        <v/>
      </c>
      <c r="AG16" s="376" t="str">
        <f t="shared" si="11"/>
        <v/>
      </c>
      <c r="AH16" s="376" t="str">
        <f t="shared" si="12"/>
        <v/>
      </c>
      <c r="AI16" s="376" t="str">
        <f t="shared" si="13"/>
        <v/>
      </c>
      <c r="AJ16" s="376" t="str">
        <f t="shared" si="14"/>
        <v/>
      </c>
      <c r="AK16" s="408">
        <v>1</v>
      </c>
      <c r="AL16" s="377">
        <f t="shared" ca="1" si="1"/>
        <v>0</v>
      </c>
      <c r="AM16" s="383">
        <f t="shared" ca="1" si="2"/>
        <v>0</v>
      </c>
      <c r="AN16" s="377" t="str">
        <f ca="1">IF(AND(Tabla7[[#This Row],[UltLec]]&lt;&gt;0,Tabla7[[#This Row],[PenLect]]&lt;&gt;0),(AM16-AL16)*Tabla7[[#This Row],[RT]],"N/A")</f>
        <v>N/A</v>
      </c>
      <c r="AO16" s="380" t="s">
        <v>1281</v>
      </c>
      <c r="AP16" s="433" t="s">
        <v>1190</v>
      </c>
      <c r="AQ16" s="433" t="s">
        <v>1189</v>
      </c>
      <c r="AR16" s="409">
        <f t="shared" si="3"/>
        <v>0</v>
      </c>
      <c r="AT16" s="2" t="e">
        <f t="shared" ca="1" si="4"/>
        <v>#VALUE!</v>
      </c>
      <c r="AV16">
        <f>IF(ISBLANK(Tabla7[[#This Row],[31/12/2017]]),0,Tabla7[[#This Row],[31/12/2017]])</f>
        <v>0</v>
      </c>
      <c r="AW16">
        <f>IF(ISBLANK(Tabla7[[#This Row],[15/01/2018]]),0,Tabla7[[#This Row],[15/01/2018]])</f>
        <v>0</v>
      </c>
      <c r="AX16">
        <f>IF(ISBLANK(Tabla7[[#This Row],[15/02/2018]]),0,Tabla7[[#This Row],[15/02/2018]])</f>
        <v>0</v>
      </c>
      <c r="AY16">
        <f>IF(ISBLANK(Tabla7[[#This Row],[15/03/2018]]),0,Tabla7[[#This Row],[15/03/2018]])</f>
        <v>0</v>
      </c>
      <c r="AZ16">
        <f>IF(ISBLANK(Tabla7[[#This Row],[15/04/2018]]),0,Tabla7[[#This Row],[15/04/2018]])</f>
        <v>0</v>
      </c>
      <c r="BA16">
        <f>IF(ISBLANK(Tabla7[[#This Row],[15/05/2018]]),0,Tabla7[[#This Row],[15/05/2018]])</f>
        <v>0</v>
      </c>
      <c r="BB16">
        <f>IF(ISBLANK(Tabla7[[#This Row],[15/06/2018]]),0,Tabla7[[#This Row],[15/06/2018]])</f>
        <v>0</v>
      </c>
      <c r="BC16">
        <f>IF(ISBLANK(Tabla7[[#This Row],[15/07/2018]]),0,Tabla7[[#This Row],[15/07/2018]])</f>
        <v>0</v>
      </c>
      <c r="BD16">
        <f>IF(ISBLANK(Tabla7[[#This Row],[15/08/2018]]),0,Tabla7[[#This Row],[15/08/2018]])</f>
        <v>0</v>
      </c>
      <c r="BE16">
        <f>IF(ISBLANK(Tabla7[[#This Row],[15/09/2018]]),0,Tabla7[[#This Row],[15/09/2018]])</f>
        <v>0</v>
      </c>
      <c r="BF16">
        <f>IF(ISBLANK(Tabla7[[#This Row],[15/10/2018]]),0,Tabla7[[#This Row],[15/10/2018]])</f>
        <v>0</v>
      </c>
      <c r="BG16">
        <f>IF(ISBLANK(Tabla7[[#This Row],[15/11/2018]]),0,Tabla7[[#This Row],[15/11/2018]])</f>
        <v>0</v>
      </c>
      <c r="BH16">
        <f>IF(ISBLANK(Tabla7[[#This Row],[15/12/2018]]),0,Tabla7[[#This Row],[15/12/2018]])</f>
        <v>0</v>
      </c>
      <c r="BI16">
        <f>IF(ISBLANK(Tabla7[[#This Row],[28/12/2018]]),0,Tabla7[[#This Row],[28/12/2018]])</f>
        <v>0</v>
      </c>
      <c r="BN1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('10735985','GBAJA','GCT01','39837','COFRADÍA PESCADORES DE GANDÍA','Muelle Frutero Nave nº 17 (Martillo)','','BAJA 04/04/2017');</v>
      </c>
      <c r="BO16" t="s">
        <v>243</v>
      </c>
      <c r="BP16" s="632" t="str">
        <f>CONCATENATE("insert into lecturas values ","('",Tabla7[[#This Row],[CONTADOR]],"',STR_TO_DATE('",Tabla7[[#Headers],[31/12/2017]],"','%d/%m/%Y'),",AV16,"),","('",Tabla7[[#This Row],[CONTADOR]],"',STR_TO_DATE('",Tabla7[[#Headers],[15/01/2018]],"','%d/%m/%Y'),",AW16,"),","('",Tabla7[[#This Row],[CONTADOR]],"',STR_TO_DATE('",Tabla7[[#Headers],[15/02/2018]],"','%d/%m/%Y'),",AX16,"),","('",Tabla7[[#This Row],[CONTADOR]],"',STR_TO_DATE('",Tabla7[[#Headers],[15/03/2018]],"','%d/%m/%Y'),",AY16,"),","('",Tabla7[[#This Row],[CONTADOR]],"',STR_TO_DATE('",Tabla7[[#Headers],[15/04/2018]],"','%d/%m/%Y'),",AZ16,"),","('",Tabla7[[#This Row],[CONTADOR]],"',STR_TO_DATE('",Tabla7[[#Headers],[15/05/2018]],"','%d/%m/%Y'),",BA16,"),","('",Tabla7[[#This Row],[CONTADOR]],"',STR_TO_DATE('",Tabla7[[#Headers],[15/06/2018]],"','%d/%m/%Y'),",BB16,"),","('",Tabla7[[#This Row],[CONTADOR]],"',STR_TO_DATE('",Tabla7[[#Headers],[15/07/2018]],"','%d/%m/%Y'),",BC16,"),","('",Tabla7[[#This Row],[CONTADOR]],"',STR_TO_DATE('",Tabla7[[#Headers],[15/08/2018]],"','%d/%m/%Y'),",BD16,"),","('",Tabla7[[#This Row],[CONTADOR]],"',STR_TO_DATE('",Tabla7[[#Headers],[15/09/2018]],"','%d/%m/%Y'),",BE16,"),","('",Tabla7[[#This Row],[CONTADOR]],"',STR_TO_DATE('",Tabla7[[#Headers],[15/10/2018]],"','%d/%m/%Y'),",BF16,"),","('",Tabla7[[#This Row],[CONTADOR]],"',STR_TO_DATE('",Tabla7[[#Headers],[15/11/2018]],"','%d/%m/%Y'),",BG16,"),","('",Tabla7[[#This Row],[CONTADOR]],"',STR_TO_DATE('",Tabla7[[#Headers],[15/12/2018]],"','%d/%m/%Y'),",BH16,");")</f>
        <v>insert into lecturas values ('10735985',STR_TO_DATE('31/12/2017','%d/%m/%Y'),0),('10735985',STR_TO_DATE('15/01/2018','%d/%m/%Y'),0),('10735985',STR_TO_DATE('15/02/2018','%d/%m/%Y'),0),('10735985',STR_TO_DATE('15/03/2018','%d/%m/%Y'),0),('10735985',STR_TO_DATE('15/04/2018','%d/%m/%Y'),0),('10735985',STR_TO_DATE('15/05/2018','%d/%m/%Y'),0),('10735985',STR_TO_DATE('15/06/2018','%d/%m/%Y'),0),('10735985',STR_TO_DATE('15/07/2018','%d/%m/%Y'),0),('10735985',STR_TO_DATE('15/08/2018','%d/%m/%Y'),0),('10735985',STR_TO_DATE('15/09/2018','%d/%m/%Y'),0),('10735985',STR_TO_DATE('15/10/2018','%d/%m/%Y'),0),('10735985',STR_TO_DATE('15/11/2018','%d/%m/%Y'),0),('10735985',STR_TO_DATE('15/12/2018','%d/%m/%Y'),0);</v>
      </c>
    </row>
    <row r="17" spans="1:68" ht="18" customHeight="1" x14ac:dyDescent="0.25">
      <c r="A17" s="372" t="s">
        <v>1097</v>
      </c>
      <c r="B17" s="60"/>
      <c r="C17" s="373">
        <v>10735985</v>
      </c>
      <c r="D17" s="374" t="s">
        <v>617</v>
      </c>
      <c r="E17" s="375">
        <v>39888</v>
      </c>
      <c r="F17" s="377" t="s">
        <v>550</v>
      </c>
      <c r="G17" s="376" t="s">
        <v>631</v>
      </c>
      <c r="H17" s="376"/>
      <c r="I17" s="377" t="s">
        <v>909</v>
      </c>
      <c r="J17" s="383"/>
      <c r="K17" s="383"/>
      <c r="L17" s="376"/>
      <c r="M17" s="376"/>
      <c r="N17" s="453"/>
      <c r="O17" s="453"/>
      <c r="P17" s="454"/>
      <c r="Q17" s="376"/>
      <c r="R17" s="311"/>
      <c r="S17" s="383"/>
      <c r="T17" s="377"/>
      <c r="U17" s="383"/>
      <c r="V17" s="377"/>
      <c r="W17" s="377"/>
      <c r="X17" s="377"/>
      <c r="Y17" s="376" t="str">
        <f t="shared" si="5"/>
        <v/>
      </c>
      <c r="Z17" s="376" t="str">
        <f t="shared" si="6"/>
        <v/>
      </c>
      <c r="AA17" s="376" t="str">
        <f t="shared" si="15"/>
        <v/>
      </c>
      <c r="AB17" s="376" t="str">
        <f t="shared" si="16"/>
        <v/>
      </c>
      <c r="AC17" s="376" t="str">
        <f t="shared" si="7"/>
        <v/>
      </c>
      <c r="AD17" s="376" t="str">
        <f t="shared" si="8"/>
        <v/>
      </c>
      <c r="AE17" s="376" t="str">
        <f t="shared" si="9"/>
        <v/>
      </c>
      <c r="AF17" s="376" t="str">
        <f t="shared" si="10"/>
        <v/>
      </c>
      <c r="AG17" s="376" t="str">
        <f t="shared" si="11"/>
        <v/>
      </c>
      <c r="AH17" s="376" t="str">
        <f t="shared" si="12"/>
        <v/>
      </c>
      <c r="AI17" s="376" t="str">
        <f t="shared" si="13"/>
        <v/>
      </c>
      <c r="AJ17" s="376" t="str">
        <f t="shared" si="14"/>
        <v/>
      </c>
      <c r="AK17" s="408">
        <v>1</v>
      </c>
      <c r="AL17" s="377">
        <f t="shared" ca="1" si="1"/>
        <v>0</v>
      </c>
      <c r="AM17" s="383">
        <f t="shared" ca="1" si="2"/>
        <v>0</v>
      </c>
      <c r="AN17" s="377" t="str">
        <f ca="1">IF(AND(Tabla7[[#This Row],[UltLec]]&lt;&gt;0,Tabla7[[#This Row],[PenLect]]&lt;&gt;0),(AM17-AL17)*Tabla7[[#This Row],[RT]],"N/A")</f>
        <v>N/A</v>
      </c>
      <c r="AO17" s="380" t="s">
        <v>1281</v>
      </c>
      <c r="AP17" s="433" t="s">
        <v>1190</v>
      </c>
      <c r="AQ17" s="433" t="s">
        <v>1189</v>
      </c>
      <c r="AR17" s="409">
        <f t="shared" si="3"/>
        <v>0</v>
      </c>
      <c r="AT17" s="2" t="e">
        <f t="shared" ca="1" si="4"/>
        <v>#VALUE!</v>
      </c>
      <c r="AV17">
        <f>IF(ISBLANK(Tabla7[[#This Row],[31/12/2017]]),0,Tabla7[[#This Row],[31/12/2017]])</f>
        <v>0</v>
      </c>
      <c r="AW17">
        <f>IF(ISBLANK(Tabla7[[#This Row],[15/01/2018]]),0,Tabla7[[#This Row],[15/01/2018]])</f>
        <v>0</v>
      </c>
      <c r="AX17">
        <f>IF(ISBLANK(Tabla7[[#This Row],[15/02/2018]]),0,Tabla7[[#This Row],[15/02/2018]])</f>
        <v>0</v>
      </c>
      <c r="AY17">
        <f>IF(ISBLANK(Tabla7[[#This Row],[15/03/2018]]),0,Tabla7[[#This Row],[15/03/2018]])</f>
        <v>0</v>
      </c>
      <c r="AZ17">
        <f>IF(ISBLANK(Tabla7[[#This Row],[15/04/2018]]),0,Tabla7[[#This Row],[15/04/2018]])</f>
        <v>0</v>
      </c>
      <c r="BA17">
        <f>IF(ISBLANK(Tabla7[[#This Row],[15/05/2018]]),0,Tabla7[[#This Row],[15/05/2018]])</f>
        <v>0</v>
      </c>
      <c r="BB17">
        <f>IF(ISBLANK(Tabla7[[#This Row],[15/06/2018]]),0,Tabla7[[#This Row],[15/06/2018]])</f>
        <v>0</v>
      </c>
      <c r="BC17">
        <f>IF(ISBLANK(Tabla7[[#This Row],[15/07/2018]]),0,Tabla7[[#This Row],[15/07/2018]])</f>
        <v>0</v>
      </c>
      <c r="BD17">
        <f>IF(ISBLANK(Tabla7[[#This Row],[15/08/2018]]),0,Tabla7[[#This Row],[15/08/2018]])</f>
        <v>0</v>
      </c>
      <c r="BE17">
        <f>IF(ISBLANK(Tabla7[[#This Row],[15/09/2018]]),0,Tabla7[[#This Row],[15/09/2018]])</f>
        <v>0</v>
      </c>
      <c r="BF17">
        <f>IF(ISBLANK(Tabla7[[#This Row],[15/10/2018]]),0,Tabla7[[#This Row],[15/10/2018]])</f>
        <v>0</v>
      </c>
      <c r="BG17">
        <f>IF(ISBLANK(Tabla7[[#This Row],[15/11/2018]]),0,Tabla7[[#This Row],[15/11/2018]])</f>
        <v>0</v>
      </c>
      <c r="BH17">
        <f>IF(ISBLANK(Tabla7[[#This Row],[15/12/2018]]),0,Tabla7[[#This Row],[15/12/2018]])</f>
        <v>0</v>
      </c>
      <c r="BI17">
        <f>IF(ISBLANK(Tabla7[[#This Row],[28/12/2018]]),0,Tabla7[[#This Row],[28/12/2018]])</f>
        <v>0</v>
      </c>
      <c r="BN1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('10735985','GBAJA','GCT01','39888','REMOLQUES DEL MEDITERRANEO S.A','Muelle Frutero Nave nº 17 (Martillo)','','BAJA 04/04/2017');</v>
      </c>
      <c r="BO17" t="s">
        <v>243</v>
      </c>
      <c r="BP17" s="632" t="str">
        <f>CONCATENATE("insert into lecturas values ","('",Tabla7[[#This Row],[CONTADOR]],"',STR_TO_DATE('",Tabla7[[#Headers],[31/12/2017]],"','%d/%m/%Y'),",AV17,"),","('",Tabla7[[#This Row],[CONTADOR]],"',STR_TO_DATE('",Tabla7[[#Headers],[15/01/2018]],"','%d/%m/%Y'),",AW17,"),","('",Tabla7[[#This Row],[CONTADOR]],"',STR_TO_DATE('",Tabla7[[#Headers],[15/02/2018]],"','%d/%m/%Y'),",AX17,"),","('",Tabla7[[#This Row],[CONTADOR]],"',STR_TO_DATE('",Tabla7[[#Headers],[15/03/2018]],"','%d/%m/%Y'),",AY17,"),","('",Tabla7[[#This Row],[CONTADOR]],"',STR_TO_DATE('",Tabla7[[#Headers],[15/04/2018]],"','%d/%m/%Y'),",AZ17,"),","('",Tabla7[[#This Row],[CONTADOR]],"',STR_TO_DATE('",Tabla7[[#Headers],[15/05/2018]],"','%d/%m/%Y'),",BA17,"),","('",Tabla7[[#This Row],[CONTADOR]],"',STR_TO_DATE('",Tabla7[[#Headers],[15/06/2018]],"','%d/%m/%Y'),",BB17,"),","('",Tabla7[[#This Row],[CONTADOR]],"',STR_TO_DATE('",Tabla7[[#Headers],[15/07/2018]],"','%d/%m/%Y'),",BC17,"),","('",Tabla7[[#This Row],[CONTADOR]],"',STR_TO_DATE('",Tabla7[[#Headers],[15/08/2018]],"','%d/%m/%Y'),",BD17,"),","('",Tabla7[[#This Row],[CONTADOR]],"',STR_TO_DATE('",Tabla7[[#Headers],[15/09/2018]],"','%d/%m/%Y'),",BE17,"),","('",Tabla7[[#This Row],[CONTADOR]],"',STR_TO_DATE('",Tabla7[[#Headers],[15/10/2018]],"','%d/%m/%Y'),",BF17,"),","('",Tabla7[[#This Row],[CONTADOR]],"',STR_TO_DATE('",Tabla7[[#Headers],[15/11/2018]],"','%d/%m/%Y'),",BG17,"),","('",Tabla7[[#This Row],[CONTADOR]],"',STR_TO_DATE('",Tabla7[[#Headers],[15/12/2018]],"','%d/%m/%Y'),",BH17,");")</f>
        <v>insert into lecturas values ('10735985',STR_TO_DATE('31/12/2017','%d/%m/%Y'),0),('10735985',STR_TO_DATE('15/01/2018','%d/%m/%Y'),0),('10735985',STR_TO_DATE('15/02/2018','%d/%m/%Y'),0),('10735985',STR_TO_DATE('15/03/2018','%d/%m/%Y'),0),('10735985',STR_TO_DATE('15/04/2018','%d/%m/%Y'),0),('10735985',STR_TO_DATE('15/05/2018','%d/%m/%Y'),0),('10735985',STR_TO_DATE('15/06/2018','%d/%m/%Y'),0),('10735985',STR_TO_DATE('15/07/2018','%d/%m/%Y'),0),('10735985',STR_TO_DATE('15/08/2018','%d/%m/%Y'),0),('10735985',STR_TO_DATE('15/09/2018','%d/%m/%Y'),0),('10735985',STR_TO_DATE('15/10/2018','%d/%m/%Y'),0),('10735985',STR_TO_DATE('15/11/2018','%d/%m/%Y'),0),('10735985',STR_TO_DATE('15/12/2018','%d/%m/%Y'),0);</v>
      </c>
    </row>
    <row r="18" spans="1:68" ht="18" customHeight="1" x14ac:dyDescent="0.25">
      <c r="A18" s="241" t="s">
        <v>614</v>
      </c>
      <c r="B18" s="60"/>
      <c r="C18" s="223">
        <v>11808535</v>
      </c>
      <c r="D18" s="60" t="s">
        <v>617</v>
      </c>
      <c r="E18" s="258">
        <v>39858</v>
      </c>
      <c r="F18" s="307" t="s">
        <v>630</v>
      </c>
      <c r="G18" s="307" t="s">
        <v>633</v>
      </c>
      <c r="H18" s="307" t="s">
        <v>1399</v>
      </c>
      <c r="I18" s="274"/>
      <c r="J18" s="311">
        <v>38934</v>
      </c>
      <c r="K18" s="311">
        <v>38974</v>
      </c>
      <c r="L18" s="311">
        <v>39352</v>
      </c>
      <c r="M18" s="311">
        <v>39684</v>
      </c>
      <c r="N18" s="311">
        <v>39831</v>
      </c>
      <c r="O18" s="311">
        <v>39939</v>
      </c>
      <c r="P18" s="454">
        <v>39990</v>
      </c>
      <c r="Q18" s="311">
        <v>40118</v>
      </c>
      <c r="R18" s="311">
        <v>40171</v>
      </c>
      <c r="S18" s="311">
        <v>40175</v>
      </c>
      <c r="T18" s="311">
        <v>40179</v>
      </c>
      <c r="U18" s="353">
        <v>40401</v>
      </c>
      <c r="V18" s="311">
        <v>40459</v>
      </c>
      <c r="W18" s="274"/>
      <c r="X18" s="274"/>
      <c r="Y18" s="274">
        <f t="shared" si="5"/>
        <v>40</v>
      </c>
      <c r="Z18" s="274">
        <f t="shared" si="6"/>
        <v>378</v>
      </c>
      <c r="AA18" s="274">
        <f t="shared" si="15"/>
        <v>332</v>
      </c>
      <c r="AB18" s="274">
        <f t="shared" si="16"/>
        <v>147</v>
      </c>
      <c r="AC18" s="274">
        <f t="shared" si="7"/>
        <v>108</v>
      </c>
      <c r="AD18" s="274">
        <f t="shared" si="8"/>
        <v>51</v>
      </c>
      <c r="AE18" s="274">
        <f t="shared" si="9"/>
        <v>128</v>
      </c>
      <c r="AF18" s="274">
        <f t="shared" si="10"/>
        <v>53</v>
      </c>
      <c r="AG18" s="274">
        <f t="shared" si="11"/>
        <v>4</v>
      </c>
      <c r="AH18" s="274">
        <f t="shared" si="12"/>
        <v>4</v>
      </c>
      <c r="AI18" s="274">
        <f t="shared" si="13"/>
        <v>222</v>
      </c>
      <c r="AJ18" s="274">
        <f t="shared" si="14"/>
        <v>58</v>
      </c>
      <c r="AK18" s="406">
        <v>1</v>
      </c>
      <c r="AL18" s="274">
        <f t="shared" ca="1" si="1"/>
        <v>39831</v>
      </c>
      <c r="AM18" s="311">
        <f t="shared" ca="1" si="2"/>
        <v>39939</v>
      </c>
      <c r="AN18" s="274">
        <f ca="1">IF(AND(Tabla7[[#This Row],[UltLec]]&lt;&gt;0,Tabla7[[#This Row],[PenLect]]&lt;&gt;0),(AM18-AL18)*Tabla7[[#This Row],[RT]],"N/A")</f>
        <v>108</v>
      </c>
      <c r="AO18" s="273" t="s">
        <v>910</v>
      </c>
      <c r="AP18" s="392" t="s">
        <v>1190</v>
      </c>
      <c r="AQ18" s="392" t="s">
        <v>1189</v>
      </c>
      <c r="AR18" s="407">
        <f t="shared" si="3"/>
        <v>0</v>
      </c>
      <c r="AT18" s="2">
        <f t="shared" ca="1" si="4"/>
        <v>0.73469387755102045</v>
      </c>
      <c r="AV18">
        <f>IF(ISBLANK(Tabla7[[#This Row],[31/12/2017]]),0,Tabla7[[#This Row],[31/12/2017]])</f>
        <v>38934</v>
      </c>
      <c r="AW18">
        <f>IF(ISBLANK(Tabla7[[#This Row],[15/01/2018]]),0,Tabla7[[#This Row],[15/01/2018]])</f>
        <v>38974</v>
      </c>
      <c r="AX18">
        <f>IF(ISBLANK(Tabla7[[#This Row],[15/02/2018]]),0,Tabla7[[#This Row],[15/02/2018]])</f>
        <v>39352</v>
      </c>
      <c r="AY18">
        <f>IF(ISBLANK(Tabla7[[#This Row],[15/03/2018]]),0,Tabla7[[#This Row],[15/03/2018]])</f>
        <v>39684</v>
      </c>
      <c r="AZ18">
        <f>IF(ISBLANK(Tabla7[[#This Row],[15/04/2018]]),0,Tabla7[[#This Row],[15/04/2018]])</f>
        <v>39831</v>
      </c>
      <c r="BA18">
        <f>IF(ISBLANK(Tabla7[[#This Row],[15/05/2018]]),0,Tabla7[[#This Row],[15/05/2018]])</f>
        <v>39939</v>
      </c>
      <c r="BB18">
        <f>IF(ISBLANK(Tabla7[[#This Row],[15/06/2018]]),0,Tabla7[[#This Row],[15/06/2018]])</f>
        <v>39990</v>
      </c>
      <c r="BC18">
        <f>IF(ISBLANK(Tabla7[[#This Row],[15/07/2018]]),0,Tabla7[[#This Row],[15/07/2018]])</f>
        <v>40118</v>
      </c>
      <c r="BD18">
        <f>IF(ISBLANK(Tabla7[[#This Row],[15/08/2018]]),0,Tabla7[[#This Row],[15/08/2018]])</f>
        <v>40171</v>
      </c>
      <c r="BE18">
        <f>IF(ISBLANK(Tabla7[[#This Row],[15/09/2018]]),0,Tabla7[[#This Row],[15/09/2018]])</f>
        <v>40175</v>
      </c>
      <c r="BF18">
        <f>IF(ISBLANK(Tabla7[[#This Row],[15/10/2018]]),0,Tabla7[[#This Row],[15/10/2018]])</f>
        <v>40179</v>
      </c>
      <c r="BG18">
        <f>IF(ISBLANK(Tabla7[[#This Row],[15/11/2018]]),0,Tabla7[[#This Row],[15/11/2018]])</f>
        <v>40401</v>
      </c>
      <c r="BH18">
        <f>IF(ISBLANK(Tabla7[[#This Row],[15/12/2018]]),0,Tabla7[[#This Row],[15/12/2018]])</f>
        <v>40459</v>
      </c>
      <c r="BI18">
        <f>IF(ISBLANK(Tabla7[[#This Row],[28/12/2018]]),0,Tabla7[[#This Row],[28/12/2018]])</f>
        <v>0</v>
      </c>
      <c r="BN1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('11808535','G','GCT01','39858','COFRADÍA PESCADORES DE GANDÍA','INTERIOR T. FRUTERO 9','TOMA FUERZA EN MUELLE FRUTERO','');</v>
      </c>
      <c r="BO18" t="s">
        <v>243</v>
      </c>
      <c r="BP18" s="632" t="str">
        <f>CONCATENATE("insert into lecturas values ","('",Tabla7[[#This Row],[CONTADOR]],"',STR_TO_DATE('",Tabla7[[#Headers],[31/12/2017]],"','%d/%m/%Y'),",AV18,"),","('",Tabla7[[#This Row],[CONTADOR]],"',STR_TO_DATE('",Tabla7[[#Headers],[15/01/2018]],"','%d/%m/%Y'),",AW18,"),","('",Tabla7[[#This Row],[CONTADOR]],"',STR_TO_DATE('",Tabla7[[#Headers],[15/02/2018]],"','%d/%m/%Y'),",AX18,"),","('",Tabla7[[#This Row],[CONTADOR]],"',STR_TO_DATE('",Tabla7[[#Headers],[15/03/2018]],"','%d/%m/%Y'),",AY18,"),","('",Tabla7[[#This Row],[CONTADOR]],"',STR_TO_DATE('",Tabla7[[#Headers],[15/04/2018]],"','%d/%m/%Y'),",AZ18,"),","('",Tabla7[[#This Row],[CONTADOR]],"',STR_TO_DATE('",Tabla7[[#Headers],[15/05/2018]],"','%d/%m/%Y'),",BA18,"),","('",Tabla7[[#This Row],[CONTADOR]],"',STR_TO_DATE('",Tabla7[[#Headers],[15/06/2018]],"','%d/%m/%Y'),",BB18,"),","('",Tabla7[[#This Row],[CONTADOR]],"',STR_TO_DATE('",Tabla7[[#Headers],[15/07/2018]],"','%d/%m/%Y'),",BC18,"),","('",Tabla7[[#This Row],[CONTADOR]],"',STR_TO_DATE('",Tabla7[[#Headers],[15/08/2018]],"','%d/%m/%Y'),",BD18,"),","('",Tabla7[[#This Row],[CONTADOR]],"',STR_TO_DATE('",Tabla7[[#Headers],[15/09/2018]],"','%d/%m/%Y'),",BE18,"),","('",Tabla7[[#This Row],[CONTADOR]],"',STR_TO_DATE('",Tabla7[[#Headers],[15/10/2018]],"','%d/%m/%Y'),",BF18,"),","('",Tabla7[[#This Row],[CONTADOR]],"',STR_TO_DATE('",Tabla7[[#Headers],[15/11/2018]],"','%d/%m/%Y'),",BG18,"),","('",Tabla7[[#This Row],[CONTADOR]],"',STR_TO_DATE('",Tabla7[[#Headers],[15/12/2018]],"','%d/%m/%Y'),",BH18,");")</f>
        <v>insert into lecturas values ('11808535',STR_TO_DATE('31/12/2017','%d/%m/%Y'),38934),('11808535',STR_TO_DATE('15/01/2018','%d/%m/%Y'),38974),('11808535',STR_TO_DATE('15/02/2018','%d/%m/%Y'),39352),('11808535',STR_TO_DATE('15/03/2018','%d/%m/%Y'),39684),('11808535',STR_TO_DATE('15/04/2018','%d/%m/%Y'),39831),('11808535',STR_TO_DATE('15/05/2018','%d/%m/%Y'),39939),('11808535',STR_TO_DATE('15/06/2018','%d/%m/%Y'),39990),('11808535',STR_TO_DATE('15/07/2018','%d/%m/%Y'),40118),('11808535',STR_TO_DATE('15/08/2018','%d/%m/%Y'),40171),('11808535',STR_TO_DATE('15/09/2018','%d/%m/%Y'),40175),('11808535',STR_TO_DATE('15/10/2018','%d/%m/%Y'),40179),('11808535',STR_TO_DATE('15/11/2018','%d/%m/%Y'),40401),('11808535',STR_TO_DATE('15/12/2018','%d/%m/%Y'),40459);</v>
      </c>
    </row>
    <row r="19" spans="1:68" ht="18" customHeight="1" x14ac:dyDescent="0.25">
      <c r="A19" s="241" t="s">
        <v>614</v>
      </c>
      <c r="B19" s="60"/>
      <c r="C19" s="223">
        <v>32973653</v>
      </c>
      <c r="D19" s="60" t="s">
        <v>617</v>
      </c>
      <c r="E19" s="258">
        <v>3</v>
      </c>
      <c r="F19" s="307" t="s">
        <v>21</v>
      </c>
      <c r="G19" s="275" t="s">
        <v>1423</v>
      </c>
      <c r="H19" s="307" t="s">
        <v>1418</v>
      </c>
      <c r="I19" s="2" t="s">
        <v>703</v>
      </c>
      <c r="J19" s="274">
        <v>2074</v>
      </c>
      <c r="K19" s="274">
        <v>2344</v>
      </c>
      <c r="L19" s="311">
        <v>2808</v>
      </c>
      <c r="M19" s="311">
        <v>3275</v>
      </c>
      <c r="N19" s="311">
        <v>3499</v>
      </c>
      <c r="O19" s="311">
        <v>3680</v>
      </c>
      <c r="P19" s="454">
        <v>3920</v>
      </c>
      <c r="Q19" s="492">
        <v>4274</v>
      </c>
      <c r="R19" s="311">
        <v>4676</v>
      </c>
      <c r="S19" s="353">
        <v>5054</v>
      </c>
      <c r="T19" s="353">
        <v>5280</v>
      </c>
      <c r="U19" s="492">
        <v>5587</v>
      </c>
      <c r="V19" s="492">
        <v>5911</v>
      </c>
      <c r="W19" s="274"/>
      <c r="X19" s="2"/>
      <c r="Y19" s="2">
        <f t="shared" si="5"/>
        <v>270</v>
      </c>
      <c r="Z19" s="2">
        <f t="shared" si="6"/>
        <v>464</v>
      </c>
      <c r="AA19" s="2">
        <f t="shared" si="15"/>
        <v>467</v>
      </c>
      <c r="AB19" s="2">
        <f t="shared" si="16"/>
        <v>224</v>
      </c>
      <c r="AC19" s="2">
        <f t="shared" si="7"/>
        <v>181</v>
      </c>
      <c r="AD19" s="2">
        <f t="shared" si="8"/>
        <v>240</v>
      </c>
      <c r="AE19" s="2">
        <f t="shared" si="9"/>
        <v>354</v>
      </c>
      <c r="AF19" s="2">
        <f t="shared" si="10"/>
        <v>402</v>
      </c>
      <c r="AG19" s="2">
        <f t="shared" si="11"/>
        <v>378</v>
      </c>
      <c r="AH19" s="2">
        <f t="shared" si="12"/>
        <v>226</v>
      </c>
      <c r="AI19" s="2">
        <f t="shared" si="13"/>
        <v>307</v>
      </c>
      <c r="AJ19" s="2">
        <f t="shared" si="14"/>
        <v>324</v>
      </c>
      <c r="AK19" s="406">
        <v>1</v>
      </c>
      <c r="AL19" s="274">
        <f t="shared" ca="1" si="1"/>
        <v>3499</v>
      </c>
      <c r="AM19" s="311">
        <f t="shared" ca="1" si="2"/>
        <v>3680</v>
      </c>
      <c r="AN19" s="274">
        <f ca="1">IF(AND(Tabla7[[#This Row],[UltLec]]&lt;&gt;0,Tabla7[[#This Row],[PenLect]]&lt;&gt;0),(AM19-AL19)*Tabla7[[#This Row],[RT]],"N/A")</f>
        <v>181</v>
      </c>
      <c r="AO19" s="273" t="s">
        <v>910</v>
      </c>
      <c r="AP19" s="392" t="s">
        <v>1190</v>
      </c>
      <c r="AQ19" s="392" t="s">
        <v>1189</v>
      </c>
      <c r="AR19" s="407">
        <f t="shared" si="3"/>
        <v>0</v>
      </c>
      <c r="AT19" s="2">
        <f t="shared" ca="1" si="4"/>
        <v>0.8080357142857143</v>
      </c>
      <c r="AV19">
        <f>IF(ISBLANK(Tabla7[[#This Row],[31/12/2017]]),0,Tabla7[[#This Row],[31/12/2017]])</f>
        <v>2074</v>
      </c>
      <c r="AW19">
        <f>IF(ISBLANK(Tabla7[[#This Row],[15/01/2018]]),0,Tabla7[[#This Row],[15/01/2018]])</f>
        <v>2344</v>
      </c>
      <c r="AX19">
        <f>IF(ISBLANK(Tabla7[[#This Row],[15/02/2018]]),0,Tabla7[[#This Row],[15/02/2018]])</f>
        <v>2808</v>
      </c>
      <c r="AY19">
        <f>IF(ISBLANK(Tabla7[[#This Row],[15/03/2018]]),0,Tabla7[[#This Row],[15/03/2018]])</f>
        <v>3275</v>
      </c>
      <c r="AZ19">
        <f>IF(ISBLANK(Tabla7[[#This Row],[15/04/2018]]),0,Tabla7[[#This Row],[15/04/2018]])</f>
        <v>3499</v>
      </c>
      <c r="BA19">
        <f>IF(ISBLANK(Tabla7[[#This Row],[15/05/2018]]),0,Tabla7[[#This Row],[15/05/2018]])</f>
        <v>3680</v>
      </c>
      <c r="BB19">
        <f>IF(ISBLANK(Tabla7[[#This Row],[15/06/2018]]),0,Tabla7[[#This Row],[15/06/2018]])</f>
        <v>3920</v>
      </c>
      <c r="BC19">
        <f>IF(ISBLANK(Tabla7[[#This Row],[15/07/2018]]),0,Tabla7[[#This Row],[15/07/2018]])</f>
        <v>4274</v>
      </c>
      <c r="BD19">
        <f>IF(ISBLANK(Tabla7[[#This Row],[15/08/2018]]),0,Tabla7[[#This Row],[15/08/2018]])</f>
        <v>4676</v>
      </c>
      <c r="BE19">
        <f>IF(ISBLANK(Tabla7[[#This Row],[15/09/2018]]),0,Tabla7[[#This Row],[15/09/2018]])</f>
        <v>5054</v>
      </c>
      <c r="BF19">
        <f>IF(ISBLANK(Tabla7[[#This Row],[15/10/2018]]),0,Tabla7[[#This Row],[15/10/2018]])</f>
        <v>5280</v>
      </c>
      <c r="BG19">
        <f>IF(ISBLANK(Tabla7[[#This Row],[15/11/2018]]),0,Tabla7[[#This Row],[15/11/2018]])</f>
        <v>5587</v>
      </c>
      <c r="BH19">
        <f>IF(ISBLANK(Tabla7[[#This Row],[15/12/2018]]),0,Tabla7[[#This Row],[15/12/2018]])</f>
        <v>5911</v>
      </c>
      <c r="BI19">
        <f>IF(ISBLANK(Tabla7[[#This Row],[28/12/2018]]),0,Tabla7[[#This Row],[28/12/2018]])</f>
        <v>0</v>
      </c>
      <c r="BN1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('32973653','G','GCT01','3','APV','ISLETA frente GCT01','PUESTO CONTROL-CONFRONTAS GUARDIA CIVIL','Alta contador en fecha 04/11/2016');</v>
      </c>
      <c r="BO19" t="s">
        <v>243</v>
      </c>
      <c r="BP19" s="632" t="str">
        <f>CONCATENATE("insert into lecturas values ","('",Tabla7[[#This Row],[CONTADOR]],"',STR_TO_DATE('",Tabla7[[#Headers],[31/12/2017]],"','%d/%m/%Y'),",AV19,"),","('",Tabla7[[#This Row],[CONTADOR]],"',STR_TO_DATE('",Tabla7[[#Headers],[15/01/2018]],"','%d/%m/%Y'),",AW19,"),","('",Tabla7[[#This Row],[CONTADOR]],"',STR_TO_DATE('",Tabla7[[#Headers],[15/02/2018]],"','%d/%m/%Y'),",AX19,"),","('",Tabla7[[#This Row],[CONTADOR]],"',STR_TO_DATE('",Tabla7[[#Headers],[15/03/2018]],"','%d/%m/%Y'),",AY19,"),","('",Tabla7[[#This Row],[CONTADOR]],"',STR_TO_DATE('",Tabla7[[#Headers],[15/04/2018]],"','%d/%m/%Y'),",AZ19,"),","('",Tabla7[[#This Row],[CONTADOR]],"',STR_TO_DATE('",Tabla7[[#Headers],[15/05/2018]],"','%d/%m/%Y'),",BA19,"),","('",Tabla7[[#This Row],[CONTADOR]],"',STR_TO_DATE('",Tabla7[[#Headers],[15/06/2018]],"','%d/%m/%Y'),",BB19,"),","('",Tabla7[[#This Row],[CONTADOR]],"',STR_TO_DATE('",Tabla7[[#Headers],[15/07/2018]],"','%d/%m/%Y'),",BC19,"),","('",Tabla7[[#This Row],[CONTADOR]],"',STR_TO_DATE('",Tabla7[[#Headers],[15/08/2018]],"','%d/%m/%Y'),",BD19,"),","('",Tabla7[[#This Row],[CONTADOR]],"',STR_TO_DATE('",Tabla7[[#Headers],[15/09/2018]],"','%d/%m/%Y'),",BE19,"),","('",Tabla7[[#This Row],[CONTADOR]],"',STR_TO_DATE('",Tabla7[[#Headers],[15/10/2018]],"','%d/%m/%Y'),",BF19,"),","('",Tabla7[[#This Row],[CONTADOR]],"',STR_TO_DATE('",Tabla7[[#Headers],[15/11/2018]],"','%d/%m/%Y'),",BG19,"),","('",Tabla7[[#This Row],[CONTADOR]],"',STR_TO_DATE('",Tabla7[[#Headers],[15/12/2018]],"','%d/%m/%Y'),",BH19,");")</f>
        <v>insert into lecturas values ('32973653',STR_TO_DATE('31/12/2017','%d/%m/%Y'),2074),('32973653',STR_TO_DATE('15/01/2018','%d/%m/%Y'),2344),('32973653',STR_TO_DATE('15/02/2018','%d/%m/%Y'),2808),('32973653',STR_TO_DATE('15/03/2018','%d/%m/%Y'),3275),('32973653',STR_TO_DATE('15/04/2018','%d/%m/%Y'),3499),('32973653',STR_TO_DATE('15/05/2018','%d/%m/%Y'),3680),('32973653',STR_TO_DATE('15/06/2018','%d/%m/%Y'),3920),('32973653',STR_TO_DATE('15/07/2018','%d/%m/%Y'),4274),('32973653',STR_TO_DATE('15/08/2018','%d/%m/%Y'),4676),('32973653',STR_TO_DATE('15/09/2018','%d/%m/%Y'),5054),('32973653',STR_TO_DATE('15/10/2018','%d/%m/%Y'),5280),('32973653',STR_TO_DATE('15/11/2018','%d/%m/%Y'),5587),('32973653',STR_TO_DATE('15/12/2018','%d/%m/%Y'),5911);</v>
      </c>
    </row>
    <row r="20" spans="1:68" ht="18" customHeight="1" x14ac:dyDescent="0.25">
      <c r="A20" s="241" t="s">
        <v>614</v>
      </c>
      <c r="B20" s="60"/>
      <c r="C20" s="223">
        <v>50037472</v>
      </c>
      <c r="D20" s="60" t="s">
        <v>617</v>
      </c>
      <c r="E20" s="258">
        <v>39880</v>
      </c>
      <c r="F20" s="274" t="s">
        <v>628</v>
      </c>
      <c r="G20" s="274" t="s">
        <v>629</v>
      </c>
      <c r="H20" s="2" t="s">
        <v>1397</v>
      </c>
      <c r="I20" s="274"/>
      <c r="J20" s="274">
        <v>12783</v>
      </c>
      <c r="K20" s="2">
        <v>12816</v>
      </c>
      <c r="L20" s="311">
        <v>12860</v>
      </c>
      <c r="M20" s="311">
        <v>12916</v>
      </c>
      <c r="N20" s="311">
        <v>12936</v>
      </c>
      <c r="O20" s="311">
        <v>12958</v>
      </c>
      <c r="P20" s="454">
        <v>12992</v>
      </c>
      <c r="Q20" s="492">
        <v>13020</v>
      </c>
      <c r="R20" s="311">
        <v>13129</v>
      </c>
      <c r="S20" s="353">
        <v>13207</v>
      </c>
      <c r="T20" s="353">
        <v>13269</v>
      </c>
      <c r="U20" s="492">
        <v>13298</v>
      </c>
      <c r="V20" s="492">
        <v>13324</v>
      </c>
      <c r="W20" s="274"/>
      <c r="X20" s="2"/>
      <c r="Y20" s="2">
        <f t="shared" si="5"/>
        <v>33</v>
      </c>
      <c r="Z20" s="2">
        <f t="shared" si="6"/>
        <v>44</v>
      </c>
      <c r="AA20" s="2">
        <f t="shared" si="15"/>
        <v>56</v>
      </c>
      <c r="AB20" s="2">
        <f t="shared" si="16"/>
        <v>20</v>
      </c>
      <c r="AC20" s="2">
        <f t="shared" si="7"/>
        <v>22</v>
      </c>
      <c r="AD20" s="2">
        <f t="shared" si="8"/>
        <v>34</v>
      </c>
      <c r="AE20" s="2">
        <f t="shared" si="9"/>
        <v>28</v>
      </c>
      <c r="AF20" s="2">
        <f t="shared" si="10"/>
        <v>109</v>
      </c>
      <c r="AG20" s="2">
        <f t="shared" si="11"/>
        <v>78</v>
      </c>
      <c r="AH20" s="2">
        <f t="shared" si="12"/>
        <v>62</v>
      </c>
      <c r="AI20" s="2">
        <f t="shared" si="13"/>
        <v>29</v>
      </c>
      <c r="AJ20" s="2">
        <f t="shared" si="14"/>
        <v>26</v>
      </c>
      <c r="AK20" s="406">
        <v>1</v>
      </c>
      <c r="AL20" s="274">
        <f t="shared" ca="1" si="1"/>
        <v>12936</v>
      </c>
      <c r="AM20" s="311">
        <f t="shared" ca="1" si="2"/>
        <v>12958</v>
      </c>
      <c r="AN20" s="274">
        <f ca="1">IF(AND(Tabla7[[#This Row],[UltLec]]&lt;&gt;0,Tabla7[[#This Row],[PenLect]]&lt;&gt;0),(AM20-AL20)*Tabla7[[#This Row],[RT]],"N/A")</f>
        <v>22</v>
      </c>
      <c r="AO20" s="273" t="s">
        <v>910</v>
      </c>
      <c r="AP20" s="392" t="s">
        <v>1190</v>
      </c>
      <c r="AQ20" s="392" t="s">
        <v>1193</v>
      </c>
      <c r="AR20" s="407">
        <f t="shared" si="3"/>
        <v>0</v>
      </c>
      <c r="AT20" s="2">
        <f t="shared" ca="1" si="4"/>
        <v>1.1000000000000001</v>
      </c>
      <c r="AV20">
        <f>IF(ISBLANK(Tabla7[[#This Row],[31/12/2017]]),0,Tabla7[[#This Row],[31/12/2017]])</f>
        <v>12783</v>
      </c>
      <c r="AW20">
        <f>IF(ISBLANK(Tabla7[[#This Row],[15/01/2018]]),0,Tabla7[[#This Row],[15/01/2018]])</f>
        <v>12816</v>
      </c>
      <c r="AX20">
        <f>IF(ISBLANK(Tabla7[[#This Row],[15/02/2018]]),0,Tabla7[[#This Row],[15/02/2018]])</f>
        <v>12860</v>
      </c>
      <c r="AY20">
        <f>IF(ISBLANK(Tabla7[[#This Row],[15/03/2018]]),0,Tabla7[[#This Row],[15/03/2018]])</f>
        <v>12916</v>
      </c>
      <c r="AZ20">
        <f>IF(ISBLANK(Tabla7[[#This Row],[15/04/2018]]),0,Tabla7[[#This Row],[15/04/2018]])</f>
        <v>12936</v>
      </c>
      <c r="BA20">
        <f>IF(ISBLANK(Tabla7[[#This Row],[15/05/2018]]),0,Tabla7[[#This Row],[15/05/2018]])</f>
        <v>12958</v>
      </c>
      <c r="BB20">
        <f>IF(ISBLANK(Tabla7[[#This Row],[15/06/2018]]),0,Tabla7[[#This Row],[15/06/2018]])</f>
        <v>12992</v>
      </c>
      <c r="BC20">
        <f>IF(ISBLANK(Tabla7[[#This Row],[15/07/2018]]),0,Tabla7[[#This Row],[15/07/2018]])</f>
        <v>13020</v>
      </c>
      <c r="BD20">
        <f>IF(ISBLANK(Tabla7[[#This Row],[15/08/2018]]),0,Tabla7[[#This Row],[15/08/2018]])</f>
        <v>13129</v>
      </c>
      <c r="BE20">
        <f>IF(ISBLANK(Tabla7[[#This Row],[15/09/2018]]),0,Tabla7[[#This Row],[15/09/2018]])</f>
        <v>13207</v>
      </c>
      <c r="BF20">
        <f>IF(ISBLANK(Tabla7[[#This Row],[15/10/2018]]),0,Tabla7[[#This Row],[15/10/2018]])</f>
        <v>13269</v>
      </c>
      <c r="BG20">
        <f>IF(ISBLANK(Tabla7[[#This Row],[15/11/2018]]),0,Tabla7[[#This Row],[15/11/2018]])</f>
        <v>13298</v>
      </c>
      <c r="BH20">
        <f>IF(ISBLANK(Tabla7[[#This Row],[15/12/2018]]),0,Tabla7[[#This Row],[15/12/2018]])</f>
        <v>13324</v>
      </c>
      <c r="BI20">
        <f>IF(ISBLANK(Tabla7[[#This Row],[28/12/2018]]),0,Tabla7[[#This Row],[28/12/2018]])</f>
        <v>0</v>
      </c>
      <c r="BN2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('50037472','G','GCT01','39880','SOCIED. EST/DESEST PUERTO GANDÍA','ASEO VIVIENDA SERVICIO Nº1','OFICINAS EN EDIFICIO APV','');</v>
      </c>
      <c r="BO20" t="s">
        <v>243</v>
      </c>
      <c r="BP20" s="632" t="str">
        <f>CONCATENATE("insert into lecturas values ","('",Tabla7[[#This Row],[CONTADOR]],"',STR_TO_DATE('",Tabla7[[#Headers],[31/12/2017]],"','%d/%m/%Y'),",AV20,"),","('",Tabla7[[#This Row],[CONTADOR]],"',STR_TO_DATE('",Tabla7[[#Headers],[15/01/2018]],"','%d/%m/%Y'),",AW20,"),","('",Tabla7[[#This Row],[CONTADOR]],"',STR_TO_DATE('",Tabla7[[#Headers],[15/02/2018]],"','%d/%m/%Y'),",AX20,"),","('",Tabla7[[#This Row],[CONTADOR]],"',STR_TO_DATE('",Tabla7[[#Headers],[15/03/2018]],"','%d/%m/%Y'),",AY20,"),","('",Tabla7[[#This Row],[CONTADOR]],"',STR_TO_DATE('",Tabla7[[#Headers],[15/04/2018]],"','%d/%m/%Y'),",AZ20,"),","('",Tabla7[[#This Row],[CONTADOR]],"',STR_TO_DATE('",Tabla7[[#Headers],[15/05/2018]],"','%d/%m/%Y'),",BA20,"),","('",Tabla7[[#This Row],[CONTADOR]],"',STR_TO_DATE('",Tabla7[[#Headers],[15/06/2018]],"','%d/%m/%Y'),",BB20,"),","('",Tabla7[[#This Row],[CONTADOR]],"',STR_TO_DATE('",Tabla7[[#Headers],[15/07/2018]],"','%d/%m/%Y'),",BC20,"),","('",Tabla7[[#This Row],[CONTADOR]],"',STR_TO_DATE('",Tabla7[[#Headers],[15/08/2018]],"','%d/%m/%Y'),",BD20,"),","('",Tabla7[[#This Row],[CONTADOR]],"',STR_TO_DATE('",Tabla7[[#Headers],[15/09/2018]],"','%d/%m/%Y'),",BE20,"),","('",Tabla7[[#This Row],[CONTADOR]],"',STR_TO_DATE('",Tabla7[[#Headers],[15/10/2018]],"','%d/%m/%Y'),",BF20,"),","('",Tabla7[[#This Row],[CONTADOR]],"',STR_TO_DATE('",Tabla7[[#Headers],[15/11/2018]],"','%d/%m/%Y'),",BG20,"),","('",Tabla7[[#This Row],[CONTADOR]],"',STR_TO_DATE('",Tabla7[[#Headers],[15/12/2018]],"','%d/%m/%Y'),",BH20,");")</f>
        <v>insert into lecturas values ('50037472',STR_TO_DATE('31/12/2017','%d/%m/%Y'),12783),('50037472',STR_TO_DATE('15/01/2018','%d/%m/%Y'),12816),('50037472',STR_TO_DATE('15/02/2018','%d/%m/%Y'),12860),('50037472',STR_TO_DATE('15/03/2018','%d/%m/%Y'),12916),('50037472',STR_TO_DATE('15/04/2018','%d/%m/%Y'),12936),('50037472',STR_TO_DATE('15/05/2018','%d/%m/%Y'),12958),('50037472',STR_TO_DATE('15/06/2018','%d/%m/%Y'),12992),('50037472',STR_TO_DATE('15/07/2018','%d/%m/%Y'),13020),('50037472',STR_TO_DATE('15/08/2018','%d/%m/%Y'),13129),('50037472',STR_TO_DATE('15/09/2018','%d/%m/%Y'),13207),('50037472',STR_TO_DATE('15/10/2018','%d/%m/%Y'),13269),('50037472',STR_TO_DATE('15/11/2018','%d/%m/%Y'),13298),('50037472',STR_TO_DATE('15/12/2018','%d/%m/%Y'),13324);</v>
      </c>
    </row>
    <row r="21" spans="1:68" ht="18" customHeight="1" x14ac:dyDescent="0.25">
      <c r="A21" s="241" t="s">
        <v>614</v>
      </c>
      <c r="B21" s="60"/>
      <c r="C21" s="223">
        <v>73321615</v>
      </c>
      <c r="D21" s="60" t="s">
        <v>617</v>
      </c>
      <c r="E21" s="258">
        <v>39890</v>
      </c>
      <c r="F21" s="274" t="s">
        <v>639</v>
      </c>
      <c r="G21" s="2" t="s">
        <v>640</v>
      </c>
      <c r="H21" s="2" t="s">
        <v>1422</v>
      </c>
      <c r="I21" s="274"/>
      <c r="J21" s="311">
        <v>289079</v>
      </c>
      <c r="K21" s="311">
        <v>290797</v>
      </c>
      <c r="L21" s="311">
        <v>293783</v>
      </c>
      <c r="M21" s="311">
        <v>297877</v>
      </c>
      <c r="N21" s="311">
        <v>300541</v>
      </c>
      <c r="O21" s="311">
        <v>304158</v>
      </c>
      <c r="P21" s="454">
        <v>309701</v>
      </c>
      <c r="Q21" s="311">
        <v>314281</v>
      </c>
      <c r="R21" s="311">
        <v>316769</v>
      </c>
      <c r="S21" s="311">
        <v>319872</v>
      </c>
      <c r="T21" s="311">
        <v>321660</v>
      </c>
      <c r="U21" s="311">
        <v>324085</v>
      </c>
      <c r="V21" s="492">
        <v>326625</v>
      </c>
      <c r="W21" s="274"/>
      <c r="X21" s="274"/>
      <c r="Y21" s="2">
        <f t="shared" si="5"/>
        <v>1718</v>
      </c>
      <c r="Z21" s="2">
        <f t="shared" si="6"/>
        <v>2986</v>
      </c>
      <c r="AA21" s="2">
        <f t="shared" si="15"/>
        <v>4094</v>
      </c>
      <c r="AB21" s="2">
        <f t="shared" si="16"/>
        <v>2664</v>
      </c>
      <c r="AC21" s="2">
        <f t="shared" si="7"/>
        <v>3617</v>
      </c>
      <c r="AD21" s="2">
        <f t="shared" si="8"/>
        <v>5543</v>
      </c>
      <c r="AE21" s="2">
        <f t="shared" si="9"/>
        <v>4580</v>
      </c>
      <c r="AF21" s="2">
        <f t="shared" si="10"/>
        <v>2488</v>
      </c>
      <c r="AG21" s="2">
        <f t="shared" si="11"/>
        <v>3103</v>
      </c>
      <c r="AH21" s="2">
        <f t="shared" si="12"/>
        <v>1788</v>
      </c>
      <c r="AI21" s="2">
        <f t="shared" si="13"/>
        <v>2425</v>
      </c>
      <c r="AJ21" s="2">
        <f t="shared" si="14"/>
        <v>2540</v>
      </c>
      <c r="AK21" s="406">
        <v>1</v>
      </c>
      <c r="AL21" s="274">
        <f t="shared" ca="1" si="1"/>
        <v>300541</v>
      </c>
      <c r="AM21" s="311">
        <f t="shared" ca="1" si="2"/>
        <v>304158</v>
      </c>
      <c r="AN21" s="274">
        <f ca="1">IF(AND(Tabla7[[#This Row],[UltLec]]&lt;&gt;0,Tabla7[[#This Row],[PenLect]]&lt;&gt;0),(AM21-AL21)*Tabla7[[#This Row],[RT]],"N/A")</f>
        <v>3617</v>
      </c>
      <c r="AO21" s="273" t="s">
        <v>910</v>
      </c>
      <c r="AP21" s="392" t="s">
        <v>1190</v>
      </c>
      <c r="AQ21" s="392" t="s">
        <v>1189</v>
      </c>
      <c r="AR21" s="407">
        <f t="shared" si="3"/>
        <v>0</v>
      </c>
      <c r="AT21" s="2">
        <f t="shared" ca="1" si="4"/>
        <v>1.3577327327327327</v>
      </c>
      <c r="AV21">
        <f>IF(ISBLANK(Tabla7[[#This Row],[31/12/2017]]),0,Tabla7[[#This Row],[31/12/2017]])</f>
        <v>289079</v>
      </c>
      <c r="AW21">
        <f>IF(ISBLANK(Tabla7[[#This Row],[15/01/2018]]),0,Tabla7[[#This Row],[15/01/2018]])</f>
        <v>290797</v>
      </c>
      <c r="AX21">
        <f>IF(ISBLANK(Tabla7[[#This Row],[15/02/2018]]),0,Tabla7[[#This Row],[15/02/2018]])</f>
        <v>293783</v>
      </c>
      <c r="AY21">
        <f>IF(ISBLANK(Tabla7[[#This Row],[15/03/2018]]),0,Tabla7[[#This Row],[15/03/2018]])</f>
        <v>297877</v>
      </c>
      <c r="AZ21">
        <f>IF(ISBLANK(Tabla7[[#This Row],[15/04/2018]]),0,Tabla7[[#This Row],[15/04/2018]])</f>
        <v>300541</v>
      </c>
      <c r="BA21">
        <f>IF(ISBLANK(Tabla7[[#This Row],[15/05/2018]]),0,Tabla7[[#This Row],[15/05/2018]])</f>
        <v>304158</v>
      </c>
      <c r="BB21">
        <f>IF(ISBLANK(Tabla7[[#This Row],[15/06/2018]]),0,Tabla7[[#This Row],[15/06/2018]])</f>
        <v>309701</v>
      </c>
      <c r="BC21">
        <f>IF(ISBLANK(Tabla7[[#This Row],[15/07/2018]]),0,Tabla7[[#This Row],[15/07/2018]])</f>
        <v>314281</v>
      </c>
      <c r="BD21">
        <f>IF(ISBLANK(Tabla7[[#This Row],[15/08/2018]]),0,Tabla7[[#This Row],[15/08/2018]])</f>
        <v>316769</v>
      </c>
      <c r="BE21">
        <f>IF(ISBLANK(Tabla7[[#This Row],[15/09/2018]]),0,Tabla7[[#This Row],[15/09/2018]])</f>
        <v>319872</v>
      </c>
      <c r="BF21">
        <f>IF(ISBLANK(Tabla7[[#This Row],[15/10/2018]]),0,Tabla7[[#This Row],[15/10/2018]])</f>
        <v>321660</v>
      </c>
      <c r="BG21">
        <f>IF(ISBLANK(Tabla7[[#This Row],[15/11/2018]]),0,Tabla7[[#This Row],[15/11/2018]])</f>
        <v>324085</v>
      </c>
      <c r="BH21">
        <f>IF(ISBLANK(Tabla7[[#This Row],[15/12/2018]]),0,Tabla7[[#This Row],[15/12/2018]])</f>
        <v>326625</v>
      </c>
      <c r="BI21">
        <f>IF(ISBLANK(Tabla7[[#This Row],[28/12/2018]]),0,Tabla7[[#This Row],[28/12/2018]])</f>
        <v>0</v>
      </c>
      <c r="BN2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('73321615','G','GCT01','39890','CASTELLÓ HERRERO, SEBASTIÁN','MURO PERIMETRAL VARADERO','VARADERO S.C.H.','');</v>
      </c>
      <c r="BO21" t="s">
        <v>243</v>
      </c>
      <c r="BP21" s="632" t="str">
        <f>CONCATENATE("insert into lecturas values ","('",Tabla7[[#This Row],[CONTADOR]],"',STR_TO_DATE('",Tabla7[[#Headers],[31/12/2017]],"','%d/%m/%Y'),",AV21,"),","('",Tabla7[[#This Row],[CONTADOR]],"',STR_TO_DATE('",Tabla7[[#Headers],[15/01/2018]],"','%d/%m/%Y'),",AW21,"),","('",Tabla7[[#This Row],[CONTADOR]],"',STR_TO_DATE('",Tabla7[[#Headers],[15/02/2018]],"','%d/%m/%Y'),",AX21,"),","('",Tabla7[[#This Row],[CONTADOR]],"',STR_TO_DATE('",Tabla7[[#Headers],[15/03/2018]],"','%d/%m/%Y'),",AY21,"),","('",Tabla7[[#This Row],[CONTADOR]],"',STR_TO_DATE('",Tabla7[[#Headers],[15/04/2018]],"','%d/%m/%Y'),",AZ21,"),","('",Tabla7[[#This Row],[CONTADOR]],"',STR_TO_DATE('",Tabla7[[#Headers],[15/05/2018]],"','%d/%m/%Y'),",BA21,"),","('",Tabla7[[#This Row],[CONTADOR]],"',STR_TO_DATE('",Tabla7[[#Headers],[15/06/2018]],"','%d/%m/%Y'),",BB21,"),","('",Tabla7[[#This Row],[CONTADOR]],"',STR_TO_DATE('",Tabla7[[#Headers],[15/07/2018]],"','%d/%m/%Y'),",BC21,"),","('",Tabla7[[#This Row],[CONTADOR]],"',STR_TO_DATE('",Tabla7[[#Headers],[15/08/2018]],"','%d/%m/%Y'),",BD21,"),","('",Tabla7[[#This Row],[CONTADOR]],"',STR_TO_DATE('",Tabla7[[#Headers],[15/09/2018]],"','%d/%m/%Y'),",BE21,"),","('",Tabla7[[#This Row],[CONTADOR]],"',STR_TO_DATE('",Tabla7[[#Headers],[15/10/2018]],"','%d/%m/%Y'),",BF21,"),","('",Tabla7[[#This Row],[CONTADOR]],"',STR_TO_DATE('",Tabla7[[#Headers],[15/11/2018]],"','%d/%m/%Y'),",BG21,"),","('",Tabla7[[#This Row],[CONTADOR]],"',STR_TO_DATE('",Tabla7[[#Headers],[15/12/2018]],"','%d/%m/%Y'),",BH21,");")</f>
        <v>insert into lecturas values ('73321615',STR_TO_DATE('31/12/2017','%d/%m/%Y'),289079),('73321615',STR_TO_DATE('15/01/2018','%d/%m/%Y'),290797),('73321615',STR_TO_DATE('15/02/2018','%d/%m/%Y'),293783),('73321615',STR_TO_DATE('15/03/2018','%d/%m/%Y'),297877),('73321615',STR_TO_DATE('15/04/2018','%d/%m/%Y'),300541),('73321615',STR_TO_DATE('15/05/2018','%d/%m/%Y'),304158),('73321615',STR_TO_DATE('15/06/2018','%d/%m/%Y'),309701),('73321615',STR_TO_DATE('15/07/2018','%d/%m/%Y'),314281),('73321615',STR_TO_DATE('15/08/2018','%d/%m/%Y'),316769),('73321615',STR_TO_DATE('15/09/2018','%d/%m/%Y'),319872),('73321615',STR_TO_DATE('15/10/2018','%d/%m/%Y'),321660),('73321615',STR_TO_DATE('15/11/2018','%d/%m/%Y'),324085),('73321615',STR_TO_DATE('15/12/2018','%d/%m/%Y'),326625);</v>
      </c>
    </row>
    <row r="22" spans="1:68" ht="18" customHeight="1" x14ac:dyDescent="0.25">
      <c r="A22" s="241" t="s">
        <v>614</v>
      </c>
      <c r="B22" s="60"/>
      <c r="C22" s="223" t="s">
        <v>409</v>
      </c>
      <c r="D22" s="60" t="s">
        <v>617</v>
      </c>
      <c r="E22" s="258">
        <v>3</v>
      </c>
      <c r="F22" s="274" t="s">
        <v>21</v>
      </c>
      <c r="G22" s="274" t="s">
        <v>636</v>
      </c>
      <c r="H22" s="274" t="s">
        <v>637</v>
      </c>
      <c r="I22" s="274" t="s">
        <v>1185</v>
      </c>
      <c r="J22" s="311">
        <v>13239</v>
      </c>
      <c r="K22" s="311">
        <v>13239</v>
      </c>
      <c r="L22" s="311">
        <v>13380</v>
      </c>
      <c r="M22" s="311">
        <v>13544.9</v>
      </c>
      <c r="N22" s="311">
        <v>13673.9</v>
      </c>
      <c r="O22" s="311">
        <v>13808.8</v>
      </c>
      <c r="P22" s="454">
        <v>13904.3</v>
      </c>
      <c r="Q22" s="311">
        <v>13914.6</v>
      </c>
      <c r="R22" s="311">
        <v>13937.5</v>
      </c>
      <c r="S22" s="311">
        <v>13937.5</v>
      </c>
      <c r="T22" s="311">
        <v>13940.2</v>
      </c>
      <c r="U22" s="311">
        <v>13960.7</v>
      </c>
      <c r="V22" s="492">
        <v>13972.7</v>
      </c>
      <c r="W22" s="274"/>
      <c r="X22" s="274"/>
      <c r="Y22" s="274">
        <f t="shared" si="5"/>
        <v>0</v>
      </c>
      <c r="Z22" s="274">
        <f t="shared" si="6"/>
        <v>141</v>
      </c>
      <c r="AA22" s="274">
        <f t="shared" si="15"/>
        <v>164.89999999999964</v>
      </c>
      <c r="AB22" s="274">
        <f t="shared" si="16"/>
        <v>129</v>
      </c>
      <c r="AC22" s="274">
        <f t="shared" si="7"/>
        <v>134.89999999999964</v>
      </c>
      <c r="AD22" s="274">
        <f t="shared" si="8"/>
        <v>95.5</v>
      </c>
      <c r="AE22" s="274">
        <f t="shared" si="9"/>
        <v>10.300000000001091</v>
      </c>
      <c r="AF22" s="274">
        <f t="shared" si="10"/>
        <v>22.899999999999636</v>
      </c>
      <c r="AG22" s="274">
        <f t="shared" si="11"/>
        <v>0</v>
      </c>
      <c r="AH22" s="274">
        <f t="shared" si="12"/>
        <v>2.7000000000007276</v>
      </c>
      <c r="AI22" s="274">
        <f t="shared" si="13"/>
        <v>20.5</v>
      </c>
      <c r="AJ22" s="274">
        <f t="shared" si="14"/>
        <v>12</v>
      </c>
      <c r="AK22" s="406">
        <v>1</v>
      </c>
      <c r="AL22" s="274">
        <f t="shared" ca="1" si="1"/>
        <v>13673.9</v>
      </c>
      <c r="AM22" s="311">
        <f t="shared" ca="1" si="2"/>
        <v>13808.8</v>
      </c>
      <c r="AN22" s="274">
        <f ca="1">IF(AND(Tabla7[[#This Row],[UltLec]]&lt;&gt;0,Tabla7[[#This Row],[PenLect]]&lt;&gt;0),(AM22-AL22)*Tabla7[[#This Row],[RT]],"N/A")</f>
        <v>134.89999999999964</v>
      </c>
      <c r="AO22" s="273" t="s">
        <v>910</v>
      </c>
      <c r="AP22" s="392" t="s">
        <v>1190</v>
      </c>
      <c r="AQ22" s="392" t="s">
        <v>1189</v>
      </c>
      <c r="AR22" s="407">
        <f t="shared" si="3"/>
        <v>0</v>
      </c>
      <c r="AT22" s="2">
        <f t="shared" ca="1" si="4"/>
        <v>1.0457364341085242</v>
      </c>
      <c r="AV22">
        <f>IF(ISBLANK(Tabla7[[#This Row],[31/12/2017]]),0,Tabla7[[#This Row],[31/12/2017]])</f>
        <v>13239</v>
      </c>
      <c r="AW22">
        <f>IF(ISBLANK(Tabla7[[#This Row],[15/01/2018]]),0,Tabla7[[#This Row],[15/01/2018]])</f>
        <v>13239</v>
      </c>
      <c r="AX22">
        <f>IF(ISBLANK(Tabla7[[#This Row],[15/02/2018]]),0,Tabla7[[#This Row],[15/02/2018]])</f>
        <v>13380</v>
      </c>
      <c r="AY22">
        <f>IF(ISBLANK(Tabla7[[#This Row],[15/03/2018]]),0,Tabla7[[#This Row],[15/03/2018]])</f>
        <v>13544.9</v>
      </c>
      <c r="AZ22">
        <f>IF(ISBLANK(Tabla7[[#This Row],[15/04/2018]]),0,Tabla7[[#This Row],[15/04/2018]])</f>
        <v>13673.9</v>
      </c>
      <c r="BA22">
        <f>IF(ISBLANK(Tabla7[[#This Row],[15/05/2018]]),0,Tabla7[[#This Row],[15/05/2018]])</f>
        <v>13808.8</v>
      </c>
      <c r="BB22">
        <f>IF(ISBLANK(Tabla7[[#This Row],[15/06/2018]]),0,Tabla7[[#This Row],[15/06/2018]])</f>
        <v>13904.3</v>
      </c>
      <c r="BC22">
        <f>IF(ISBLANK(Tabla7[[#This Row],[15/07/2018]]),0,Tabla7[[#This Row],[15/07/2018]])</f>
        <v>13914.6</v>
      </c>
      <c r="BD22">
        <f>IF(ISBLANK(Tabla7[[#This Row],[15/08/2018]]),0,Tabla7[[#This Row],[15/08/2018]])</f>
        <v>13937.5</v>
      </c>
      <c r="BE22">
        <f>IF(ISBLANK(Tabla7[[#This Row],[15/09/2018]]),0,Tabla7[[#This Row],[15/09/2018]])</f>
        <v>13937.5</v>
      </c>
      <c r="BF22">
        <f>IF(ISBLANK(Tabla7[[#This Row],[15/10/2018]]),0,Tabla7[[#This Row],[15/10/2018]])</f>
        <v>13940.2</v>
      </c>
      <c r="BG22">
        <f>IF(ISBLANK(Tabla7[[#This Row],[15/11/2018]]),0,Tabla7[[#This Row],[15/11/2018]])</f>
        <v>13960.7</v>
      </c>
      <c r="BH22">
        <f>IF(ISBLANK(Tabla7[[#This Row],[15/12/2018]]),0,Tabla7[[#This Row],[15/12/2018]])</f>
        <v>13972.7</v>
      </c>
      <c r="BI22">
        <f>IF(ISBLANK(Tabla7[[#This Row],[28/12/2018]]),0,Tabla7[[#This Row],[28/12/2018]])</f>
        <v>0</v>
      </c>
      <c r="BN2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('6542616-98','G','GCT01','3','APV','INTERIOR T. FRUTEROS 13-14','ALUMBRADO INTERIOR TINGLADOS FRUTEROS','15-02-18 baja del usuario. Ahora es consumo APV');</v>
      </c>
      <c r="BO22" t="s">
        <v>243</v>
      </c>
      <c r="BP22" s="632" t="str">
        <f>CONCATENATE("insert into lecturas values ","('",Tabla7[[#This Row],[CONTADOR]],"',STR_TO_DATE('",Tabla7[[#Headers],[31/12/2017]],"','%d/%m/%Y'),",AV22,"),","('",Tabla7[[#This Row],[CONTADOR]],"',STR_TO_DATE('",Tabla7[[#Headers],[15/01/2018]],"','%d/%m/%Y'),",AW22,"),","('",Tabla7[[#This Row],[CONTADOR]],"',STR_TO_DATE('",Tabla7[[#Headers],[15/02/2018]],"','%d/%m/%Y'),",AX22,"),","('",Tabla7[[#This Row],[CONTADOR]],"',STR_TO_DATE('",Tabla7[[#Headers],[15/03/2018]],"','%d/%m/%Y'),",AY22,"),","('",Tabla7[[#This Row],[CONTADOR]],"',STR_TO_DATE('",Tabla7[[#Headers],[15/04/2018]],"','%d/%m/%Y'),",AZ22,"),","('",Tabla7[[#This Row],[CONTADOR]],"',STR_TO_DATE('",Tabla7[[#Headers],[15/05/2018]],"','%d/%m/%Y'),",BA22,"),","('",Tabla7[[#This Row],[CONTADOR]],"',STR_TO_DATE('",Tabla7[[#Headers],[15/06/2018]],"','%d/%m/%Y'),",BB22,"),","('",Tabla7[[#This Row],[CONTADOR]],"',STR_TO_DATE('",Tabla7[[#Headers],[15/07/2018]],"','%d/%m/%Y'),",BC22,"),","('",Tabla7[[#This Row],[CONTADOR]],"',STR_TO_DATE('",Tabla7[[#Headers],[15/08/2018]],"','%d/%m/%Y'),",BD22,"),","('",Tabla7[[#This Row],[CONTADOR]],"',STR_TO_DATE('",Tabla7[[#Headers],[15/09/2018]],"','%d/%m/%Y'),",BE22,"),","('",Tabla7[[#This Row],[CONTADOR]],"',STR_TO_DATE('",Tabla7[[#Headers],[15/10/2018]],"','%d/%m/%Y'),",BF22,"),","('",Tabla7[[#This Row],[CONTADOR]],"',STR_TO_DATE('",Tabla7[[#Headers],[15/11/2018]],"','%d/%m/%Y'),",BG22,"),","('",Tabla7[[#This Row],[CONTADOR]],"',STR_TO_DATE('",Tabla7[[#Headers],[15/12/2018]],"','%d/%m/%Y'),",BH22,");")</f>
        <v>insert into lecturas values ('6542616-98',STR_TO_DATE('31/12/2017','%d/%m/%Y'),13239),('6542616-98',STR_TO_DATE('15/01/2018','%d/%m/%Y'),13239),('6542616-98',STR_TO_DATE('15/02/2018','%d/%m/%Y'),13380),('6542616-98',STR_TO_DATE('15/03/2018','%d/%m/%Y'),13544,9),('6542616-98',STR_TO_DATE('15/04/2018','%d/%m/%Y'),13673,9),('6542616-98',STR_TO_DATE('15/05/2018','%d/%m/%Y'),13808,8),('6542616-98',STR_TO_DATE('15/06/2018','%d/%m/%Y'),13904,3),('6542616-98',STR_TO_DATE('15/07/2018','%d/%m/%Y'),13914,6),('6542616-98',STR_TO_DATE('15/08/2018','%d/%m/%Y'),13937,5),('6542616-98',STR_TO_DATE('15/09/2018','%d/%m/%Y'),13937,5),('6542616-98',STR_TO_DATE('15/10/2018','%d/%m/%Y'),13940,2),('6542616-98',STR_TO_DATE('15/11/2018','%d/%m/%Y'),13960,7),('6542616-98',STR_TO_DATE('15/12/2018','%d/%m/%Y'),13972,7);</v>
      </c>
    </row>
    <row r="23" spans="1:68" ht="18.75" customHeight="1" x14ac:dyDescent="0.25">
      <c r="A23" s="241" t="s">
        <v>743</v>
      </c>
      <c r="B23" s="60"/>
      <c r="C23" s="223" t="s">
        <v>413</v>
      </c>
      <c r="D23" s="60" t="s">
        <v>617</v>
      </c>
      <c r="E23" s="258">
        <v>0</v>
      </c>
      <c r="F23" s="274" t="s">
        <v>21</v>
      </c>
      <c r="G23" s="274" t="s">
        <v>621</v>
      </c>
      <c r="H23" s="274" t="s">
        <v>642</v>
      </c>
      <c r="I23" s="274"/>
      <c r="J23" s="274">
        <v>2718156.6</v>
      </c>
      <c r="K23" s="274">
        <v>2734622.2</v>
      </c>
      <c r="L23" s="311">
        <v>2758945</v>
      </c>
      <c r="M23" s="311">
        <v>2787828.6</v>
      </c>
      <c r="N23" s="311">
        <v>2807239.2</v>
      </c>
      <c r="O23" s="311">
        <v>2827547.8</v>
      </c>
      <c r="P23" s="454">
        <v>2855007.2</v>
      </c>
      <c r="Q23" s="492">
        <v>2874031.8</v>
      </c>
      <c r="R23" s="311">
        <v>2903721.4</v>
      </c>
      <c r="S23" s="532">
        <v>2928501.8</v>
      </c>
      <c r="T23" s="532">
        <v>2949308.6</v>
      </c>
      <c r="U23" s="617">
        <v>2976885.2</v>
      </c>
      <c r="V23" s="492">
        <v>3004738</v>
      </c>
      <c r="W23" s="274"/>
      <c r="X23" s="274"/>
      <c r="Y23" s="2">
        <f t="shared" si="5"/>
        <v>16465.600000000093</v>
      </c>
      <c r="Z23" s="2">
        <f t="shared" si="6"/>
        <v>24322.799999999814</v>
      </c>
      <c r="AA23" s="2">
        <f t="shared" si="15"/>
        <v>28883.600000000093</v>
      </c>
      <c r="AB23" s="2">
        <f t="shared" si="16"/>
        <v>19410.600000000093</v>
      </c>
      <c r="AC23" s="2">
        <f t="shared" si="7"/>
        <v>20308.599999999627</v>
      </c>
      <c r="AD23" s="2">
        <f t="shared" si="8"/>
        <v>27459.400000000373</v>
      </c>
      <c r="AE23" s="2">
        <f t="shared" si="9"/>
        <v>19024.599999999627</v>
      </c>
      <c r="AF23" s="2">
        <f t="shared" si="10"/>
        <v>29689.600000000093</v>
      </c>
      <c r="AG23" s="2">
        <f t="shared" si="11"/>
        <v>24780.399999999907</v>
      </c>
      <c r="AH23" s="2">
        <f t="shared" si="12"/>
        <v>20806.800000000279</v>
      </c>
      <c r="AI23" s="2">
        <f t="shared" si="13"/>
        <v>27576.600000000093</v>
      </c>
      <c r="AJ23" s="2">
        <f t="shared" si="14"/>
        <v>27852.799999999814</v>
      </c>
      <c r="AK23" s="406">
        <v>1</v>
      </c>
      <c r="AL23" s="274">
        <f t="shared" ca="1" si="1"/>
        <v>2807239.2</v>
      </c>
      <c r="AM23" s="311">
        <f t="shared" ca="1" si="2"/>
        <v>2827547.8</v>
      </c>
      <c r="AN23" s="274">
        <f ca="1">IF(AND(Tabla7[[#This Row],[UltLec]]&lt;&gt;0,Tabla7[[#This Row],[PenLect]]&lt;&gt;0),(AM23-AL23)*Tabla7[[#This Row],[RT]],"N/A")</f>
        <v>20308.599999999627</v>
      </c>
      <c r="AO23" s="273" t="s">
        <v>910</v>
      </c>
      <c r="AP23" s="392" t="s">
        <v>1190</v>
      </c>
      <c r="AQ23" s="392" t="s">
        <v>1189</v>
      </c>
      <c r="AR23" s="407">
        <f t="shared" si="3"/>
        <v>0</v>
      </c>
      <c r="AT23" s="2">
        <f t="shared" ca="1" si="4"/>
        <v>1.0462633818634937</v>
      </c>
      <c r="AV23">
        <f>IF(ISBLANK(Tabla7[[#This Row],[31/12/2017]]),0,Tabla7[[#This Row],[31/12/2017]])</f>
        <v>2718156.6</v>
      </c>
      <c r="AW23">
        <f>IF(ISBLANK(Tabla7[[#This Row],[15/01/2018]]),0,Tabla7[[#This Row],[15/01/2018]])</f>
        <v>2734622.2</v>
      </c>
      <c r="AX23">
        <f>IF(ISBLANK(Tabla7[[#This Row],[15/02/2018]]),0,Tabla7[[#This Row],[15/02/2018]])</f>
        <v>2758945</v>
      </c>
      <c r="AY23">
        <f>IF(ISBLANK(Tabla7[[#This Row],[15/03/2018]]),0,Tabla7[[#This Row],[15/03/2018]])</f>
        <v>2787828.6</v>
      </c>
      <c r="AZ23">
        <f>IF(ISBLANK(Tabla7[[#This Row],[15/04/2018]]),0,Tabla7[[#This Row],[15/04/2018]])</f>
        <v>2807239.2</v>
      </c>
      <c r="BA23">
        <f>IF(ISBLANK(Tabla7[[#This Row],[15/05/2018]]),0,Tabla7[[#This Row],[15/05/2018]])</f>
        <v>2827547.8</v>
      </c>
      <c r="BB23">
        <f>IF(ISBLANK(Tabla7[[#This Row],[15/06/2018]]),0,Tabla7[[#This Row],[15/06/2018]])</f>
        <v>2855007.2</v>
      </c>
      <c r="BC23">
        <f>IF(ISBLANK(Tabla7[[#This Row],[15/07/2018]]),0,Tabla7[[#This Row],[15/07/2018]])</f>
        <v>2874031.8</v>
      </c>
      <c r="BD23">
        <f>IF(ISBLANK(Tabla7[[#This Row],[15/08/2018]]),0,Tabla7[[#This Row],[15/08/2018]])</f>
        <v>2903721.4</v>
      </c>
      <c r="BE23">
        <f>IF(ISBLANK(Tabla7[[#This Row],[15/09/2018]]),0,Tabla7[[#This Row],[15/09/2018]])</f>
        <v>2928501.8</v>
      </c>
      <c r="BF23">
        <f>IF(ISBLANK(Tabla7[[#This Row],[15/10/2018]]),0,Tabla7[[#This Row],[15/10/2018]])</f>
        <v>2949308.6</v>
      </c>
      <c r="BG23">
        <f>IF(ISBLANK(Tabla7[[#This Row],[15/11/2018]]),0,Tabla7[[#This Row],[15/11/2018]])</f>
        <v>2976885.2</v>
      </c>
      <c r="BH23">
        <f>IF(ISBLANK(Tabla7[[#This Row],[15/12/2018]]),0,Tabla7[[#This Row],[15/12/2018]])</f>
        <v>3004738</v>
      </c>
      <c r="BI23">
        <f>IF(ISBLANK(Tabla7[[#This Row],[28/12/2018]]),0,Tabla7[[#This Row],[28/12/2018]])</f>
        <v>0</v>
      </c>
      <c r="BN2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('C01.00','GTOT','GCT01','0','APV','CT 1 SUR','General CT 1','');</v>
      </c>
      <c r="BO23" t="s">
        <v>243</v>
      </c>
      <c r="BP23" s="632" t="str">
        <f>CONCATENATE("insert into lecturas values ","('",Tabla7[[#This Row],[CONTADOR]],"',STR_TO_DATE('",Tabla7[[#Headers],[31/12/2017]],"','%d/%m/%Y'),",AV23,"),","('",Tabla7[[#This Row],[CONTADOR]],"',STR_TO_DATE('",Tabla7[[#Headers],[15/01/2018]],"','%d/%m/%Y'),",AW23,"),","('",Tabla7[[#This Row],[CONTADOR]],"',STR_TO_DATE('",Tabla7[[#Headers],[15/02/2018]],"','%d/%m/%Y'),",AX23,"),","('",Tabla7[[#This Row],[CONTADOR]],"',STR_TO_DATE('",Tabla7[[#Headers],[15/03/2018]],"','%d/%m/%Y'),",AY23,"),","('",Tabla7[[#This Row],[CONTADOR]],"',STR_TO_DATE('",Tabla7[[#Headers],[15/04/2018]],"','%d/%m/%Y'),",AZ23,"),","('",Tabla7[[#This Row],[CONTADOR]],"',STR_TO_DATE('",Tabla7[[#Headers],[15/05/2018]],"','%d/%m/%Y'),",BA23,"),","('",Tabla7[[#This Row],[CONTADOR]],"',STR_TO_DATE('",Tabla7[[#Headers],[15/06/2018]],"','%d/%m/%Y'),",BB23,"),","('",Tabla7[[#This Row],[CONTADOR]],"',STR_TO_DATE('",Tabla7[[#Headers],[15/07/2018]],"','%d/%m/%Y'),",BC23,"),","('",Tabla7[[#This Row],[CONTADOR]],"',STR_TO_DATE('",Tabla7[[#Headers],[15/08/2018]],"','%d/%m/%Y'),",BD23,"),","('",Tabla7[[#This Row],[CONTADOR]],"',STR_TO_DATE('",Tabla7[[#Headers],[15/09/2018]],"','%d/%m/%Y'),",BE23,"),","('",Tabla7[[#This Row],[CONTADOR]],"',STR_TO_DATE('",Tabla7[[#Headers],[15/10/2018]],"','%d/%m/%Y'),",BF23,"),","('",Tabla7[[#This Row],[CONTADOR]],"',STR_TO_DATE('",Tabla7[[#Headers],[15/11/2018]],"','%d/%m/%Y'),",BG23,"),","('",Tabla7[[#This Row],[CONTADOR]],"',STR_TO_DATE('",Tabla7[[#Headers],[15/12/2018]],"','%d/%m/%Y'),",BH23,");")</f>
        <v>insert into lecturas values ('C01.00',STR_TO_DATE('31/12/2017','%d/%m/%Y'),2718156,6),('C01.00',STR_TO_DATE('15/01/2018','%d/%m/%Y'),2734622,2),('C01.00',STR_TO_DATE('15/02/2018','%d/%m/%Y'),2758945),('C01.00',STR_TO_DATE('15/03/2018','%d/%m/%Y'),2787828,6),('C01.00',STR_TO_DATE('15/04/2018','%d/%m/%Y'),2807239,2),('C01.00',STR_TO_DATE('15/05/2018','%d/%m/%Y'),2827547,8),('C01.00',STR_TO_DATE('15/06/2018','%d/%m/%Y'),2855007,2),('C01.00',STR_TO_DATE('15/07/2018','%d/%m/%Y'),2874031,8),('C01.00',STR_TO_DATE('15/08/2018','%d/%m/%Y'),2903721,4),('C01.00',STR_TO_DATE('15/09/2018','%d/%m/%Y'),2928501,8),('C01.00',STR_TO_DATE('15/10/2018','%d/%m/%Y'),2949308,6),('C01.00',STR_TO_DATE('15/11/2018','%d/%m/%Y'),2976885,2),('C01.00',STR_TO_DATE('15/12/2018','%d/%m/%Y'),3004738);</v>
      </c>
    </row>
    <row r="24" spans="1:68" ht="18" customHeight="1" x14ac:dyDescent="0.25">
      <c r="A24" s="241" t="s">
        <v>614</v>
      </c>
      <c r="B24" s="60"/>
      <c r="C24" s="223" t="s">
        <v>408</v>
      </c>
      <c r="D24" s="60" t="s">
        <v>617</v>
      </c>
      <c r="E24" s="258">
        <v>39895</v>
      </c>
      <c r="F24" s="274" t="s">
        <v>1396</v>
      </c>
      <c r="G24" s="274" t="s">
        <v>621</v>
      </c>
      <c r="H24" s="2" t="s">
        <v>627</v>
      </c>
      <c r="I24" s="274"/>
      <c r="J24" s="274">
        <v>464871</v>
      </c>
      <c r="K24" s="274">
        <v>467124</v>
      </c>
      <c r="L24" s="311">
        <v>470774</v>
      </c>
      <c r="M24" s="311">
        <v>474505</v>
      </c>
      <c r="N24" s="311">
        <v>476609</v>
      </c>
      <c r="O24" s="311">
        <v>478406</v>
      </c>
      <c r="P24" s="454">
        <v>481052</v>
      </c>
      <c r="Q24" s="492">
        <v>484020</v>
      </c>
      <c r="R24" s="311">
        <v>488784</v>
      </c>
      <c r="S24" s="531">
        <v>492692</v>
      </c>
      <c r="T24" s="531">
        <v>495088</v>
      </c>
      <c r="U24" s="492">
        <v>497877</v>
      </c>
      <c r="V24" s="492">
        <v>500627</v>
      </c>
      <c r="W24" s="274"/>
      <c r="X24" s="2"/>
      <c r="Y24" s="2">
        <f t="shared" si="5"/>
        <v>2253</v>
      </c>
      <c r="Z24" s="2">
        <f t="shared" si="6"/>
        <v>3650</v>
      </c>
      <c r="AA24" s="2">
        <f t="shared" si="15"/>
        <v>3731</v>
      </c>
      <c r="AB24" s="2">
        <f t="shared" si="16"/>
        <v>2104</v>
      </c>
      <c r="AC24" s="2">
        <f t="shared" si="7"/>
        <v>1797</v>
      </c>
      <c r="AD24" s="2">
        <f t="shared" si="8"/>
        <v>2646</v>
      </c>
      <c r="AE24" s="2">
        <f t="shared" si="9"/>
        <v>2968</v>
      </c>
      <c r="AF24" s="2">
        <f t="shared" si="10"/>
        <v>4764</v>
      </c>
      <c r="AG24" s="2">
        <f t="shared" si="11"/>
        <v>3908</v>
      </c>
      <c r="AH24" s="2">
        <f t="shared" si="12"/>
        <v>2396</v>
      </c>
      <c r="AI24" s="2">
        <f t="shared" si="13"/>
        <v>2789</v>
      </c>
      <c r="AJ24" s="2">
        <f t="shared" si="14"/>
        <v>2750</v>
      </c>
      <c r="AK24" s="406">
        <v>1</v>
      </c>
      <c r="AL24" s="274">
        <f t="shared" ca="1" si="1"/>
        <v>476609</v>
      </c>
      <c r="AM24" s="311">
        <f t="shared" ca="1" si="2"/>
        <v>478406</v>
      </c>
      <c r="AN24" s="274">
        <f ca="1">IF(AND(Tabla7[[#This Row],[UltLec]]&lt;&gt;0,Tabla7[[#This Row],[PenLect]]&lt;&gt;0),(AM24-AL24)*Tabla7[[#This Row],[RT]],"N/A")</f>
        <v>1797</v>
      </c>
      <c r="AO24" s="273" t="s">
        <v>910</v>
      </c>
      <c r="AP24" s="392" t="s">
        <v>1190</v>
      </c>
      <c r="AQ24" s="392" t="s">
        <v>1189</v>
      </c>
      <c r="AR24" s="407">
        <f t="shared" si="3"/>
        <v>0</v>
      </c>
      <c r="AT24" s="2">
        <f t="shared" ca="1" si="4"/>
        <v>0.85408745247148288</v>
      </c>
      <c r="AV24">
        <f>IF(ISBLANK(Tabla7[[#This Row],[31/12/2017]]),0,Tabla7[[#This Row],[31/12/2017]])</f>
        <v>464871</v>
      </c>
      <c r="AW24">
        <f>IF(ISBLANK(Tabla7[[#This Row],[15/01/2018]]),0,Tabla7[[#This Row],[15/01/2018]])</f>
        <v>467124</v>
      </c>
      <c r="AX24">
        <f>IF(ISBLANK(Tabla7[[#This Row],[15/02/2018]]),0,Tabla7[[#This Row],[15/02/2018]])</f>
        <v>470774</v>
      </c>
      <c r="AY24">
        <f>IF(ISBLANK(Tabla7[[#This Row],[15/03/2018]]),0,Tabla7[[#This Row],[15/03/2018]])</f>
        <v>474505</v>
      </c>
      <c r="AZ24">
        <f>IF(ISBLANK(Tabla7[[#This Row],[15/04/2018]]),0,Tabla7[[#This Row],[15/04/2018]])</f>
        <v>476609</v>
      </c>
      <c r="BA24">
        <f>IF(ISBLANK(Tabla7[[#This Row],[15/05/2018]]),0,Tabla7[[#This Row],[15/05/2018]])</f>
        <v>478406</v>
      </c>
      <c r="BB24">
        <f>IF(ISBLANK(Tabla7[[#This Row],[15/06/2018]]),0,Tabla7[[#This Row],[15/06/2018]])</f>
        <v>481052</v>
      </c>
      <c r="BC24">
        <f>IF(ISBLANK(Tabla7[[#This Row],[15/07/2018]]),0,Tabla7[[#This Row],[15/07/2018]])</f>
        <v>484020</v>
      </c>
      <c r="BD24">
        <f>IF(ISBLANK(Tabla7[[#This Row],[15/08/2018]]),0,Tabla7[[#This Row],[15/08/2018]])</f>
        <v>488784</v>
      </c>
      <c r="BE24">
        <f>IF(ISBLANK(Tabla7[[#This Row],[15/09/2018]]),0,Tabla7[[#This Row],[15/09/2018]])</f>
        <v>492692</v>
      </c>
      <c r="BF24">
        <f>IF(ISBLANK(Tabla7[[#This Row],[15/10/2018]]),0,Tabla7[[#This Row],[15/10/2018]])</f>
        <v>495088</v>
      </c>
      <c r="BG24">
        <f>IF(ISBLANK(Tabla7[[#This Row],[15/11/2018]]),0,Tabla7[[#This Row],[15/11/2018]])</f>
        <v>497877</v>
      </c>
      <c r="BH24">
        <f>IF(ISBLANK(Tabla7[[#This Row],[15/12/2018]]),0,Tabla7[[#This Row],[15/12/2018]])</f>
        <v>500627</v>
      </c>
      <c r="BI24">
        <f>IF(ISBLANK(Tabla7[[#This Row],[28/12/2018]]),0,Tabla7[[#This Row],[28/12/2018]])</f>
        <v>0</v>
      </c>
      <c r="BN2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('C01.01','G','GCT01','39895','Mº ECON.Y COMP.DIR.T.COMERC.VC.','CT 1 SUR','EDIFICIO SOIVRE','');</v>
      </c>
      <c r="BO24" t="s">
        <v>243</v>
      </c>
      <c r="BP24" s="632" t="str">
        <f>CONCATENATE("insert into lecturas values ","('",Tabla7[[#This Row],[CONTADOR]],"',STR_TO_DATE('",Tabla7[[#Headers],[31/12/2017]],"','%d/%m/%Y'),",AV24,"),","('",Tabla7[[#This Row],[CONTADOR]],"',STR_TO_DATE('",Tabla7[[#Headers],[15/01/2018]],"','%d/%m/%Y'),",AW24,"),","('",Tabla7[[#This Row],[CONTADOR]],"',STR_TO_DATE('",Tabla7[[#Headers],[15/02/2018]],"','%d/%m/%Y'),",AX24,"),","('",Tabla7[[#This Row],[CONTADOR]],"',STR_TO_DATE('",Tabla7[[#Headers],[15/03/2018]],"','%d/%m/%Y'),",AY24,"),","('",Tabla7[[#This Row],[CONTADOR]],"',STR_TO_DATE('",Tabla7[[#Headers],[15/04/2018]],"','%d/%m/%Y'),",AZ24,"),","('",Tabla7[[#This Row],[CONTADOR]],"',STR_TO_DATE('",Tabla7[[#Headers],[15/05/2018]],"','%d/%m/%Y'),",BA24,"),","('",Tabla7[[#This Row],[CONTADOR]],"',STR_TO_DATE('",Tabla7[[#Headers],[15/06/2018]],"','%d/%m/%Y'),",BB24,"),","('",Tabla7[[#This Row],[CONTADOR]],"',STR_TO_DATE('",Tabla7[[#Headers],[15/07/2018]],"','%d/%m/%Y'),",BC24,"),","('",Tabla7[[#This Row],[CONTADOR]],"',STR_TO_DATE('",Tabla7[[#Headers],[15/08/2018]],"','%d/%m/%Y'),",BD24,"),","('",Tabla7[[#This Row],[CONTADOR]],"',STR_TO_DATE('",Tabla7[[#Headers],[15/09/2018]],"','%d/%m/%Y'),",BE24,"),","('",Tabla7[[#This Row],[CONTADOR]],"',STR_TO_DATE('",Tabla7[[#Headers],[15/10/2018]],"','%d/%m/%Y'),",BF24,"),","('",Tabla7[[#This Row],[CONTADOR]],"',STR_TO_DATE('",Tabla7[[#Headers],[15/11/2018]],"','%d/%m/%Y'),",BG24,"),","('",Tabla7[[#This Row],[CONTADOR]],"',STR_TO_DATE('",Tabla7[[#Headers],[15/12/2018]],"','%d/%m/%Y'),",BH24,");")</f>
        <v>insert into lecturas values ('C01.01',STR_TO_DATE('31/12/2017','%d/%m/%Y'),464871),('C01.01',STR_TO_DATE('15/01/2018','%d/%m/%Y'),467124),('C01.01',STR_TO_DATE('15/02/2018','%d/%m/%Y'),470774),('C01.01',STR_TO_DATE('15/03/2018','%d/%m/%Y'),474505),('C01.01',STR_TO_DATE('15/04/2018','%d/%m/%Y'),476609),('C01.01',STR_TO_DATE('15/05/2018','%d/%m/%Y'),478406),('C01.01',STR_TO_DATE('15/06/2018','%d/%m/%Y'),481052),('C01.01',STR_TO_DATE('15/07/2018','%d/%m/%Y'),484020),('C01.01',STR_TO_DATE('15/08/2018','%d/%m/%Y'),488784),('C01.01',STR_TO_DATE('15/09/2018','%d/%m/%Y'),492692),('C01.01',STR_TO_DATE('15/10/2018','%d/%m/%Y'),495088),('C01.01',STR_TO_DATE('15/11/2018','%d/%m/%Y'),497877),('C01.01',STR_TO_DATE('15/12/2018','%d/%m/%Y'),500627);</v>
      </c>
    </row>
    <row r="25" spans="1:68" ht="18" customHeight="1" x14ac:dyDescent="0.25">
      <c r="A25" s="241" t="s">
        <v>614</v>
      </c>
      <c r="B25" s="60"/>
      <c r="C25" s="223" t="s">
        <v>407</v>
      </c>
      <c r="D25" s="60" t="s">
        <v>617</v>
      </c>
      <c r="E25" s="258">
        <v>3</v>
      </c>
      <c r="F25" s="274" t="s">
        <v>21</v>
      </c>
      <c r="G25" s="274" t="s">
        <v>621</v>
      </c>
      <c r="H25" s="274" t="s">
        <v>626</v>
      </c>
      <c r="I25" s="274"/>
      <c r="J25" s="2">
        <v>1949</v>
      </c>
      <c r="K25" s="274">
        <v>1949</v>
      </c>
      <c r="L25" s="311">
        <v>1949</v>
      </c>
      <c r="M25" s="311">
        <v>1949</v>
      </c>
      <c r="N25" s="311">
        <v>1949</v>
      </c>
      <c r="O25" s="311">
        <v>1949</v>
      </c>
      <c r="P25" s="454">
        <v>1949</v>
      </c>
      <c r="Q25" s="492">
        <v>1950</v>
      </c>
      <c r="R25" s="311">
        <v>1974</v>
      </c>
      <c r="S25" s="531">
        <v>1986</v>
      </c>
      <c r="T25" s="531">
        <v>1986</v>
      </c>
      <c r="U25" s="311">
        <v>1986</v>
      </c>
      <c r="V25" s="492">
        <v>1986</v>
      </c>
      <c r="W25" s="2"/>
      <c r="X25" s="2"/>
      <c r="Y25" s="2">
        <f t="shared" si="5"/>
        <v>0</v>
      </c>
      <c r="Z25" s="2">
        <f t="shared" si="6"/>
        <v>0</v>
      </c>
      <c r="AA25" s="2">
        <f t="shared" si="15"/>
        <v>0</v>
      </c>
      <c r="AB25" s="2">
        <f t="shared" si="16"/>
        <v>0</v>
      </c>
      <c r="AC25" s="2">
        <f t="shared" si="7"/>
        <v>0</v>
      </c>
      <c r="AD25" s="2">
        <f t="shared" si="8"/>
        <v>0</v>
      </c>
      <c r="AE25" s="2">
        <f t="shared" si="9"/>
        <v>1</v>
      </c>
      <c r="AF25" s="2">
        <f t="shared" si="10"/>
        <v>24</v>
      </c>
      <c r="AG25" s="2">
        <f t="shared" si="11"/>
        <v>12</v>
      </c>
      <c r="AH25" s="2">
        <f t="shared" si="12"/>
        <v>0</v>
      </c>
      <c r="AI25" s="2">
        <f t="shared" si="13"/>
        <v>0</v>
      </c>
      <c r="AJ25" s="2">
        <f t="shared" si="14"/>
        <v>0</v>
      </c>
      <c r="AK25" s="406">
        <v>1</v>
      </c>
      <c r="AL25" s="274">
        <f t="shared" ca="1" si="1"/>
        <v>1949</v>
      </c>
      <c r="AM25" s="311">
        <f t="shared" ca="1" si="2"/>
        <v>1949</v>
      </c>
      <c r="AN25" s="274">
        <f ca="1">IF(AND(Tabla7[[#This Row],[UltLec]]&lt;&gt;0,Tabla7[[#This Row],[PenLect]]&lt;&gt;0),(AM25-AL25)*Tabla7[[#This Row],[RT]],"N/A")</f>
        <v>0</v>
      </c>
      <c r="AO25" s="273" t="s">
        <v>910</v>
      </c>
      <c r="AP25" s="392" t="s">
        <v>1190</v>
      </c>
      <c r="AQ25" s="392" t="s">
        <v>1189</v>
      </c>
      <c r="AR25" s="407">
        <f t="shared" si="3"/>
        <v>0</v>
      </c>
      <c r="AT25" s="2" t="str">
        <f t="shared" ca="1" si="4"/>
        <v>0</v>
      </c>
      <c r="AV25">
        <f>IF(ISBLANK(Tabla7[[#This Row],[31/12/2017]]),0,Tabla7[[#This Row],[31/12/2017]])</f>
        <v>1949</v>
      </c>
      <c r="AW25">
        <f>IF(ISBLANK(Tabla7[[#This Row],[15/01/2018]]),0,Tabla7[[#This Row],[15/01/2018]])</f>
        <v>1949</v>
      </c>
      <c r="AX25">
        <f>IF(ISBLANK(Tabla7[[#This Row],[15/02/2018]]),0,Tabla7[[#This Row],[15/02/2018]])</f>
        <v>1949</v>
      </c>
      <c r="AY25">
        <f>IF(ISBLANK(Tabla7[[#This Row],[15/03/2018]]),0,Tabla7[[#This Row],[15/03/2018]])</f>
        <v>1949</v>
      </c>
      <c r="AZ25">
        <f>IF(ISBLANK(Tabla7[[#This Row],[15/04/2018]]),0,Tabla7[[#This Row],[15/04/2018]])</f>
        <v>1949</v>
      </c>
      <c r="BA25">
        <f>IF(ISBLANK(Tabla7[[#This Row],[15/05/2018]]),0,Tabla7[[#This Row],[15/05/2018]])</f>
        <v>1949</v>
      </c>
      <c r="BB25">
        <f>IF(ISBLANK(Tabla7[[#This Row],[15/06/2018]]),0,Tabla7[[#This Row],[15/06/2018]])</f>
        <v>1949</v>
      </c>
      <c r="BC25">
        <f>IF(ISBLANK(Tabla7[[#This Row],[15/07/2018]]),0,Tabla7[[#This Row],[15/07/2018]])</f>
        <v>1950</v>
      </c>
      <c r="BD25">
        <f>IF(ISBLANK(Tabla7[[#This Row],[15/08/2018]]),0,Tabla7[[#This Row],[15/08/2018]])</f>
        <v>1974</v>
      </c>
      <c r="BE25">
        <f>IF(ISBLANK(Tabla7[[#This Row],[15/09/2018]]),0,Tabla7[[#This Row],[15/09/2018]])</f>
        <v>1986</v>
      </c>
      <c r="BF25">
        <f>IF(ISBLANK(Tabla7[[#This Row],[15/10/2018]]),0,Tabla7[[#This Row],[15/10/2018]])</f>
        <v>1986</v>
      </c>
      <c r="BG25">
        <f>IF(ISBLANK(Tabla7[[#This Row],[15/11/2018]]),0,Tabla7[[#This Row],[15/11/2018]])</f>
        <v>1986</v>
      </c>
      <c r="BH25">
        <f>IF(ISBLANK(Tabla7[[#This Row],[15/12/2018]]),0,Tabla7[[#This Row],[15/12/2018]])</f>
        <v>1986</v>
      </c>
      <c r="BI25">
        <f>IF(ISBLANK(Tabla7[[#This Row],[28/12/2018]]),0,Tabla7[[#This Row],[28/12/2018]])</f>
        <v>0</v>
      </c>
      <c r="BN2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('C01.02','G','GCT01','3','APV','CT 1 SUR','Báscula','');</v>
      </c>
      <c r="BO25" t="s">
        <v>243</v>
      </c>
      <c r="BP25" s="632" t="str">
        <f>CONCATENATE("insert into lecturas values ","('",Tabla7[[#This Row],[CONTADOR]],"',STR_TO_DATE('",Tabla7[[#Headers],[31/12/2017]],"','%d/%m/%Y'),",AV25,"),","('",Tabla7[[#This Row],[CONTADOR]],"',STR_TO_DATE('",Tabla7[[#Headers],[15/01/2018]],"','%d/%m/%Y'),",AW25,"),","('",Tabla7[[#This Row],[CONTADOR]],"',STR_TO_DATE('",Tabla7[[#Headers],[15/02/2018]],"','%d/%m/%Y'),",AX25,"),","('",Tabla7[[#This Row],[CONTADOR]],"',STR_TO_DATE('",Tabla7[[#Headers],[15/03/2018]],"','%d/%m/%Y'),",AY25,"),","('",Tabla7[[#This Row],[CONTADOR]],"',STR_TO_DATE('",Tabla7[[#Headers],[15/04/2018]],"','%d/%m/%Y'),",AZ25,"),","('",Tabla7[[#This Row],[CONTADOR]],"',STR_TO_DATE('",Tabla7[[#Headers],[15/05/2018]],"','%d/%m/%Y'),",BA25,"),","('",Tabla7[[#This Row],[CONTADOR]],"',STR_TO_DATE('",Tabla7[[#Headers],[15/06/2018]],"','%d/%m/%Y'),",BB25,"),","('",Tabla7[[#This Row],[CONTADOR]],"',STR_TO_DATE('",Tabla7[[#Headers],[15/07/2018]],"','%d/%m/%Y'),",BC25,"),","('",Tabla7[[#This Row],[CONTADOR]],"',STR_TO_DATE('",Tabla7[[#Headers],[15/08/2018]],"','%d/%m/%Y'),",BD25,"),","('",Tabla7[[#This Row],[CONTADOR]],"',STR_TO_DATE('",Tabla7[[#Headers],[15/09/2018]],"','%d/%m/%Y'),",BE25,"),","('",Tabla7[[#This Row],[CONTADOR]],"',STR_TO_DATE('",Tabla7[[#Headers],[15/10/2018]],"','%d/%m/%Y'),",BF25,"),","('",Tabla7[[#This Row],[CONTADOR]],"',STR_TO_DATE('",Tabla7[[#Headers],[15/11/2018]],"','%d/%m/%Y'),",BG25,"),","('",Tabla7[[#This Row],[CONTADOR]],"',STR_TO_DATE('",Tabla7[[#Headers],[15/12/2018]],"','%d/%m/%Y'),",BH25,");")</f>
        <v>insert into lecturas values ('C01.02',STR_TO_DATE('31/12/2017','%d/%m/%Y'),1949),('C01.02',STR_TO_DATE('15/01/2018','%d/%m/%Y'),1949),('C01.02',STR_TO_DATE('15/02/2018','%d/%m/%Y'),1949),('C01.02',STR_TO_DATE('15/03/2018','%d/%m/%Y'),1949),('C01.02',STR_TO_DATE('15/04/2018','%d/%m/%Y'),1949),('C01.02',STR_TO_DATE('15/05/2018','%d/%m/%Y'),1949),('C01.02',STR_TO_DATE('15/06/2018','%d/%m/%Y'),1949),('C01.02',STR_TO_DATE('15/07/2018','%d/%m/%Y'),1950),('C01.02',STR_TO_DATE('15/08/2018','%d/%m/%Y'),1974),('C01.02',STR_TO_DATE('15/09/2018','%d/%m/%Y'),1986),('C01.02',STR_TO_DATE('15/10/2018','%d/%m/%Y'),1986),('C01.02',STR_TO_DATE('15/11/2018','%d/%m/%Y'),1986),('C01.02',STR_TO_DATE('15/12/2018','%d/%m/%Y'),1986);</v>
      </c>
    </row>
    <row r="26" spans="1:68" ht="18" customHeight="1" x14ac:dyDescent="0.25">
      <c r="A26" s="241" t="s">
        <v>743</v>
      </c>
      <c r="B26" s="60"/>
      <c r="C26" s="223" t="s">
        <v>406</v>
      </c>
      <c r="D26" s="60" t="s">
        <v>617</v>
      </c>
      <c r="E26" s="258">
        <v>0</v>
      </c>
      <c r="F26" s="274" t="s">
        <v>21</v>
      </c>
      <c r="G26" s="274" t="s">
        <v>621</v>
      </c>
      <c r="H26" s="274" t="s">
        <v>1421</v>
      </c>
      <c r="I26" s="274"/>
      <c r="J26" s="2">
        <v>260793</v>
      </c>
      <c r="K26" s="274">
        <v>262264</v>
      </c>
      <c r="L26" s="311">
        <v>264507</v>
      </c>
      <c r="M26" s="311">
        <v>267191</v>
      </c>
      <c r="N26" s="311">
        <v>268850</v>
      </c>
      <c r="O26" s="311">
        <v>270004</v>
      </c>
      <c r="P26" s="454">
        <v>271455</v>
      </c>
      <c r="Q26" s="492">
        <v>272783</v>
      </c>
      <c r="R26" s="311">
        <v>274714</v>
      </c>
      <c r="S26" s="531">
        <v>276385</v>
      </c>
      <c r="T26" s="531">
        <v>278000</v>
      </c>
      <c r="U26" s="311">
        <v>280110</v>
      </c>
      <c r="V26" s="492">
        <v>282457</v>
      </c>
      <c r="W26" s="2"/>
      <c r="X26" s="2"/>
      <c r="Y26" s="2">
        <f t="shared" si="5"/>
        <v>1471</v>
      </c>
      <c r="Z26" s="2">
        <f t="shared" si="6"/>
        <v>2243</v>
      </c>
      <c r="AA26" s="2">
        <f t="shared" si="15"/>
        <v>2684</v>
      </c>
      <c r="AB26" s="2">
        <f t="shared" si="16"/>
        <v>1659</v>
      </c>
      <c r="AC26" s="2">
        <f t="shared" si="7"/>
        <v>1154</v>
      </c>
      <c r="AD26" s="2">
        <f t="shared" si="8"/>
        <v>1451</v>
      </c>
      <c r="AE26" s="2">
        <f t="shared" si="9"/>
        <v>1328</v>
      </c>
      <c r="AF26" s="2">
        <f t="shared" si="10"/>
        <v>1931</v>
      </c>
      <c r="AG26" s="2">
        <f t="shared" si="11"/>
        <v>1671</v>
      </c>
      <c r="AH26" s="2">
        <f t="shared" si="12"/>
        <v>1615</v>
      </c>
      <c r="AI26" s="2">
        <f t="shared" si="13"/>
        <v>2110</v>
      </c>
      <c r="AJ26" s="2">
        <f t="shared" si="14"/>
        <v>2347</v>
      </c>
      <c r="AK26" s="406">
        <v>1</v>
      </c>
      <c r="AL26" s="274">
        <f t="shared" ca="1" si="1"/>
        <v>268850</v>
      </c>
      <c r="AM26" s="311">
        <f t="shared" ca="1" si="2"/>
        <v>270004</v>
      </c>
      <c r="AN26" s="274">
        <f ca="1">IF(AND(Tabla7[[#This Row],[UltLec]]&lt;&gt;0,Tabla7[[#This Row],[PenLect]]&lt;&gt;0),(AM26-AL26)*Tabla7[[#This Row],[RT]],"N/A")</f>
        <v>1154</v>
      </c>
      <c r="AO26" s="273" t="s">
        <v>910</v>
      </c>
      <c r="AP26" s="392" t="s">
        <v>1190</v>
      </c>
      <c r="AQ26" s="392" t="s">
        <v>1189</v>
      </c>
      <c r="AR26" s="407">
        <f t="shared" si="3"/>
        <v>0</v>
      </c>
      <c r="AT26" s="2">
        <f t="shared" ca="1" si="4"/>
        <v>0.69559975889089809</v>
      </c>
      <c r="AV26">
        <f>IF(ISBLANK(Tabla7[[#This Row],[31/12/2017]]),0,Tabla7[[#This Row],[31/12/2017]])</f>
        <v>260793</v>
      </c>
      <c r="AW26">
        <f>IF(ISBLANK(Tabla7[[#This Row],[15/01/2018]]),0,Tabla7[[#This Row],[15/01/2018]])</f>
        <v>262264</v>
      </c>
      <c r="AX26">
        <f>IF(ISBLANK(Tabla7[[#This Row],[15/02/2018]]),0,Tabla7[[#This Row],[15/02/2018]])</f>
        <v>264507</v>
      </c>
      <c r="AY26">
        <f>IF(ISBLANK(Tabla7[[#This Row],[15/03/2018]]),0,Tabla7[[#This Row],[15/03/2018]])</f>
        <v>267191</v>
      </c>
      <c r="AZ26">
        <f>IF(ISBLANK(Tabla7[[#This Row],[15/04/2018]]),0,Tabla7[[#This Row],[15/04/2018]])</f>
        <v>268850</v>
      </c>
      <c r="BA26">
        <f>IF(ISBLANK(Tabla7[[#This Row],[15/05/2018]]),0,Tabla7[[#This Row],[15/05/2018]])</f>
        <v>270004</v>
      </c>
      <c r="BB26">
        <f>IF(ISBLANK(Tabla7[[#This Row],[15/06/2018]]),0,Tabla7[[#This Row],[15/06/2018]])</f>
        <v>271455</v>
      </c>
      <c r="BC26">
        <f>IF(ISBLANK(Tabla7[[#This Row],[15/07/2018]]),0,Tabla7[[#This Row],[15/07/2018]])</f>
        <v>272783</v>
      </c>
      <c r="BD26">
        <f>IF(ISBLANK(Tabla7[[#This Row],[15/08/2018]]),0,Tabla7[[#This Row],[15/08/2018]])</f>
        <v>274714</v>
      </c>
      <c r="BE26">
        <f>IF(ISBLANK(Tabla7[[#This Row],[15/09/2018]]),0,Tabla7[[#This Row],[15/09/2018]])</f>
        <v>276385</v>
      </c>
      <c r="BF26">
        <f>IF(ISBLANK(Tabla7[[#This Row],[15/10/2018]]),0,Tabla7[[#This Row],[15/10/2018]])</f>
        <v>278000</v>
      </c>
      <c r="BG26">
        <f>IF(ISBLANK(Tabla7[[#This Row],[15/11/2018]]),0,Tabla7[[#This Row],[15/11/2018]])</f>
        <v>280110</v>
      </c>
      <c r="BH26">
        <f>IF(ISBLANK(Tabla7[[#This Row],[15/12/2018]]),0,Tabla7[[#This Row],[15/12/2018]])</f>
        <v>282457</v>
      </c>
      <c r="BI26">
        <f>IF(ISBLANK(Tabla7[[#This Row],[28/12/2018]]),0,Tabla7[[#This Row],[28/12/2018]])</f>
        <v>0</v>
      </c>
      <c r="BN2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('C01.03','GTOT','GCT01','0','APV','CT 1 SUR','Acometida cuadro gral. edificio Aduana/acceso ppal','');</v>
      </c>
      <c r="BO26" t="s">
        <v>243</v>
      </c>
      <c r="BP26" s="632" t="str">
        <f>CONCATENATE("insert into lecturas values ","('",Tabla7[[#This Row],[CONTADOR]],"',STR_TO_DATE('",Tabla7[[#Headers],[31/12/2017]],"','%d/%m/%Y'),",AV26,"),","('",Tabla7[[#This Row],[CONTADOR]],"',STR_TO_DATE('",Tabla7[[#Headers],[15/01/2018]],"','%d/%m/%Y'),",AW26,"),","('",Tabla7[[#This Row],[CONTADOR]],"',STR_TO_DATE('",Tabla7[[#Headers],[15/02/2018]],"','%d/%m/%Y'),",AX26,"),","('",Tabla7[[#This Row],[CONTADOR]],"',STR_TO_DATE('",Tabla7[[#Headers],[15/03/2018]],"','%d/%m/%Y'),",AY26,"),","('",Tabla7[[#This Row],[CONTADOR]],"',STR_TO_DATE('",Tabla7[[#Headers],[15/04/2018]],"','%d/%m/%Y'),",AZ26,"),","('",Tabla7[[#This Row],[CONTADOR]],"',STR_TO_DATE('",Tabla7[[#Headers],[15/05/2018]],"','%d/%m/%Y'),",BA26,"),","('",Tabla7[[#This Row],[CONTADOR]],"',STR_TO_DATE('",Tabla7[[#Headers],[15/06/2018]],"','%d/%m/%Y'),",BB26,"),","('",Tabla7[[#This Row],[CONTADOR]],"',STR_TO_DATE('",Tabla7[[#Headers],[15/07/2018]],"','%d/%m/%Y'),",BC26,"),","('",Tabla7[[#This Row],[CONTADOR]],"',STR_TO_DATE('",Tabla7[[#Headers],[15/08/2018]],"','%d/%m/%Y'),",BD26,"),","('",Tabla7[[#This Row],[CONTADOR]],"',STR_TO_DATE('",Tabla7[[#Headers],[15/09/2018]],"','%d/%m/%Y'),",BE26,"),","('",Tabla7[[#This Row],[CONTADOR]],"',STR_TO_DATE('",Tabla7[[#Headers],[15/10/2018]],"','%d/%m/%Y'),",BF26,"),","('",Tabla7[[#This Row],[CONTADOR]],"',STR_TO_DATE('",Tabla7[[#Headers],[15/11/2018]],"','%d/%m/%Y'),",BG26,"),","('",Tabla7[[#This Row],[CONTADOR]],"',STR_TO_DATE('",Tabla7[[#Headers],[15/12/2018]],"','%d/%m/%Y'),",BH26,");")</f>
        <v>insert into lecturas values ('C01.03',STR_TO_DATE('31/12/2017','%d/%m/%Y'),260793),('C01.03',STR_TO_DATE('15/01/2018','%d/%m/%Y'),262264),('C01.03',STR_TO_DATE('15/02/2018','%d/%m/%Y'),264507),('C01.03',STR_TO_DATE('15/03/2018','%d/%m/%Y'),267191),('C01.03',STR_TO_DATE('15/04/2018','%d/%m/%Y'),268850),('C01.03',STR_TO_DATE('15/05/2018','%d/%m/%Y'),270004),('C01.03',STR_TO_DATE('15/06/2018','%d/%m/%Y'),271455),('C01.03',STR_TO_DATE('15/07/2018','%d/%m/%Y'),272783),('C01.03',STR_TO_DATE('15/08/2018','%d/%m/%Y'),274714),('C01.03',STR_TO_DATE('15/09/2018','%d/%m/%Y'),276385),('C01.03',STR_TO_DATE('15/10/2018','%d/%m/%Y'),278000),('C01.03',STR_TO_DATE('15/11/2018','%d/%m/%Y'),280110),('C01.03',STR_TO_DATE('15/12/2018','%d/%m/%Y'),282457);</v>
      </c>
    </row>
    <row r="27" spans="1:68" ht="18" customHeight="1" x14ac:dyDescent="0.25">
      <c r="A27" s="241" t="s">
        <v>614</v>
      </c>
      <c r="B27" s="60"/>
      <c r="C27" s="223" t="s">
        <v>405</v>
      </c>
      <c r="D27" s="60" t="s">
        <v>617</v>
      </c>
      <c r="E27" s="258">
        <v>3</v>
      </c>
      <c r="F27" s="274" t="s">
        <v>21</v>
      </c>
      <c r="G27" s="274" t="s">
        <v>621</v>
      </c>
      <c r="H27" s="274" t="s">
        <v>625</v>
      </c>
      <c r="I27" s="274"/>
      <c r="J27" s="274">
        <v>30129</v>
      </c>
      <c r="K27" s="274">
        <v>30129</v>
      </c>
      <c r="L27" s="311">
        <v>30129</v>
      </c>
      <c r="M27" s="311">
        <v>30129</v>
      </c>
      <c r="N27" s="311">
        <v>30129</v>
      </c>
      <c r="O27" s="311">
        <v>30129</v>
      </c>
      <c r="P27" s="454">
        <v>30129</v>
      </c>
      <c r="Q27" s="492">
        <v>30130</v>
      </c>
      <c r="R27" s="311">
        <v>30130</v>
      </c>
      <c r="S27" s="353">
        <v>30131</v>
      </c>
      <c r="T27" s="353">
        <v>30132</v>
      </c>
      <c r="U27" s="311">
        <v>30132</v>
      </c>
      <c r="V27" s="492">
        <v>30132</v>
      </c>
      <c r="W27" s="274"/>
      <c r="X27" s="2"/>
      <c r="Y27" s="2">
        <f t="shared" si="5"/>
        <v>0</v>
      </c>
      <c r="Z27" s="2">
        <f t="shared" si="6"/>
        <v>0</v>
      </c>
      <c r="AA27" s="2">
        <f t="shared" si="15"/>
        <v>0</v>
      </c>
      <c r="AB27" s="2">
        <f t="shared" si="16"/>
        <v>0</v>
      </c>
      <c r="AC27" s="2">
        <f t="shared" si="7"/>
        <v>0</v>
      </c>
      <c r="AD27" s="2">
        <f t="shared" si="8"/>
        <v>0</v>
      </c>
      <c r="AE27" s="2">
        <f t="shared" si="9"/>
        <v>1</v>
      </c>
      <c r="AF27" s="2">
        <f t="shared" si="10"/>
        <v>0</v>
      </c>
      <c r="AG27" s="2">
        <f t="shared" si="11"/>
        <v>1</v>
      </c>
      <c r="AH27" s="2">
        <f t="shared" si="12"/>
        <v>1</v>
      </c>
      <c r="AI27" s="2">
        <f t="shared" si="13"/>
        <v>0</v>
      </c>
      <c r="AJ27" s="2">
        <f t="shared" si="14"/>
        <v>0</v>
      </c>
      <c r="AK27" s="406">
        <v>1</v>
      </c>
      <c r="AL27" s="274">
        <f t="shared" ca="1" si="1"/>
        <v>30129</v>
      </c>
      <c r="AM27" s="311">
        <f t="shared" ca="1" si="2"/>
        <v>30129</v>
      </c>
      <c r="AN27" s="274">
        <f ca="1">IF(AND(Tabla7[[#This Row],[UltLec]]&lt;&gt;0,Tabla7[[#This Row],[PenLect]]&lt;&gt;0),(AM27-AL27)*Tabla7[[#This Row],[RT]],"N/A")</f>
        <v>0</v>
      </c>
      <c r="AO27" s="273" t="s">
        <v>910</v>
      </c>
      <c r="AP27" s="392" t="s">
        <v>1190</v>
      </c>
      <c r="AQ27" s="392" t="s">
        <v>1189</v>
      </c>
      <c r="AR27" s="407">
        <f t="shared" si="3"/>
        <v>0</v>
      </c>
      <c r="AT27" s="2" t="str">
        <f t="shared" ca="1" si="4"/>
        <v>0</v>
      </c>
      <c r="AV27">
        <f>IF(ISBLANK(Tabla7[[#This Row],[31/12/2017]]),0,Tabla7[[#This Row],[31/12/2017]])</f>
        <v>30129</v>
      </c>
      <c r="AW27">
        <f>IF(ISBLANK(Tabla7[[#This Row],[15/01/2018]]),0,Tabla7[[#This Row],[15/01/2018]])</f>
        <v>30129</v>
      </c>
      <c r="AX27">
        <f>IF(ISBLANK(Tabla7[[#This Row],[15/02/2018]]),0,Tabla7[[#This Row],[15/02/2018]])</f>
        <v>30129</v>
      </c>
      <c r="AY27">
        <f>IF(ISBLANK(Tabla7[[#This Row],[15/03/2018]]),0,Tabla7[[#This Row],[15/03/2018]])</f>
        <v>30129</v>
      </c>
      <c r="AZ27">
        <f>IF(ISBLANK(Tabla7[[#This Row],[15/04/2018]]),0,Tabla7[[#This Row],[15/04/2018]])</f>
        <v>30129</v>
      </c>
      <c r="BA27">
        <f>IF(ISBLANK(Tabla7[[#This Row],[15/05/2018]]),0,Tabla7[[#This Row],[15/05/2018]])</f>
        <v>30129</v>
      </c>
      <c r="BB27">
        <f>IF(ISBLANK(Tabla7[[#This Row],[15/06/2018]]),0,Tabla7[[#This Row],[15/06/2018]])</f>
        <v>30129</v>
      </c>
      <c r="BC27">
        <f>IF(ISBLANK(Tabla7[[#This Row],[15/07/2018]]),0,Tabla7[[#This Row],[15/07/2018]])</f>
        <v>30130</v>
      </c>
      <c r="BD27">
        <f>IF(ISBLANK(Tabla7[[#This Row],[15/08/2018]]),0,Tabla7[[#This Row],[15/08/2018]])</f>
        <v>30130</v>
      </c>
      <c r="BE27">
        <f>IF(ISBLANK(Tabla7[[#This Row],[15/09/2018]]),0,Tabla7[[#This Row],[15/09/2018]])</f>
        <v>30131</v>
      </c>
      <c r="BF27">
        <f>IF(ISBLANK(Tabla7[[#This Row],[15/10/2018]]),0,Tabla7[[#This Row],[15/10/2018]])</f>
        <v>30132</v>
      </c>
      <c r="BG27">
        <f>IF(ISBLANK(Tabla7[[#This Row],[15/11/2018]]),0,Tabla7[[#This Row],[15/11/2018]])</f>
        <v>30132</v>
      </c>
      <c r="BH27">
        <f>IF(ISBLANK(Tabla7[[#This Row],[15/12/2018]]),0,Tabla7[[#This Row],[15/12/2018]])</f>
        <v>30132</v>
      </c>
      <c r="BI27">
        <f>IF(ISBLANK(Tabla7[[#This Row],[28/12/2018]]),0,Tabla7[[#This Row],[28/12/2018]])</f>
        <v>0</v>
      </c>
      <c r="BN2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('C01.04','G','GCT01','3','APV','CT 1 SUR','Antigua FRILESA - Cámaras frigo.','');</v>
      </c>
      <c r="BO27" t="s">
        <v>243</v>
      </c>
      <c r="BP27" s="632" t="str">
        <f>CONCATENATE("insert into lecturas values ","('",Tabla7[[#This Row],[CONTADOR]],"',STR_TO_DATE('",Tabla7[[#Headers],[31/12/2017]],"','%d/%m/%Y'),",AV27,"),","('",Tabla7[[#This Row],[CONTADOR]],"',STR_TO_DATE('",Tabla7[[#Headers],[15/01/2018]],"','%d/%m/%Y'),",AW27,"),","('",Tabla7[[#This Row],[CONTADOR]],"',STR_TO_DATE('",Tabla7[[#Headers],[15/02/2018]],"','%d/%m/%Y'),",AX27,"),","('",Tabla7[[#This Row],[CONTADOR]],"',STR_TO_DATE('",Tabla7[[#Headers],[15/03/2018]],"','%d/%m/%Y'),",AY27,"),","('",Tabla7[[#This Row],[CONTADOR]],"',STR_TO_DATE('",Tabla7[[#Headers],[15/04/2018]],"','%d/%m/%Y'),",AZ27,"),","('",Tabla7[[#This Row],[CONTADOR]],"',STR_TO_DATE('",Tabla7[[#Headers],[15/05/2018]],"','%d/%m/%Y'),",BA27,"),","('",Tabla7[[#This Row],[CONTADOR]],"',STR_TO_DATE('",Tabla7[[#Headers],[15/06/2018]],"','%d/%m/%Y'),",BB27,"),","('",Tabla7[[#This Row],[CONTADOR]],"',STR_TO_DATE('",Tabla7[[#Headers],[15/07/2018]],"','%d/%m/%Y'),",BC27,"),","('",Tabla7[[#This Row],[CONTADOR]],"',STR_TO_DATE('",Tabla7[[#Headers],[15/08/2018]],"','%d/%m/%Y'),",BD27,"),","('",Tabla7[[#This Row],[CONTADOR]],"',STR_TO_DATE('",Tabla7[[#Headers],[15/09/2018]],"','%d/%m/%Y'),",BE27,"),","('",Tabla7[[#This Row],[CONTADOR]],"',STR_TO_DATE('",Tabla7[[#Headers],[15/10/2018]],"','%d/%m/%Y'),",BF27,"),","('",Tabla7[[#This Row],[CONTADOR]],"',STR_TO_DATE('",Tabla7[[#Headers],[15/11/2018]],"','%d/%m/%Y'),",BG27,"),","('",Tabla7[[#This Row],[CONTADOR]],"',STR_TO_DATE('",Tabla7[[#Headers],[15/12/2018]],"','%d/%m/%Y'),",BH27,");")</f>
        <v>insert into lecturas values ('C01.04',STR_TO_DATE('31/12/2017','%d/%m/%Y'),30129),('C01.04',STR_TO_DATE('15/01/2018','%d/%m/%Y'),30129),('C01.04',STR_TO_DATE('15/02/2018','%d/%m/%Y'),30129),('C01.04',STR_TO_DATE('15/03/2018','%d/%m/%Y'),30129),('C01.04',STR_TO_DATE('15/04/2018','%d/%m/%Y'),30129),('C01.04',STR_TO_DATE('15/05/2018','%d/%m/%Y'),30129),('C01.04',STR_TO_DATE('15/06/2018','%d/%m/%Y'),30129),('C01.04',STR_TO_DATE('15/07/2018','%d/%m/%Y'),30130),('C01.04',STR_TO_DATE('15/08/2018','%d/%m/%Y'),30130),('C01.04',STR_TO_DATE('15/09/2018','%d/%m/%Y'),30131),('C01.04',STR_TO_DATE('15/10/2018','%d/%m/%Y'),30132),('C01.04',STR_TO_DATE('15/11/2018','%d/%m/%Y'),30132),('C01.04',STR_TO_DATE('15/12/2018','%d/%m/%Y'),30132);</v>
      </c>
    </row>
    <row r="28" spans="1:68" ht="18" customHeight="1" x14ac:dyDescent="0.25">
      <c r="A28" s="241" t="s">
        <v>614</v>
      </c>
      <c r="B28" s="60"/>
      <c r="C28" s="223" t="s">
        <v>404</v>
      </c>
      <c r="D28" s="60" t="s">
        <v>617</v>
      </c>
      <c r="E28" s="258">
        <v>39835</v>
      </c>
      <c r="F28" s="274" t="s">
        <v>623</v>
      </c>
      <c r="G28" s="2" t="s">
        <v>624</v>
      </c>
      <c r="H28" s="2" t="s">
        <v>1395</v>
      </c>
      <c r="I28" s="274"/>
      <c r="J28" s="274">
        <v>96158</v>
      </c>
      <c r="K28" s="274">
        <v>96720</v>
      </c>
      <c r="L28" s="311">
        <v>97520</v>
      </c>
      <c r="M28" s="311">
        <v>98334</v>
      </c>
      <c r="N28" s="311">
        <v>98771</v>
      </c>
      <c r="O28" s="311">
        <v>99302</v>
      </c>
      <c r="P28" s="454">
        <v>100059</v>
      </c>
      <c r="Q28" s="492">
        <v>100659</v>
      </c>
      <c r="R28" s="311">
        <v>101340</v>
      </c>
      <c r="S28" s="492">
        <v>102179</v>
      </c>
      <c r="T28" s="492">
        <v>102810</v>
      </c>
      <c r="U28" s="492">
        <v>103455</v>
      </c>
      <c r="V28" s="492">
        <v>104025</v>
      </c>
      <c r="W28" s="2"/>
      <c r="X28" s="2"/>
      <c r="Y28" s="2">
        <f t="shared" si="5"/>
        <v>562</v>
      </c>
      <c r="Z28" s="2">
        <f t="shared" si="6"/>
        <v>800</v>
      </c>
      <c r="AA28" s="2">
        <f t="shared" si="15"/>
        <v>814</v>
      </c>
      <c r="AB28" s="2">
        <f t="shared" si="16"/>
        <v>437</v>
      </c>
      <c r="AC28" s="2">
        <f t="shared" si="7"/>
        <v>531</v>
      </c>
      <c r="AD28" s="2">
        <f t="shared" si="8"/>
        <v>757</v>
      </c>
      <c r="AE28" s="2">
        <f t="shared" si="9"/>
        <v>600</v>
      </c>
      <c r="AF28" s="2">
        <f t="shared" si="10"/>
        <v>681</v>
      </c>
      <c r="AG28" s="2">
        <f t="shared" si="11"/>
        <v>839</v>
      </c>
      <c r="AH28" s="2">
        <f t="shared" si="12"/>
        <v>631</v>
      </c>
      <c r="AI28" s="2">
        <f t="shared" si="13"/>
        <v>645</v>
      </c>
      <c r="AJ28" s="2">
        <f t="shared" si="14"/>
        <v>570</v>
      </c>
      <c r="AK28" s="406">
        <v>1</v>
      </c>
      <c r="AL28" s="274">
        <f t="shared" ca="1" si="1"/>
        <v>98771</v>
      </c>
      <c r="AM28" s="311">
        <f t="shared" ca="1" si="2"/>
        <v>99302</v>
      </c>
      <c r="AN28" s="274">
        <f ca="1">IF(AND(Tabla7[[#This Row],[UltLec]]&lt;&gt;0,Tabla7[[#This Row],[PenLect]]&lt;&gt;0),(AM28-AL28)*Tabla7[[#This Row],[RT]],"N/A")</f>
        <v>531</v>
      </c>
      <c r="AO28" s="273" t="s">
        <v>910</v>
      </c>
      <c r="AP28" s="392" t="s">
        <v>1190</v>
      </c>
      <c r="AQ28" s="392" t="s">
        <v>1193</v>
      </c>
      <c r="AR28" s="407">
        <f t="shared" si="3"/>
        <v>0</v>
      </c>
      <c r="AT28" s="2">
        <f t="shared" ca="1" si="4"/>
        <v>1.2151029748283753</v>
      </c>
      <c r="AV28">
        <f>IF(ISBLANK(Tabla7[[#This Row],[31/12/2017]]),0,Tabla7[[#This Row],[31/12/2017]])</f>
        <v>96158</v>
      </c>
      <c r="AW28">
        <f>IF(ISBLANK(Tabla7[[#This Row],[15/01/2018]]),0,Tabla7[[#This Row],[15/01/2018]])</f>
        <v>96720</v>
      </c>
      <c r="AX28">
        <f>IF(ISBLANK(Tabla7[[#This Row],[15/02/2018]]),0,Tabla7[[#This Row],[15/02/2018]])</f>
        <v>97520</v>
      </c>
      <c r="AY28">
        <f>IF(ISBLANK(Tabla7[[#This Row],[15/03/2018]]),0,Tabla7[[#This Row],[15/03/2018]])</f>
        <v>98334</v>
      </c>
      <c r="AZ28">
        <f>IF(ISBLANK(Tabla7[[#This Row],[15/04/2018]]),0,Tabla7[[#This Row],[15/04/2018]])</f>
        <v>98771</v>
      </c>
      <c r="BA28">
        <f>IF(ISBLANK(Tabla7[[#This Row],[15/05/2018]]),0,Tabla7[[#This Row],[15/05/2018]])</f>
        <v>99302</v>
      </c>
      <c r="BB28">
        <f>IF(ISBLANK(Tabla7[[#This Row],[15/06/2018]]),0,Tabla7[[#This Row],[15/06/2018]])</f>
        <v>100059</v>
      </c>
      <c r="BC28">
        <f>IF(ISBLANK(Tabla7[[#This Row],[15/07/2018]]),0,Tabla7[[#This Row],[15/07/2018]])</f>
        <v>100659</v>
      </c>
      <c r="BD28">
        <f>IF(ISBLANK(Tabla7[[#This Row],[15/08/2018]]),0,Tabla7[[#This Row],[15/08/2018]])</f>
        <v>101340</v>
      </c>
      <c r="BE28">
        <f>IF(ISBLANK(Tabla7[[#This Row],[15/09/2018]]),0,Tabla7[[#This Row],[15/09/2018]])</f>
        <v>102179</v>
      </c>
      <c r="BF28">
        <f>IF(ISBLANK(Tabla7[[#This Row],[15/10/2018]]),0,Tabla7[[#This Row],[15/10/2018]])</f>
        <v>102810</v>
      </c>
      <c r="BG28">
        <f>IF(ISBLANK(Tabla7[[#This Row],[15/11/2018]]),0,Tabla7[[#This Row],[15/11/2018]])</f>
        <v>103455</v>
      </c>
      <c r="BH28">
        <f>IF(ISBLANK(Tabla7[[#This Row],[15/12/2018]]),0,Tabla7[[#This Row],[15/12/2018]])</f>
        <v>104025</v>
      </c>
      <c r="BI28">
        <f>IF(ISBLANK(Tabla7[[#This Row],[28/12/2018]]),0,Tabla7[[#This Row],[28/12/2018]])</f>
        <v>0</v>
      </c>
      <c r="BN2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('C01.05','G','GCT01','39835','Capitanía Marítima','INTERIOR CT 1 SUR','Oficinas en edificio APV','');</v>
      </c>
      <c r="BO28" t="s">
        <v>243</v>
      </c>
      <c r="BP28" s="632" t="str">
        <f>CONCATENATE("insert into lecturas values ","('",Tabla7[[#This Row],[CONTADOR]],"',STR_TO_DATE('",Tabla7[[#Headers],[31/12/2017]],"','%d/%m/%Y'),",AV28,"),","('",Tabla7[[#This Row],[CONTADOR]],"',STR_TO_DATE('",Tabla7[[#Headers],[15/01/2018]],"','%d/%m/%Y'),",AW28,"),","('",Tabla7[[#This Row],[CONTADOR]],"',STR_TO_DATE('",Tabla7[[#Headers],[15/02/2018]],"','%d/%m/%Y'),",AX28,"),","('",Tabla7[[#This Row],[CONTADOR]],"',STR_TO_DATE('",Tabla7[[#Headers],[15/03/2018]],"','%d/%m/%Y'),",AY28,"),","('",Tabla7[[#This Row],[CONTADOR]],"',STR_TO_DATE('",Tabla7[[#Headers],[15/04/2018]],"','%d/%m/%Y'),",AZ28,"),","('",Tabla7[[#This Row],[CONTADOR]],"',STR_TO_DATE('",Tabla7[[#Headers],[15/05/2018]],"','%d/%m/%Y'),",BA28,"),","('",Tabla7[[#This Row],[CONTADOR]],"',STR_TO_DATE('",Tabla7[[#Headers],[15/06/2018]],"','%d/%m/%Y'),",BB28,"),","('",Tabla7[[#This Row],[CONTADOR]],"',STR_TO_DATE('",Tabla7[[#Headers],[15/07/2018]],"','%d/%m/%Y'),",BC28,"),","('",Tabla7[[#This Row],[CONTADOR]],"',STR_TO_DATE('",Tabla7[[#Headers],[15/08/2018]],"','%d/%m/%Y'),",BD28,"),","('",Tabla7[[#This Row],[CONTADOR]],"',STR_TO_DATE('",Tabla7[[#Headers],[15/09/2018]],"','%d/%m/%Y'),",BE28,"),","('",Tabla7[[#This Row],[CONTADOR]],"',STR_TO_DATE('",Tabla7[[#Headers],[15/10/2018]],"','%d/%m/%Y'),",BF28,"),","('",Tabla7[[#This Row],[CONTADOR]],"',STR_TO_DATE('",Tabla7[[#Headers],[15/11/2018]],"','%d/%m/%Y'),",BG28,"),","('",Tabla7[[#This Row],[CONTADOR]],"',STR_TO_DATE('",Tabla7[[#Headers],[15/12/2018]],"','%d/%m/%Y'),",BH28,");")</f>
        <v>insert into lecturas values ('C01.05',STR_TO_DATE('31/12/2017','%d/%m/%Y'),96158),('C01.05',STR_TO_DATE('15/01/2018','%d/%m/%Y'),96720),('C01.05',STR_TO_DATE('15/02/2018','%d/%m/%Y'),97520),('C01.05',STR_TO_DATE('15/03/2018','%d/%m/%Y'),98334),('C01.05',STR_TO_DATE('15/04/2018','%d/%m/%Y'),98771),('C01.05',STR_TO_DATE('15/05/2018','%d/%m/%Y'),99302),('C01.05',STR_TO_DATE('15/06/2018','%d/%m/%Y'),100059),('C01.05',STR_TO_DATE('15/07/2018','%d/%m/%Y'),100659),('C01.05',STR_TO_DATE('15/08/2018','%d/%m/%Y'),101340),('C01.05',STR_TO_DATE('15/09/2018','%d/%m/%Y'),102179),('C01.05',STR_TO_DATE('15/10/2018','%d/%m/%Y'),102810),('C01.05',STR_TO_DATE('15/11/2018','%d/%m/%Y'),103455),('C01.05',STR_TO_DATE('15/12/2018','%d/%m/%Y'),104025);</v>
      </c>
    </row>
    <row r="29" spans="1:68" ht="18.75" customHeight="1" x14ac:dyDescent="0.25">
      <c r="A29" s="241" t="s">
        <v>614</v>
      </c>
      <c r="B29" s="60"/>
      <c r="C29" s="223" t="s">
        <v>400</v>
      </c>
      <c r="D29" s="60" t="s">
        <v>617</v>
      </c>
      <c r="E29" s="258">
        <v>3</v>
      </c>
      <c r="F29" s="274" t="s">
        <v>21</v>
      </c>
      <c r="G29" s="274" t="s">
        <v>621</v>
      </c>
      <c r="H29" s="274" t="s">
        <v>1392</v>
      </c>
      <c r="I29" s="274"/>
      <c r="J29" s="274">
        <v>596320</v>
      </c>
      <c r="K29" s="274">
        <v>599194</v>
      </c>
      <c r="L29" s="311">
        <v>603289</v>
      </c>
      <c r="M29" s="311">
        <v>607960</v>
      </c>
      <c r="N29" s="311">
        <v>611203</v>
      </c>
      <c r="O29" s="311">
        <v>614912</v>
      </c>
      <c r="P29" s="454">
        <v>619715</v>
      </c>
      <c r="Q29" s="492">
        <v>623553</v>
      </c>
      <c r="R29" s="311">
        <v>630041</v>
      </c>
      <c r="S29" s="531">
        <v>635469</v>
      </c>
      <c r="T29" s="531">
        <v>639652</v>
      </c>
      <c r="U29" s="618">
        <v>644576</v>
      </c>
      <c r="V29" s="492">
        <v>648612</v>
      </c>
      <c r="W29" s="274"/>
      <c r="X29" s="2"/>
      <c r="Y29" s="2">
        <f t="shared" si="5"/>
        <v>2874</v>
      </c>
      <c r="Z29" s="2">
        <f t="shared" si="6"/>
        <v>4095</v>
      </c>
      <c r="AA29" s="2">
        <f t="shared" si="15"/>
        <v>4671</v>
      </c>
      <c r="AB29" s="2">
        <f t="shared" si="16"/>
        <v>3243</v>
      </c>
      <c r="AC29" s="2">
        <f t="shared" si="7"/>
        <v>3709</v>
      </c>
      <c r="AD29" s="2">
        <f t="shared" si="8"/>
        <v>4803</v>
      </c>
      <c r="AE29" s="2">
        <f t="shared" si="9"/>
        <v>3838</v>
      </c>
      <c r="AF29" s="2">
        <f t="shared" si="10"/>
        <v>6488</v>
      </c>
      <c r="AG29" s="2">
        <f t="shared" si="11"/>
        <v>5428</v>
      </c>
      <c r="AH29" s="2">
        <f t="shared" si="12"/>
        <v>4183</v>
      </c>
      <c r="AI29" s="2">
        <f t="shared" si="13"/>
        <v>4924</v>
      </c>
      <c r="AJ29" s="2">
        <f t="shared" si="14"/>
        <v>4036</v>
      </c>
      <c r="AK29" s="406">
        <v>1</v>
      </c>
      <c r="AL29" s="274">
        <f t="shared" ca="1" si="1"/>
        <v>611203</v>
      </c>
      <c r="AM29" s="311">
        <f t="shared" ca="1" si="2"/>
        <v>614912</v>
      </c>
      <c r="AN29" s="274">
        <f ca="1">IF(AND(Tabla7[[#This Row],[UltLec]]&lt;&gt;0,Tabla7[[#This Row],[PenLect]]&lt;&gt;0),(AM29-AL29)*Tabla7[[#This Row],[RT]],"N/A")</f>
        <v>3709</v>
      </c>
      <c r="AO29" s="273" t="s">
        <v>910</v>
      </c>
      <c r="AP29" s="392" t="s">
        <v>1190</v>
      </c>
      <c r="AQ29" s="392" t="s">
        <v>1189</v>
      </c>
      <c r="AR29" s="407">
        <f t="shared" si="3"/>
        <v>0</v>
      </c>
      <c r="AT29" s="2">
        <f t="shared" ca="1" si="4"/>
        <v>1.1436941103916127</v>
      </c>
      <c r="AV29">
        <f>IF(ISBLANK(Tabla7[[#This Row],[31/12/2017]]),0,Tabla7[[#This Row],[31/12/2017]])</f>
        <v>596320</v>
      </c>
      <c r="AW29">
        <f>IF(ISBLANK(Tabla7[[#This Row],[15/01/2018]]),0,Tabla7[[#This Row],[15/01/2018]])</f>
        <v>599194</v>
      </c>
      <c r="AX29">
        <f>IF(ISBLANK(Tabla7[[#This Row],[15/02/2018]]),0,Tabla7[[#This Row],[15/02/2018]])</f>
        <v>603289</v>
      </c>
      <c r="AY29">
        <f>IF(ISBLANK(Tabla7[[#This Row],[15/03/2018]]),0,Tabla7[[#This Row],[15/03/2018]])</f>
        <v>607960</v>
      </c>
      <c r="AZ29">
        <f>IF(ISBLANK(Tabla7[[#This Row],[15/04/2018]]),0,Tabla7[[#This Row],[15/04/2018]])</f>
        <v>611203</v>
      </c>
      <c r="BA29">
        <f>IF(ISBLANK(Tabla7[[#This Row],[15/05/2018]]),0,Tabla7[[#This Row],[15/05/2018]])</f>
        <v>614912</v>
      </c>
      <c r="BB29">
        <f>IF(ISBLANK(Tabla7[[#This Row],[15/06/2018]]),0,Tabla7[[#This Row],[15/06/2018]])</f>
        <v>619715</v>
      </c>
      <c r="BC29">
        <f>IF(ISBLANK(Tabla7[[#This Row],[15/07/2018]]),0,Tabla7[[#This Row],[15/07/2018]])</f>
        <v>623553</v>
      </c>
      <c r="BD29">
        <f>IF(ISBLANK(Tabla7[[#This Row],[15/08/2018]]),0,Tabla7[[#This Row],[15/08/2018]])</f>
        <v>630041</v>
      </c>
      <c r="BE29">
        <f>IF(ISBLANK(Tabla7[[#This Row],[15/09/2018]]),0,Tabla7[[#This Row],[15/09/2018]])</f>
        <v>635469</v>
      </c>
      <c r="BF29">
        <f>IF(ISBLANK(Tabla7[[#This Row],[15/10/2018]]),0,Tabla7[[#This Row],[15/10/2018]])</f>
        <v>639652</v>
      </c>
      <c r="BG29">
        <f>IF(ISBLANK(Tabla7[[#This Row],[15/11/2018]]),0,Tabla7[[#This Row],[15/11/2018]])</f>
        <v>644576</v>
      </c>
      <c r="BH29">
        <f>IF(ISBLANK(Tabla7[[#This Row],[15/12/2018]]),0,Tabla7[[#This Row],[15/12/2018]])</f>
        <v>648612</v>
      </c>
      <c r="BI29">
        <f>IF(ISBLANK(Tabla7[[#This Row],[28/12/2018]]),0,Tabla7[[#This Row],[28/12/2018]])</f>
        <v>0</v>
      </c>
      <c r="BN2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('C01.06','G','GCT01','3','APV','CT 1 SUR','Edificio APV','');</v>
      </c>
      <c r="BO29" t="s">
        <v>243</v>
      </c>
      <c r="BP29" s="632" t="str">
        <f>CONCATENATE("insert into lecturas values ","('",Tabla7[[#This Row],[CONTADOR]],"',STR_TO_DATE('",Tabla7[[#Headers],[31/12/2017]],"','%d/%m/%Y'),",AV29,"),","('",Tabla7[[#This Row],[CONTADOR]],"',STR_TO_DATE('",Tabla7[[#Headers],[15/01/2018]],"','%d/%m/%Y'),",AW29,"),","('",Tabla7[[#This Row],[CONTADOR]],"',STR_TO_DATE('",Tabla7[[#Headers],[15/02/2018]],"','%d/%m/%Y'),",AX29,"),","('",Tabla7[[#This Row],[CONTADOR]],"',STR_TO_DATE('",Tabla7[[#Headers],[15/03/2018]],"','%d/%m/%Y'),",AY29,"),","('",Tabla7[[#This Row],[CONTADOR]],"',STR_TO_DATE('",Tabla7[[#Headers],[15/04/2018]],"','%d/%m/%Y'),",AZ29,"),","('",Tabla7[[#This Row],[CONTADOR]],"',STR_TO_DATE('",Tabla7[[#Headers],[15/05/2018]],"','%d/%m/%Y'),",BA29,"),","('",Tabla7[[#This Row],[CONTADOR]],"',STR_TO_DATE('",Tabla7[[#Headers],[15/06/2018]],"','%d/%m/%Y'),",BB29,"),","('",Tabla7[[#This Row],[CONTADOR]],"',STR_TO_DATE('",Tabla7[[#Headers],[15/07/2018]],"','%d/%m/%Y'),",BC29,"),","('",Tabla7[[#This Row],[CONTADOR]],"',STR_TO_DATE('",Tabla7[[#Headers],[15/08/2018]],"','%d/%m/%Y'),",BD29,"),","('",Tabla7[[#This Row],[CONTADOR]],"',STR_TO_DATE('",Tabla7[[#Headers],[15/09/2018]],"','%d/%m/%Y'),",BE29,"),","('",Tabla7[[#This Row],[CONTADOR]],"',STR_TO_DATE('",Tabla7[[#Headers],[15/10/2018]],"','%d/%m/%Y'),",BF29,"),","('",Tabla7[[#This Row],[CONTADOR]],"',STR_TO_DATE('",Tabla7[[#Headers],[15/11/2018]],"','%d/%m/%Y'),",BG29,"),","('",Tabla7[[#This Row],[CONTADOR]],"',STR_TO_DATE('",Tabla7[[#Headers],[15/12/2018]],"','%d/%m/%Y'),",BH29,");")</f>
        <v>insert into lecturas values ('C01.06',STR_TO_DATE('31/12/2017','%d/%m/%Y'),596320),('C01.06',STR_TO_DATE('15/01/2018','%d/%m/%Y'),599194),('C01.06',STR_TO_DATE('15/02/2018','%d/%m/%Y'),603289),('C01.06',STR_TO_DATE('15/03/2018','%d/%m/%Y'),607960),('C01.06',STR_TO_DATE('15/04/2018','%d/%m/%Y'),611203),('C01.06',STR_TO_DATE('15/05/2018','%d/%m/%Y'),614912),('C01.06',STR_TO_DATE('15/06/2018','%d/%m/%Y'),619715),('C01.06',STR_TO_DATE('15/07/2018','%d/%m/%Y'),623553),('C01.06',STR_TO_DATE('15/08/2018','%d/%m/%Y'),630041),('C01.06',STR_TO_DATE('15/09/2018','%d/%m/%Y'),635469),('C01.06',STR_TO_DATE('15/10/2018','%d/%m/%Y'),639652),('C01.06',STR_TO_DATE('15/11/2018','%d/%m/%Y'),644576),('C01.06',STR_TO_DATE('15/12/2018','%d/%m/%Y'),648612);</v>
      </c>
    </row>
    <row r="30" spans="1:68" ht="18" customHeight="1" x14ac:dyDescent="0.25">
      <c r="A30" s="241" t="s">
        <v>614</v>
      </c>
      <c r="B30" s="60"/>
      <c r="C30" s="223" t="s">
        <v>412</v>
      </c>
      <c r="D30" s="60" t="s">
        <v>617</v>
      </c>
      <c r="E30" s="258">
        <v>3</v>
      </c>
      <c r="F30" s="274" t="s">
        <v>21</v>
      </c>
      <c r="G30" s="274" t="s">
        <v>621</v>
      </c>
      <c r="H30" s="274" t="s">
        <v>1402</v>
      </c>
      <c r="I30" s="274"/>
      <c r="J30" s="274">
        <v>55000</v>
      </c>
      <c r="K30" s="274">
        <v>60005</v>
      </c>
      <c r="L30" s="311">
        <v>62585</v>
      </c>
      <c r="M30" s="311">
        <v>65639</v>
      </c>
      <c r="N30" s="311">
        <v>67907</v>
      </c>
      <c r="O30" s="311">
        <v>70234</v>
      </c>
      <c r="P30" s="454">
        <v>73028</v>
      </c>
      <c r="Q30" s="311">
        <v>74908</v>
      </c>
      <c r="R30" s="311">
        <v>77709</v>
      </c>
      <c r="S30" s="353">
        <v>80582</v>
      </c>
      <c r="T30" s="353">
        <v>83225</v>
      </c>
      <c r="U30" s="311">
        <v>87035</v>
      </c>
      <c r="V30" s="311">
        <v>90899</v>
      </c>
      <c r="W30" s="274"/>
      <c r="X30" s="274"/>
      <c r="Y30" s="274">
        <f t="shared" si="5"/>
        <v>5005</v>
      </c>
      <c r="Z30" s="274">
        <f t="shared" si="6"/>
        <v>2580</v>
      </c>
      <c r="AA30" s="274">
        <f t="shared" si="15"/>
        <v>3054</v>
      </c>
      <c r="AB30" s="274">
        <f t="shared" si="16"/>
        <v>2268</v>
      </c>
      <c r="AC30" s="274">
        <f t="shared" si="7"/>
        <v>2327</v>
      </c>
      <c r="AD30" s="274">
        <f t="shared" si="8"/>
        <v>2794</v>
      </c>
      <c r="AE30" s="274">
        <f t="shared" si="9"/>
        <v>1880</v>
      </c>
      <c r="AF30" s="274">
        <f t="shared" si="10"/>
        <v>2801</v>
      </c>
      <c r="AG30" s="274">
        <f t="shared" si="11"/>
        <v>2873</v>
      </c>
      <c r="AH30" s="274">
        <f t="shared" si="12"/>
        <v>2643</v>
      </c>
      <c r="AI30" s="274">
        <f t="shared" si="13"/>
        <v>3810</v>
      </c>
      <c r="AJ30" s="274">
        <f t="shared" si="14"/>
        <v>3864</v>
      </c>
      <c r="AK30" s="406">
        <v>1</v>
      </c>
      <c r="AL30" s="274">
        <f t="shared" ca="1" si="1"/>
        <v>67907</v>
      </c>
      <c r="AM30" s="311">
        <f t="shared" ca="1" si="2"/>
        <v>70234</v>
      </c>
      <c r="AN30" s="274">
        <f ca="1">IF(AND(Tabla7[[#This Row],[UltLec]]&lt;&gt;0,Tabla7[[#This Row],[PenLect]]&lt;&gt;0),(AM30-AL30)*Tabla7[[#This Row],[RT]],"N/A")</f>
        <v>2327</v>
      </c>
      <c r="AO30" s="273" t="s">
        <v>910</v>
      </c>
      <c r="AP30" s="392" t="s">
        <v>1190</v>
      </c>
      <c r="AQ30" s="392" t="s">
        <v>1189</v>
      </c>
      <c r="AR30" s="407">
        <f t="shared" si="3"/>
        <v>0</v>
      </c>
      <c r="AT30" s="2">
        <f t="shared" ca="1" si="4"/>
        <v>1.0260141093474426</v>
      </c>
      <c r="AV30">
        <f>IF(ISBLANK(Tabla7[[#This Row],[31/12/2017]]),0,Tabla7[[#This Row],[31/12/2017]])</f>
        <v>55000</v>
      </c>
      <c r="AW30">
        <f>IF(ISBLANK(Tabla7[[#This Row],[15/01/2018]]),0,Tabla7[[#This Row],[15/01/2018]])</f>
        <v>60005</v>
      </c>
      <c r="AX30">
        <f>IF(ISBLANK(Tabla7[[#This Row],[15/02/2018]]),0,Tabla7[[#This Row],[15/02/2018]])</f>
        <v>62585</v>
      </c>
      <c r="AY30">
        <f>IF(ISBLANK(Tabla7[[#This Row],[15/03/2018]]),0,Tabla7[[#This Row],[15/03/2018]])</f>
        <v>65639</v>
      </c>
      <c r="AZ30">
        <f>IF(ISBLANK(Tabla7[[#This Row],[15/04/2018]]),0,Tabla7[[#This Row],[15/04/2018]])</f>
        <v>67907</v>
      </c>
      <c r="BA30">
        <f>IF(ISBLANK(Tabla7[[#This Row],[15/05/2018]]),0,Tabla7[[#This Row],[15/05/2018]])</f>
        <v>70234</v>
      </c>
      <c r="BB30">
        <f>IF(ISBLANK(Tabla7[[#This Row],[15/06/2018]]),0,Tabla7[[#This Row],[15/06/2018]])</f>
        <v>73028</v>
      </c>
      <c r="BC30">
        <f>IF(ISBLANK(Tabla7[[#This Row],[15/07/2018]]),0,Tabla7[[#This Row],[15/07/2018]])</f>
        <v>74908</v>
      </c>
      <c r="BD30">
        <f>IF(ISBLANK(Tabla7[[#This Row],[15/08/2018]]),0,Tabla7[[#This Row],[15/08/2018]])</f>
        <v>77709</v>
      </c>
      <c r="BE30">
        <f>IF(ISBLANK(Tabla7[[#This Row],[15/09/2018]]),0,Tabla7[[#This Row],[15/09/2018]])</f>
        <v>80582</v>
      </c>
      <c r="BF30">
        <f>IF(ISBLANK(Tabla7[[#This Row],[15/10/2018]]),0,Tabla7[[#This Row],[15/10/2018]])</f>
        <v>83225</v>
      </c>
      <c r="BG30">
        <f>IF(ISBLANK(Tabla7[[#This Row],[15/11/2018]]),0,Tabla7[[#This Row],[15/11/2018]])</f>
        <v>87035</v>
      </c>
      <c r="BH30">
        <f>IF(ISBLANK(Tabla7[[#This Row],[15/12/2018]]),0,Tabla7[[#This Row],[15/12/2018]])</f>
        <v>90899</v>
      </c>
      <c r="BI30">
        <f>IF(ISBLANK(Tabla7[[#This Row],[28/12/2018]]),0,Tabla7[[#This Row],[28/12/2018]])</f>
        <v>0</v>
      </c>
      <c r="BN3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('C01.07','G','GCT01','3','APV','CT 1 SUR','Alumbrado ext. FLASHCAT + Tinglado Sur','');</v>
      </c>
      <c r="BO30" t="s">
        <v>243</v>
      </c>
      <c r="BP30" s="632" t="str">
        <f>CONCATENATE("insert into lecturas values ","('",Tabla7[[#This Row],[CONTADOR]],"',STR_TO_DATE('",Tabla7[[#Headers],[31/12/2017]],"','%d/%m/%Y'),",AV30,"),","('",Tabla7[[#This Row],[CONTADOR]],"',STR_TO_DATE('",Tabla7[[#Headers],[15/01/2018]],"','%d/%m/%Y'),",AW30,"),","('",Tabla7[[#This Row],[CONTADOR]],"',STR_TO_DATE('",Tabla7[[#Headers],[15/02/2018]],"','%d/%m/%Y'),",AX30,"),","('",Tabla7[[#This Row],[CONTADOR]],"',STR_TO_DATE('",Tabla7[[#Headers],[15/03/2018]],"','%d/%m/%Y'),",AY30,"),","('",Tabla7[[#This Row],[CONTADOR]],"',STR_TO_DATE('",Tabla7[[#Headers],[15/04/2018]],"','%d/%m/%Y'),",AZ30,"),","('",Tabla7[[#This Row],[CONTADOR]],"',STR_TO_DATE('",Tabla7[[#Headers],[15/05/2018]],"','%d/%m/%Y'),",BA30,"),","('",Tabla7[[#This Row],[CONTADOR]],"',STR_TO_DATE('",Tabla7[[#Headers],[15/06/2018]],"','%d/%m/%Y'),",BB30,"),","('",Tabla7[[#This Row],[CONTADOR]],"',STR_TO_DATE('",Tabla7[[#Headers],[15/07/2018]],"','%d/%m/%Y'),",BC30,"),","('",Tabla7[[#This Row],[CONTADOR]],"',STR_TO_DATE('",Tabla7[[#Headers],[15/08/2018]],"','%d/%m/%Y'),",BD30,"),","('",Tabla7[[#This Row],[CONTADOR]],"',STR_TO_DATE('",Tabla7[[#Headers],[15/09/2018]],"','%d/%m/%Y'),",BE30,"),","('",Tabla7[[#This Row],[CONTADOR]],"',STR_TO_DATE('",Tabla7[[#Headers],[15/10/2018]],"','%d/%m/%Y'),",BF30,"),","('",Tabla7[[#This Row],[CONTADOR]],"',STR_TO_DATE('",Tabla7[[#Headers],[15/11/2018]],"','%d/%m/%Y'),",BG30,"),","('",Tabla7[[#This Row],[CONTADOR]],"',STR_TO_DATE('",Tabla7[[#Headers],[15/12/2018]],"','%d/%m/%Y'),",BH30,");")</f>
        <v>insert into lecturas values ('C01.07',STR_TO_DATE('31/12/2017','%d/%m/%Y'),55000),('C01.07',STR_TO_DATE('15/01/2018','%d/%m/%Y'),60005),('C01.07',STR_TO_DATE('15/02/2018','%d/%m/%Y'),62585),('C01.07',STR_TO_DATE('15/03/2018','%d/%m/%Y'),65639),('C01.07',STR_TO_DATE('15/04/2018','%d/%m/%Y'),67907),('C01.07',STR_TO_DATE('15/05/2018','%d/%m/%Y'),70234),('C01.07',STR_TO_DATE('15/06/2018','%d/%m/%Y'),73028),('C01.07',STR_TO_DATE('15/07/2018','%d/%m/%Y'),74908),('C01.07',STR_TO_DATE('15/08/2018','%d/%m/%Y'),77709),('C01.07',STR_TO_DATE('15/09/2018','%d/%m/%Y'),80582),('C01.07',STR_TO_DATE('15/10/2018','%d/%m/%Y'),83225),('C01.07',STR_TO_DATE('15/11/2018','%d/%m/%Y'),87035),('C01.07',STR_TO_DATE('15/12/2018','%d/%m/%Y'),90899);</v>
      </c>
    </row>
    <row r="31" spans="1:68" ht="18" customHeight="1" x14ac:dyDescent="0.25">
      <c r="A31" s="241" t="s">
        <v>1097</v>
      </c>
      <c r="B31" s="60"/>
      <c r="C31" s="223" t="s">
        <v>411</v>
      </c>
      <c r="D31" s="60" t="s">
        <v>617</v>
      </c>
      <c r="E31" s="258">
        <v>0</v>
      </c>
      <c r="F31" s="274" t="s">
        <v>21</v>
      </c>
      <c r="G31" s="2" t="s">
        <v>621</v>
      </c>
      <c r="H31" s="274" t="s">
        <v>641</v>
      </c>
      <c r="I31" s="274"/>
      <c r="J31" s="274">
        <v>11</v>
      </c>
      <c r="K31" s="274">
        <v>11</v>
      </c>
      <c r="L31" s="311">
        <v>11</v>
      </c>
      <c r="M31" s="311">
        <v>11</v>
      </c>
      <c r="N31" s="311">
        <v>11</v>
      </c>
      <c r="O31" s="311">
        <v>11</v>
      </c>
      <c r="P31" s="454">
        <v>11</v>
      </c>
      <c r="Q31" s="492">
        <v>11</v>
      </c>
      <c r="R31" s="311">
        <v>11</v>
      </c>
      <c r="S31" s="531">
        <v>11</v>
      </c>
      <c r="T31" s="531">
        <v>11</v>
      </c>
      <c r="U31" s="311">
        <v>11</v>
      </c>
      <c r="V31" s="492">
        <v>11</v>
      </c>
      <c r="W31" s="274"/>
      <c r="X31" s="2"/>
      <c r="Y31" s="2">
        <f t="shared" si="5"/>
        <v>0</v>
      </c>
      <c r="Z31" s="2">
        <f t="shared" si="6"/>
        <v>0</v>
      </c>
      <c r="AA31" s="2">
        <f t="shared" si="15"/>
        <v>0</v>
      </c>
      <c r="AB31" s="2">
        <f t="shared" si="16"/>
        <v>0</v>
      </c>
      <c r="AC31" s="2">
        <f t="shared" si="7"/>
        <v>0</v>
      </c>
      <c r="AD31" s="2">
        <f t="shared" si="8"/>
        <v>0</v>
      </c>
      <c r="AE31" s="2">
        <f t="shared" si="9"/>
        <v>0</v>
      </c>
      <c r="AF31" s="2">
        <f t="shared" si="10"/>
        <v>0</v>
      </c>
      <c r="AG31" s="2">
        <f t="shared" si="11"/>
        <v>0</v>
      </c>
      <c r="AH31" s="2">
        <f t="shared" si="12"/>
        <v>0</v>
      </c>
      <c r="AI31" s="2">
        <f t="shared" si="13"/>
        <v>0</v>
      </c>
      <c r="AJ31" s="2">
        <f t="shared" si="14"/>
        <v>0</v>
      </c>
      <c r="AK31" s="406">
        <v>1</v>
      </c>
      <c r="AL31" s="274">
        <f t="shared" ca="1" si="1"/>
        <v>11</v>
      </c>
      <c r="AM31" s="311">
        <f t="shared" ca="1" si="2"/>
        <v>11</v>
      </c>
      <c r="AN31" s="274">
        <f ca="1">IF(AND(Tabla7[[#This Row],[UltLec]]&lt;&gt;0,Tabla7[[#This Row],[PenLect]]&lt;&gt;0),(AM31-AL31)*Tabla7[[#This Row],[RT]],"N/A")</f>
        <v>0</v>
      </c>
      <c r="AO31" s="273" t="s">
        <v>910</v>
      </c>
      <c r="AP31" s="392" t="s">
        <v>1190</v>
      </c>
      <c r="AQ31" s="392" t="s">
        <v>1189</v>
      </c>
      <c r="AR31" s="407">
        <f t="shared" si="3"/>
        <v>0</v>
      </c>
      <c r="AT31" s="2" t="str">
        <f t="shared" ca="1" si="4"/>
        <v>0</v>
      </c>
      <c r="AV31">
        <f>IF(ISBLANK(Tabla7[[#This Row],[31/12/2017]]),0,Tabla7[[#This Row],[31/12/2017]])</f>
        <v>11</v>
      </c>
      <c r="AW31">
        <f>IF(ISBLANK(Tabla7[[#This Row],[15/01/2018]]),0,Tabla7[[#This Row],[15/01/2018]])</f>
        <v>11</v>
      </c>
      <c r="AX31">
        <f>IF(ISBLANK(Tabla7[[#This Row],[15/02/2018]]),0,Tabla7[[#This Row],[15/02/2018]])</f>
        <v>11</v>
      </c>
      <c r="AY31">
        <f>IF(ISBLANK(Tabla7[[#This Row],[15/03/2018]]),0,Tabla7[[#This Row],[15/03/2018]])</f>
        <v>11</v>
      </c>
      <c r="AZ31">
        <f>IF(ISBLANK(Tabla7[[#This Row],[15/04/2018]]),0,Tabla7[[#This Row],[15/04/2018]])</f>
        <v>11</v>
      </c>
      <c r="BA31">
        <f>IF(ISBLANK(Tabla7[[#This Row],[15/05/2018]]),0,Tabla7[[#This Row],[15/05/2018]])</f>
        <v>11</v>
      </c>
      <c r="BB31">
        <f>IF(ISBLANK(Tabla7[[#This Row],[15/06/2018]]),0,Tabla7[[#This Row],[15/06/2018]])</f>
        <v>11</v>
      </c>
      <c r="BC31">
        <f>IF(ISBLANK(Tabla7[[#This Row],[15/07/2018]]),0,Tabla7[[#This Row],[15/07/2018]])</f>
        <v>11</v>
      </c>
      <c r="BD31">
        <f>IF(ISBLANK(Tabla7[[#This Row],[15/08/2018]]),0,Tabla7[[#This Row],[15/08/2018]])</f>
        <v>11</v>
      </c>
      <c r="BE31">
        <f>IF(ISBLANK(Tabla7[[#This Row],[15/09/2018]]),0,Tabla7[[#This Row],[15/09/2018]])</f>
        <v>11</v>
      </c>
      <c r="BF31">
        <f>IF(ISBLANK(Tabla7[[#This Row],[15/10/2018]]),0,Tabla7[[#This Row],[15/10/2018]])</f>
        <v>11</v>
      </c>
      <c r="BG31">
        <f>IF(ISBLANK(Tabla7[[#This Row],[15/11/2018]]),0,Tabla7[[#This Row],[15/11/2018]])</f>
        <v>11</v>
      </c>
      <c r="BH31">
        <f>IF(ISBLANK(Tabla7[[#This Row],[15/12/2018]]),0,Tabla7[[#This Row],[15/12/2018]])</f>
        <v>11</v>
      </c>
      <c r="BI31">
        <f>IF(ISBLANK(Tabla7[[#This Row],[28/12/2018]]),0,Tabla7[[#This Row],[28/12/2018]])</f>
        <v>0</v>
      </c>
      <c r="BN3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('C01.08','GBAJA','GCT01','0','APV','CT 1 SUR','Solar rotonda','');</v>
      </c>
      <c r="BO31" t="s">
        <v>243</v>
      </c>
      <c r="BP31" s="632" t="str">
        <f>CONCATENATE("insert into lecturas values ","('",Tabla7[[#This Row],[CONTADOR]],"',STR_TO_DATE('",Tabla7[[#Headers],[31/12/2017]],"','%d/%m/%Y'),",AV31,"),","('",Tabla7[[#This Row],[CONTADOR]],"',STR_TO_DATE('",Tabla7[[#Headers],[15/01/2018]],"','%d/%m/%Y'),",AW31,"),","('",Tabla7[[#This Row],[CONTADOR]],"',STR_TO_DATE('",Tabla7[[#Headers],[15/02/2018]],"','%d/%m/%Y'),",AX31,"),","('",Tabla7[[#This Row],[CONTADOR]],"',STR_TO_DATE('",Tabla7[[#Headers],[15/03/2018]],"','%d/%m/%Y'),",AY31,"),","('",Tabla7[[#This Row],[CONTADOR]],"',STR_TO_DATE('",Tabla7[[#Headers],[15/04/2018]],"','%d/%m/%Y'),",AZ31,"),","('",Tabla7[[#This Row],[CONTADOR]],"',STR_TO_DATE('",Tabla7[[#Headers],[15/05/2018]],"','%d/%m/%Y'),",BA31,"),","('",Tabla7[[#This Row],[CONTADOR]],"',STR_TO_DATE('",Tabla7[[#Headers],[15/06/2018]],"','%d/%m/%Y'),",BB31,"),","('",Tabla7[[#This Row],[CONTADOR]],"',STR_TO_DATE('",Tabla7[[#Headers],[15/07/2018]],"','%d/%m/%Y'),",BC31,"),","('",Tabla7[[#This Row],[CONTADOR]],"',STR_TO_DATE('",Tabla7[[#Headers],[15/08/2018]],"','%d/%m/%Y'),",BD31,"),","('",Tabla7[[#This Row],[CONTADOR]],"',STR_TO_DATE('",Tabla7[[#Headers],[15/09/2018]],"','%d/%m/%Y'),",BE31,"),","('",Tabla7[[#This Row],[CONTADOR]],"',STR_TO_DATE('",Tabla7[[#Headers],[15/10/2018]],"','%d/%m/%Y'),",BF31,"),","('",Tabla7[[#This Row],[CONTADOR]],"',STR_TO_DATE('",Tabla7[[#Headers],[15/11/2018]],"','%d/%m/%Y'),",BG31,"),","('",Tabla7[[#This Row],[CONTADOR]],"',STR_TO_DATE('",Tabla7[[#Headers],[15/12/2018]],"','%d/%m/%Y'),",BH31,");")</f>
        <v>insert into lecturas values ('C01.08',STR_TO_DATE('31/12/2017','%d/%m/%Y'),11),('C01.08',STR_TO_DATE('15/01/2018','%d/%m/%Y'),11),('C01.08',STR_TO_DATE('15/02/2018','%d/%m/%Y'),11),('C01.08',STR_TO_DATE('15/03/2018','%d/%m/%Y'),11),('C01.08',STR_TO_DATE('15/04/2018','%d/%m/%Y'),11),('C01.08',STR_TO_DATE('15/05/2018','%d/%m/%Y'),11),('C01.08',STR_TO_DATE('15/06/2018','%d/%m/%Y'),11),('C01.08',STR_TO_DATE('15/07/2018','%d/%m/%Y'),11),('C01.08',STR_TO_DATE('15/08/2018','%d/%m/%Y'),11),('C01.08',STR_TO_DATE('15/09/2018','%d/%m/%Y'),11),('C01.08',STR_TO_DATE('15/10/2018','%d/%m/%Y'),11),('C01.08',STR_TO_DATE('15/11/2018','%d/%m/%Y'),11),('C01.08',STR_TO_DATE('15/12/2018','%d/%m/%Y'),11);</v>
      </c>
    </row>
    <row r="32" spans="1:68" ht="18" customHeight="1" x14ac:dyDescent="0.25">
      <c r="A32" s="241" t="s">
        <v>743</v>
      </c>
      <c r="B32" s="60"/>
      <c r="C32" s="223" t="s">
        <v>401</v>
      </c>
      <c r="D32" s="60" t="s">
        <v>617</v>
      </c>
      <c r="E32" s="258">
        <v>0</v>
      </c>
      <c r="F32" s="274" t="s">
        <v>21</v>
      </c>
      <c r="G32" s="2" t="s">
        <v>621</v>
      </c>
      <c r="H32" s="274" t="s">
        <v>1393</v>
      </c>
      <c r="I32" s="274"/>
      <c r="J32" s="2">
        <v>348285</v>
      </c>
      <c r="K32" s="274">
        <v>350037</v>
      </c>
      <c r="L32" s="311">
        <v>353102</v>
      </c>
      <c r="M32" s="311">
        <v>357194</v>
      </c>
      <c r="N32" s="311">
        <v>359875</v>
      </c>
      <c r="O32" s="311">
        <v>363380</v>
      </c>
      <c r="P32" s="454">
        <v>368733</v>
      </c>
      <c r="Q32" s="492">
        <v>370603</v>
      </c>
      <c r="R32" s="311">
        <v>375329</v>
      </c>
      <c r="S32" s="531">
        <v>378076</v>
      </c>
      <c r="T32" s="531">
        <v>379519</v>
      </c>
      <c r="U32" s="311">
        <v>381746</v>
      </c>
      <c r="V32" s="492">
        <v>384275</v>
      </c>
      <c r="W32" s="2"/>
      <c r="X32" s="2"/>
      <c r="Y32" s="2">
        <f t="shared" si="5"/>
        <v>1752</v>
      </c>
      <c r="Z32" s="2">
        <f t="shared" si="6"/>
        <v>3065</v>
      </c>
      <c r="AA32" s="2">
        <f t="shared" si="15"/>
        <v>4092</v>
      </c>
      <c r="AB32" s="2">
        <f t="shared" si="16"/>
        <v>2681</v>
      </c>
      <c r="AC32" s="2">
        <f t="shared" si="7"/>
        <v>3505</v>
      </c>
      <c r="AD32" s="2">
        <f t="shared" si="8"/>
        <v>5353</v>
      </c>
      <c r="AE32" s="2">
        <f t="shared" si="9"/>
        <v>1870</v>
      </c>
      <c r="AF32" s="2">
        <f t="shared" si="10"/>
        <v>4726</v>
      </c>
      <c r="AG32" s="2">
        <f t="shared" si="11"/>
        <v>2747</v>
      </c>
      <c r="AH32" s="2">
        <f t="shared" si="12"/>
        <v>1443</v>
      </c>
      <c r="AI32" s="2">
        <f t="shared" si="13"/>
        <v>2227</v>
      </c>
      <c r="AJ32" s="2">
        <f t="shared" si="14"/>
        <v>2529</v>
      </c>
      <c r="AK32" s="406">
        <v>1</v>
      </c>
      <c r="AL32" s="274">
        <f t="shared" ca="1" si="1"/>
        <v>359875</v>
      </c>
      <c r="AM32" s="311">
        <f t="shared" ca="1" si="2"/>
        <v>363380</v>
      </c>
      <c r="AN32" s="274">
        <f ca="1">IF(AND(Tabla7[[#This Row],[UltLec]]&lt;&gt;0,Tabla7[[#This Row],[PenLect]]&lt;&gt;0),(AM32-AL32)*Tabla7[[#This Row],[RT]],"N/A")</f>
        <v>3505</v>
      </c>
      <c r="AO32" s="273" t="s">
        <v>910</v>
      </c>
      <c r="AP32" s="392" t="s">
        <v>1190</v>
      </c>
      <c r="AQ32" s="392" t="s">
        <v>1189</v>
      </c>
      <c r="AR32" s="407">
        <f t="shared" si="3"/>
        <v>0</v>
      </c>
      <c r="AT32" s="2">
        <f t="shared" ca="1" si="4"/>
        <v>1.3073480044759418</v>
      </c>
      <c r="AV32">
        <f>IF(ISBLANK(Tabla7[[#This Row],[31/12/2017]]),0,Tabla7[[#This Row],[31/12/2017]])</f>
        <v>348285</v>
      </c>
      <c r="AW32">
        <f>IF(ISBLANK(Tabla7[[#This Row],[15/01/2018]]),0,Tabla7[[#This Row],[15/01/2018]])</f>
        <v>350037</v>
      </c>
      <c r="AX32">
        <f>IF(ISBLANK(Tabla7[[#This Row],[15/02/2018]]),0,Tabla7[[#This Row],[15/02/2018]])</f>
        <v>353102</v>
      </c>
      <c r="AY32">
        <f>IF(ISBLANK(Tabla7[[#This Row],[15/03/2018]]),0,Tabla7[[#This Row],[15/03/2018]])</f>
        <v>357194</v>
      </c>
      <c r="AZ32">
        <f>IF(ISBLANK(Tabla7[[#This Row],[15/04/2018]]),0,Tabla7[[#This Row],[15/04/2018]])</f>
        <v>359875</v>
      </c>
      <c r="BA32">
        <f>IF(ISBLANK(Tabla7[[#This Row],[15/05/2018]]),0,Tabla7[[#This Row],[15/05/2018]])</f>
        <v>363380</v>
      </c>
      <c r="BB32">
        <f>IF(ISBLANK(Tabla7[[#This Row],[15/06/2018]]),0,Tabla7[[#This Row],[15/06/2018]])</f>
        <v>368733</v>
      </c>
      <c r="BC32">
        <f>IF(ISBLANK(Tabla7[[#This Row],[15/07/2018]]),0,Tabla7[[#This Row],[15/07/2018]])</f>
        <v>370603</v>
      </c>
      <c r="BD32">
        <f>IF(ISBLANK(Tabla7[[#This Row],[15/08/2018]]),0,Tabla7[[#This Row],[15/08/2018]])</f>
        <v>375329</v>
      </c>
      <c r="BE32">
        <f>IF(ISBLANK(Tabla7[[#This Row],[15/09/2018]]),0,Tabla7[[#This Row],[15/09/2018]])</f>
        <v>378076</v>
      </c>
      <c r="BF32">
        <f>IF(ISBLANK(Tabla7[[#This Row],[15/10/2018]]),0,Tabla7[[#This Row],[15/10/2018]])</f>
        <v>379519</v>
      </c>
      <c r="BG32">
        <f>IF(ISBLANK(Tabla7[[#This Row],[15/11/2018]]),0,Tabla7[[#This Row],[15/11/2018]])</f>
        <v>381746</v>
      </c>
      <c r="BH32">
        <f>IF(ISBLANK(Tabla7[[#This Row],[15/12/2018]]),0,Tabla7[[#This Row],[15/12/2018]])</f>
        <v>384275</v>
      </c>
      <c r="BI32">
        <f>IF(ISBLANK(Tabla7[[#This Row],[28/12/2018]]),0,Tabla7[[#This Row],[28/12/2018]])</f>
        <v>0</v>
      </c>
      <c r="BN3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('C01.09','GTOT','GCT01','0','APV','CT 1 SUR','Acometida varadero / zona Sur','');</v>
      </c>
      <c r="BO32" t="s">
        <v>243</v>
      </c>
      <c r="BP32" s="632" t="str">
        <f>CONCATENATE("insert into lecturas values ","('",Tabla7[[#This Row],[CONTADOR]],"',STR_TO_DATE('",Tabla7[[#Headers],[31/12/2017]],"','%d/%m/%Y'),",AV32,"),","('",Tabla7[[#This Row],[CONTADOR]],"',STR_TO_DATE('",Tabla7[[#Headers],[15/01/2018]],"','%d/%m/%Y'),",AW32,"),","('",Tabla7[[#This Row],[CONTADOR]],"',STR_TO_DATE('",Tabla7[[#Headers],[15/02/2018]],"','%d/%m/%Y'),",AX32,"),","('",Tabla7[[#This Row],[CONTADOR]],"',STR_TO_DATE('",Tabla7[[#Headers],[15/03/2018]],"','%d/%m/%Y'),",AY32,"),","('",Tabla7[[#This Row],[CONTADOR]],"',STR_TO_DATE('",Tabla7[[#Headers],[15/04/2018]],"','%d/%m/%Y'),",AZ32,"),","('",Tabla7[[#This Row],[CONTADOR]],"',STR_TO_DATE('",Tabla7[[#Headers],[15/05/2018]],"','%d/%m/%Y'),",BA32,"),","('",Tabla7[[#This Row],[CONTADOR]],"',STR_TO_DATE('",Tabla7[[#Headers],[15/06/2018]],"','%d/%m/%Y'),",BB32,"),","('",Tabla7[[#This Row],[CONTADOR]],"',STR_TO_DATE('",Tabla7[[#Headers],[15/07/2018]],"','%d/%m/%Y'),",BC32,"),","('",Tabla7[[#This Row],[CONTADOR]],"',STR_TO_DATE('",Tabla7[[#Headers],[15/08/2018]],"','%d/%m/%Y'),",BD32,"),","('",Tabla7[[#This Row],[CONTADOR]],"',STR_TO_DATE('",Tabla7[[#Headers],[15/09/2018]],"','%d/%m/%Y'),",BE32,"),","('",Tabla7[[#This Row],[CONTADOR]],"',STR_TO_DATE('",Tabla7[[#Headers],[15/10/2018]],"','%d/%m/%Y'),",BF32,"),","('",Tabla7[[#This Row],[CONTADOR]],"',STR_TO_DATE('",Tabla7[[#Headers],[15/11/2018]],"','%d/%m/%Y'),",BG32,"),","('",Tabla7[[#This Row],[CONTADOR]],"',STR_TO_DATE('",Tabla7[[#Headers],[15/12/2018]],"','%d/%m/%Y'),",BH32,");")</f>
        <v>insert into lecturas values ('C01.09',STR_TO_DATE('31/12/2017','%d/%m/%Y'),348285),('C01.09',STR_TO_DATE('15/01/2018','%d/%m/%Y'),350037),('C01.09',STR_TO_DATE('15/02/2018','%d/%m/%Y'),353102),('C01.09',STR_TO_DATE('15/03/2018','%d/%m/%Y'),357194),('C01.09',STR_TO_DATE('15/04/2018','%d/%m/%Y'),359875),('C01.09',STR_TO_DATE('15/05/2018','%d/%m/%Y'),363380),('C01.09',STR_TO_DATE('15/06/2018','%d/%m/%Y'),368733),('C01.09',STR_TO_DATE('15/07/2018','%d/%m/%Y'),370603),('C01.09',STR_TO_DATE('15/08/2018','%d/%m/%Y'),375329),('C01.09',STR_TO_DATE('15/09/2018','%d/%m/%Y'),378076),('C01.09',STR_TO_DATE('15/10/2018','%d/%m/%Y'),379519),('C01.09',STR_TO_DATE('15/11/2018','%d/%m/%Y'),381746),('C01.09',STR_TO_DATE('15/12/2018','%d/%m/%Y'),384275);</v>
      </c>
    </row>
    <row r="33" spans="1:68" ht="18.75" customHeight="1" x14ac:dyDescent="0.25">
      <c r="A33" s="241" t="s">
        <v>743</v>
      </c>
      <c r="B33" s="60"/>
      <c r="C33" s="223" t="s">
        <v>402</v>
      </c>
      <c r="D33" s="60" t="s">
        <v>617</v>
      </c>
      <c r="E33" s="258">
        <v>0</v>
      </c>
      <c r="F33" s="274" t="s">
        <v>21</v>
      </c>
      <c r="G33" s="2" t="s">
        <v>621</v>
      </c>
      <c r="H33" s="274" t="s">
        <v>622</v>
      </c>
      <c r="I33" s="2"/>
      <c r="J33" s="2">
        <v>548746</v>
      </c>
      <c r="K33" s="274">
        <v>551733</v>
      </c>
      <c r="L33" s="311">
        <v>556436</v>
      </c>
      <c r="M33" s="311">
        <v>562646</v>
      </c>
      <c r="N33" s="311">
        <v>566619</v>
      </c>
      <c r="O33" s="311">
        <v>570014</v>
      </c>
      <c r="P33" s="454">
        <v>575329</v>
      </c>
      <c r="Q33" s="492">
        <v>579690</v>
      </c>
      <c r="R33" s="311">
        <v>585313</v>
      </c>
      <c r="S33" s="531">
        <v>590254</v>
      </c>
      <c r="T33" s="531">
        <v>595006</v>
      </c>
      <c r="U33" s="311">
        <v>601205</v>
      </c>
      <c r="V33" s="492">
        <v>607545</v>
      </c>
      <c r="W33" s="2"/>
      <c r="X33" s="2"/>
      <c r="Y33" s="2">
        <f t="shared" si="5"/>
        <v>2987</v>
      </c>
      <c r="Z33" s="2">
        <f t="shared" si="6"/>
        <v>4703</v>
      </c>
      <c r="AA33" s="2">
        <f t="shared" si="15"/>
        <v>6210</v>
      </c>
      <c r="AB33" s="2">
        <f t="shared" si="16"/>
        <v>3973</v>
      </c>
      <c r="AC33" s="2">
        <f t="shared" si="7"/>
        <v>3395</v>
      </c>
      <c r="AD33" s="2">
        <f t="shared" si="8"/>
        <v>5315</v>
      </c>
      <c r="AE33" s="2">
        <f t="shared" si="9"/>
        <v>4361</v>
      </c>
      <c r="AF33" s="2">
        <f t="shared" si="10"/>
        <v>5623</v>
      </c>
      <c r="AG33" s="2">
        <f t="shared" si="11"/>
        <v>4941</v>
      </c>
      <c r="AH33" s="2">
        <f t="shared" si="12"/>
        <v>4752</v>
      </c>
      <c r="AI33" s="2">
        <f t="shared" si="13"/>
        <v>6199</v>
      </c>
      <c r="AJ33" s="2">
        <f t="shared" si="14"/>
        <v>6340</v>
      </c>
      <c r="AK33" s="406">
        <v>1</v>
      </c>
      <c r="AL33" s="274">
        <f t="shared" ca="1" si="1"/>
        <v>566619</v>
      </c>
      <c r="AM33" s="311">
        <f t="shared" ca="1" si="2"/>
        <v>570014</v>
      </c>
      <c r="AN33" s="274">
        <f ca="1">IF(AND(Tabla7[[#This Row],[UltLec]]&lt;&gt;0,Tabla7[[#This Row],[PenLect]]&lt;&gt;0),(AM33-AL33)*Tabla7[[#This Row],[RT]],"N/A")</f>
        <v>3395</v>
      </c>
      <c r="AO33" s="273" t="s">
        <v>910</v>
      </c>
      <c r="AP33" s="392" t="s">
        <v>1190</v>
      </c>
      <c r="AQ33" s="392" t="s">
        <v>1189</v>
      </c>
      <c r="AR33" s="407">
        <f t="shared" si="3"/>
        <v>0</v>
      </c>
      <c r="AT33" s="2">
        <f t="shared" ca="1" si="4"/>
        <v>0.8545179964762144</v>
      </c>
      <c r="AV33">
        <f>IF(ISBLANK(Tabla7[[#This Row],[31/12/2017]]),0,Tabla7[[#This Row],[31/12/2017]])</f>
        <v>548746</v>
      </c>
      <c r="AW33">
        <f>IF(ISBLANK(Tabla7[[#This Row],[15/01/2018]]),0,Tabla7[[#This Row],[15/01/2018]])</f>
        <v>551733</v>
      </c>
      <c r="AX33">
        <f>IF(ISBLANK(Tabla7[[#This Row],[15/02/2018]]),0,Tabla7[[#This Row],[15/02/2018]])</f>
        <v>556436</v>
      </c>
      <c r="AY33">
        <f>IF(ISBLANK(Tabla7[[#This Row],[15/03/2018]]),0,Tabla7[[#This Row],[15/03/2018]])</f>
        <v>562646</v>
      </c>
      <c r="AZ33">
        <f>IF(ISBLANK(Tabla7[[#This Row],[15/04/2018]]),0,Tabla7[[#This Row],[15/04/2018]])</f>
        <v>566619</v>
      </c>
      <c r="BA33">
        <f>IF(ISBLANK(Tabla7[[#This Row],[15/05/2018]]),0,Tabla7[[#This Row],[15/05/2018]])</f>
        <v>570014</v>
      </c>
      <c r="BB33">
        <f>IF(ISBLANK(Tabla7[[#This Row],[15/06/2018]]),0,Tabla7[[#This Row],[15/06/2018]])</f>
        <v>575329</v>
      </c>
      <c r="BC33">
        <f>IF(ISBLANK(Tabla7[[#This Row],[15/07/2018]]),0,Tabla7[[#This Row],[15/07/2018]])</f>
        <v>579690</v>
      </c>
      <c r="BD33">
        <f>IF(ISBLANK(Tabla7[[#This Row],[15/08/2018]]),0,Tabla7[[#This Row],[15/08/2018]])</f>
        <v>585313</v>
      </c>
      <c r="BE33">
        <f>IF(ISBLANK(Tabla7[[#This Row],[15/09/2018]]),0,Tabla7[[#This Row],[15/09/2018]])</f>
        <v>590254</v>
      </c>
      <c r="BF33">
        <f>IF(ISBLANK(Tabla7[[#This Row],[15/10/2018]]),0,Tabla7[[#This Row],[15/10/2018]])</f>
        <v>595006</v>
      </c>
      <c r="BG33">
        <f>IF(ISBLANK(Tabla7[[#This Row],[15/11/2018]]),0,Tabla7[[#This Row],[15/11/2018]])</f>
        <v>601205</v>
      </c>
      <c r="BH33">
        <f>IF(ISBLANK(Tabla7[[#This Row],[15/12/2018]]),0,Tabla7[[#This Row],[15/12/2018]])</f>
        <v>607545</v>
      </c>
      <c r="BI33">
        <f>IF(ISBLANK(Tabla7[[#This Row],[28/12/2018]]),0,Tabla7[[#This Row],[28/12/2018]])</f>
        <v>0</v>
      </c>
      <c r="BN3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('C01.10','GTOT','GCT01','0','APV','CT 1 SUR','Alumbrado Tinglados Fruteros (INT.y EXT.)','');</v>
      </c>
      <c r="BO33" t="s">
        <v>243</v>
      </c>
      <c r="BP33" s="632" t="str">
        <f>CONCATENATE("insert into lecturas values ","('",Tabla7[[#This Row],[CONTADOR]],"',STR_TO_DATE('",Tabla7[[#Headers],[31/12/2017]],"','%d/%m/%Y'),",AV33,"),","('",Tabla7[[#This Row],[CONTADOR]],"',STR_TO_DATE('",Tabla7[[#Headers],[15/01/2018]],"','%d/%m/%Y'),",AW33,"),","('",Tabla7[[#This Row],[CONTADOR]],"',STR_TO_DATE('",Tabla7[[#Headers],[15/02/2018]],"','%d/%m/%Y'),",AX33,"),","('",Tabla7[[#This Row],[CONTADOR]],"',STR_TO_DATE('",Tabla7[[#Headers],[15/03/2018]],"','%d/%m/%Y'),",AY33,"),","('",Tabla7[[#This Row],[CONTADOR]],"',STR_TO_DATE('",Tabla7[[#Headers],[15/04/2018]],"','%d/%m/%Y'),",AZ33,"),","('",Tabla7[[#This Row],[CONTADOR]],"',STR_TO_DATE('",Tabla7[[#Headers],[15/05/2018]],"','%d/%m/%Y'),",BA33,"),","('",Tabla7[[#This Row],[CONTADOR]],"',STR_TO_DATE('",Tabla7[[#Headers],[15/06/2018]],"','%d/%m/%Y'),",BB33,"),","('",Tabla7[[#This Row],[CONTADOR]],"',STR_TO_DATE('",Tabla7[[#Headers],[15/07/2018]],"','%d/%m/%Y'),",BC33,"),","('",Tabla7[[#This Row],[CONTADOR]],"',STR_TO_DATE('",Tabla7[[#Headers],[15/08/2018]],"','%d/%m/%Y'),",BD33,"),","('",Tabla7[[#This Row],[CONTADOR]],"',STR_TO_DATE('",Tabla7[[#Headers],[15/09/2018]],"','%d/%m/%Y'),",BE33,"),","('",Tabla7[[#This Row],[CONTADOR]],"',STR_TO_DATE('",Tabla7[[#Headers],[15/10/2018]],"','%d/%m/%Y'),",BF33,"),","('",Tabla7[[#This Row],[CONTADOR]],"',STR_TO_DATE('",Tabla7[[#Headers],[15/11/2018]],"','%d/%m/%Y'),",BG33,"),","('",Tabla7[[#This Row],[CONTADOR]],"',STR_TO_DATE('",Tabla7[[#Headers],[15/12/2018]],"','%d/%m/%Y'),",BH33,");")</f>
        <v>insert into lecturas values ('C01.10',STR_TO_DATE('31/12/2017','%d/%m/%Y'),548746),('C01.10',STR_TO_DATE('15/01/2018','%d/%m/%Y'),551733),('C01.10',STR_TO_DATE('15/02/2018','%d/%m/%Y'),556436),('C01.10',STR_TO_DATE('15/03/2018','%d/%m/%Y'),562646),('C01.10',STR_TO_DATE('15/04/2018','%d/%m/%Y'),566619),('C01.10',STR_TO_DATE('15/05/2018','%d/%m/%Y'),570014),('C01.10',STR_TO_DATE('15/06/2018','%d/%m/%Y'),575329),('C01.10',STR_TO_DATE('15/07/2018','%d/%m/%Y'),579690),('C01.10',STR_TO_DATE('15/08/2018','%d/%m/%Y'),585313),('C01.10',STR_TO_DATE('15/09/2018','%d/%m/%Y'),590254),('C01.10',STR_TO_DATE('15/10/2018','%d/%m/%Y'),595006),('C01.10',STR_TO_DATE('15/11/2018','%d/%m/%Y'),601205),('C01.10',STR_TO_DATE('15/12/2018','%d/%m/%Y'),607545);</v>
      </c>
    </row>
    <row r="34" spans="1:68" ht="18.75" customHeight="1" x14ac:dyDescent="0.25">
      <c r="A34" s="241" t="s">
        <v>614</v>
      </c>
      <c r="B34" s="60"/>
      <c r="C34" s="223" t="s">
        <v>414</v>
      </c>
      <c r="D34" s="60" t="s">
        <v>617</v>
      </c>
      <c r="E34" s="258">
        <v>3</v>
      </c>
      <c r="F34" s="274" t="s">
        <v>21</v>
      </c>
      <c r="G34" s="274" t="s">
        <v>621</v>
      </c>
      <c r="H34" s="274" t="s">
        <v>643</v>
      </c>
      <c r="I34" s="2"/>
      <c r="J34" s="274">
        <v>22966</v>
      </c>
      <c r="K34" s="274">
        <v>23494</v>
      </c>
      <c r="L34" s="311">
        <v>24174</v>
      </c>
      <c r="M34" s="311">
        <v>24947</v>
      </c>
      <c r="N34" s="311">
        <v>25454</v>
      </c>
      <c r="O34" s="311">
        <v>25944</v>
      </c>
      <c r="P34" s="454">
        <v>26515</v>
      </c>
      <c r="Q34" s="492">
        <v>26870</v>
      </c>
      <c r="R34" s="311">
        <v>27398</v>
      </c>
      <c r="S34" s="531">
        <v>27976</v>
      </c>
      <c r="T34" s="531">
        <v>28531</v>
      </c>
      <c r="U34" s="311">
        <v>29355</v>
      </c>
      <c r="V34" s="492">
        <v>30330</v>
      </c>
      <c r="W34" s="274"/>
      <c r="X34" s="2"/>
      <c r="Y34" s="2">
        <f t="shared" si="5"/>
        <v>528</v>
      </c>
      <c r="Z34" s="2">
        <f t="shared" si="6"/>
        <v>680</v>
      </c>
      <c r="AA34" s="2">
        <f t="shared" si="15"/>
        <v>773</v>
      </c>
      <c r="AB34" s="2">
        <f t="shared" si="16"/>
        <v>507</v>
      </c>
      <c r="AC34" s="2">
        <f t="shared" si="7"/>
        <v>490</v>
      </c>
      <c r="AD34" s="2">
        <f t="shared" si="8"/>
        <v>571</v>
      </c>
      <c r="AE34" s="2">
        <f t="shared" si="9"/>
        <v>355</v>
      </c>
      <c r="AF34" s="2">
        <f t="shared" si="10"/>
        <v>528</v>
      </c>
      <c r="AG34" s="2">
        <f t="shared" si="11"/>
        <v>578</v>
      </c>
      <c r="AH34" s="2">
        <f t="shared" si="12"/>
        <v>555</v>
      </c>
      <c r="AI34" s="2">
        <f t="shared" si="13"/>
        <v>824</v>
      </c>
      <c r="AJ34" s="2">
        <f t="shared" si="14"/>
        <v>975</v>
      </c>
      <c r="AK34" s="406">
        <v>1</v>
      </c>
      <c r="AL34" s="274">
        <f t="shared" ca="1" si="1"/>
        <v>25454</v>
      </c>
      <c r="AM34" s="311">
        <f t="shared" ca="1" si="2"/>
        <v>25944</v>
      </c>
      <c r="AN34" s="274">
        <f ca="1">IF(AND(Tabla7[[#This Row],[UltLec]]&lt;&gt;0,Tabla7[[#This Row],[PenLect]]&lt;&gt;0),(AM34-AL34)*Tabla7[[#This Row],[RT]],"N/A")</f>
        <v>490</v>
      </c>
      <c r="AO34" s="273" t="s">
        <v>910</v>
      </c>
      <c r="AP34" s="392" t="s">
        <v>1190</v>
      </c>
      <c r="AQ34" s="392" t="s">
        <v>1189</v>
      </c>
      <c r="AR34" s="407">
        <f t="shared" si="3"/>
        <v>0</v>
      </c>
      <c r="AT34" s="2">
        <f t="shared" ca="1" si="4"/>
        <v>0.9664694280078896</v>
      </c>
      <c r="AV34">
        <f>IF(ISBLANK(Tabla7[[#This Row],[31/12/2017]]),0,Tabla7[[#This Row],[31/12/2017]])</f>
        <v>22966</v>
      </c>
      <c r="AW34">
        <f>IF(ISBLANK(Tabla7[[#This Row],[15/01/2018]]),0,Tabla7[[#This Row],[15/01/2018]])</f>
        <v>23494</v>
      </c>
      <c r="AX34">
        <f>IF(ISBLANK(Tabla7[[#This Row],[15/02/2018]]),0,Tabla7[[#This Row],[15/02/2018]])</f>
        <v>24174</v>
      </c>
      <c r="AY34">
        <f>IF(ISBLANK(Tabla7[[#This Row],[15/03/2018]]),0,Tabla7[[#This Row],[15/03/2018]])</f>
        <v>24947</v>
      </c>
      <c r="AZ34">
        <f>IF(ISBLANK(Tabla7[[#This Row],[15/04/2018]]),0,Tabla7[[#This Row],[15/04/2018]])</f>
        <v>25454</v>
      </c>
      <c r="BA34">
        <f>IF(ISBLANK(Tabla7[[#This Row],[15/05/2018]]),0,Tabla7[[#This Row],[15/05/2018]])</f>
        <v>25944</v>
      </c>
      <c r="BB34">
        <f>IF(ISBLANK(Tabla7[[#This Row],[15/06/2018]]),0,Tabla7[[#This Row],[15/06/2018]])</f>
        <v>26515</v>
      </c>
      <c r="BC34">
        <f>IF(ISBLANK(Tabla7[[#This Row],[15/07/2018]]),0,Tabla7[[#This Row],[15/07/2018]])</f>
        <v>26870</v>
      </c>
      <c r="BD34">
        <f>IF(ISBLANK(Tabla7[[#This Row],[15/08/2018]]),0,Tabla7[[#This Row],[15/08/2018]])</f>
        <v>27398</v>
      </c>
      <c r="BE34">
        <f>IF(ISBLANK(Tabla7[[#This Row],[15/09/2018]]),0,Tabla7[[#This Row],[15/09/2018]])</f>
        <v>27976</v>
      </c>
      <c r="BF34">
        <f>IF(ISBLANK(Tabla7[[#This Row],[15/10/2018]]),0,Tabla7[[#This Row],[15/10/2018]])</f>
        <v>28531</v>
      </c>
      <c r="BG34">
        <f>IF(ISBLANK(Tabla7[[#This Row],[15/11/2018]]),0,Tabla7[[#This Row],[15/11/2018]])</f>
        <v>29355</v>
      </c>
      <c r="BH34">
        <f>IF(ISBLANK(Tabla7[[#This Row],[15/12/2018]]),0,Tabla7[[#This Row],[15/12/2018]])</f>
        <v>30330</v>
      </c>
      <c r="BI34">
        <f>IF(ISBLANK(Tabla7[[#This Row],[28/12/2018]]),0,Tabla7[[#This Row],[28/12/2018]])</f>
        <v>0</v>
      </c>
      <c r="BN3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('C01.16','G','GCT01','3','APV','CT 1 SUR','Torre GT.0101','');</v>
      </c>
      <c r="BO34" t="s">
        <v>243</v>
      </c>
      <c r="BP34" s="632" t="str">
        <f>CONCATENATE("insert into lecturas values ","('",Tabla7[[#This Row],[CONTADOR]],"',STR_TO_DATE('",Tabla7[[#Headers],[31/12/2017]],"','%d/%m/%Y'),",AV34,"),","('",Tabla7[[#This Row],[CONTADOR]],"',STR_TO_DATE('",Tabla7[[#Headers],[15/01/2018]],"','%d/%m/%Y'),",AW34,"),","('",Tabla7[[#This Row],[CONTADOR]],"',STR_TO_DATE('",Tabla7[[#Headers],[15/02/2018]],"','%d/%m/%Y'),",AX34,"),","('",Tabla7[[#This Row],[CONTADOR]],"',STR_TO_DATE('",Tabla7[[#Headers],[15/03/2018]],"','%d/%m/%Y'),",AY34,"),","('",Tabla7[[#This Row],[CONTADOR]],"',STR_TO_DATE('",Tabla7[[#Headers],[15/04/2018]],"','%d/%m/%Y'),",AZ34,"),","('",Tabla7[[#This Row],[CONTADOR]],"',STR_TO_DATE('",Tabla7[[#Headers],[15/05/2018]],"','%d/%m/%Y'),",BA34,"),","('",Tabla7[[#This Row],[CONTADOR]],"',STR_TO_DATE('",Tabla7[[#Headers],[15/06/2018]],"','%d/%m/%Y'),",BB34,"),","('",Tabla7[[#This Row],[CONTADOR]],"',STR_TO_DATE('",Tabla7[[#Headers],[15/07/2018]],"','%d/%m/%Y'),",BC34,"),","('",Tabla7[[#This Row],[CONTADOR]],"',STR_TO_DATE('",Tabla7[[#Headers],[15/08/2018]],"','%d/%m/%Y'),",BD34,"),","('",Tabla7[[#This Row],[CONTADOR]],"',STR_TO_DATE('",Tabla7[[#Headers],[15/09/2018]],"','%d/%m/%Y'),",BE34,"),","('",Tabla7[[#This Row],[CONTADOR]],"',STR_TO_DATE('",Tabla7[[#Headers],[15/10/2018]],"','%d/%m/%Y'),",BF34,"),","('",Tabla7[[#This Row],[CONTADOR]],"',STR_TO_DATE('",Tabla7[[#Headers],[15/11/2018]],"','%d/%m/%Y'),",BG34,"),","('",Tabla7[[#This Row],[CONTADOR]],"',STR_TO_DATE('",Tabla7[[#Headers],[15/12/2018]],"','%d/%m/%Y'),",BH34,");")</f>
        <v>insert into lecturas values ('C01.16',STR_TO_DATE('31/12/2017','%d/%m/%Y'),22966),('C01.16',STR_TO_DATE('15/01/2018','%d/%m/%Y'),23494),('C01.16',STR_TO_DATE('15/02/2018','%d/%m/%Y'),24174),('C01.16',STR_TO_DATE('15/03/2018','%d/%m/%Y'),24947),('C01.16',STR_TO_DATE('15/04/2018','%d/%m/%Y'),25454),('C01.16',STR_TO_DATE('15/05/2018','%d/%m/%Y'),25944),('C01.16',STR_TO_DATE('15/06/2018','%d/%m/%Y'),26515),('C01.16',STR_TO_DATE('15/07/2018','%d/%m/%Y'),26870),('C01.16',STR_TO_DATE('15/08/2018','%d/%m/%Y'),27398),('C01.16',STR_TO_DATE('15/09/2018','%d/%m/%Y'),27976),('C01.16',STR_TO_DATE('15/10/2018','%d/%m/%Y'),28531),('C01.16',STR_TO_DATE('15/11/2018','%d/%m/%Y'),29355),('C01.16',STR_TO_DATE('15/12/2018','%d/%m/%Y'),30330);</v>
      </c>
    </row>
    <row r="35" spans="1:68" ht="18.75" customHeight="1" x14ac:dyDescent="0.25">
      <c r="A35" s="241" t="s">
        <v>614</v>
      </c>
      <c r="B35" s="60"/>
      <c r="C35" s="223" t="s">
        <v>415</v>
      </c>
      <c r="D35" s="60" t="s">
        <v>617</v>
      </c>
      <c r="E35" s="258">
        <v>3</v>
      </c>
      <c r="F35" s="274" t="s">
        <v>21</v>
      </c>
      <c r="G35" s="2" t="s">
        <v>621</v>
      </c>
      <c r="H35" s="274" t="s">
        <v>646</v>
      </c>
      <c r="I35" s="2"/>
      <c r="J35" s="2">
        <v>30</v>
      </c>
      <c r="K35" s="274">
        <v>30</v>
      </c>
      <c r="L35" s="311">
        <v>30</v>
      </c>
      <c r="M35" s="311">
        <v>30</v>
      </c>
      <c r="N35" s="311">
        <v>30</v>
      </c>
      <c r="O35" s="311">
        <v>30</v>
      </c>
      <c r="P35" s="454">
        <v>30</v>
      </c>
      <c r="Q35" s="492">
        <v>30</v>
      </c>
      <c r="R35" s="311">
        <v>30</v>
      </c>
      <c r="S35" s="492">
        <v>30</v>
      </c>
      <c r="T35" s="492">
        <v>30</v>
      </c>
      <c r="U35" s="492">
        <v>30</v>
      </c>
      <c r="V35" s="492">
        <v>30</v>
      </c>
      <c r="W35" s="2"/>
      <c r="X35" s="2"/>
      <c r="Y35" s="2">
        <f t="shared" si="5"/>
        <v>0</v>
      </c>
      <c r="Z35" s="2">
        <f t="shared" si="6"/>
        <v>0</v>
      </c>
      <c r="AA35" s="2">
        <f t="shared" si="15"/>
        <v>0</v>
      </c>
      <c r="AB35" s="2">
        <f t="shared" si="16"/>
        <v>0</v>
      </c>
      <c r="AC35" s="2">
        <f t="shared" si="7"/>
        <v>0</v>
      </c>
      <c r="AD35" s="2">
        <f t="shared" si="8"/>
        <v>0</v>
      </c>
      <c r="AE35" s="2">
        <f t="shared" si="9"/>
        <v>0</v>
      </c>
      <c r="AF35" s="2">
        <f t="shared" si="10"/>
        <v>0</v>
      </c>
      <c r="AG35" s="2">
        <f t="shared" si="11"/>
        <v>0</v>
      </c>
      <c r="AH35" s="2">
        <f t="shared" si="12"/>
        <v>0</v>
      </c>
      <c r="AI35" s="2">
        <f t="shared" si="13"/>
        <v>0</v>
      </c>
      <c r="AJ35" s="2">
        <f t="shared" si="14"/>
        <v>0</v>
      </c>
      <c r="AK35" s="406">
        <v>1</v>
      </c>
      <c r="AL35" s="274">
        <f t="shared" ca="1" si="1"/>
        <v>30</v>
      </c>
      <c r="AM35" s="311">
        <f t="shared" ca="1" si="2"/>
        <v>30</v>
      </c>
      <c r="AN35" s="274">
        <f ca="1">IF(AND(Tabla7[[#This Row],[UltLec]]&lt;&gt;0,Tabla7[[#This Row],[PenLect]]&lt;&gt;0),(AM35-AL35)*Tabla7[[#This Row],[RT]],"N/A")</f>
        <v>0</v>
      </c>
      <c r="AO35" s="273" t="s">
        <v>910</v>
      </c>
      <c r="AP35" s="392" t="s">
        <v>1190</v>
      </c>
      <c r="AQ35" s="392" t="s">
        <v>1189</v>
      </c>
      <c r="AR35" s="407">
        <f t="shared" si="3"/>
        <v>0</v>
      </c>
      <c r="AT35" s="2" t="str">
        <f t="shared" ca="1" si="4"/>
        <v>0</v>
      </c>
      <c r="AV35">
        <f>IF(ISBLANK(Tabla7[[#This Row],[31/12/2017]]),0,Tabla7[[#This Row],[31/12/2017]])</f>
        <v>30</v>
      </c>
      <c r="AW35">
        <f>IF(ISBLANK(Tabla7[[#This Row],[15/01/2018]]),0,Tabla7[[#This Row],[15/01/2018]])</f>
        <v>30</v>
      </c>
      <c r="AX35">
        <f>IF(ISBLANK(Tabla7[[#This Row],[15/02/2018]]),0,Tabla7[[#This Row],[15/02/2018]])</f>
        <v>30</v>
      </c>
      <c r="AY35">
        <f>IF(ISBLANK(Tabla7[[#This Row],[15/03/2018]]),0,Tabla7[[#This Row],[15/03/2018]])</f>
        <v>30</v>
      </c>
      <c r="AZ35">
        <f>IF(ISBLANK(Tabla7[[#This Row],[15/04/2018]]),0,Tabla7[[#This Row],[15/04/2018]])</f>
        <v>30</v>
      </c>
      <c r="BA35">
        <f>IF(ISBLANK(Tabla7[[#This Row],[15/05/2018]]),0,Tabla7[[#This Row],[15/05/2018]])</f>
        <v>30</v>
      </c>
      <c r="BB35">
        <f>IF(ISBLANK(Tabla7[[#This Row],[15/06/2018]]),0,Tabla7[[#This Row],[15/06/2018]])</f>
        <v>30</v>
      </c>
      <c r="BC35">
        <f>IF(ISBLANK(Tabla7[[#This Row],[15/07/2018]]),0,Tabla7[[#This Row],[15/07/2018]])</f>
        <v>30</v>
      </c>
      <c r="BD35">
        <f>IF(ISBLANK(Tabla7[[#This Row],[15/08/2018]]),0,Tabla7[[#This Row],[15/08/2018]])</f>
        <v>30</v>
      </c>
      <c r="BE35">
        <f>IF(ISBLANK(Tabla7[[#This Row],[15/09/2018]]),0,Tabla7[[#This Row],[15/09/2018]])</f>
        <v>30</v>
      </c>
      <c r="BF35">
        <f>IF(ISBLANK(Tabla7[[#This Row],[15/10/2018]]),0,Tabla7[[#This Row],[15/10/2018]])</f>
        <v>30</v>
      </c>
      <c r="BG35">
        <f>IF(ISBLANK(Tabla7[[#This Row],[15/11/2018]]),0,Tabla7[[#This Row],[15/11/2018]])</f>
        <v>30</v>
      </c>
      <c r="BH35">
        <f>IF(ISBLANK(Tabla7[[#This Row],[15/12/2018]]),0,Tabla7[[#This Row],[15/12/2018]])</f>
        <v>30</v>
      </c>
      <c r="BI35">
        <f>IF(ISBLANK(Tabla7[[#This Row],[28/12/2018]]),0,Tabla7[[#This Row],[28/12/2018]])</f>
        <v>0</v>
      </c>
      <c r="BN3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('C01.17','G','GCT01','3','APV','CT 1 SUR','RESERVA 2','');</v>
      </c>
      <c r="BO35" t="s">
        <v>243</v>
      </c>
      <c r="BP35" s="632" t="str">
        <f>CONCATENATE("insert into lecturas values ","('",Tabla7[[#This Row],[CONTADOR]],"',STR_TO_DATE('",Tabla7[[#Headers],[31/12/2017]],"','%d/%m/%Y'),",AV35,"),","('",Tabla7[[#This Row],[CONTADOR]],"',STR_TO_DATE('",Tabla7[[#Headers],[15/01/2018]],"','%d/%m/%Y'),",AW35,"),","('",Tabla7[[#This Row],[CONTADOR]],"',STR_TO_DATE('",Tabla7[[#Headers],[15/02/2018]],"','%d/%m/%Y'),",AX35,"),","('",Tabla7[[#This Row],[CONTADOR]],"',STR_TO_DATE('",Tabla7[[#Headers],[15/03/2018]],"','%d/%m/%Y'),",AY35,"),","('",Tabla7[[#This Row],[CONTADOR]],"',STR_TO_DATE('",Tabla7[[#Headers],[15/04/2018]],"','%d/%m/%Y'),",AZ35,"),","('",Tabla7[[#This Row],[CONTADOR]],"',STR_TO_DATE('",Tabla7[[#Headers],[15/05/2018]],"','%d/%m/%Y'),",BA35,"),","('",Tabla7[[#This Row],[CONTADOR]],"',STR_TO_DATE('",Tabla7[[#Headers],[15/06/2018]],"','%d/%m/%Y'),",BB35,"),","('",Tabla7[[#This Row],[CONTADOR]],"',STR_TO_DATE('",Tabla7[[#Headers],[15/07/2018]],"','%d/%m/%Y'),",BC35,"),","('",Tabla7[[#This Row],[CONTADOR]],"',STR_TO_DATE('",Tabla7[[#Headers],[15/08/2018]],"','%d/%m/%Y'),",BD35,"),","('",Tabla7[[#This Row],[CONTADOR]],"',STR_TO_DATE('",Tabla7[[#Headers],[15/09/2018]],"','%d/%m/%Y'),",BE35,"),","('",Tabla7[[#This Row],[CONTADOR]],"',STR_TO_DATE('",Tabla7[[#Headers],[15/10/2018]],"','%d/%m/%Y'),",BF35,"),","('",Tabla7[[#This Row],[CONTADOR]],"',STR_TO_DATE('",Tabla7[[#Headers],[15/11/2018]],"','%d/%m/%Y'),",BG35,"),","('",Tabla7[[#This Row],[CONTADOR]],"',STR_TO_DATE('",Tabla7[[#Headers],[15/12/2018]],"','%d/%m/%Y'),",BH35,");")</f>
        <v>insert into lecturas values ('C01.17',STR_TO_DATE('31/12/2017','%d/%m/%Y'),30),('C01.17',STR_TO_DATE('15/01/2018','%d/%m/%Y'),30),('C01.17',STR_TO_DATE('15/02/2018','%d/%m/%Y'),30),('C01.17',STR_TO_DATE('15/03/2018','%d/%m/%Y'),30),('C01.17',STR_TO_DATE('15/04/2018','%d/%m/%Y'),30),('C01.17',STR_TO_DATE('15/05/2018','%d/%m/%Y'),30),('C01.17',STR_TO_DATE('15/06/2018','%d/%m/%Y'),30),('C01.17',STR_TO_DATE('15/07/2018','%d/%m/%Y'),30),('C01.17',STR_TO_DATE('15/08/2018','%d/%m/%Y'),30),('C01.17',STR_TO_DATE('15/09/2018','%d/%m/%Y'),30),('C01.17',STR_TO_DATE('15/10/2018','%d/%m/%Y'),30),('C01.17',STR_TO_DATE('15/11/2018','%d/%m/%Y'),30),('C01.17',STR_TO_DATE('15/12/2018','%d/%m/%Y'),30);</v>
      </c>
    </row>
    <row r="36" spans="1:68" ht="18" customHeight="1" x14ac:dyDescent="0.25">
      <c r="A36" s="241" t="s">
        <v>614</v>
      </c>
      <c r="B36" s="60"/>
      <c r="C36" s="223" t="s">
        <v>403</v>
      </c>
      <c r="D36" s="60" t="s">
        <v>617</v>
      </c>
      <c r="E36" s="258">
        <v>39305</v>
      </c>
      <c r="F36" s="274" t="s">
        <v>658</v>
      </c>
      <c r="G36" s="274" t="s">
        <v>621</v>
      </c>
      <c r="H36" s="2" t="s">
        <v>1394</v>
      </c>
      <c r="I36" s="2"/>
      <c r="J36" s="2">
        <v>711792</v>
      </c>
      <c r="K36" s="307">
        <v>713442</v>
      </c>
      <c r="L36" s="311">
        <v>716175</v>
      </c>
      <c r="M36" s="311">
        <v>718864</v>
      </c>
      <c r="N36" s="311">
        <v>721529</v>
      </c>
      <c r="O36" s="311">
        <v>725204</v>
      </c>
      <c r="P36" s="454">
        <v>730104</v>
      </c>
      <c r="Q36" s="492">
        <v>733390</v>
      </c>
      <c r="R36" s="311">
        <v>736933</v>
      </c>
      <c r="S36" s="531">
        <v>739134</v>
      </c>
      <c r="T36" s="531">
        <v>741682</v>
      </c>
      <c r="U36" s="492">
        <v>745758</v>
      </c>
      <c r="V36" s="492">
        <v>749942</v>
      </c>
      <c r="W36" s="2"/>
      <c r="X36" s="2"/>
      <c r="Y36" s="2">
        <f t="shared" si="5"/>
        <v>1650</v>
      </c>
      <c r="Z36" s="2">
        <f t="shared" si="6"/>
        <v>2733</v>
      </c>
      <c r="AA36" s="2">
        <f t="shared" si="15"/>
        <v>2689</v>
      </c>
      <c r="AB36" s="2">
        <f t="shared" si="16"/>
        <v>2665</v>
      </c>
      <c r="AC36" s="2">
        <f t="shared" si="7"/>
        <v>3675</v>
      </c>
      <c r="AD36" s="2">
        <f t="shared" si="8"/>
        <v>4900</v>
      </c>
      <c r="AE36" s="2">
        <f t="shared" si="9"/>
        <v>3286</v>
      </c>
      <c r="AF36" s="2">
        <f t="shared" si="10"/>
        <v>3543</v>
      </c>
      <c r="AG36" s="2">
        <f t="shared" si="11"/>
        <v>2201</v>
      </c>
      <c r="AH36" s="2">
        <f t="shared" si="12"/>
        <v>2548</v>
      </c>
      <c r="AI36" s="2">
        <f t="shared" si="13"/>
        <v>4076</v>
      </c>
      <c r="AJ36" s="2">
        <f t="shared" si="14"/>
        <v>4184</v>
      </c>
      <c r="AK36" s="406">
        <v>1</v>
      </c>
      <c r="AL36" s="274">
        <f t="shared" ca="1" si="1"/>
        <v>721529</v>
      </c>
      <c r="AM36" s="311">
        <f t="shared" ca="1" si="2"/>
        <v>725204</v>
      </c>
      <c r="AN36" s="274">
        <f ca="1">IF(AND(Tabla7[[#This Row],[UltLec]]&lt;&gt;0,Tabla7[[#This Row],[PenLect]]&lt;&gt;0),(AM36-AL36)*Tabla7[[#This Row],[RT]],"N/A")</f>
        <v>3675</v>
      </c>
      <c r="AO36" s="273" t="s">
        <v>910</v>
      </c>
      <c r="AP36" s="392" t="s">
        <v>1190</v>
      </c>
      <c r="AQ36" s="392" t="s">
        <v>1189</v>
      </c>
      <c r="AR36" s="407">
        <f t="shared" si="3"/>
        <v>0</v>
      </c>
      <c r="AT36" s="2">
        <f t="shared" ca="1" si="4"/>
        <v>1.3789868667917449</v>
      </c>
      <c r="AV36">
        <f>IF(ISBLANK(Tabla7[[#This Row],[31/12/2017]]),0,Tabla7[[#This Row],[31/12/2017]])</f>
        <v>711792</v>
      </c>
      <c r="AW36">
        <f>IF(ISBLANK(Tabla7[[#This Row],[15/01/2018]]),0,Tabla7[[#This Row],[15/01/2018]])</f>
        <v>713442</v>
      </c>
      <c r="AX36">
        <f>IF(ISBLANK(Tabla7[[#This Row],[15/02/2018]]),0,Tabla7[[#This Row],[15/02/2018]])</f>
        <v>716175</v>
      </c>
      <c r="AY36">
        <f>IF(ISBLANK(Tabla7[[#This Row],[15/03/2018]]),0,Tabla7[[#This Row],[15/03/2018]])</f>
        <v>718864</v>
      </c>
      <c r="AZ36">
        <f>IF(ISBLANK(Tabla7[[#This Row],[15/04/2018]]),0,Tabla7[[#This Row],[15/04/2018]])</f>
        <v>721529</v>
      </c>
      <c r="BA36">
        <f>IF(ISBLANK(Tabla7[[#This Row],[15/05/2018]]),0,Tabla7[[#This Row],[15/05/2018]])</f>
        <v>725204</v>
      </c>
      <c r="BB36">
        <f>IF(ISBLANK(Tabla7[[#This Row],[15/06/2018]]),0,Tabla7[[#This Row],[15/06/2018]])</f>
        <v>730104</v>
      </c>
      <c r="BC36">
        <f>IF(ISBLANK(Tabla7[[#This Row],[15/07/2018]]),0,Tabla7[[#This Row],[15/07/2018]])</f>
        <v>733390</v>
      </c>
      <c r="BD36">
        <f>IF(ISBLANK(Tabla7[[#This Row],[15/08/2018]]),0,Tabla7[[#This Row],[15/08/2018]])</f>
        <v>736933</v>
      </c>
      <c r="BE36">
        <f>IF(ISBLANK(Tabla7[[#This Row],[15/09/2018]]),0,Tabla7[[#This Row],[15/09/2018]])</f>
        <v>739134</v>
      </c>
      <c r="BF36">
        <f>IF(ISBLANK(Tabla7[[#This Row],[15/10/2018]]),0,Tabla7[[#This Row],[15/10/2018]])</f>
        <v>741682</v>
      </c>
      <c r="BG36">
        <f>IF(ISBLANK(Tabla7[[#This Row],[15/11/2018]]),0,Tabla7[[#This Row],[15/11/2018]])</f>
        <v>745758</v>
      </c>
      <c r="BH36">
        <f>IF(ISBLANK(Tabla7[[#This Row],[15/12/2018]]),0,Tabla7[[#This Row],[15/12/2018]])</f>
        <v>749942</v>
      </c>
      <c r="BI36">
        <f>IF(ISBLANK(Tabla7[[#This Row],[28/12/2018]]),0,Tabla7[[#This Row],[28/12/2018]])</f>
        <v>0</v>
      </c>
      <c r="BN3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('C01.18','G','GCT01','39305','FLASHCAT VALENCIA, S.L.','CT 1 SUR','Astillero FLASHCAT','');</v>
      </c>
      <c r="BO36" t="s">
        <v>243</v>
      </c>
      <c r="BP36" s="632" t="str">
        <f>CONCATENATE("insert into lecturas values ","('",Tabla7[[#This Row],[CONTADOR]],"',STR_TO_DATE('",Tabla7[[#Headers],[31/12/2017]],"','%d/%m/%Y'),",AV36,"),","('",Tabla7[[#This Row],[CONTADOR]],"',STR_TO_DATE('",Tabla7[[#Headers],[15/01/2018]],"','%d/%m/%Y'),",AW36,"),","('",Tabla7[[#This Row],[CONTADOR]],"',STR_TO_DATE('",Tabla7[[#Headers],[15/02/2018]],"','%d/%m/%Y'),",AX36,"),","('",Tabla7[[#This Row],[CONTADOR]],"',STR_TO_DATE('",Tabla7[[#Headers],[15/03/2018]],"','%d/%m/%Y'),",AY36,"),","('",Tabla7[[#This Row],[CONTADOR]],"',STR_TO_DATE('",Tabla7[[#Headers],[15/04/2018]],"','%d/%m/%Y'),",AZ36,"),","('",Tabla7[[#This Row],[CONTADOR]],"',STR_TO_DATE('",Tabla7[[#Headers],[15/05/2018]],"','%d/%m/%Y'),",BA36,"),","('",Tabla7[[#This Row],[CONTADOR]],"',STR_TO_DATE('",Tabla7[[#Headers],[15/06/2018]],"','%d/%m/%Y'),",BB36,"),","('",Tabla7[[#This Row],[CONTADOR]],"',STR_TO_DATE('",Tabla7[[#Headers],[15/07/2018]],"','%d/%m/%Y'),",BC36,"),","('",Tabla7[[#This Row],[CONTADOR]],"',STR_TO_DATE('",Tabla7[[#Headers],[15/08/2018]],"','%d/%m/%Y'),",BD36,"),","('",Tabla7[[#This Row],[CONTADOR]],"',STR_TO_DATE('",Tabla7[[#Headers],[15/09/2018]],"','%d/%m/%Y'),",BE36,"),","('",Tabla7[[#This Row],[CONTADOR]],"',STR_TO_DATE('",Tabla7[[#Headers],[15/10/2018]],"','%d/%m/%Y'),",BF36,"),","('",Tabla7[[#This Row],[CONTADOR]],"',STR_TO_DATE('",Tabla7[[#Headers],[15/11/2018]],"','%d/%m/%Y'),",BG36,"),","('",Tabla7[[#This Row],[CONTADOR]],"',STR_TO_DATE('",Tabla7[[#Headers],[15/12/2018]],"','%d/%m/%Y'),",BH36,");")</f>
        <v>insert into lecturas values ('C01.18',STR_TO_DATE('31/12/2017','%d/%m/%Y'),711792),('C01.18',STR_TO_DATE('15/01/2018','%d/%m/%Y'),713442),('C01.18',STR_TO_DATE('15/02/2018','%d/%m/%Y'),716175),('C01.18',STR_TO_DATE('15/03/2018','%d/%m/%Y'),718864),('C01.18',STR_TO_DATE('15/04/2018','%d/%m/%Y'),721529),('C01.18',STR_TO_DATE('15/05/2018','%d/%m/%Y'),725204),('C01.18',STR_TO_DATE('15/06/2018','%d/%m/%Y'),730104),('C01.18',STR_TO_DATE('15/07/2018','%d/%m/%Y'),733390),('C01.18',STR_TO_DATE('15/08/2018','%d/%m/%Y'),736933),('C01.18',STR_TO_DATE('15/09/2018','%d/%m/%Y'),739134),('C01.18',STR_TO_DATE('15/10/2018','%d/%m/%Y'),741682),('C01.18',STR_TO_DATE('15/11/2018','%d/%m/%Y'),745758),('C01.18',STR_TO_DATE('15/12/2018','%d/%m/%Y'),749942);</v>
      </c>
    </row>
    <row r="37" spans="1:68" ht="18" customHeight="1" x14ac:dyDescent="0.25">
      <c r="A37" s="241" t="s">
        <v>614</v>
      </c>
      <c r="B37" s="60"/>
      <c r="C37" s="223" t="s">
        <v>410</v>
      </c>
      <c r="D37" s="60" t="s">
        <v>617</v>
      </c>
      <c r="E37" s="258">
        <v>3</v>
      </c>
      <c r="F37" s="2" t="s">
        <v>21</v>
      </c>
      <c r="G37" s="2" t="s">
        <v>638</v>
      </c>
      <c r="H37" s="2" t="s">
        <v>1401</v>
      </c>
      <c r="I37" s="274"/>
      <c r="J37" s="274">
        <v>2985</v>
      </c>
      <c r="K37" s="274">
        <v>2985</v>
      </c>
      <c r="L37" s="311">
        <v>3002</v>
      </c>
      <c r="M37" s="311">
        <v>3002</v>
      </c>
      <c r="N37" s="311">
        <v>3002</v>
      </c>
      <c r="O37" s="311">
        <v>3002</v>
      </c>
      <c r="P37" s="454">
        <v>3002</v>
      </c>
      <c r="Q37" s="492">
        <v>3002</v>
      </c>
      <c r="R37" s="311">
        <v>3002</v>
      </c>
      <c r="S37" s="492">
        <v>3002</v>
      </c>
      <c r="T37" s="492">
        <v>3002</v>
      </c>
      <c r="U37" s="492">
        <v>3002</v>
      </c>
      <c r="V37" s="492">
        <v>3002</v>
      </c>
      <c r="W37" s="2"/>
      <c r="X37" s="2"/>
      <c r="Y37" s="2">
        <f t="shared" si="5"/>
        <v>0</v>
      </c>
      <c r="Z37" s="2">
        <f t="shared" si="6"/>
        <v>34</v>
      </c>
      <c r="AA37" s="2">
        <f t="shared" si="15"/>
        <v>0</v>
      </c>
      <c r="AB37" s="2">
        <f t="shared" si="16"/>
        <v>0</v>
      </c>
      <c r="AC37" s="2">
        <f t="shared" si="7"/>
        <v>0</v>
      </c>
      <c r="AD37" s="2">
        <f t="shared" si="8"/>
        <v>0</v>
      </c>
      <c r="AE37" s="2">
        <f t="shared" si="9"/>
        <v>0</v>
      </c>
      <c r="AF37" s="2">
        <f t="shared" si="10"/>
        <v>0</v>
      </c>
      <c r="AG37" s="2">
        <f t="shared" si="11"/>
        <v>0</v>
      </c>
      <c r="AH37" s="2">
        <f t="shared" si="12"/>
        <v>0</v>
      </c>
      <c r="AI37" s="2">
        <f t="shared" si="13"/>
        <v>0</v>
      </c>
      <c r="AJ37" s="2">
        <f t="shared" si="14"/>
        <v>0</v>
      </c>
      <c r="AK37" s="406">
        <v>2</v>
      </c>
      <c r="AL37" s="274">
        <f t="shared" ca="1" si="1"/>
        <v>3002</v>
      </c>
      <c r="AM37" s="311">
        <f t="shared" ca="1" si="2"/>
        <v>3002</v>
      </c>
      <c r="AN37" s="274">
        <f ca="1">IF(AND(Tabla7[[#This Row],[UltLec]]&lt;&gt;0,Tabla7[[#This Row],[PenLect]]&lt;&gt;0),(AM37-AL37)*Tabla7[[#This Row],[RT]],"N/A")</f>
        <v>0</v>
      </c>
      <c r="AO37" s="273" t="s">
        <v>910</v>
      </c>
      <c r="AP37" s="392" t="s">
        <v>1190</v>
      </c>
      <c r="AQ37" s="392" t="s">
        <v>1193</v>
      </c>
      <c r="AR37" s="407">
        <f t="shared" si="3"/>
        <v>0</v>
      </c>
      <c r="AT37" s="2" t="str">
        <f t="shared" ca="1" si="4"/>
        <v>0</v>
      </c>
      <c r="AV37">
        <f>IF(ISBLANK(Tabla7[[#This Row],[31/12/2017]]),0,Tabla7[[#This Row],[31/12/2017]])</f>
        <v>2985</v>
      </c>
      <c r="AW37">
        <f>IF(ISBLANK(Tabla7[[#This Row],[15/01/2018]]),0,Tabla7[[#This Row],[15/01/2018]])</f>
        <v>2985</v>
      </c>
      <c r="AX37">
        <f>IF(ISBLANK(Tabla7[[#This Row],[15/02/2018]]),0,Tabla7[[#This Row],[15/02/2018]])</f>
        <v>3002</v>
      </c>
      <c r="AY37">
        <f>IF(ISBLANK(Tabla7[[#This Row],[15/03/2018]]),0,Tabla7[[#This Row],[15/03/2018]])</f>
        <v>3002</v>
      </c>
      <c r="AZ37">
        <f>IF(ISBLANK(Tabla7[[#This Row],[15/04/2018]]),0,Tabla7[[#This Row],[15/04/2018]])</f>
        <v>3002</v>
      </c>
      <c r="BA37">
        <f>IF(ISBLANK(Tabla7[[#This Row],[15/05/2018]]),0,Tabla7[[#This Row],[15/05/2018]])</f>
        <v>3002</v>
      </c>
      <c r="BB37">
        <f>IF(ISBLANK(Tabla7[[#This Row],[15/06/2018]]),0,Tabla7[[#This Row],[15/06/2018]])</f>
        <v>3002</v>
      </c>
      <c r="BC37">
        <f>IF(ISBLANK(Tabla7[[#This Row],[15/07/2018]]),0,Tabla7[[#This Row],[15/07/2018]])</f>
        <v>3002</v>
      </c>
      <c r="BD37">
        <f>IF(ISBLANK(Tabla7[[#This Row],[15/08/2018]]),0,Tabla7[[#This Row],[15/08/2018]])</f>
        <v>3002</v>
      </c>
      <c r="BE37">
        <f>IF(ISBLANK(Tabla7[[#This Row],[15/09/2018]]),0,Tabla7[[#This Row],[15/09/2018]])</f>
        <v>3002</v>
      </c>
      <c r="BF37">
        <f>IF(ISBLANK(Tabla7[[#This Row],[15/10/2018]]),0,Tabla7[[#This Row],[15/10/2018]])</f>
        <v>3002</v>
      </c>
      <c r="BG37">
        <f>IF(ISBLANK(Tabla7[[#This Row],[15/11/2018]]),0,Tabla7[[#This Row],[15/11/2018]])</f>
        <v>3002</v>
      </c>
      <c r="BH37">
        <f>IF(ISBLANK(Tabla7[[#This Row],[15/12/2018]]),0,Tabla7[[#This Row],[15/12/2018]])</f>
        <v>3002</v>
      </c>
      <c r="BI37">
        <f>IF(ISBLANK(Tabla7[[#This Row],[28/12/2018]]),0,Tabla7[[#This Row],[28/12/2018]])</f>
        <v>0</v>
      </c>
      <c r="BN3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('C01.21','G','GCT01','3','APV','Int. Tinglado Frutero nº 17','SIN SERVICIO','');</v>
      </c>
      <c r="BO37" t="s">
        <v>243</v>
      </c>
      <c r="BP37" s="632" t="str">
        <f>CONCATENATE("insert into lecturas values ","('",Tabla7[[#This Row],[CONTADOR]],"',STR_TO_DATE('",Tabla7[[#Headers],[31/12/2017]],"','%d/%m/%Y'),",AV37,"),","('",Tabla7[[#This Row],[CONTADOR]],"',STR_TO_DATE('",Tabla7[[#Headers],[15/01/2018]],"','%d/%m/%Y'),",AW37,"),","('",Tabla7[[#This Row],[CONTADOR]],"',STR_TO_DATE('",Tabla7[[#Headers],[15/02/2018]],"','%d/%m/%Y'),",AX37,"),","('",Tabla7[[#This Row],[CONTADOR]],"',STR_TO_DATE('",Tabla7[[#Headers],[15/03/2018]],"','%d/%m/%Y'),",AY37,"),","('",Tabla7[[#This Row],[CONTADOR]],"',STR_TO_DATE('",Tabla7[[#Headers],[15/04/2018]],"','%d/%m/%Y'),",AZ37,"),","('",Tabla7[[#This Row],[CONTADOR]],"',STR_TO_DATE('",Tabla7[[#Headers],[15/05/2018]],"','%d/%m/%Y'),",BA37,"),","('",Tabla7[[#This Row],[CONTADOR]],"',STR_TO_DATE('",Tabla7[[#Headers],[15/06/2018]],"','%d/%m/%Y'),",BB37,"),","('",Tabla7[[#This Row],[CONTADOR]],"',STR_TO_DATE('",Tabla7[[#Headers],[15/07/2018]],"','%d/%m/%Y'),",BC37,"),","('",Tabla7[[#This Row],[CONTADOR]],"',STR_TO_DATE('",Tabla7[[#Headers],[15/08/2018]],"','%d/%m/%Y'),",BD37,"),","('",Tabla7[[#This Row],[CONTADOR]],"',STR_TO_DATE('",Tabla7[[#Headers],[15/09/2018]],"','%d/%m/%Y'),",BE37,"),","('",Tabla7[[#This Row],[CONTADOR]],"',STR_TO_DATE('",Tabla7[[#Headers],[15/10/2018]],"','%d/%m/%Y'),",BF37,"),","('",Tabla7[[#This Row],[CONTADOR]],"',STR_TO_DATE('",Tabla7[[#Headers],[15/11/2018]],"','%d/%m/%Y'),",BG37,"),","('",Tabla7[[#This Row],[CONTADOR]],"',STR_TO_DATE('",Tabla7[[#Headers],[15/12/2018]],"','%d/%m/%Y'),",BH37,");")</f>
        <v>insert into lecturas values ('C01.21',STR_TO_DATE('31/12/2017','%d/%m/%Y'),2985),('C01.21',STR_TO_DATE('15/01/2018','%d/%m/%Y'),2985),('C01.21',STR_TO_DATE('15/02/2018','%d/%m/%Y'),3002),('C01.21',STR_TO_DATE('15/03/2018','%d/%m/%Y'),3002),('C01.21',STR_TO_DATE('15/04/2018','%d/%m/%Y'),3002),('C01.21',STR_TO_DATE('15/05/2018','%d/%m/%Y'),3002),('C01.21',STR_TO_DATE('15/06/2018','%d/%m/%Y'),3002),('C01.21',STR_TO_DATE('15/07/2018','%d/%m/%Y'),3002),('C01.21',STR_TO_DATE('15/08/2018','%d/%m/%Y'),3002),('C01.21',STR_TO_DATE('15/09/2018','%d/%m/%Y'),3002),('C01.21',STR_TO_DATE('15/10/2018','%d/%m/%Y'),3002),('C01.21',STR_TO_DATE('15/11/2018','%d/%m/%Y'),3002),('C01.21',STR_TO_DATE('15/12/2018','%d/%m/%Y'),3002);</v>
      </c>
    </row>
    <row r="38" spans="1:68" ht="18" customHeight="1" x14ac:dyDescent="0.25">
      <c r="A38" s="372" t="s">
        <v>1097</v>
      </c>
      <c r="B38" s="361"/>
      <c r="C38" s="373" t="s">
        <v>410</v>
      </c>
      <c r="D38" s="374" t="s">
        <v>617</v>
      </c>
      <c r="E38" s="375">
        <v>39806</v>
      </c>
      <c r="F38" s="376" t="s">
        <v>632</v>
      </c>
      <c r="G38" s="376" t="s">
        <v>638</v>
      </c>
      <c r="H38" s="376"/>
      <c r="I38" s="376"/>
      <c r="J38" s="377"/>
      <c r="K38" s="377"/>
      <c r="L38" s="376"/>
      <c r="M38" s="376"/>
      <c r="N38" s="453"/>
      <c r="O38" s="453"/>
      <c r="P38" s="376"/>
      <c r="Q38" s="376"/>
      <c r="R38" s="311"/>
      <c r="S38" s="376"/>
      <c r="T38" s="376"/>
      <c r="U38" s="519"/>
      <c r="V38" s="377"/>
      <c r="W38" s="377"/>
      <c r="X38" s="376"/>
      <c r="Y38" s="376" t="str">
        <f t="shared" si="5"/>
        <v/>
      </c>
      <c r="Z38" s="376" t="str">
        <f t="shared" si="6"/>
        <v/>
      </c>
      <c r="AA38" s="376" t="str">
        <f t="shared" si="15"/>
        <v/>
      </c>
      <c r="AB38" s="376" t="str">
        <f t="shared" si="16"/>
        <v/>
      </c>
      <c r="AC38" s="376" t="str">
        <f t="shared" si="7"/>
        <v/>
      </c>
      <c r="AD38" s="376" t="str">
        <f t="shared" si="8"/>
        <v/>
      </c>
      <c r="AE38" s="376" t="str">
        <f t="shared" si="9"/>
        <v/>
      </c>
      <c r="AF38" s="376" t="str">
        <f t="shared" si="10"/>
        <v/>
      </c>
      <c r="AG38" s="376" t="str">
        <f t="shared" si="11"/>
        <v/>
      </c>
      <c r="AH38" s="376" t="str">
        <f t="shared" si="12"/>
        <v/>
      </c>
      <c r="AI38" s="376" t="str">
        <f t="shared" si="13"/>
        <v/>
      </c>
      <c r="AJ38" s="376" t="str">
        <f t="shared" si="14"/>
        <v/>
      </c>
      <c r="AK38" s="408">
        <v>1</v>
      </c>
      <c r="AL38" s="377">
        <f t="shared" ca="1" si="1"/>
        <v>0</v>
      </c>
      <c r="AM38" s="383">
        <f t="shared" ca="1" si="2"/>
        <v>0</v>
      </c>
      <c r="AN38" s="377" t="str">
        <f ca="1">IF(AND(Tabla7[[#This Row],[UltLec]]&lt;&gt;0,Tabla7[[#This Row],[PenLect]]&lt;&gt;0),(AM38-AL38)*Tabla7[[#This Row],[RT]],"N/A")</f>
        <v>N/A</v>
      </c>
      <c r="AO38" s="380" t="s">
        <v>1281</v>
      </c>
      <c r="AP38" s="433" t="s">
        <v>1190</v>
      </c>
      <c r="AQ38" s="433" t="s">
        <v>1193</v>
      </c>
      <c r="AR38" s="409">
        <f t="shared" si="3"/>
        <v>0</v>
      </c>
      <c r="AT38" s="2" t="e">
        <f t="shared" ca="1" si="4"/>
        <v>#VALUE!</v>
      </c>
      <c r="AV38">
        <f>IF(ISBLANK(Tabla7[[#This Row],[31/12/2017]]),0,Tabla7[[#This Row],[31/12/2017]])</f>
        <v>0</v>
      </c>
      <c r="AW38">
        <f>IF(ISBLANK(Tabla7[[#This Row],[15/01/2018]]),0,Tabla7[[#This Row],[15/01/2018]])</f>
        <v>0</v>
      </c>
      <c r="AX38">
        <f>IF(ISBLANK(Tabla7[[#This Row],[15/02/2018]]),0,Tabla7[[#This Row],[15/02/2018]])</f>
        <v>0</v>
      </c>
      <c r="AY38">
        <f>IF(ISBLANK(Tabla7[[#This Row],[15/03/2018]]),0,Tabla7[[#This Row],[15/03/2018]])</f>
        <v>0</v>
      </c>
      <c r="AZ38">
        <f>IF(ISBLANK(Tabla7[[#This Row],[15/04/2018]]),0,Tabla7[[#This Row],[15/04/2018]])</f>
        <v>0</v>
      </c>
      <c r="BA38">
        <f>IF(ISBLANK(Tabla7[[#This Row],[15/05/2018]]),0,Tabla7[[#This Row],[15/05/2018]])</f>
        <v>0</v>
      </c>
      <c r="BB38">
        <f>IF(ISBLANK(Tabla7[[#This Row],[15/06/2018]]),0,Tabla7[[#This Row],[15/06/2018]])</f>
        <v>0</v>
      </c>
      <c r="BC38">
        <f>IF(ISBLANK(Tabla7[[#This Row],[15/07/2018]]),0,Tabla7[[#This Row],[15/07/2018]])</f>
        <v>0</v>
      </c>
      <c r="BD38">
        <f>IF(ISBLANK(Tabla7[[#This Row],[15/08/2018]]),0,Tabla7[[#This Row],[15/08/2018]])</f>
        <v>0</v>
      </c>
      <c r="BE38">
        <f>IF(ISBLANK(Tabla7[[#This Row],[15/09/2018]]),0,Tabla7[[#This Row],[15/09/2018]])</f>
        <v>0</v>
      </c>
      <c r="BF38">
        <f>IF(ISBLANK(Tabla7[[#This Row],[15/10/2018]]),0,Tabla7[[#This Row],[15/10/2018]])</f>
        <v>0</v>
      </c>
      <c r="BG38">
        <f>IF(ISBLANK(Tabla7[[#This Row],[15/11/2018]]),0,Tabla7[[#This Row],[15/11/2018]])</f>
        <v>0</v>
      </c>
      <c r="BH38">
        <f>IF(ISBLANK(Tabla7[[#This Row],[15/12/2018]]),0,Tabla7[[#This Row],[15/12/2018]])</f>
        <v>0</v>
      </c>
      <c r="BI38">
        <f>IF(ISBLANK(Tabla7[[#This Row],[28/12/2018]]),0,Tabla7[[#This Row],[28/12/2018]])</f>
        <v>0</v>
      </c>
      <c r="BN3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('C01.21','GBAJA','GCT01','39806','EXCMO. AYUNTAMIENTO GANDÍA','Int. Tinglado Frutero nº 17','','');</v>
      </c>
      <c r="BO38" t="s">
        <v>243</v>
      </c>
      <c r="BP38" s="632" t="str">
        <f>CONCATENATE("insert into lecturas values ","('",Tabla7[[#This Row],[CONTADOR]],"',STR_TO_DATE('",Tabla7[[#Headers],[31/12/2017]],"','%d/%m/%Y'),",AV38,"),","('",Tabla7[[#This Row],[CONTADOR]],"',STR_TO_DATE('",Tabla7[[#Headers],[15/01/2018]],"','%d/%m/%Y'),",AW38,"),","('",Tabla7[[#This Row],[CONTADOR]],"',STR_TO_DATE('",Tabla7[[#Headers],[15/02/2018]],"','%d/%m/%Y'),",AX38,"),","('",Tabla7[[#This Row],[CONTADOR]],"',STR_TO_DATE('",Tabla7[[#Headers],[15/03/2018]],"','%d/%m/%Y'),",AY38,"),","('",Tabla7[[#This Row],[CONTADOR]],"',STR_TO_DATE('",Tabla7[[#Headers],[15/04/2018]],"','%d/%m/%Y'),",AZ38,"),","('",Tabla7[[#This Row],[CONTADOR]],"',STR_TO_DATE('",Tabla7[[#Headers],[15/05/2018]],"','%d/%m/%Y'),",BA38,"),","('",Tabla7[[#This Row],[CONTADOR]],"',STR_TO_DATE('",Tabla7[[#Headers],[15/06/2018]],"','%d/%m/%Y'),",BB38,"),","('",Tabla7[[#This Row],[CONTADOR]],"',STR_TO_DATE('",Tabla7[[#Headers],[15/07/2018]],"','%d/%m/%Y'),",BC38,"),","('",Tabla7[[#This Row],[CONTADOR]],"',STR_TO_DATE('",Tabla7[[#Headers],[15/08/2018]],"','%d/%m/%Y'),",BD38,"),","('",Tabla7[[#This Row],[CONTADOR]],"',STR_TO_DATE('",Tabla7[[#Headers],[15/09/2018]],"','%d/%m/%Y'),",BE38,"),","('",Tabla7[[#This Row],[CONTADOR]],"',STR_TO_DATE('",Tabla7[[#Headers],[15/10/2018]],"','%d/%m/%Y'),",BF38,"),","('",Tabla7[[#This Row],[CONTADOR]],"',STR_TO_DATE('",Tabla7[[#Headers],[15/11/2018]],"','%d/%m/%Y'),",BG38,"),","('",Tabla7[[#This Row],[CONTADOR]],"',STR_TO_DATE('",Tabla7[[#Headers],[15/12/2018]],"','%d/%m/%Y'),",BH38,");")</f>
        <v>insert into lecturas values ('C01.21',STR_TO_DATE('31/12/2017','%d/%m/%Y'),0),('C01.21',STR_TO_DATE('15/01/2018','%d/%m/%Y'),0),('C01.21',STR_TO_DATE('15/02/2018','%d/%m/%Y'),0),('C01.21',STR_TO_DATE('15/03/2018','%d/%m/%Y'),0),('C01.21',STR_TO_DATE('15/04/2018','%d/%m/%Y'),0),('C01.21',STR_TO_DATE('15/05/2018','%d/%m/%Y'),0),('C01.21',STR_TO_DATE('15/06/2018','%d/%m/%Y'),0),('C01.21',STR_TO_DATE('15/07/2018','%d/%m/%Y'),0),('C01.21',STR_TO_DATE('15/08/2018','%d/%m/%Y'),0),('C01.21',STR_TO_DATE('15/09/2018','%d/%m/%Y'),0),('C01.21',STR_TO_DATE('15/10/2018','%d/%m/%Y'),0),('C01.21',STR_TO_DATE('15/11/2018','%d/%m/%Y'),0),('C01.21',STR_TO_DATE('15/12/2018','%d/%m/%Y'),0);</v>
      </c>
    </row>
    <row r="39" spans="1:68" ht="18" customHeight="1" x14ac:dyDescent="0.25">
      <c r="A39" s="241" t="s">
        <v>614</v>
      </c>
      <c r="B39" s="60"/>
      <c r="C39" s="223" t="s">
        <v>1425</v>
      </c>
      <c r="D39" s="60" t="s">
        <v>617</v>
      </c>
      <c r="E39" s="258">
        <v>3</v>
      </c>
      <c r="F39" s="274" t="s">
        <v>21</v>
      </c>
      <c r="G39" s="2" t="s">
        <v>647</v>
      </c>
      <c r="H39" s="274" t="s">
        <v>1404</v>
      </c>
      <c r="I39" s="274" t="s">
        <v>648</v>
      </c>
      <c r="J39" s="274">
        <v>10891</v>
      </c>
      <c r="K39" s="274">
        <v>10897</v>
      </c>
      <c r="L39" s="311">
        <v>10962</v>
      </c>
      <c r="M39" s="311">
        <v>11408</v>
      </c>
      <c r="N39" s="311">
        <v>11681</v>
      </c>
      <c r="O39" s="311">
        <v>11731</v>
      </c>
      <c r="P39" s="454">
        <v>12146</v>
      </c>
      <c r="Q39" s="311">
        <v>12301</v>
      </c>
      <c r="R39" s="311">
        <v>13110</v>
      </c>
      <c r="S39" s="492">
        <v>13767</v>
      </c>
      <c r="T39" s="492">
        <v>14717</v>
      </c>
      <c r="U39" s="492">
        <v>15607</v>
      </c>
      <c r="V39" s="492">
        <v>16611</v>
      </c>
      <c r="W39" s="274"/>
      <c r="X39" s="2"/>
      <c r="Y39" s="2">
        <f t="shared" si="5"/>
        <v>6</v>
      </c>
      <c r="Z39" s="2">
        <f t="shared" si="6"/>
        <v>65</v>
      </c>
      <c r="AA39" s="2">
        <f t="shared" si="15"/>
        <v>446</v>
      </c>
      <c r="AB39" s="2">
        <f t="shared" si="16"/>
        <v>273</v>
      </c>
      <c r="AC39" s="2">
        <f t="shared" si="7"/>
        <v>50</v>
      </c>
      <c r="AD39" s="2">
        <f t="shared" si="8"/>
        <v>415</v>
      </c>
      <c r="AE39" s="2">
        <f t="shared" si="9"/>
        <v>155</v>
      </c>
      <c r="AF39" s="2">
        <f t="shared" si="10"/>
        <v>809</v>
      </c>
      <c r="AG39" s="2">
        <f t="shared" si="11"/>
        <v>657</v>
      </c>
      <c r="AH39" s="2">
        <f t="shared" si="12"/>
        <v>950</v>
      </c>
      <c r="AI39" s="2">
        <f t="shared" si="13"/>
        <v>890</v>
      </c>
      <c r="AJ39" s="2">
        <f t="shared" si="14"/>
        <v>1004</v>
      </c>
      <c r="AK39" s="406">
        <v>1</v>
      </c>
      <c r="AL39" s="274">
        <f t="shared" ca="1" si="1"/>
        <v>11681</v>
      </c>
      <c r="AM39" s="311">
        <f t="shared" ca="1" si="2"/>
        <v>11731</v>
      </c>
      <c r="AN39" s="274">
        <f ca="1">IF(AND(Tabla7[[#This Row],[UltLec]]&lt;&gt;0,Tabla7[[#This Row],[PenLect]]&lt;&gt;0),(AM39-AL39)*Tabla7[[#This Row],[RT]],"N/A")</f>
        <v>50</v>
      </c>
      <c r="AO39" s="273" t="s">
        <v>910</v>
      </c>
      <c r="AP39" s="392" t="s">
        <v>1190</v>
      </c>
      <c r="AQ39" s="392" t="s">
        <v>1189</v>
      </c>
      <c r="AR39" s="407">
        <f t="shared" si="3"/>
        <v>0</v>
      </c>
      <c r="AT39" s="2">
        <f t="shared" ca="1" si="4"/>
        <v>0.18315018315018314</v>
      </c>
      <c r="AV39">
        <f>IF(ISBLANK(Tabla7[[#This Row],[31/12/2017]]),0,Tabla7[[#This Row],[31/12/2017]])</f>
        <v>10891</v>
      </c>
      <c r="AW39">
        <f>IF(ISBLANK(Tabla7[[#This Row],[15/01/2018]]),0,Tabla7[[#This Row],[15/01/2018]])</f>
        <v>10897</v>
      </c>
      <c r="AX39">
        <f>IF(ISBLANK(Tabla7[[#This Row],[15/02/2018]]),0,Tabla7[[#This Row],[15/02/2018]])</f>
        <v>10962</v>
      </c>
      <c r="AY39">
        <f>IF(ISBLANK(Tabla7[[#This Row],[15/03/2018]]),0,Tabla7[[#This Row],[15/03/2018]])</f>
        <v>11408</v>
      </c>
      <c r="AZ39">
        <f>IF(ISBLANK(Tabla7[[#This Row],[15/04/2018]]),0,Tabla7[[#This Row],[15/04/2018]])</f>
        <v>11681</v>
      </c>
      <c r="BA39">
        <f>IF(ISBLANK(Tabla7[[#This Row],[15/05/2018]]),0,Tabla7[[#This Row],[15/05/2018]])</f>
        <v>11731</v>
      </c>
      <c r="BB39">
        <f>IF(ISBLANK(Tabla7[[#This Row],[15/06/2018]]),0,Tabla7[[#This Row],[15/06/2018]])</f>
        <v>12146</v>
      </c>
      <c r="BC39">
        <f>IF(ISBLANK(Tabla7[[#This Row],[15/07/2018]]),0,Tabla7[[#This Row],[15/07/2018]])</f>
        <v>12301</v>
      </c>
      <c r="BD39">
        <f>IF(ISBLANK(Tabla7[[#This Row],[15/08/2018]]),0,Tabla7[[#This Row],[15/08/2018]])</f>
        <v>13110</v>
      </c>
      <c r="BE39">
        <f>IF(ISBLANK(Tabla7[[#This Row],[15/09/2018]]),0,Tabla7[[#This Row],[15/09/2018]])</f>
        <v>13767</v>
      </c>
      <c r="BF39">
        <f>IF(ISBLANK(Tabla7[[#This Row],[15/10/2018]]),0,Tabla7[[#This Row],[15/10/2018]])</f>
        <v>14717</v>
      </c>
      <c r="BG39">
        <f>IF(ISBLANK(Tabla7[[#This Row],[15/11/2018]]),0,Tabla7[[#This Row],[15/11/2018]])</f>
        <v>15607</v>
      </c>
      <c r="BH39">
        <f>IF(ISBLANK(Tabla7[[#This Row],[15/12/2018]]),0,Tabla7[[#This Row],[15/12/2018]])</f>
        <v>16611</v>
      </c>
      <c r="BI39">
        <f>IF(ISBLANK(Tabla7[[#This Row],[28/12/2018]]),0,Tabla7[[#This Row],[28/12/2018]])</f>
        <v>0</v>
      </c>
      <c r="BN3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('C01.23','G','GCT01','3','APV','Exterior Tdo. Frutero Nº 17','Buque VALENCIAPORT','Alta en fecha: 29/12/2015');</v>
      </c>
      <c r="BO39" t="s">
        <v>243</v>
      </c>
      <c r="BP39" s="632" t="str">
        <f>CONCATENATE("insert into lecturas values ","('",Tabla7[[#This Row],[CONTADOR]],"',STR_TO_DATE('",Tabla7[[#Headers],[31/12/2017]],"','%d/%m/%Y'),",AV39,"),","('",Tabla7[[#This Row],[CONTADOR]],"',STR_TO_DATE('",Tabla7[[#Headers],[15/01/2018]],"','%d/%m/%Y'),",AW39,"),","('",Tabla7[[#This Row],[CONTADOR]],"',STR_TO_DATE('",Tabla7[[#Headers],[15/02/2018]],"','%d/%m/%Y'),",AX39,"),","('",Tabla7[[#This Row],[CONTADOR]],"',STR_TO_DATE('",Tabla7[[#Headers],[15/03/2018]],"','%d/%m/%Y'),",AY39,"),","('",Tabla7[[#This Row],[CONTADOR]],"',STR_TO_DATE('",Tabla7[[#Headers],[15/04/2018]],"','%d/%m/%Y'),",AZ39,"),","('",Tabla7[[#This Row],[CONTADOR]],"',STR_TO_DATE('",Tabla7[[#Headers],[15/05/2018]],"','%d/%m/%Y'),",BA39,"),","('",Tabla7[[#This Row],[CONTADOR]],"',STR_TO_DATE('",Tabla7[[#Headers],[15/06/2018]],"','%d/%m/%Y'),",BB39,"),","('",Tabla7[[#This Row],[CONTADOR]],"',STR_TO_DATE('",Tabla7[[#Headers],[15/07/2018]],"','%d/%m/%Y'),",BC39,"),","('",Tabla7[[#This Row],[CONTADOR]],"',STR_TO_DATE('",Tabla7[[#Headers],[15/08/2018]],"','%d/%m/%Y'),",BD39,"),","('",Tabla7[[#This Row],[CONTADOR]],"',STR_TO_DATE('",Tabla7[[#Headers],[15/09/2018]],"','%d/%m/%Y'),",BE39,"),","('",Tabla7[[#This Row],[CONTADOR]],"',STR_TO_DATE('",Tabla7[[#Headers],[15/10/2018]],"','%d/%m/%Y'),",BF39,"),","('",Tabla7[[#This Row],[CONTADOR]],"',STR_TO_DATE('",Tabla7[[#Headers],[15/11/2018]],"','%d/%m/%Y'),",BG39,"),","('",Tabla7[[#This Row],[CONTADOR]],"',STR_TO_DATE('",Tabla7[[#Headers],[15/12/2018]],"','%d/%m/%Y'),",BH39,");")</f>
        <v>insert into lecturas values ('C01.23',STR_TO_DATE('31/12/2017','%d/%m/%Y'),10891),('C01.23',STR_TO_DATE('15/01/2018','%d/%m/%Y'),10897),('C01.23',STR_TO_DATE('15/02/2018','%d/%m/%Y'),10962),('C01.23',STR_TO_DATE('15/03/2018','%d/%m/%Y'),11408),('C01.23',STR_TO_DATE('15/04/2018','%d/%m/%Y'),11681),('C01.23',STR_TO_DATE('15/05/2018','%d/%m/%Y'),11731),('C01.23',STR_TO_DATE('15/06/2018','%d/%m/%Y'),12146),('C01.23',STR_TO_DATE('15/07/2018','%d/%m/%Y'),12301),('C01.23',STR_TO_DATE('15/08/2018','%d/%m/%Y'),13110),('C01.23',STR_TO_DATE('15/09/2018','%d/%m/%Y'),13767),('C01.23',STR_TO_DATE('15/10/2018','%d/%m/%Y'),14717),('C01.23',STR_TO_DATE('15/11/2018','%d/%m/%Y'),15607),('C01.23',STR_TO_DATE('15/12/2018','%d/%m/%Y'),16611);</v>
      </c>
    </row>
    <row r="40" spans="1:68" ht="18" customHeight="1" x14ac:dyDescent="0.25">
      <c r="A40" s="241" t="s">
        <v>614</v>
      </c>
      <c r="B40" s="60">
        <v>1207</v>
      </c>
      <c r="C40" s="223" t="s">
        <v>1426</v>
      </c>
      <c r="D40" s="60" t="s">
        <v>617</v>
      </c>
      <c r="E40" s="258">
        <v>39324</v>
      </c>
      <c r="F40" s="274" t="s">
        <v>1388</v>
      </c>
      <c r="G40" s="2" t="s">
        <v>636</v>
      </c>
      <c r="H40" s="2" t="s">
        <v>1403</v>
      </c>
      <c r="I40" s="2" t="s">
        <v>1389</v>
      </c>
      <c r="J40" s="274"/>
      <c r="K40" s="274"/>
      <c r="L40" s="311"/>
      <c r="M40" s="311"/>
      <c r="N40" s="311"/>
      <c r="O40" s="311"/>
      <c r="P40" s="481"/>
      <c r="Q40" s="311"/>
      <c r="R40" s="311">
        <v>424</v>
      </c>
      <c r="S40" s="492">
        <v>450</v>
      </c>
      <c r="T40" s="492">
        <v>565</v>
      </c>
      <c r="U40" s="492">
        <v>775</v>
      </c>
      <c r="V40" s="492">
        <v>953</v>
      </c>
      <c r="W40" s="274"/>
      <c r="X40" s="2"/>
      <c r="Y40" s="2" t="str">
        <f t="shared" si="5"/>
        <v/>
      </c>
      <c r="Z40" s="2" t="str">
        <f t="shared" si="6"/>
        <v/>
      </c>
      <c r="AA40" s="2" t="str">
        <f>IF(OR(ISBLANK(#REF!),ISBLANK(L40)),"",IF(AND(#REF!&gt;=L40,#REF!-L40&lt;=#REF!),(#REF!-L40)*$AK40,"!!!!"))</f>
        <v/>
      </c>
      <c r="AB40" s="2" t="str">
        <f>IF(OR(ISBLANK(N40),ISBLANK(#REF!)),"",IF(AND(N40&gt;=#REF!,N40-#REF!&lt;=N40),(N40-#REF!)*$AK40,"!!!!"))</f>
        <v/>
      </c>
      <c r="AC40" s="2" t="str">
        <f t="shared" si="7"/>
        <v/>
      </c>
      <c r="AD40" s="2" t="str">
        <f t="shared" si="8"/>
        <v/>
      </c>
      <c r="AE40" s="2" t="str">
        <f t="shared" si="9"/>
        <v/>
      </c>
      <c r="AF40" s="2" t="str">
        <f t="shared" si="10"/>
        <v/>
      </c>
      <c r="AG40" s="2">
        <f t="shared" si="11"/>
        <v>26</v>
      </c>
      <c r="AH40" s="271">
        <f t="shared" si="12"/>
        <v>115</v>
      </c>
      <c r="AI40" s="2">
        <f t="shared" si="13"/>
        <v>210</v>
      </c>
      <c r="AJ40" s="2">
        <f t="shared" si="14"/>
        <v>178</v>
      </c>
      <c r="AK40" s="406">
        <v>1</v>
      </c>
      <c r="AL40" s="412">
        <f t="shared" ca="1" si="1"/>
        <v>0</v>
      </c>
      <c r="AM40" s="311">
        <f t="shared" ca="1" si="2"/>
        <v>0</v>
      </c>
      <c r="AN40" s="412" t="str">
        <f ca="1">IF(AND(Tabla7[[#This Row],[UltLec]]&lt;&gt;0,Tabla7[[#This Row],[PenLect]]&lt;&gt;0),(AM40-AL40)*Tabla7[[#This Row],[RT]],"N/A")</f>
        <v>N/A</v>
      </c>
      <c r="AO40" s="273" t="s">
        <v>910</v>
      </c>
      <c r="AP40" s="517" t="s">
        <v>1190</v>
      </c>
      <c r="AQ40" s="517" t="s">
        <v>1193</v>
      </c>
      <c r="AR40" s="407">
        <f t="shared" si="3"/>
        <v>0</v>
      </c>
      <c r="AT40" s="2" t="e">
        <f t="shared" ca="1" si="4"/>
        <v>#VALUE!</v>
      </c>
      <c r="AV40">
        <f>IF(ISBLANK(Tabla7[[#This Row],[31/12/2017]]),0,Tabla7[[#This Row],[31/12/2017]])</f>
        <v>0</v>
      </c>
      <c r="AW40">
        <f>IF(ISBLANK(Tabla7[[#This Row],[15/01/2018]]),0,Tabla7[[#This Row],[15/01/2018]])</f>
        <v>0</v>
      </c>
      <c r="AX40">
        <f>IF(ISBLANK(Tabla7[[#This Row],[15/02/2018]]),0,Tabla7[[#This Row],[15/02/2018]])</f>
        <v>0</v>
      </c>
      <c r="AY40">
        <f>IF(ISBLANK(Tabla7[[#This Row],[15/03/2018]]),0,Tabla7[[#This Row],[15/03/2018]])</f>
        <v>0</v>
      </c>
      <c r="AZ40">
        <f>IF(ISBLANK(Tabla7[[#This Row],[15/04/2018]]),0,Tabla7[[#This Row],[15/04/2018]])</f>
        <v>0</v>
      </c>
      <c r="BA40">
        <f>IF(ISBLANK(Tabla7[[#This Row],[15/05/2018]]),0,Tabla7[[#This Row],[15/05/2018]])</f>
        <v>0</v>
      </c>
      <c r="BB40">
        <f>IF(ISBLANK(Tabla7[[#This Row],[15/06/2018]]),0,Tabla7[[#This Row],[15/06/2018]])</f>
        <v>0</v>
      </c>
      <c r="BC40">
        <f>IF(ISBLANK(Tabla7[[#This Row],[15/07/2018]]),0,Tabla7[[#This Row],[15/07/2018]])</f>
        <v>0</v>
      </c>
      <c r="BD40">
        <f>IF(ISBLANK(Tabla7[[#This Row],[15/08/2018]]),0,Tabla7[[#This Row],[15/08/2018]])</f>
        <v>424</v>
      </c>
      <c r="BE40">
        <f>IF(ISBLANK(Tabla7[[#This Row],[15/09/2018]]),0,Tabla7[[#This Row],[15/09/2018]])</f>
        <v>450</v>
      </c>
      <c r="BF40">
        <f>IF(ISBLANK(Tabla7[[#This Row],[15/10/2018]]),0,Tabla7[[#This Row],[15/10/2018]])</f>
        <v>565</v>
      </c>
      <c r="BG40">
        <f>IF(ISBLANK(Tabla7[[#This Row],[15/11/2018]]),0,Tabla7[[#This Row],[15/11/2018]])</f>
        <v>775</v>
      </c>
      <c r="BH40">
        <f>IF(ISBLANK(Tabla7[[#This Row],[15/12/2018]]),0,Tabla7[[#This Row],[15/12/2018]])</f>
        <v>953</v>
      </c>
      <c r="BI40">
        <f>IF(ISBLANK(Tabla7[[#This Row],[28/12/2018]]),0,Tabla7[[#This Row],[28/12/2018]])</f>
        <v>0</v>
      </c>
      <c r="BN4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('C01.24','G','GCT01','39324','FUNDACIÓ COMUNITAT VALENCIANA GRAOS MARINS','INTERIOR T. FRUTEROS 13-14','TINGLADO FRUTERO Nº 15 - MUSEO','ALTA 06/08/2018');</v>
      </c>
      <c r="BO40" t="s">
        <v>243</v>
      </c>
      <c r="BP40" s="632" t="str">
        <f>CONCATENATE("insert into lecturas values ","('",Tabla7[[#This Row],[CONTADOR]],"',STR_TO_DATE('",Tabla7[[#Headers],[31/12/2017]],"','%d/%m/%Y'),",AV40,"),","('",Tabla7[[#This Row],[CONTADOR]],"',STR_TO_DATE('",Tabla7[[#Headers],[15/01/2018]],"','%d/%m/%Y'),",AW40,"),","('",Tabla7[[#This Row],[CONTADOR]],"',STR_TO_DATE('",Tabla7[[#Headers],[15/02/2018]],"','%d/%m/%Y'),",AX40,"),","('",Tabla7[[#This Row],[CONTADOR]],"',STR_TO_DATE('",Tabla7[[#Headers],[15/03/2018]],"','%d/%m/%Y'),",AY40,"),","('",Tabla7[[#This Row],[CONTADOR]],"',STR_TO_DATE('",Tabla7[[#Headers],[15/04/2018]],"','%d/%m/%Y'),",AZ40,"),","('",Tabla7[[#This Row],[CONTADOR]],"',STR_TO_DATE('",Tabla7[[#Headers],[15/05/2018]],"','%d/%m/%Y'),",BA40,"),","('",Tabla7[[#This Row],[CONTADOR]],"',STR_TO_DATE('",Tabla7[[#Headers],[15/06/2018]],"','%d/%m/%Y'),",BB40,"),","('",Tabla7[[#This Row],[CONTADOR]],"',STR_TO_DATE('",Tabla7[[#Headers],[15/07/2018]],"','%d/%m/%Y'),",BC40,"),","('",Tabla7[[#This Row],[CONTADOR]],"',STR_TO_DATE('",Tabla7[[#Headers],[15/08/2018]],"','%d/%m/%Y'),",BD40,"),","('",Tabla7[[#This Row],[CONTADOR]],"',STR_TO_DATE('",Tabla7[[#Headers],[15/09/2018]],"','%d/%m/%Y'),",BE40,"),","('",Tabla7[[#This Row],[CONTADOR]],"',STR_TO_DATE('",Tabla7[[#Headers],[15/10/2018]],"','%d/%m/%Y'),",BF40,"),","('",Tabla7[[#This Row],[CONTADOR]],"',STR_TO_DATE('",Tabla7[[#Headers],[15/11/2018]],"','%d/%m/%Y'),",BG40,"),","('",Tabla7[[#This Row],[CONTADOR]],"',STR_TO_DATE('",Tabla7[[#Headers],[15/12/2018]],"','%d/%m/%Y'),",BH40,");")</f>
        <v>insert into lecturas values ('C01.24',STR_TO_DATE('31/12/2017','%d/%m/%Y'),0),('C01.24',STR_TO_DATE('15/01/2018','%d/%m/%Y'),0),('C01.24',STR_TO_DATE('15/02/2018','%d/%m/%Y'),0),('C01.24',STR_TO_DATE('15/03/2018','%d/%m/%Y'),0),('C01.24',STR_TO_DATE('15/04/2018','%d/%m/%Y'),0),('C01.24',STR_TO_DATE('15/05/2018','%d/%m/%Y'),0),('C01.24',STR_TO_DATE('15/06/2018','%d/%m/%Y'),0),('C01.24',STR_TO_DATE('15/07/2018','%d/%m/%Y'),0),('C01.24',STR_TO_DATE('15/08/2018','%d/%m/%Y'),424),('C01.24',STR_TO_DATE('15/09/2018','%d/%m/%Y'),450),('C01.24',STR_TO_DATE('15/10/2018','%d/%m/%Y'),565),('C01.24',STR_TO_DATE('15/11/2018','%d/%m/%Y'),775),('C01.24',STR_TO_DATE('15/12/2018','%d/%m/%Y'),953);</v>
      </c>
    </row>
    <row r="41" spans="1:68" ht="18" customHeight="1" x14ac:dyDescent="0.25">
      <c r="A41" s="372" t="s">
        <v>1097</v>
      </c>
      <c r="B41" s="374">
        <v>1123</v>
      </c>
      <c r="C41" s="373" t="s">
        <v>433</v>
      </c>
      <c r="D41" s="374" t="s">
        <v>617</v>
      </c>
      <c r="E41" s="375">
        <v>30000</v>
      </c>
      <c r="F41" s="376" t="s">
        <v>644</v>
      </c>
      <c r="G41" s="376" t="s">
        <v>619</v>
      </c>
      <c r="H41" s="376" t="s">
        <v>1405</v>
      </c>
      <c r="I41" s="376" t="s">
        <v>1405</v>
      </c>
      <c r="J41" s="508">
        <v>3151</v>
      </c>
      <c r="K41" s="508">
        <v>3151</v>
      </c>
      <c r="L41" s="453">
        <v>3151</v>
      </c>
      <c r="M41" s="453">
        <v>3151</v>
      </c>
      <c r="N41" s="453">
        <v>3151</v>
      </c>
      <c r="O41" s="453">
        <v>3151</v>
      </c>
      <c r="P41" s="509">
        <v>3151</v>
      </c>
      <c r="Q41" s="510">
        <v>3151</v>
      </c>
      <c r="R41" s="453">
        <v>3151</v>
      </c>
      <c r="S41" s="511"/>
      <c r="T41" s="511"/>
      <c r="U41" s="510"/>
      <c r="V41" s="508"/>
      <c r="W41" s="508"/>
      <c r="X41" s="511"/>
      <c r="Y41" s="511">
        <f t="shared" si="5"/>
        <v>0</v>
      </c>
      <c r="Z41" s="511">
        <f t="shared" si="6"/>
        <v>0</v>
      </c>
      <c r="AA41" s="511">
        <f>IF(OR(ISBLANK(M41),ISBLANK(L41)),"",IF(AND(M41&gt;=L41,M41-L41&lt;=M41),(M41-L41)*$AK41,"!!!!"))</f>
        <v>0</v>
      </c>
      <c r="AB41" s="511">
        <f>IF(OR(ISBLANK(N41),ISBLANK(M41)),"",IF(AND(N41&gt;=M41,N41-M41&lt;=N41),(N41-M41)*$AK41,"!!!!"))</f>
        <v>0</v>
      </c>
      <c r="AC41" s="511">
        <f t="shared" ref="AC41:AC69" si="17">IF(OR(ISBLANK(O41),ISBLANK(N41)),"",IF(AND(O41&gt;=N41,O41-N41&lt;=O41),(O41-N41)*$AK41,"!!!!"))</f>
        <v>0</v>
      </c>
      <c r="AD41" s="511">
        <f t="shared" ref="AD41:AD69" si="18">IF(OR(ISBLANK(P41),ISBLANK(O41)),"",IF(AND(P41&gt;=O41,P41-O41&lt;=P41),(P41-O41)*$AK41,"!!!!"))</f>
        <v>0</v>
      </c>
      <c r="AE41" s="511">
        <f t="shared" ref="AE41:AE69" si="19">IF(OR(ISBLANK(Q41),ISBLANK(P41)),"",IF(AND(Q41&gt;=P41,Q41-P41&lt;=Q41),(Q41-P41)*$AK41,"!!!!"))</f>
        <v>0</v>
      </c>
      <c r="AF41" s="511">
        <f t="shared" ref="AF41:AF69" si="20">IF(OR(ISBLANK(R41),ISBLANK(Q41)),"",IF(AND(R41&gt;=Q41,R41-Q41&lt;=R41),(R41-Q41)*$AK41,"!!!!"))</f>
        <v>0</v>
      </c>
      <c r="AG41" s="511" t="str">
        <f t="shared" ref="AG41:AG69" si="21">IF(OR(ISBLANK(S41),ISBLANK(R41)),"",IF(AND(S41&gt;=R41,S41-R41&lt;=S41),(S41-R41)*$AK41,"!!!!"))</f>
        <v/>
      </c>
      <c r="AH41" s="511" t="str">
        <f t="shared" ref="AH41:AH69" si="22">IF(OR(ISBLANK(T41),ISBLANK(S41)),"",IF(AND(T41&gt;=S41,T41-S41&lt;=T41),(T41-S41)*$AK41,"!!!!"))</f>
        <v/>
      </c>
      <c r="AI41" s="511" t="str">
        <f t="shared" ref="AI41:AI69" si="23">IF(OR(ISBLANK(U41),ISBLANK(T41)),"",IF(AND(U41&gt;=T41,U41-T41&lt;=U41),(U41-T41)*$AK41,"!!!!"))</f>
        <v/>
      </c>
      <c r="AJ41" s="511" t="str">
        <f t="shared" ref="AJ41:AJ69" si="24">IF(OR(ISBLANK(V41),ISBLANK(U41)),"",IF(AND(V41&gt;=U41,V41-U41&lt;=V41),(V41-U41)*$AK41,"!!!!"))</f>
        <v/>
      </c>
      <c r="AK41" s="408">
        <v>1</v>
      </c>
      <c r="AL41" s="377">
        <f t="shared" ca="1" si="1"/>
        <v>3151</v>
      </c>
      <c r="AM41" s="383">
        <f t="shared" ca="1" si="2"/>
        <v>3151</v>
      </c>
      <c r="AN41" s="377">
        <f ca="1">IF(AND(Tabla7[[#This Row],[UltLec]]&lt;&gt;0,Tabla7[[#This Row],[PenLect]]&lt;&gt;0),(AM41-AL41)*Tabla7[[#This Row],[RT]],"N/A")</f>
        <v>0</v>
      </c>
      <c r="AO41" s="380" t="s">
        <v>1281</v>
      </c>
      <c r="AP41" s="462" t="s">
        <v>1190</v>
      </c>
      <c r="AQ41" s="462" t="s">
        <v>1193</v>
      </c>
      <c r="AR41" s="409">
        <f t="shared" si="3"/>
        <v>0</v>
      </c>
      <c r="AT41" s="2" t="str">
        <f t="shared" ca="1" si="4"/>
        <v>0</v>
      </c>
      <c r="AV41">
        <f>IF(ISBLANK(Tabla7[[#This Row],[31/12/2017]]),0,Tabla7[[#This Row],[31/12/2017]])</f>
        <v>3151</v>
      </c>
      <c r="AW41">
        <f>IF(ISBLANK(Tabla7[[#This Row],[15/01/2018]]),0,Tabla7[[#This Row],[15/01/2018]])</f>
        <v>3151</v>
      </c>
      <c r="AX41">
        <f>IF(ISBLANK(Tabla7[[#This Row],[15/02/2018]]),0,Tabla7[[#This Row],[15/02/2018]])</f>
        <v>3151</v>
      </c>
      <c r="AY41">
        <f>IF(ISBLANK(Tabla7[[#This Row],[15/03/2018]]),0,Tabla7[[#This Row],[15/03/2018]])</f>
        <v>3151</v>
      </c>
      <c r="AZ41">
        <f>IF(ISBLANK(Tabla7[[#This Row],[15/04/2018]]),0,Tabla7[[#This Row],[15/04/2018]])</f>
        <v>3151</v>
      </c>
      <c r="BA41">
        <f>IF(ISBLANK(Tabla7[[#This Row],[15/05/2018]]),0,Tabla7[[#This Row],[15/05/2018]])</f>
        <v>3151</v>
      </c>
      <c r="BB41">
        <f>IF(ISBLANK(Tabla7[[#This Row],[15/06/2018]]),0,Tabla7[[#This Row],[15/06/2018]])</f>
        <v>3151</v>
      </c>
      <c r="BC41">
        <f>IF(ISBLANK(Tabla7[[#This Row],[15/07/2018]]),0,Tabla7[[#This Row],[15/07/2018]])</f>
        <v>3151</v>
      </c>
      <c r="BD41">
        <f>IF(ISBLANK(Tabla7[[#This Row],[15/08/2018]]),0,Tabla7[[#This Row],[15/08/2018]])</f>
        <v>3151</v>
      </c>
      <c r="BE41">
        <f>IF(ISBLANK(Tabla7[[#This Row],[15/09/2018]]),0,Tabla7[[#This Row],[15/09/2018]])</f>
        <v>0</v>
      </c>
      <c r="BF41">
        <f>IF(ISBLANK(Tabla7[[#This Row],[15/10/2018]]),0,Tabla7[[#This Row],[15/10/2018]])</f>
        <v>0</v>
      </c>
      <c r="BG41">
        <f>IF(ISBLANK(Tabla7[[#This Row],[15/11/2018]]),0,Tabla7[[#This Row],[15/11/2018]])</f>
        <v>0</v>
      </c>
      <c r="BH41">
        <f>IF(ISBLANK(Tabla7[[#This Row],[15/12/2018]]),0,Tabla7[[#This Row],[15/12/2018]])</f>
        <v>0</v>
      </c>
      <c r="BI41">
        <f>IF(ISBLANK(Tabla7[[#This Row],[28/12/2018]]),0,Tabla7[[#This Row],[28/12/2018]])</f>
        <v>0</v>
      </c>
      <c r="BN4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('C01-22','GBAJA','GCT01','30000','ACCIONA INFRAESTRUCTURAS, S.A.','Hornacina exterior Edif. Aduana','Alta: 27/06/2017 - Retirada contador en Agosto 2018 por estar sin servicio','Alta: 27/06/2017 - Retirada contador en Agosto 2018 por estar sin servicio');</v>
      </c>
      <c r="BO41" t="s">
        <v>243</v>
      </c>
      <c r="BP41" s="632" t="str">
        <f>CONCATENATE("insert into lecturas values ","('",Tabla7[[#This Row],[CONTADOR]],"',STR_TO_DATE('",Tabla7[[#Headers],[31/12/2017]],"','%d/%m/%Y'),",AV41,"),","('",Tabla7[[#This Row],[CONTADOR]],"',STR_TO_DATE('",Tabla7[[#Headers],[15/01/2018]],"','%d/%m/%Y'),",AW41,"),","('",Tabla7[[#This Row],[CONTADOR]],"',STR_TO_DATE('",Tabla7[[#Headers],[15/02/2018]],"','%d/%m/%Y'),",AX41,"),","('",Tabla7[[#This Row],[CONTADOR]],"',STR_TO_DATE('",Tabla7[[#Headers],[15/03/2018]],"','%d/%m/%Y'),",AY41,"),","('",Tabla7[[#This Row],[CONTADOR]],"',STR_TO_DATE('",Tabla7[[#Headers],[15/04/2018]],"','%d/%m/%Y'),",AZ41,"),","('",Tabla7[[#This Row],[CONTADOR]],"',STR_TO_DATE('",Tabla7[[#Headers],[15/05/2018]],"','%d/%m/%Y'),",BA41,"),","('",Tabla7[[#This Row],[CONTADOR]],"',STR_TO_DATE('",Tabla7[[#Headers],[15/06/2018]],"','%d/%m/%Y'),",BB41,"),","('",Tabla7[[#This Row],[CONTADOR]],"',STR_TO_DATE('",Tabla7[[#Headers],[15/07/2018]],"','%d/%m/%Y'),",BC41,"),","('",Tabla7[[#This Row],[CONTADOR]],"',STR_TO_DATE('",Tabla7[[#Headers],[15/08/2018]],"','%d/%m/%Y'),",BD41,"),","('",Tabla7[[#This Row],[CONTADOR]],"',STR_TO_DATE('",Tabla7[[#Headers],[15/09/2018]],"','%d/%m/%Y'),",BE41,"),","('",Tabla7[[#This Row],[CONTADOR]],"',STR_TO_DATE('",Tabla7[[#Headers],[15/10/2018]],"','%d/%m/%Y'),",BF41,"),","('",Tabla7[[#This Row],[CONTADOR]],"',STR_TO_DATE('",Tabla7[[#Headers],[15/11/2018]],"','%d/%m/%Y'),",BG41,"),","('",Tabla7[[#This Row],[CONTADOR]],"',STR_TO_DATE('",Tabla7[[#Headers],[15/12/2018]],"','%d/%m/%Y'),",BH41,");")</f>
        <v>insert into lecturas values ('C01-22',STR_TO_DATE('31/12/2017','%d/%m/%Y'),3151),('C01-22',STR_TO_DATE('15/01/2018','%d/%m/%Y'),3151),('C01-22',STR_TO_DATE('15/02/2018','%d/%m/%Y'),3151),('C01-22',STR_TO_DATE('15/03/2018','%d/%m/%Y'),3151),('C01-22',STR_TO_DATE('15/04/2018','%d/%m/%Y'),3151),('C01-22',STR_TO_DATE('15/05/2018','%d/%m/%Y'),3151),('C01-22',STR_TO_DATE('15/06/2018','%d/%m/%Y'),3151),('C01-22',STR_TO_DATE('15/07/2018','%d/%m/%Y'),3151),('C01-22',STR_TO_DATE('15/08/2018','%d/%m/%Y'),3151),('C01-22',STR_TO_DATE('15/09/2018','%d/%m/%Y'),0),('C01-22',STR_TO_DATE('15/10/2018','%d/%m/%Y'),0),('C01-22',STR_TO_DATE('15/11/2018','%d/%m/%Y'),0),('C01-22',STR_TO_DATE('15/12/2018','%d/%m/%Y'),0);</v>
      </c>
    </row>
    <row r="42" spans="1:68" ht="18" customHeight="1" x14ac:dyDescent="0.25">
      <c r="A42" s="372" t="s">
        <v>1097</v>
      </c>
      <c r="B42" s="374" t="s">
        <v>649</v>
      </c>
      <c r="C42" s="373">
        <v>19552008</v>
      </c>
      <c r="D42" s="374" t="s">
        <v>650</v>
      </c>
      <c r="E42" s="375">
        <v>39886</v>
      </c>
      <c r="F42" s="376" t="s">
        <v>651</v>
      </c>
      <c r="G42" s="376" t="s">
        <v>652</v>
      </c>
      <c r="H42" s="376"/>
      <c r="I42" s="376"/>
      <c r="J42" s="383">
        <v>188879</v>
      </c>
      <c r="K42" s="383">
        <v>189242</v>
      </c>
      <c r="L42" s="383">
        <v>189360</v>
      </c>
      <c r="M42" s="383">
        <v>189437</v>
      </c>
      <c r="N42" s="383">
        <v>189464</v>
      </c>
      <c r="O42" s="383">
        <v>189560</v>
      </c>
      <c r="P42" s="383">
        <v>189677</v>
      </c>
      <c r="Q42" s="519">
        <v>189678</v>
      </c>
      <c r="R42" s="383"/>
      <c r="S42" s="377"/>
      <c r="T42" s="376"/>
      <c r="U42" s="383"/>
      <c r="V42" s="377"/>
      <c r="W42" s="377"/>
      <c r="X42" s="377"/>
      <c r="Y42" s="376">
        <f t="shared" si="5"/>
        <v>363</v>
      </c>
      <c r="Z42" s="376">
        <f t="shared" si="6"/>
        <v>118</v>
      </c>
      <c r="AA42" s="376">
        <f>IF(OR(ISBLANK(M42),ISBLANK(L42)),"",IF(AND(M42&gt;=L42,M42-L42&lt;=M42),(M42-L42)*$AK42,"!!!!"))</f>
        <v>77</v>
      </c>
      <c r="AB42" s="376">
        <f>IF(OR(ISBLANK(N42),ISBLANK(M42)),"",IF(AND(N42&gt;=M42,N42-M42&lt;=N42),(N42-M42)*$AK42,"!!!!"))</f>
        <v>27</v>
      </c>
      <c r="AC42" s="376">
        <f t="shared" si="17"/>
        <v>96</v>
      </c>
      <c r="AD42" s="376">
        <f t="shared" si="18"/>
        <v>117</v>
      </c>
      <c r="AE42" s="376">
        <f t="shared" si="19"/>
        <v>1</v>
      </c>
      <c r="AF42" s="376" t="str">
        <f t="shared" si="20"/>
        <v/>
      </c>
      <c r="AG42" s="376" t="str">
        <f t="shared" si="21"/>
        <v/>
      </c>
      <c r="AH42" s="376" t="str">
        <f t="shared" si="22"/>
        <v/>
      </c>
      <c r="AI42" s="376" t="str">
        <f t="shared" si="23"/>
        <v/>
      </c>
      <c r="AJ42" s="376" t="str">
        <f t="shared" si="24"/>
        <v/>
      </c>
      <c r="AK42" s="408">
        <v>1</v>
      </c>
      <c r="AL42" s="377">
        <f t="shared" ca="1" si="1"/>
        <v>189464</v>
      </c>
      <c r="AM42" s="383">
        <f t="shared" ca="1" si="2"/>
        <v>189560</v>
      </c>
      <c r="AN42" s="377">
        <f ca="1">IF(AND(Tabla7[[#This Row],[UltLec]]&lt;&gt;0,Tabla7[[#This Row],[PenLect]]&lt;&gt;0),(AM42-AL42)*Tabla7[[#This Row],[RT]],"N/A")</f>
        <v>96</v>
      </c>
      <c r="AO42" s="380" t="s">
        <v>1281</v>
      </c>
      <c r="AP42" s="433" t="s">
        <v>1190</v>
      </c>
      <c r="AQ42" s="433" t="s">
        <v>1189</v>
      </c>
      <c r="AR42" s="409">
        <f t="shared" si="3"/>
        <v>0</v>
      </c>
      <c r="AT42" s="2">
        <f t="shared" ca="1" si="4"/>
        <v>3.5555555555555554</v>
      </c>
      <c r="AV42">
        <f>IF(ISBLANK(Tabla7[[#This Row],[31/12/2017]]),0,Tabla7[[#This Row],[31/12/2017]])</f>
        <v>188879</v>
      </c>
      <c r="AW42">
        <f>IF(ISBLANK(Tabla7[[#This Row],[15/01/2018]]),0,Tabla7[[#This Row],[15/01/2018]])</f>
        <v>189242</v>
      </c>
      <c r="AX42">
        <f>IF(ISBLANK(Tabla7[[#This Row],[15/02/2018]]),0,Tabla7[[#This Row],[15/02/2018]])</f>
        <v>189360</v>
      </c>
      <c r="AY42">
        <f>IF(ISBLANK(Tabla7[[#This Row],[15/03/2018]]),0,Tabla7[[#This Row],[15/03/2018]])</f>
        <v>189437</v>
      </c>
      <c r="AZ42">
        <f>IF(ISBLANK(Tabla7[[#This Row],[15/04/2018]]),0,Tabla7[[#This Row],[15/04/2018]])</f>
        <v>189464</v>
      </c>
      <c r="BA42">
        <f>IF(ISBLANK(Tabla7[[#This Row],[15/05/2018]]),0,Tabla7[[#This Row],[15/05/2018]])</f>
        <v>189560</v>
      </c>
      <c r="BB42">
        <f>IF(ISBLANK(Tabla7[[#This Row],[15/06/2018]]),0,Tabla7[[#This Row],[15/06/2018]])</f>
        <v>189677</v>
      </c>
      <c r="BC42">
        <f>IF(ISBLANK(Tabla7[[#This Row],[15/07/2018]]),0,Tabla7[[#This Row],[15/07/2018]])</f>
        <v>189678</v>
      </c>
      <c r="BD42">
        <f>IF(ISBLANK(Tabla7[[#This Row],[15/08/2018]]),0,Tabla7[[#This Row],[15/08/2018]])</f>
        <v>0</v>
      </c>
      <c r="BE42">
        <f>IF(ISBLANK(Tabla7[[#This Row],[15/09/2018]]),0,Tabla7[[#This Row],[15/09/2018]])</f>
        <v>0</v>
      </c>
      <c r="BF42">
        <f>IF(ISBLANK(Tabla7[[#This Row],[15/10/2018]]),0,Tabla7[[#This Row],[15/10/2018]])</f>
        <v>0</v>
      </c>
      <c r="BG42">
        <f>IF(ISBLANK(Tabla7[[#This Row],[15/11/2018]]),0,Tabla7[[#This Row],[15/11/2018]])</f>
        <v>0</v>
      </c>
      <c r="BH42">
        <f>IF(ISBLANK(Tabla7[[#This Row],[15/12/2018]]),0,Tabla7[[#This Row],[15/12/2018]])</f>
        <v>0</v>
      </c>
      <c r="BI42">
        <f>IF(ISBLANK(Tabla7[[#This Row],[28/12/2018]]),0,Tabla7[[#This Row],[28/12/2018]])</f>
        <v>0</v>
      </c>
      <c r="BN4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('19552008','GBAJA','GCT02','39886','NAVARRO Y BORONAD, S.L.','INTERIOR TDO. Nº4 ZONA VENECIA','','');</v>
      </c>
      <c r="BO42" t="s">
        <v>243</v>
      </c>
      <c r="BP42" s="632" t="str">
        <f>CONCATENATE("insert into lecturas values ","('",Tabla7[[#This Row],[CONTADOR]],"',STR_TO_DATE('",Tabla7[[#Headers],[31/12/2017]],"','%d/%m/%Y'),",AV42,"),","('",Tabla7[[#This Row],[CONTADOR]],"',STR_TO_DATE('",Tabla7[[#Headers],[15/01/2018]],"','%d/%m/%Y'),",AW42,"),","('",Tabla7[[#This Row],[CONTADOR]],"',STR_TO_DATE('",Tabla7[[#Headers],[15/02/2018]],"','%d/%m/%Y'),",AX42,"),","('",Tabla7[[#This Row],[CONTADOR]],"',STR_TO_DATE('",Tabla7[[#Headers],[15/03/2018]],"','%d/%m/%Y'),",AY42,"),","('",Tabla7[[#This Row],[CONTADOR]],"',STR_TO_DATE('",Tabla7[[#Headers],[15/04/2018]],"','%d/%m/%Y'),",AZ42,"),","('",Tabla7[[#This Row],[CONTADOR]],"',STR_TO_DATE('",Tabla7[[#Headers],[15/05/2018]],"','%d/%m/%Y'),",BA42,"),","('",Tabla7[[#This Row],[CONTADOR]],"',STR_TO_DATE('",Tabla7[[#Headers],[15/06/2018]],"','%d/%m/%Y'),",BB42,"),","('",Tabla7[[#This Row],[CONTADOR]],"',STR_TO_DATE('",Tabla7[[#Headers],[15/07/2018]],"','%d/%m/%Y'),",BC42,"),","('",Tabla7[[#This Row],[CONTADOR]],"',STR_TO_DATE('",Tabla7[[#Headers],[15/08/2018]],"','%d/%m/%Y'),",BD42,"),","('",Tabla7[[#This Row],[CONTADOR]],"',STR_TO_DATE('",Tabla7[[#Headers],[15/09/2018]],"','%d/%m/%Y'),",BE42,"),","('",Tabla7[[#This Row],[CONTADOR]],"',STR_TO_DATE('",Tabla7[[#Headers],[15/10/2018]],"','%d/%m/%Y'),",BF42,"),","('",Tabla7[[#This Row],[CONTADOR]],"',STR_TO_DATE('",Tabla7[[#Headers],[15/11/2018]],"','%d/%m/%Y'),",BG42,"),","('",Tabla7[[#This Row],[CONTADOR]],"',STR_TO_DATE('",Tabla7[[#Headers],[15/12/2018]],"','%d/%m/%Y'),",BH42,");")</f>
        <v>insert into lecturas values ('19552008',STR_TO_DATE('31/12/2017','%d/%m/%Y'),188879),('19552008',STR_TO_DATE('15/01/2018','%d/%m/%Y'),189242),('19552008',STR_TO_DATE('15/02/2018','%d/%m/%Y'),189360),('19552008',STR_TO_DATE('15/03/2018','%d/%m/%Y'),189437),('19552008',STR_TO_DATE('15/04/2018','%d/%m/%Y'),189464),('19552008',STR_TO_DATE('15/05/2018','%d/%m/%Y'),189560),('19552008',STR_TO_DATE('15/06/2018','%d/%m/%Y'),189677),('19552008',STR_TO_DATE('15/07/2018','%d/%m/%Y'),189678),('19552008',STR_TO_DATE('15/08/2018','%d/%m/%Y'),0),('19552008',STR_TO_DATE('15/09/2018','%d/%m/%Y'),0),('19552008',STR_TO_DATE('15/10/2018','%d/%m/%Y'),0),('19552008',STR_TO_DATE('15/11/2018','%d/%m/%Y'),0),('19552008',STR_TO_DATE('15/12/2018','%d/%m/%Y'),0);</v>
      </c>
    </row>
    <row r="43" spans="1:68" ht="18" customHeight="1" x14ac:dyDescent="0.25">
      <c r="A43" s="241" t="s">
        <v>614</v>
      </c>
      <c r="B43" s="60"/>
      <c r="C43" s="220">
        <v>3789280061</v>
      </c>
      <c r="D43" s="60" t="s">
        <v>650</v>
      </c>
      <c r="E43" s="258">
        <v>39886</v>
      </c>
      <c r="F43" s="274" t="s">
        <v>651</v>
      </c>
      <c r="G43" s="2" t="s">
        <v>1362</v>
      </c>
      <c r="H43" s="2" t="s">
        <v>1363</v>
      </c>
      <c r="I43" s="2" t="s">
        <v>1364</v>
      </c>
      <c r="J43" s="474"/>
      <c r="K43" s="474"/>
      <c r="L43" s="351"/>
      <c r="M43" s="351"/>
      <c r="N43" s="474"/>
      <c r="O43" s="351">
        <v>0</v>
      </c>
      <c r="P43" s="454">
        <v>7</v>
      </c>
      <c r="Q43" s="493">
        <v>18.920000000000002</v>
      </c>
      <c r="R43" s="311">
        <v>32.82</v>
      </c>
      <c r="S43" s="474">
        <v>537.9</v>
      </c>
      <c r="T43" s="474">
        <v>1549.8</v>
      </c>
      <c r="U43" s="619">
        <v>2645.5</v>
      </c>
      <c r="V43" s="311">
        <v>3859.2</v>
      </c>
      <c r="W43" s="352"/>
      <c r="X43" s="352"/>
      <c r="Y43" s="351" t="str">
        <f t="shared" si="5"/>
        <v/>
      </c>
      <c r="Z43" s="351" t="str">
        <f t="shared" si="6"/>
        <v/>
      </c>
      <c r="AA43" s="351" t="str">
        <f>IF(OR(ISBLANK(#REF!),ISBLANK(L43)),"",IF(AND(#REF!&gt;=L43,#REF!-L43&lt;=#REF!),(#REF!-L43)*$AK43,"!!!!"))</f>
        <v/>
      </c>
      <c r="AB43" s="351" t="str">
        <f>IF(OR(ISBLANK(N43),ISBLANK(#REF!)),"",IF(AND(N43&gt;=#REF!,N43-#REF!&lt;=N43),(N43-#REF!)*$AK43,"!!!!"))</f>
        <v/>
      </c>
      <c r="AC43" s="351" t="str">
        <f t="shared" si="17"/>
        <v/>
      </c>
      <c r="AD43" s="351">
        <f t="shared" si="18"/>
        <v>7</v>
      </c>
      <c r="AE43" s="351">
        <f t="shared" si="19"/>
        <v>11.920000000000002</v>
      </c>
      <c r="AF43" s="351">
        <f t="shared" si="20"/>
        <v>13.899999999999999</v>
      </c>
      <c r="AG43" s="351">
        <f t="shared" si="21"/>
        <v>505.08</v>
      </c>
      <c r="AH43" s="475">
        <f t="shared" si="22"/>
        <v>1011.9</v>
      </c>
      <c r="AI43" s="351">
        <f t="shared" si="23"/>
        <v>1095.7</v>
      </c>
      <c r="AJ43" s="351">
        <f t="shared" si="24"/>
        <v>1213.6999999999998</v>
      </c>
      <c r="AK43" s="476">
        <v>1</v>
      </c>
      <c r="AL43" s="477">
        <f t="shared" ca="1" si="1"/>
        <v>0</v>
      </c>
      <c r="AM43" s="474">
        <f t="shared" ca="1" si="2"/>
        <v>0</v>
      </c>
      <c r="AN43" s="477" t="str">
        <f ca="1">IF(AND(Tabla7[[#This Row],[UltLec]]&lt;&gt;0,Tabla7[[#This Row],[PenLect]]&lt;&gt;0),(AM43-AL43)*Tabla7[[#This Row],[RT]],"N/A")</f>
        <v>N/A</v>
      </c>
      <c r="AO43" s="478" t="s">
        <v>910</v>
      </c>
      <c r="AP43" s="480" t="s">
        <v>1190</v>
      </c>
      <c r="AQ43" s="480" t="s">
        <v>1189</v>
      </c>
      <c r="AR43" s="479">
        <f t="shared" si="3"/>
        <v>0</v>
      </c>
      <c r="AT43" s="2" t="e">
        <f t="shared" ca="1" si="4"/>
        <v>#VALUE!</v>
      </c>
      <c r="AV43">
        <f>IF(ISBLANK(Tabla7[[#This Row],[31/12/2017]]),0,Tabla7[[#This Row],[31/12/2017]])</f>
        <v>0</v>
      </c>
      <c r="AW43">
        <f>IF(ISBLANK(Tabla7[[#This Row],[15/01/2018]]),0,Tabla7[[#This Row],[15/01/2018]])</f>
        <v>0</v>
      </c>
      <c r="AX43">
        <f>IF(ISBLANK(Tabla7[[#This Row],[15/02/2018]]),0,Tabla7[[#This Row],[15/02/2018]])</f>
        <v>0</v>
      </c>
      <c r="AY43">
        <f>IF(ISBLANK(Tabla7[[#This Row],[15/03/2018]]),0,Tabla7[[#This Row],[15/03/2018]])</f>
        <v>0</v>
      </c>
      <c r="AZ43">
        <f>IF(ISBLANK(Tabla7[[#This Row],[15/04/2018]]),0,Tabla7[[#This Row],[15/04/2018]])</f>
        <v>0</v>
      </c>
      <c r="BA43">
        <f>IF(ISBLANK(Tabla7[[#This Row],[15/05/2018]]),0,Tabla7[[#This Row],[15/05/2018]])</f>
        <v>0</v>
      </c>
      <c r="BB43">
        <f>IF(ISBLANK(Tabla7[[#This Row],[15/06/2018]]),0,Tabla7[[#This Row],[15/06/2018]])</f>
        <v>7</v>
      </c>
      <c r="BC43">
        <f>IF(ISBLANK(Tabla7[[#This Row],[15/07/2018]]),0,Tabla7[[#This Row],[15/07/2018]])</f>
        <v>18.920000000000002</v>
      </c>
      <c r="BD43">
        <f>IF(ISBLANK(Tabla7[[#This Row],[15/08/2018]]),0,Tabla7[[#This Row],[15/08/2018]])</f>
        <v>32.82</v>
      </c>
      <c r="BE43">
        <f>IF(ISBLANK(Tabla7[[#This Row],[15/09/2018]]),0,Tabla7[[#This Row],[15/09/2018]])</f>
        <v>537.9</v>
      </c>
      <c r="BF43">
        <f>IF(ISBLANK(Tabla7[[#This Row],[15/10/2018]]),0,Tabla7[[#This Row],[15/10/2018]])</f>
        <v>1549.8</v>
      </c>
      <c r="BG43">
        <f>IF(ISBLANK(Tabla7[[#This Row],[15/11/2018]]),0,Tabla7[[#This Row],[15/11/2018]])</f>
        <v>2645.5</v>
      </c>
      <c r="BH43">
        <f>IF(ISBLANK(Tabla7[[#This Row],[15/12/2018]]),0,Tabla7[[#This Row],[15/12/2018]])</f>
        <v>3859.2</v>
      </c>
      <c r="BI43">
        <f>IF(ISBLANK(Tabla7[[#This Row],[28/12/2018]]),0,Tabla7[[#This Row],[28/12/2018]])</f>
        <v>0</v>
      </c>
      <c r="BN4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('3789280061','G','GCT02','39886','NAVARRO Y BORONAD, S.L.','INTERIOR TDO. Nº4 VENECIA','Alumbrado interior tinglado nº 4 Venecia','Alta por sustitución en fecha 08/06/2018');</v>
      </c>
      <c r="BO43" t="s">
        <v>243</v>
      </c>
      <c r="BP43" s="632" t="str">
        <f>CONCATENATE("insert into lecturas values ","('",Tabla7[[#This Row],[CONTADOR]],"',STR_TO_DATE('",Tabla7[[#Headers],[31/12/2017]],"','%d/%m/%Y'),",AV43,"),","('",Tabla7[[#This Row],[CONTADOR]],"',STR_TO_DATE('",Tabla7[[#Headers],[15/01/2018]],"','%d/%m/%Y'),",AW43,"),","('",Tabla7[[#This Row],[CONTADOR]],"',STR_TO_DATE('",Tabla7[[#Headers],[15/02/2018]],"','%d/%m/%Y'),",AX43,"),","('",Tabla7[[#This Row],[CONTADOR]],"',STR_TO_DATE('",Tabla7[[#Headers],[15/03/2018]],"','%d/%m/%Y'),",AY43,"),","('",Tabla7[[#This Row],[CONTADOR]],"',STR_TO_DATE('",Tabla7[[#Headers],[15/04/2018]],"','%d/%m/%Y'),",AZ43,"),","('",Tabla7[[#This Row],[CONTADOR]],"',STR_TO_DATE('",Tabla7[[#Headers],[15/05/2018]],"','%d/%m/%Y'),",BA43,"),","('",Tabla7[[#This Row],[CONTADOR]],"',STR_TO_DATE('",Tabla7[[#Headers],[15/06/2018]],"','%d/%m/%Y'),",BB43,"),","('",Tabla7[[#This Row],[CONTADOR]],"',STR_TO_DATE('",Tabla7[[#Headers],[15/07/2018]],"','%d/%m/%Y'),",BC43,"),","('",Tabla7[[#This Row],[CONTADOR]],"',STR_TO_DATE('",Tabla7[[#Headers],[15/08/2018]],"','%d/%m/%Y'),",BD43,"),","('",Tabla7[[#This Row],[CONTADOR]],"',STR_TO_DATE('",Tabla7[[#Headers],[15/09/2018]],"','%d/%m/%Y'),",BE43,"),","('",Tabla7[[#This Row],[CONTADOR]],"',STR_TO_DATE('",Tabla7[[#Headers],[15/10/2018]],"','%d/%m/%Y'),",BF43,"),","('",Tabla7[[#This Row],[CONTADOR]],"',STR_TO_DATE('",Tabla7[[#Headers],[15/11/2018]],"','%d/%m/%Y'),",BG43,"),","('",Tabla7[[#This Row],[CONTADOR]],"',STR_TO_DATE('",Tabla7[[#Headers],[15/12/2018]],"','%d/%m/%Y'),",BH43,");")</f>
        <v>insert into lecturas values ('3789280061',STR_TO_DATE('31/12/2017','%d/%m/%Y'),0),('3789280061',STR_TO_DATE('15/01/2018','%d/%m/%Y'),0),('3789280061',STR_TO_DATE('15/02/2018','%d/%m/%Y'),0),('3789280061',STR_TO_DATE('15/03/2018','%d/%m/%Y'),0),('3789280061',STR_TO_DATE('15/04/2018','%d/%m/%Y'),0),('3789280061',STR_TO_DATE('15/05/2018','%d/%m/%Y'),0),('3789280061',STR_TO_DATE('15/06/2018','%d/%m/%Y'),7),('3789280061',STR_TO_DATE('15/07/2018','%d/%m/%Y'),18,92),('3789280061',STR_TO_DATE('15/08/2018','%d/%m/%Y'),32,82),('3789280061',STR_TO_DATE('15/09/2018','%d/%m/%Y'),537,9),('3789280061',STR_TO_DATE('15/10/2018','%d/%m/%Y'),1549,8),('3789280061',STR_TO_DATE('15/11/2018','%d/%m/%Y'),2645,5),('3789280061',STR_TO_DATE('15/12/2018','%d/%m/%Y'),3859,2);</v>
      </c>
    </row>
    <row r="44" spans="1:68" ht="18" customHeight="1" x14ac:dyDescent="0.25">
      <c r="A44" s="241" t="s">
        <v>614</v>
      </c>
      <c r="B44" s="60"/>
      <c r="C44" s="319" t="s">
        <v>416</v>
      </c>
      <c r="D44" s="60" t="s">
        <v>650</v>
      </c>
      <c r="E44" s="258">
        <v>3</v>
      </c>
      <c r="F44" s="265" t="s">
        <v>21</v>
      </c>
      <c r="G44" s="265" t="s">
        <v>654</v>
      </c>
      <c r="H44" s="265" t="s">
        <v>653</v>
      </c>
      <c r="I44" s="265" t="s">
        <v>1468</v>
      </c>
      <c r="J44" s="354">
        <v>1088421</v>
      </c>
      <c r="K44" s="354">
        <v>1095630</v>
      </c>
      <c r="L44" s="354">
        <v>1105567</v>
      </c>
      <c r="M44" s="356">
        <v>1122219</v>
      </c>
      <c r="N44" s="354">
        <v>1133905</v>
      </c>
      <c r="O44" s="354">
        <v>1145389</v>
      </c>
      <c r="P44" s="473">
        <v>1153038</v>
      </c>
      <c r="Q44" s="473">
        <v>1166042</v>
      </c>
      <c r="R44" s="354">
        <v>1177861</v>
      </c>
      <c r="S44" s="354">
        <v>1190434</v>
      </c>
      <c r="T44" s="354">
        <v>1202379</v>
      </c>
      <c r="U44" s="356">
        <v>1219000</v>
      </c>
      <c r="V44" s="354">
        <v>1232933</v>
      </c>
      <c r="W44" s="308"/>
      <c r="X44" s="308"/>
      <c r="Y44" s="2">
        <f t="shared" si="5"/>
        <v>7209</v>
      </c>
      <c r="Z44" s="2">
        <f t="shared" si="6"/>
        <v>9937</v>
      </c>
      <c r="AA44" s="2">
        <f t="shared" ref="AA44:AA67" si="25">IF(OR(ISBLANK(M44),ISBLANK(L44)),"",IF(AND(M44&gt;=L44,M44-L44&lt;=M44),(M44-L44)*$AK44,"!!!!"))</f>
        <v>16652</v>
      </c>
      <c r="AB44" s="2">
        <f t="shared" ref="AB44:AB67" si="26">IF(OR(ISBLANK(N44),ISBLANK(M44)),"",IF(AND(N44&gt;=M44,N44-M44&lt;=N44),(N44-M44)*$AK44,"!!!!"))</f>
        <v>11686</v>
      </c>
      <c r="AC44" s="2">
        <f t="shared" si="17"/>
        <v>11484</v>
      </c>
      <c r="AD44" s="2">
        <f t="shared" si="18"/>
        <v>7649</v>
      </c>
      <c r="AE44" s="2">
        <f t="shared" si="19"/>
        <v>13004</v>
      </c>
      <c r="AF44" s="2">
        <f t="shared" si="20"/>
        <v>11819</v>
      </c>
      <c r="AG44" s="2">
        <f t="shared" si="21"/>
        <v>12573</v>
      </c>
      <c r="AH44" s="2">
        <f t="shared" si="22"/>
        <v>11945</v>
      </c>
      <c r="AI44" s="2">
        <f t="shared" si="23"/>
        <v>16621</v>
      </c>
      <c r="AJ44" s="2">
        <f t="shared" si="24"/>
        <v>13933</v>
      </c>
      <c r="AK44" s="406">
        <v>1</v>
      </c>
      <c r="AL44" s="274">
        <f t="shared" ca="1" si="1"/>
        <v>1133905</v>
      </c>
      <c r="AM44" s="311">
        <f t="shared" ca="1" si="2"/>
        <v>1145389</v>
      </c>
      <c r="AN44" s="274">
        <f ca="1">IF(AND(Tabla7[[#This Row],[UltLec]]&lt;&gt;0,Tabla7[[#This Row],[PenLect]]&lt;&gt;0),(AM44-AL44)*Tabla7[[#This Row],[RT]],"N/A")</f>
        <v>11484</v>
      </c>
      <c r="AO44" s="273" t="s">
        <v>910</v>
      </c>
      <c r="AP44" s="392" t="s">
        <v>1190</v>
      </c>
      <c r="AQ44" s="392" t="s">
        <v>1189</v>
      </c>
      <c r="AR44" s="407">
        <f t="shared" si="3"/>
        <v>0</v>
      </c>
      <c r="AT44" s="2">
        <f t="shared" ca="1" si="4"/>
        <v>0.98271435906212568</v>
      </c>
      <c r="AV44">
        <f>IF(ISBLANK(Tabla7[[#This Row],[31/12/2017]]),0,Tabla7[[#This Row],[31/12/2017]])</f>
        <v>1088421</v>
      </c>
      <c r="AW44">
        <f>IF(ISBLANK(Tabla7[[#This Row],[15/01/2018]]),0,Tabla7[[#This Row],[15/01/2018]])</f>
        <v>1095630</v>
      </c>
      <c r="AX44">
        <f>IF(ISBLANK(Tabla7[[#This Row],[15/02/2018]]),0,Tabla7[[#This Row],[15/02/2018]])</f>
        <v>1105567</v>
      </c>
      <c r="AY44">
        <f>IF(ISBLANK(Tabla7[[#This Row],[15/03/2018]]),0,Tabla7[[#This Row],[15/03/2018]])</f>
        <v>1122219</v>
      </c>
      <c r="AZ44">
        <f>IF(ISBLANK(Tabla7[[#This Row],[15/04/2018]]),0,Tabla7[[#This Row],[15/04/2018]])</f>
        <v>1133905</v>
      </c>
      <c r="BA44">
        <f>IF(ISBLANK(Tabla7[[#This Row],[15/05/2018]]),0,Tabla7[[#This Row],[15/05/2018]])</f>
        <v>1145389</v>
      </c>
      <c r="BB44">
        <f>IF(ISBLANK(Tabla7[[#This Row],[15/06/2018]]),0,Tabla7[[#This Row],[15/06/2018]])</f>
        <v>1153038</v>
      </c>
      <c r="BC44">
        <f>IF(ISBLANK(Tabla7[[#This Row],[15/07/2018]]),0,Tabla7[[#This Row],[15/07/2018]])</f>
        <v>1166042</v>
      </c>
      <c r="BD44">
        <f>IF(ISBLANK(Tabla7[[#This Row],[15/08/2018]]),0,Tabla7[[#This Row],[15/08/2018]])</f>
        <v>1177861</v>
      </c>
      <c r="BE44">
        <f>IF(ISBLANK(Tabla7[[#This Row],[15/09/2018]]),0,Tabla7[[#This Row],[15/09/2018]])</f>
        <v>1190434</v>
      </c>
      <c r="BF44">
        <f>IF(ISBLANK(Tabla7[[#This Row],[15/10/2018]]),0,Tabla7[[#This Row],[15/10/2018]])</f>
        <v>1202379</v>
      </c>
      <c r="BG44">
        <f>IF(ISBLANK(Tabla7[[#This Row],[15/11/2018]]),0,Tabla7[[#This Row],[15/11/2018]])</f>
        <v>1219000</v>
      </c>
      <c r="BH44">
        <f>IF(ISBLANK(Tabla7[[#This Row],[15/12/2018]]),0,Tabla7[[#This Row],[15/12/2018]])</f>
        <v>1232933</v>
      </c>
      <c r="BI44">
        <f>IF(ISBLANK(Tabla7[[#This Row],[28/12/2018]]),0,Tabla7[[#This Row],[28/12/2018]])</f>
        <v>0</v>
      </c>
      <c r="BN4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('C02.01','G','GCT02','3','APV','CT 2 SERPIS','Circuitos alumbrados (Torres)','Se ponen dos digitos a mano (10) (11) (12)');</v>
      </c>
      <c r="BO44" t="s">
        <v>243</v>
      </c>
      <c r="BP44" s="632" t="str">
        <f>CONCATENATE("insert into lecturas values ","('",Tabla7[[#This Row],[CONTADOR]],"',STR_TO_DATE('",Tabla7[[#Headers],[31/12/2017]],"','%d/%m/%Y'),",AV44,"),","('",Tabla7[[#This Row],[CONTADOR]],"',STR_TO_DATE('",Tabla7[[#Headers],[15/01/2018]],"','%d/%m/%Y'),",AW44,"),","('",Tabla7[[#This Row],[CONTADOR]],"',STR_TO_DATE('",Tabla7[[#Headers],[15/02/2018]],"','%d/%m/%Y'),",AX44,"),","('",Tabla7[[#This Row],[CONTADOR]],"',STR_TO_DATE('",Tabla7[[#Headers],[15/03/2018]],"','%d/%m/%Y'),",AY44,"),","('",Tabla7[[#This Row],[CONTADOR]],"',STR_TO_DATE('",Tabla7[[#Headers],[15/04/2018]],"','%d/%m/%Y'),",AZ44,"),","('",Tabla7[[#This Row],[CONTADOR]],"',STR_TO_DATE('",Tabla7[[#Headers],[15/05/2018]],"','%d/%m/%Y'),",BA44,"),","('",Tabla7[[#This Row],[CONTADOR]],"',STR_TO_DATE('",Tabla7[[#Headers],[15/06/2018]],"','%d/%m/%Y'),",BB44,"),","('",Tabla7[[#This Row],[CONTADOR]],"',STR_TO_DATE('",Tabla7[[#Headers],[15/07/2018]],"','%d/%m/%Y'),",BC44,"),","('",Tabla7[[#This Row],[CONTADOR]],"',STR_TO_DATE('",Tabla7[[#Headers],[15/08/2018]],"','%d/%m/%Y'),",BD44,"),","('",Tabla7[[#This Row],[CONTADOR]],"',STR_TO_DATE('",Tabla7[[#Headers],[15/09/2018]],"','%d/%m/%Y'),",BE44,"),","('",Tabla7[[#This Row],[CONTADOR]],"',STR_TO_DATE('",Tabla7[[#Headers],[15/10/2018]],"','%d/%m/%Y'),",BF44,"),","('",Tabla7[[#This Row],[CONTADOR]],"',STR_TO_DATE('",Tabla7[[#Headers],[15/11/2018]],"','%d/%m/%Y'),",BG44,"),","('",Tabla7[[#This Row],[CONTADOR]],"',STR_TO_DATE('",Tabla7[[#Headers],[15/12/2018]],"','%d/%m/%Y'),",BH44,");")</f>
        <v>insert into lecturas values ('C02.01',STR_TO_DATE('31/12/2017','%d/%m/%Y'),1088421),('C02.01',STR_TO_DATE('15/01/2018','%d/%m/%Y'),1095630),('C02.01',STR_TO_DATE('15/02/2018','%d/%m/%Y'),1105567),('C02.01',STR_TO_DATE('15/03/2018','%d/%m/%Y'),1122219),('C02.01',STR_TO_DATE('15/04/2018','%d/%m/%Y'),1133905),('C02.01',STR_TO_DATE('15/05/2018','%d/%m/%Y'),1145389),('C02.01',STR_TO_DATE('15/06/2018','%d/%m/%Y'),1153038),('C02.01',STR_TO_DATE('15/07/2018','%d/%m/%Y'),1166042),('C02.01',STR_TO_DATE('15/08/2018','%d/%m/%Y'),1177861),('C02.01',STR_TO_DATE('15/09/2018','%d/%m/%Y'),1190434),('C02.01',STR_TO_DATE('15/10/2018','%d/%m/%Y'),1202379),('C02.01',STR_TO_DATE('15/11/2018','%d/%m/%Y'),1219000),('C02.01',STR_TO_DATE('15/12/2018','%d/%m/%Y'),1232933);</v>
      </c>
    </row>
    <row r="45" spans="1:68" ht="18" customHeight="1" x14ac:dyDescent="0.25">
      <c r="A45" s="241" t="s">
        <v>614</v>
      </c>
      <c r="B45" s="60"/>
      <c r="C45" s="223" t="s">
        <v>417</v>
      </c>
      <c r="D45" s="60" t="s">
        <v>650</v>
      </c>
      <c r="E45" s="258">
        <v>39881</v>
      </c>
      <c r="F45" s="2" t="s">
        <v>651</v>
      </c>
      <c r="G45" s="2" t="s">
        <v>654</v>
      </c>
      <c r="H45" s="2" t="s">
        <v>655</v>
      </c>
      <c r="I45" s="274"/>
      <c r="J45" s="311">
        <v>76319</v>
      </c>
      <c r="K45" s="311">
        <v>76651</v>
      </c>
      <c r="L45" s="311">
        <v>76871</v>
      </c>
      <c r="M45" s="311">
        <v>77387</v>
      </c>
      <c r="N45" s="311">
        <v>78206</v>
      </c>
      <c r="O45" s="311">
        <v>78493</v>
      </c>
      <c r="P45" s="454">
        <v>79053</v>
      </c>
      <c r="Q45" s="492">
        <v>79769</v>
      </c>
      <c r="R45" s="311">
        <v>79771</v>
      </c>
      <c r="S45" s="492">
        <v>80000</v>
      </c>
      <c r="T45" s="492">
        <v>80475</v>
      </c>
      <c r="U45" s="311">
        <v>81085</v>
      </c>
      <c r="V45" s="311">
        <v>81847</v>
      </c>
      <c r="W45" s="274"/>
      <c r="X45" s="274"/>
      <c r="Y45" s="2">
        <f t="shared" si="5"/>
        <v>332</v>
      </c>
      <c r="Z45" s="2">
        <f t="shared" si="6"/>
        <v>220</v>
      </c>
      <c r="AA45" s="2">
        <f t="shared" si="25"/>
        <v>516</v>
      </c>
      <c r="AB45" s="2">
        <f t="shared" si="26"/>
        <v>819</v>
      </c>
      <c r="AC45" s="2">
        <f t="shared" si="17"/>
        <v>287</v>
      </c>
      <c r="AD45" s="2">
        <f t="shared" si="18"/>
        <v>560</v>
      </c>
      <c r="AE45" s="2">
        <f t="shared" si="19"/>
        <v>716</v>
      </c>
      <c r="AF45" s="2">
        <f t="shared" si="20"/>
        <v>2</v>
      </c>
      <c r="AG45" s="2">
        <f t="shared" si="21"/>
        <v>229</v>
      </c>
      <c r="AH45" s="2">
        <f t="shared" si="22"/>
        <v>475</v>
      </c>
      <c r="AI45" s="2">
        <f t="shared" si="23"/>
        <v>610</v>
      </c>
      <c r="AJ45" s="2">
        <f t="shared" si="24"/>
        <v>762</v>
      </c>
      <c r="AK45" s="406">
        <v>1</v>
      </c>
      <c r="AL45" s="274">
        <f t="shared" ca="1" si="1"/>
        <v>78206</v>
      </c>
      <c r="AM45" s="311">
        <f t="shared" ca="1" si="2"/>
        <v>78493</v>
      </c>
      <c r="AN45" s="274">
        <f ca="1">IF(AND(Tabla7[[#This Row],[UltLec]]&lt;&gt;0,Tabla7[[#This Row],[PenLect]]&lt;&gt;0),(AM45-AL45)*Tabla7[[#This Row],[RT]],"N/A")</f>
        <v>287</v>
      </c>
      <c r="AO45" s="273" t="s">
        <v>910</v>
      </c>
      <c r="AP45" s="392" t="s">
        <v>1190</v>
      </c>
      <c r="AQ45" s="392" t="s">
        <v>1189</v>
      </c>
      <c r="AR45" s="407">
        <f t="shared" si="3"/>
        <v>0</v>
      </c>
      <c r="AT45" s="2">
        <f t="shared" ca="1" si="4"/>
        <v>0.3504273504273504</v>
      </c>
      <c r="AV45">
        <f>IF(ISBLANK(Tabla7[[#This Row],[31/12/2017]]),0,Tabla7[[#This Row],[31/12/2017]])</f>
        <v>76319</v>
      </c>
      <c r="AW45">
        <f>IF(ISBLANK(Tabla7[[#This Row],[15/01/2018]]),0,Tabla7[[#This Row],[15/01/2018]])</f>
        <v>76651</v>
      </c>
      <c r="AX45">
        <f>IF(ISBLANK(Tabla7[[#This Row],[15/02/2018]]),0,Tabla7[[#This Row],[15/02/2018]])</f>
        <v>76871</v>
      </c>
      <c r="AY45">
        <f>IF(ISBLANK(Tabla7[[#This Row],[15/03/2018]]),0,Tabla7[[#This Row],[15/03/2018]])</f>
        <v>77387</v>
      </c>
      <c r="AZ45">
        <f>IF(ISBLANK(Tabla7[[#This Row],[15/04/2018]]),0,Tabla7[[#This Row],[15/04/2018]])</f>
        <v>78206</v>
      </c>
      <c r="BA45">
        <f>IF(ISBLANK(Tabla7[[#This Row],[15/05/2018]]),0,Tabla7[[#This Row],[15/05/2018]])</f>
        <v>78493</v>
      </c>
      <c r="BB45">
        <f>IF(ISBLANK(Tabla7[[#This Row],[15/06/2018]]),0,Tabla7[[#This Row],[15/06/2018]])</f>
        <v>79053</v>
      </c>
      <c r="BC45">
        <f>IF(ISBLANK(Tabla7[[#This Row],[15/07/2018]]),0,Tabla7[[#This Row],[15/07/2018]])</f>
        <v>79769</v>
      </c>
      <c r="BD45">
        <f>IF(ISBLANK(Tabla7[[#This Row],[15/08/2018]]),0,Tabla7[[#This Row],[15/08/2018]])</f>
        <v>79771</v>
      </c>
      <c r="BE45">
        <f>IF(ISBLANK(Tabla7[[#This Row],[15/09/2018]]),0,Tabla7[[#This Row],[15/09/2018]])</f>
        <v>80000</v>
      </c>
      <c r="BF45">
        <f>IF(ISBLANK(Tabla7[[#This Row],[15/10/2018]]),0,Tabla7[[#This Row],[15/10/2018]])</f>
        <v>80475</v>
      </c>
      <c r="BG45">
        <f>IF(ISBLANK(Tabla7[[#This Row],[15/11/2018]]),0,Tabla7[[#This Row],[15/11/2018]])</f>
        <v>81085</v>
      </c>
      <c r="BH45">
        <f>IF(ISBLANK(Tabla7[[#This Row],[15/12/2018]]),0,Tabla7[[#This Row],[15/12/2018]])</f>
        <v>81847</v>
      </c>
      <c r="BI45">
        <f>IF(ISBLANK(Tabla7[[#This Row],[28/12/2018]]),0,Tabla7[[#This Row],[28/12/2018]])</f>
        <v>0</v>
      </c>
      <c r="BN4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('C02.05','G','GCT02','39881','NAVARRO Y BORONAD, S.L.','CT 2 SERPIS','LÍNEA GRÚAS Nº1 M. SERPIS','');</v>
      </c>
      <c r="BO45" t="s">
        <v>243</v>
      </c>
      <c r="BP45" s="632" t="str">
        <f>CONCATENATE("insert into lecturas values ","('",Tabla7[[#This Row],[CONTADOR]],"',STR_TO_DATE('",Tabla7[[#Headers],[31/12/2017]],"','%d/%m/%Y'),",AV45,"),","('",Tabla7[[#This Row],[CONTADOR]],"',STR_TO_DATE('",Tabla7[[#Headers],[15/01/2018]],"','%d/%m/%Y'),",AW45,"),","('",Tabla7[[#This Row],[CONTADOR]],"',STR_TO_DATE('",Tabla7[[#Headers],[15/02/2018]],"','%d/%m/%Y'),",AX45,"),","('",Tabla7[[#This Row],[CONTADOR]],"',STR_TO_DATE('",Tabla7[[#Headers],[15/03/2018]],"','%d/%m/%Y'),",AY45,"),","('",Tabla7[[#This Row],[CONTADOR]],"',STR_TO_DATE('",Tabla7[[#Headers],[15/04/2018]],"','%d/%m/%Y'),",AZ45,"),","('",Tabla7[[#This Row],[CONTADOR]],"',STR_TO_DATE('",Tabla7[[#Headers],[15/05/2018]],"','%d/%m/%Y'),",BA45,"),","('",Tabla7[[#This Row],[CONTADOR]],"',STR_TO_DATE('",Tabla7[[#Headers],[15/06/2018]],"','%d/%m/%Y'),",BB45,"),","('",Tabla7[[#This Row],[CONTADOR]],"',STR_TO_DATE('",Tabla7[[#Headers],[15/07/2018]],"','%d/%m/%Y'),",BC45,"),","('",Tabla7[[#This Row],[CONTADOR]],"',STR_TO_DATE('",Tabla7[[#Headers],[15/08/2018]],"','%d/%m/%Y'),",BD45,"),","('",Tabla7[[#This Row],[CONTADOR]],"',STR_TO_DATE('",Tabla7[[#Headers],[15/09/2018]],"','%d/%m/%Y'),",BE45,"),","('",Tabla7[[#This Row],[CONTADOR]],"',STR_TO_DATE('",Tabla7[[#Headers],[15/10/2018]],"','%d/%m/%Y'),",BF45,"),","('",Tabla7[[#This Row],[CONTADOR]],"',STR_TO_DATE('",Tabla7[[#Headers],[15/11/2018]],"','%d/%m/%Y'),",BG45,"),","('",Tabla7[[#This Row],[CONTADOR]],"',STR_TO_DATE('",Tabla7[[#Headers],[15/12/2018]],"','%d/%m/%Y'),",BH45,");")</f>
        <v>insert into lecturas values ('C02.05',STR_TO_DATE('31/12/2017','%d/%m/%Y'),76319),('C02.05',STR_TO_DATE('15/01/2018','%d/%m/%Y'),76651),('C02.05',STR_TO_DATE('15/02/2018','%d/%m/%Y'),76871),('C02.05',STR_TO_DATE('15/03/2018','%d/%m/%Y'),77387),('C02.05',STR_TO_DATE('15/04/2018','%d/%m/%Y'),78206),('C02.05',STR_TO_DATE('15/05/2018','%d/%m/%Y'),78493),('C02.05',STR_TO_DATE('15/06/2018','%d/%m/%Y'),79053),('C02.05',STR_TO_DATE('15/07/2018','%d/%m/%Y'),79769),('C02.05',STR_TO_DATE('15/08/2018','%d/%m/%Y'),79771),('C02.05',STR_TO_DATE('15/09/2018','%d/%m/%Y'),80000),('C02.05',STR_TO_DATE('15/10/2018','%d/%m/%Y'),80475),('C02.05',STR_TO_DATE('15/11/2018','%d/%m/%Y'),81085),('C02.05',STR_TO_DATE('15/12/2018','%d/%m/%Y'),81847);</v>
      </c>
    </row>
    <row r="46" spans="1:68" ht="18" customHeight="1" x14ac:dyDescent="0.25">
      <c r="A46" s="241" t="s">
        <v>614</v>
      </c>
      <c r="B46" s="60"/>
      <c r="C46" s="223" t="s">
        <v>418</v>
      </c>
      <c r="D46" s="60" t="s">
        <v>650</v>
      </c>
      <c r="E46" s="258">
        <v>39882</v>
      </c>
      <c r="F46" s="274" t="s">
        <v>651</v>
      </c>
      <c r="G46" s="274" t="s">
        <v>654</v>
      </c>
      <c r="H46" s="2" t="s">
        <v>656</v>
      </c>
      <c r="I46" s="274"/>
      <c r="J46" s="311">
        <v>68642</v>
      </c>
      <c r="K46" s="311">
        <v>68788</v>
      </c>
      <c r="L46" s="311">
        <v>69240</v>
      </c>
      <c r="M46" s="311">
        <v>69744</v>
      </c>
      <c r="N46" s="311">
        <v>70221</v>
      </c>
      <c r="O46" s="311">
        <v>70633</v>
      </c>
      <c r="P46" s="454">
        <v>70770</v>
      </c>
      <c r="Q46" s="492">
        <v>70777</v>
      </c>
      <c r="R46" s="311">
        <v>70787</v>
      </c>
      <c r="S46" s="492">
        <v>71256</v>
      </c>
      <c r="T46" s="492">
        <v>71539</v>
      </c>
      <c r="U46" s="311">
        <v>71747</v>
      </c>
      <c r="V46" s="311">
        <v>72275</v>
      </c>
      <c r="W46" s="274"/>
      <c r="X46" s="274"/>
      <c r="Y46" s="2">
        <f t="shared" si="5"/>
        <v>146</v>
      </c>
      <c r="Z46" s="2">
        <f t="shared" si="6"/>
        <v>452</v>
      </c>
      <c r="AA46" s="2">
        <f t="shared" si="25"/>
        <v>504</v>
      </c>
      <c r="AB46" s="2">
        <f t="shared" si="26"/>
        <v>477</v>
      </c>
      <c r="AC46" s="2">
        <f t="shared" si="17"/>
        <v>412</v>
      </c>
      <c r="AD46" s="2">
        <f t="shared" si="18"/>
        <v>137</v>
      </c>
      <c r="AE46" s="2">
        <f t="shared" si="19"/>
        <v>7</v>
      </c>
      <c r="AF46" s="2">
        <f t="shared" si="20"/>
        <v>10</v>
      </c>
      <c r="AG46" s="2">
        <f t="shared" si="21"/>
        <v>469</v>
      </c>
      <c r="AH46" s="2">
        <f t="shared" si="22"/>
        <v>283</v>
      </c>
      <c r="AI46" s="2">
        <f t="shared" si="23"/>
        <v>208</v>
      </c>
      <c r="AJ46" s="2">
        <f t="shared" si="24"/>
        <v>528</v>
      </c>
      <c r="AK46" s="406">
        <v>1</v>
      </c>
      <c r="AL46" s="274">
        <f t="shared" ca="1" si="1"/>
        <v>70221</v>
      </c>
      <c r="AM46" s="311">
        <f t="shared" ca="1" si="2"/>
        <v>70633</v>
      </c>
      <c r="AN46" s="274">
        <f ca="1">IF(AND(Tabla7[[#This Row],[UltLec]]&lt;&gt;0,Tabla7[[#This Row],[PenLect]]&lt;&gt;0),(AM46-AL46)*Tabla7[[#This Row],[RT]],"N/A")</f>
        <v>412</v>
      </c>
      <c r="AO46" s="273" t="s">
        <v>910</v>
      </c>
      <c r="AP46" s="392" t="s">
        <v>1190</v>
      </c>
      <c r="AQ46" s="392" t="s">
        <v>1189</v>
      </c>
      <c r="AR46" s="407">
        <f t="shared" si="3"/>
        <v>0</v>
      </c>
      <c r="AT46" s="2">
        <f t="shared" ca="1" si="4"/>
        <v>0.86373165618448633</v>
      </c>
      <c r="AV46">
        <f>IF(ISBLANK(Tabla7[[#This Row],[31/12/2017]]),0,Tabla7[[#This Row],[31/12/2017]])</f>
        <v>68642</v>
      </c>
      <c r="AW46">
        <f>IF(ISBLANK(Tabla7[[#This Row],[15/01/2018]]),0,Tabla7[[#This Row],[15/01/2018]])</f>
        <v>68788</v>
      </c>
      <c r="AX46">
        <f>IF(ISBLANK(Tabla7[[#This Row],[15/02/2018]]),0,Tabla7[[#This Row],[15/02/2018]])</f>
        <v>69240</v>
      </c>
      <c r="AY46">
        <f>IF(ISBLANK(Tabla7[[#This Row],[15/03/2018]]),0,Tabla7[[#This Row],[15/03/2018]])</f>
        <v>69744</v>
      </c>
      <c r="AZ46">
        <f>IF(ISBLANK(Tabla7[[#This Row],[15/04/2018]]),0,Tabla7[[#This Row],[15/04/2018]])</f>
        <v>70221</v>
      </c>
      <c r="BA46">
        <f>IF(ISBLANK(Tabla7[[#This Row],[15/05/2018]]),0,Tabla7[[#This Row],[15/05/2018]])</f>
        <v>70633</v>
      </c>
      <c r="BB46">
        <f>IF(ISBLANK(Tabla7[[#This Row],[15/06/2018]]),0,Tabla7[[#This Row],[15/06/2018]])</f>
        <v>70770</v>
      </c>
      <c r="BC46">
        <f>IF(ISBLANK(Tabla7[[#This Row],[15/07/2018]]),0,Tabla7[[#This Row],[15/07/2018]])</f>
        <v>70777</v>
      </c>
      <c r="BD46">
        <f>IF(ISBLANK(Tabla7[[#This Row],[15/08/2018]]),0,Tabla7[[#This Row],[15/08/2018]])</f>
        <v>70787</v>
      </c>
      <c r="BE46">
        <f>IF(ISBLANK(Tabla7[[#This Row],[15/09/2018]]),0,Tabla7[[#This Row],[15/09/2018]])</f>
        <v>71256</v>
      </c>
      <c r="BF46">
        <f>IF(ISBLANK(Tabla7[[#This Row],[15/10/2018]]),0,Tabla7[[#This Row],[15/10/2018]])</f>
        <v>71539</v>
      </c>
      <c r="BG46">
        <f>IF(ISBLANK(Tabla7[[#This Row],[15/11/2018]]),0,Tabla7[[#This Row],[15/11/2018]])</f>
        <v>71747</v>
      </c>
      <c r="BH46">
        <f>IF(ISBLANK(Tabla7[[#This Row],[15/12/2018]]),0,Tabla7[[#This Row],[15/12/2018]])</f>
        <v>72275</v>
      </c>
      <c r="BI46">
        <f>IF(ISBLANK(Tabla7[[#This Row],[28/12/2018]]),0,Tabla7[[#This Row],[28/12/2018]])</f>
        <v>0</v>
      </c>
      <c r="BN4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('C02.06','G','GCT02','39882','NAVARRO Y BORONAD, S.L.','CT 2 SERPIS','LÍNEA GRÚAS Nº2 M. SERPIS','');</v>
      </c>
      <c r="BO46" t="s">
        <v>243</v>
      </c>
      <c r="BP46" s="632" t="str">
        <f>CONCATENATE("insert into lecturas values ","('",Tabla7[[#This Row],[CONTADOR]],"',STR_TO_DATE('",Tabla7[[#Headers],[31/12/2017]],"','%d/%m/%Y'),",AV46,"),","('",Tabla7[[#This Row],[CONTADOR]],"',STR_TO_DATE('",Tabla7[[#Headers],[15/01/2018]],"','%d/%m/%Y'),",AW46,"),","('",Tabla7[[#This Row],[CONTADOR]],"',STR_TO_DATE('",Tabla7[[#Headers],[15/02/2018]],"','%d/%m/%Y'),",AX46,"),","('",Tabla7[[#This Row],[CONTADOR]],"',STR_TO_DATE('",Tabla7[[#Headers],[15/03/2018]],"','%d/%m/%Y'),",AY46,"),","('",Tabla7[[#This Row],[CONTADOR]],"',STR_TO_DATE('",Tabla7[[#Headers],[15/04/2018]],"','%d/%m/%Y'),",AZ46,"),","('",Tabla7[[#This Row],[CONTADOR]],"',STR_TO_DATE('",Tabla7[[#Headers],[15/05/2018]],"','%d/%m/%Y'),",BA46,"),","('",Tabla7[[#This Row],[CONTADOR]],"',STR_TO_DATE('",Tabla7[[#Headers],[15/06/2018]],"','%d/%m/%Y'),",BB46,"),","('",Tabla7[[#This Row],[CONTADOR]],"',STR_TO_DATE('",Tabla7[[#Headers],[15/07/2018]],"','%d/%m/%Y'),",BC46,"),","('",Tabla7[[#This Row],[CONTADOR]],"',STR_TO_DATE('",Tabla7[[#Headers],[15/08/2018]],"','%d/%m/%Y'),",BD46,"),","('",Tabla7[[#This Row],[CONTADOR]],"',STR_TO_DATE('",Tabla7[[#Headers],[15/09/2018]],"','%d/%m/%Y'),",BE46,"),","('",Tabla7[[#This Row],[CONTADOR]],"',STR_TO_DATE('",Tabla7[[#Headers],[15/10/2018]],"','%d/%m/%Y'),",BF46,"),","('",Tabla7[[#This Row],[CONTADOR]],"',STR_TO_DATE('",Tabla7[[#Headers],[15/11/2018]],"','%d/%m/%Y'),",BG46,"),","('",Tabla7[[#This Row],[CONTADOR]],"',STR_TO_DATE('",Tabla7[[#Headers],[15/12/2018]],"','%d/%m/%Y'),",BH46,");")</f>
        <v>insert into lecturas values ('C02.06',STR_TO_DATE('31/12/2017','%d/%m/%Y'),68642),('C02.06',STR_TO_DATE('15/01/2018','%d/%m/%Y'),68788),('C02.06',STR_TO_DATE('15/02/2018','%d/%m/%Y'),69240),('C02.06',STR_TO_DATE('15/03/2018','%d/%m/%Y'),69744),('C02.06',STR_TO_DATE('15/04/2018','%d/%m/%Y'),70221),('C02.06',STR_TO_DATE('15/05/2018','%d/%m/%Y'),70633),('C02.06',STR_TO_DATE('15/06/2018','%d/%m/%Y'),70770),('C02.06',STR_TO_DATE('15/07/2018','%d/%m/%Y'),70777),('C02.06',STR_TO_DATE('15/08/2018','%d/%m/%Y'),70787),('C02.06',STR_TO_DATE('15/09/2018','%d/%m/%Y'),71256),('C02.06',STR_TO_DATE('15/10/2018','%d/%m/%Y'),71539),('C02.06',STR_TO_DATE('15/11/2018','%d/%m/%Y'),71747),('C02.06',STR_TO_DATE('15/12/2018','%d/%m/%Y'),72275);</v>
      </c>
    </row>
    <row r="47" spans="1:68" ht="18" customHeight="1" x14ac:dyDescent="0.25">
      <c r="A47" s="241" t="s">
        <v>614</v>
      </c>
      <c r="B47" s="60" t="s">
        <v>657</v>
      </c>
      <c r="C47" s="223" t="s">
        <v>419</v>
      </c>
      <c r="D47" s="60" t="s">
        <v>650</v>
      </c>
      <c r="E47" s="258">
        <v>39065</v>
      </c>
      <c r="F47" s="274" t="s">
        <v>651</v>
      </c>
      <c r="G47" s="274" t="s">
        <v>654</v>
      </c>
      <c r="H47" s="2" t="s">
        <v>1406</v>
      </c>
      <c r="I47" s="274"/>
      <c r="J47" s="311">
        <v>12979</v>
      </c>
      <c r="K47" s="311">
        <v>13742</v>
      </c>
      <c r="L47" s="311">
        <v>13923</v>
      </c>
      <c r="M47" s="311">
        <v>13976</v>
      </c>
      <c r="N47" s="311">
        <v>14089</v>
      </c>
      <c r="O47" s="311">
        <v>14089</v>
      </c>
      <c r="P47" s="454">
        <v>14181</v>
      </c>
      <c r="Q47" s="492">
        <v>14181</v>
      </c>
      <c r="R47" s="311">
        <v>14181</v>
      </c>
      <c r="S47" s="492">
        <v>14181</v>
      </c>
      <c r="T47" s="492">
        <v>14181</v>
      </c>
      <c r="U47" s="311">
        <v>15045</v>
      </c>
      <c r="V47" s="311">
        <v>15650</v>
      </c>
      <c r="W47" s="274"/>
      <c r="X47" s="274"/>
      <c r="Y47" s="2">
        <f t="shared" si="5"/>
        <v>763</v>
      </c>
      <c r="Z47" s="2">
        <f t="shared" si="6"/>
        <v>181</v>
      </c>
      <c r="AA47" s="2">
        <f t="shared" si="25"/>
        <v>53</v>
      </c>
      <c r="AB47" s="2">
        <f t="shared" si="26"/>
        <v>113</v>
      </c>
      <c r="AC47" s="2">
        <f t="shared" si="17"/>
        <v>0</v>
      </c>
      <c r="AD47" s="2">
        <f t="shared" si="18"/>
        <v>92</v>
      </c>
      <c r="AE47" s="2">
        <f t="shared" si="19"/>
        <v>0</v>
      </c>
      <c r="AF47" s="2">
        <f t="shared" si="20"/>
        <v>0</v>
      </c>
      <c r="AG47" s="2">
        <f t="shared" si="21"/>
        <v>0</v>
      </c>
      <c r="AH47" s="2">
        <f t="shared" si="22"/>
        <v>0</v>
      </c>
      <c r="AI47" s="2">
        <f t="shared" si="23"/>
        <v>864</v>
      </c>
      <c r="AJ47" s="2">
        <f t="shared" si="24"/>
        <v>605</v>
      </c>
      <c r="AK47" s="406">
        <v>1</v>
      </c>
      <c r="AL47" s="274">
        <f t="shared" ca="1" si="1"/>
        <v>14089</v>
      </c>
      <c r="AM47" s="311">
        <f t="shared" ca="1" si="2"/>
        <v>14089</v>
      </c>
      <c r="AN47" s="274">
        <f ca="1">IF(AND(Tabla7[[#This Row],[UltLec]]&lt;&gt;0,Tabla7[[#This Row],[PenLect]]&lt;&gt;0),(AM47-AL47)*Tabla7[[#This Row],[RT]],"N/A")</f>
        <v>0</v>
      </c>
      <c r="AO47" s="273" t="s">
        <v>910</v>
      </c>
      <c r="AP47" s="392" t="s">
        <v>1190</v>
      </c>
      <c r="AQ47" s="392" t="s">
        <v>1189</v>
      </c>
      <c r="AR47" s="407">
        <f t="shared" si="3"/>
        <v>0</v>
      </c>
      <c r="AT47" s="2">
        <f t="shared" ca="1" si="4"/>
        <v>0</v>
      </c>
      <c r="AV47">
        <f>IF(ISBLANK(Tabla7[[#This Row],[31/12/2017]]),0,Tabla7[[#This Row],[31/12/2017]])</f>
        <v>12979</v>
      </c>
      <c r="AW47">
        <f>IF(ISBLANK(Tabla7[[#This Row],[15/01/2018]]),0,Tabla7[[#This Row],[15/01/2018]])</f>
        <v>13742</v>
      </c>
      <c r="AX47">
        <f>IF(ISBLANK(Tabla7[[#This Row],[15/02/2018]]),0,Tabla7[[#This Row],[15/02/2018]])</f>
        <v>13923</v>
      </c>
      <c r="AY47">
        <f>IF(ISBLANK(Tabla7[[#This Row],[15/03/2018]]),0,Tabla7[[#This Row],[15/03/2018]])</f>
        <v>13976</v>
      </c>
      <c r="AZ47">
        <f>IF(ISBLANK(Tabla7[[#This Row],[15/04/2018]]),0,Tabla7[[#This Row],[15/04/2018]])</f>
        <v>14089</v>
      </c>
      <c r="BA47">
        <f>IF(ISBLANK(Tabla7[[#This Row],[15/05/2018]]),0,Tabla7[[#This Row],[15/05/2018]])</f>
        <v>14089</v>
      </c>
      <c r="BB47">
        <f>IF(ISBLANK(Tabla7[[#This Row],[15/06/2018]]),0,Tabla7[[#This Row],[15/06/2018]])</f>
        <v>14181</v>
      </c>
      <c r="BC47">
        <f>IF(ISBLANK(Tabla7[[#This Row],[15/07/2018]]),0,Tabla7[[#This Row],[15/07/2018]])</f>
        <v>14181</v>
      </c>
      <c r="BD47">
        <f>IF(ISBLANK(Tabla7[[#This Row],[15/08/2018]]),0,Tabla7[[#This Row],[15/08/2018]])</f>
        <v>14181</v>
      </c>
      <c r="BE47">
        <f>IF(ISBLANK(Tabla7[[#This Row],[15/09/2018]]),0,Tabla7[[#This Row],[15/09/2018]])</f>
        <v>14181</v>
      </c>
      <c r="BF47">
        <f>IF(ISBLANK(Tabla7[[#This Row],[15/10/2018]]),0,Tabla7[[#This Row],[15/10/2018]])</f>
        <v>14181</v>
      </c>
      <c r="BG47">
        <f>IF(ISBLANK(Tabla7[[#This Row],[15/11/2018]]),0,Tabla7[[#This Row],[15/11/2018]])</f>
        <v>15045</v>
      </c>
      <c r="BH47">
        <f>IF(ISBLANK(Tabla7[[#This Row],[15/12/2018]]),0,Tabla7[[#This Row],[15/12/2018]])</f>
        <v>15650</v>
      </c>
      <c r="BI47">
        <f>IF(ISBLANK(Tabla7[[#This Row],[28/12/2018]]),0,Tabla7[[#This Row],[28/12/2018]])</f>
        <v>0</v>
      </c>
      <c r="BN4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('C02.07','G','GCT02','39065','NAVARRO Y BORONAD, S.L.','CT 2 SERPIS','TINGLADO 1  MUELLE SERPIS','');</v>
      </c>
      <c r="BO47" t="s">
        <v>243</v>
      </c>
      <c r="BP47" s="632" t="str">
        <f>CONCATENATE("insert into lecturas values ","('",Tabla7[[#This Row],[CONTADOR]],"',STR_TO_DATE('",Tabla7[[#Headers],[31/12/2017]],"','%d/%m/%Y'),",AV47,"),","('",Tabla7[[#This Row],[CONTADOR]],"',STR_TO_DATE('",Tabla7[[#Headers],[15/01/2018]],"','%d/%m/%Y'),",AW47,"),","('",Tabla7[[#This Row],[CONTADOR]],"',STR_TO_DATE('",Tabla7[[#Headers],[15/02/2018]],"','%d/%m/%Y'),",AX47,"),","('",Tabla7[[#This Row],[CONTADOR]],"',STR_TO_DATE('",Tabla7[[#Headers],[15/03/2018]],"','%d/%m/%Y'),",AY47,"),","('",Tabla7[[#This Row],[CONTADOR]],"',STR_TO_DATE('",Tabla7[[#Headers],[15/04/2018]],"','%d/%m/%Y'),",AZ47,"),","('",Tabla7[[#This Row],[CONTADOR]],"',STR_TO_DATE('",Tabla7[[#Headers],[15/05/2018]],"','%d/%m/%Y'),",BA47,"),","('",Tabla7[[#This Row],[CONTADOR]],"',STR_TO_DATE('",Tabla7[[#Headers],[15/06/2018]],"','%d/%m/%Y'),",BB47,"),","('",Tabla7[[#This Row],[CONTADOR]],"',STR_TO_DATE('",Tabla7[[#Headers],[15/07/2018]],"','%d/%m/%Y'),",BC47,"),","('",Tabla7[[#This Row],[CONTADOR]],"',STR_TO_DATE('",Tabla7[[#Headers],[15/08/2018]],"','%d/%m/%Y'),",BD47,"),","('",Tabla7[[#This Row],[CONTADOR]],"',STR_TO_DATE('",Tabla7[[#Headers],[15/09/2018]],"','%d/%m/%Y'),",BE47,"),","('",Tabla7[[#This Row],[CONTADOR]],"',STR_TO_DATE('",Tabla7[[#Headers],[15/10/2018]],"','%d/%m/%Y'),",BF47,"),","('",Tabla7[[#This Row],[CONTADOR]],"',STR_TO_DATE('",Tabla7[[#Headers],[15/11/2018]],"','%d/%m/%Y'),",BG47,"),","('",Tabla7[[#This Row],[CONTADOR]],"',STR_TO_DATE('",Tabla7[[#Headers],[15/12/2018]],"','%d/%m/%Y'),",BH47,");")</f>
        <v>insert into lecturas values ('C02.07',STR_TO_DATE('31/12/2017','%d/%m/%Y'),12979),('C02.07',STR_TO_DATE('15/01/2018','%d/%m/%Y'),13742),('C02.07',STR_TO_DATE('15/02/2018','%d/%m/%Y'),13923),('C02.07',STR_TO_DATE('15/03/2018','%d/%m/%Y'),13976),('C02.07',STR_TO_DATE('15/04/2018','%d/%m/%Y'),14089),('C02.07',STR_TO_DATE('15/05/2018','%d/%m/%Y'),14089),('C02.07',STR_TO_DATE('15/06/2018','%d/%m/%Y'),14181),('C02.07',STR_TO_DATE('15/07/2018','%d/%m/%Y'),14181),('C02.07',STR_TO_DATE('15/08/2018','%d/%m/%Y'),14181),('C02.07',STR_TO_DATE('15/09/2018','%d/%m/%Y'),14181),('C02.07',STR_TO_DATE('15/10/2018','%d/%m/%Y'),14181),('C02.07',STR_TO_DATE('15/11/2018','%d/%m/%Y'),15045),('C02.07',STR_TO_DATE('15/12/2018','%d/%m/%Y'),15650);</v>
      </c>
    </row>
    <row r="48" spans="1:68" ht="18" customHeight="1" x14ac:dyDescent="0.25">
      <c r="A48" s="241" t="s">
        <v>614</v>
      </c>
      <c r="B48" s="60"/>
      <c r="C48" s="223" t="s">
        <v>425</v>
      </c>
      <c r="D48" s="60" t="s">
        <v>650</v>
      </c>
      <c r="E48" s="258">
        <v>3</v>
      </c>
      <c r="F48" s="274" t="s">
        <v>21</v>
      </c>
      <c r="G48" s="274" t="s">
        <v>654</v>
      </c>
      <c r="H48" s="2" t="s">
        <v>1407</v>
      </c>
      <c r="I48" s="274"/>
      <c r="J48" s="311">
        <v>3593.8</v>
      </c>
      <c r="K48" s="311">
        <v>3593.8</v>
      </c>
      <c r="L48" s="311">
        <v>3593.8</v>
      </c>
      <c r="M48" s="311">
        <v>3593.8</v>
      </c>
      <c r="N48" s="311">
        <v>3593.8</v>
      </c>
      <c r="O48" s="311">
        <v>3593.8</v>
      </c>
      <c r="P48" s="454">
        <v>3595.5</v>
      </c>
      <c r="Q48" s="492">
        <v>3595.5</v>
      </c>
      <c r="R48" s="311">
        <v>3595.5</v>
      </c>
      <c r="S48" s="492">
        <v>3595.5</v>
      </c>
      <c r="T48" s="492">
        <v>3595.5</v>
      </c>
      <c r="U48" s="311">
        <v>3595.5</v>
      </c>
      <c r="V48" s="311">
        <v>3595.5</v>
      </c>
      <c r="W48" s="274"/>
      <c r="X48" s="274"/>
      <c r="Y48" s="2">
        <f t="shared" si="5"/>
        <v>0</v>
      </c>
      <c r="Z48" s="2">
        <f t="shared" si="6"/>
        <v>0</v>
      </c>
      <c r="AA48" s="2">
        <f t="shared" si="25"/>
        <v>0</v>
      </c>
      <c r="AB48" s="2">
        <f t="shared" si="26"/>
        <v>0</v>
      </c>
      <c r="AC48" s="2">
        <f t="shared" si="17"/>
        <v>0</v>
      </c>
      <c r="AD48" s="2">
        <f t="shared" si="18"/>
        <v>1.6999999999998181</v>
      </c>
      <c r="AE48" s="2">
        <f t="shared" si="19"/>
        <v>0</v>
      </c>
      <c r="AF48" s="2">
        <f t="shared" si="20"/>
        <v>0</v>
      </c>
      <c r="AG48" s="2">
        <f t="shared" si="21"/>
        <v>0</v>
      </c>
      <c r="AH48" s="2">
        <f t="shared" si="22"/>
        <v>0</v>
      </c>
      <c r="AI48" s="2">
        <f t="shared" si="23"/>
        <v>0</v>
      </c>
      <c r="AJ48" s="2">
        <f t="shared" si="24"/>
        <v>0</v>
      </c>
      <c r="AK48" s="406">
        <v>1</v>
      </c>
      <c r="AL48" s="274">
        <f t="shared" ca="1" si="1"/>
        <v>3593.8</v>
      </c>
      <c r="AM48" s="311">
        <f t="shared" ca="1" si="2"/>
        <v>3593.8</v>
      </c>
      <c r="AN48" s="274">
        <f ca="1">IF(AND(Tabla7[[#This Row],[UltLec]]&lt;&gt;0,Tabla7[[#This Row],[PenLect]]&lt;&gt;0),(AM48-AL48)*Tabla7[[#This Row],[RT]],"N/A")</f>
        <v>0</v>
      </c>
      <c r="AO48" s="273" t="s">
        <v>910</v>
      </c>
      <c r="AP48" s="392" t="s">
        <v>1190</v>
      </c>
      <c r="AQ48" s="392" t="s">
        <v>1189</v>
      </c>
      <c r="AR48" s="407">
        <f t="shared" si="3"/>
        <v>0</v>
      </c>
      <c r="AT48" s="2" t="str">
        <f t="shared" ca="1" si="4"/>
        <v>0</v>
      </c>
      <c r="AV48">
        <f>IF(ISBLANK(Tabla7[[#This Row],[31/12/2017]]),0,Tabla7[[#This Row],[31/12/2017]])</f>
        <v>3593.8</v>
      </c>
      <c r="AW48">
        <f>IF(ISBLANK(Tabla7[[#This Row],[15/01/2018]]),0,Tabla7[[#This Row],[15/01/2018]])</f>
        <v>3593.8</v>
      </c>
      <c r="AX48">
        <f>IF(ISBLANK(Tabla7[[#This Row],[15/02/2018]]),0,Tabla7[[#This Row],[15/02/2018]])</f>
        <v>3593.8</v>
      </c>
      <c r="AY48">
        <f>IF(ISBLANK(Tabla7[[#This Row],[15/03/2018]]),0,Tabla7[[#This Row],[15/03/2018]])</f>
        <v>3593.8</v>
      </c>
      <c r="AZ48">
        <f>IF(ISBLANK(Tabla7[[#This Row],[15/04/2018]]),0,Tabla7[[#This Row],[15/04/2018]])</f>
        <v>3593.8</v>
      </c>
      <c r="BA48">
        <f>IF(ISBLANK(Tabla7[[#This Row],[15/05/2018]]),0,Tabla7[[#This Row],[15/05/2018]])</f>
        <v>3593.8</v>
      </c>
      <c r="BB48">
        <f>IF(ISBLANK(Tabla7[[#This Row],[15/06/2018]]),0,Tabla7[[#This Row],[15/06/2018]])</f>
        <v>3595.5</v>
      </c>
      <c r="BC48">
        <f>IF(ISBLANK(Tabla7[[#This Row],[15/07/2018]]),0,Tabla7[[#This Row],[15/07/2018]])</f>
        <v>3595.5</v>
      </c>
      <c r="BD48">
        <f>IF(ISBLANK(Tabla7[[#This Row],[15/08/2018]]),0,Tabla7[[#This Row],[15/08/2018]])</f>
        <v>3595.5</v>
      </c>
      <c r="BE48">
        <f>IF(ISBLANK(Tabla7[[#This Row],[15/09/2018]]),0,Tabla7[[#This Row],[15/09/2018]])</f>
        <v>3595.5</v>
      </c>
      <c r="BF48">
        <f>IF(ISBLANK(Tabla7[[#This Row],[15/10/2018]]),0,Tabla7[[#This Row],[15/10/2018]])</f>
        <v>3595.5</v>
      </c>
      <c r="BG48">
        <f>IF(ISBLANK(Tabla7[[#This Row],[15/11/2018]]),0,Tabla7[[#This Row],[15/11/2018]])</f>
        <v>3595.5</v>
      </c>
      <c r="BH48">
        <f>IF(ISBLANK(Tabla7[[#This Row],[15/12/2018]]),0,Tabla7[[#This Row],[15/12/2018]])</f>
        <v>3595.5</v>
      </c>
      <c r="BI48">
        <f>IF(ISBLANK(Tabla7[[#This Row],[28/12/2018]]),0,Tabla7[[#This Row],[28/12/2018]])</f>
        <v>0</v>
      </c>
      <c r="BN4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('C02.08','G','GCT02','3','APV','CT 2 SERPIS','TINGLADO 2 MUELLE SERPIS','');</v>
      </c>
      <c r="BO48" t="s">
        <v>243</v>
      </c>
      <c r="BP48" s="632" t="str">
        <f>CONCATENATE("insert into lecturas values ","('",Tabla7[[#This Row],[CONTADOR]],"',STR_TO_DATE('",Tabla7[[#Headers],[31/12/2017]],"','%d/%m/%Y'),",AV48,"),","('",Tabla7[[#This Row],[CONTADOR]],"',STR_TO_DATE('",Tabla7[[#Headers],[15/01/2018]],"','%d/%m/%Y'),",AW48,"),","('",Tabla7[[#This Row],[CONTADOR]],"',STR_TO_DATE('",Tabla7[[#Headers],[15/02/2018]],"','%d/%m/%Y'),",AX48,"),","('",Tabla7[[#This Row],[CONTADOR]],"',STR_TO_DATE('",Tabla7[[#Headers],[15/03/2018]],"','%d/%m/%Y'),",AY48,"),","('",Tabla7[[#This Row],[CONTADOR]],"',STR_TO_DATE('",Tabla7[[#Headers],[15/04/2018]],"','%d/%m/%Y'),",AZ48,"),","('",Tabla7[[#This Row],[CONTADOR]],"',STR_TO_DATE('",Tabla7[[#Headers],[15/05/2018]],"','%d/%m/%Y'),",BA48,"),","('",Tabla7[[#This Row],[CONTADOR]],"',STR_TO_DATE('",Tabla7[[#Headers],[15/06/2018]],"','%d/%m/%Y'),",BB48,"),","('",Tabla7[[#This Row],[CONTADOR]],"',STR_TO_DATE('",Tabla7[[#Headers],[15/07/2018]],"','%d/%m/%Y'),",BC48,"),","('",Tabla7[[#This Row],[CONTADOR]],"',STR_TO_DATE('",Tabla7[[#Headers],[15/08/2018]],"','%d/%m/%Y'),",BD48,"),","('",Tabla7[[#This Row],[CONTADOR]],"',STR_TO_DATE('",Tabla7[[#Headers],[15/09/2018]],"','%d/%m/%Y'),",BE48,"),","('",Tabla7[[#This Row],[CONTADOR]],"',STR_TO_DATE('",Tabla7[[#Headers],[15/10/2018]],"','%d/%m/%Y'),",BF48,"),","('",Tabla7[[#This Row],[CONTADOR]],"',STR_TO_DATE('",Tabla7[[#Headers],[15/11/2018]],"','%d/%m/%Y'),",BG48,"),","('",Tabla7[[#This Row],[CONTADOR]],"',STR_TO_DATE('",Tabla7[[#Headers],[15/12/2018]],"','%d/%m/%Y'),",BH48,");")</f>
        <v>insert into lecturas values ('C02.08',STR_TO_DATE('31/12/2017','%d/%m/%Y'),3593,8),('C02.08',STR_TO_DATE('15/01/2018','%d/%m/%Y'),3593,8),('C02.08',STR_TO_DATE('15/02/2018','%d/%m/%Y'),3593,8),('C02.08',STR_TO_DATE('15/03/2018','%d/%m/%Y'),3593,8),('C02.08',STR_TO_DATE('15/04/2018','%d/%m/%Y'),3593,8),('C02.08',STR_TO_DATE('15/05/2018','%d/%m/%Y'),3593,8),('C02.08',STR_TO_DATE('15/06/2018','%d/%m/%Y'),3595,5),('C02.08',STR_TO_DATE('15/07/2018','%d/%m/%Y'),3595,5),('C02.08',STR_TO_DATE('15/08/2018','%d/%m/%Y'),3595,5),('C02.08',STR_TO_DATE('15/09/2018','%d/%m/%Y'),3595,5),('C02.08',STR_TO_DATE('15/10/2018','%d/%m/%Y'),3595,5),('C02.08',STR_TO_DATE('15/11/2018','%d/%m/%Y'),3595,5),('C02.08',STR_TO_DATE('15/12/2018','%d/%m/%Y'),3595,5);</v>
      </c>
    </row>
    <row r="49" spans="1:68" ht="18" customHeight="1" x14ac:dyDescent="0.25">
      <c r="A49" s="241" t="s">
        <v>614</v>
      </c>
      <c r="B49" s="60"/>
      <c r="C49" s="223" t="s">
        <v>420</v>
      </c>
      <c r="D49" s="60" t="s">
        <v>650</v>
      </c>
      <c r="E49" s="258">
        <v>39658</v>
      </c>
      <c r="F49" s="274" t="s">
        <v>651</v>
      </c>
      <c r="G49" s="274" t="s">
        <v>654</v>
      </c>
      <c r="H49" s="2" t="s">
        <v>1408</v>
      </c>
      <c r="I49" s="274" t="s">
        <v>1466</v>
      </c>
      <c r="J49" s="311"/>
      <c r="K49" s="311"/>
      <c r="L49" s="311"/>
      <c r="M49" s="311"/>
      <c r="N49" s="311"/>
      <c r="O49" s="311"/>
      <c r="P49" s="454"/>
      <c r="Q49" s="492"/>
      <c r="R49" s="311"/>
      <c r="S49" s="492"/>
      <c r="T49" s="492"/>
      <c r="U49" s="311">
        <v>25046</v>
      </c>
      <c r="V49" s="311">
        <v>25813.7</v>
      </c>
      <c r="W49" s="274"/>
      <c r="X49" s="274"/>
      <c r="Y49" s="2" t="str">
        <f t="shared" si="5"/>
        <v/>
      </c>
      <c r="Z49" s="2" t="str">
        <f t="shared" si="6"/>
        <v/>
      </c>
      <c r="AA49" s="2" t="str">
        <f t="shared" si="25"/>
        <v/>
      </c>
      <c r="AB49" s="2" t="str">
        <f t="shared" si="26"/>
        <v/>
      </c>
      <c r="AC49" s="2" t="str">
        <f t="shared" si="17"/>
        <v/>
      </c>
      <c r="AD49" s="2" t="str">
        <f t="shared" si="18"/>
        <v/>
      </c>
      <c r="AE49" s="2" t="str">
        <f t="shared" si="19"/>
        <v/>
      </c>
      <c r="AF49" s="2" t="str">
        <f t="shared" si="20"/>
        <v/>
      </c>
      <c r="AG49" s="2" t="str">
        <f t="shared" si="21"/>
        <v/>
      </c>
      <c r="AH49" s="2" t="str">
        <f t="shared" si="22"/>
        <v/>
      </c>
      <c r="AI49" s="2" t="str">
        <f t="shared" si="23"/>
        <v/>
      </c>
      <c r="AJ49" s="2">
        <f t="shared" si="24"/>
        <v>767.70000000000073</v>
      </c>
      <c r="AK49" s="406">
        <v>1</v>
      </c>
      <c r="AL49" s="274">
        <f t="shared" ca="1" si="1"/>
        <v>0</v>
      </c>
      <c r="AM49" s="311">
        <f t="shared" ca="1" si="2"/>
        <v>0</v>
      </c>
      <c r="AN49" s="274" t="str">
        <f ca="1">IF(AND(Tabla7[[#This Row],[UltLec]]&lt;&gt;0,Tabla7[[#This Row],[PenLect]]&lt;&gt;0),(AM49-AL49)*Tabla7[[#This Row],[RT]],"N/A")</f>
        <v>N/A</v>
      </c>
      <c r="AO49" s="273" t="s">
        <v>910</v>
      </c>
      <c r="AP49" s="392" t="s">
        <v>1190</v>
      </c>
      <c r="AQ49" s="392" t="s">
        <v>1189</v>
      </c>
      <c r="AR49" s="407">
        <f t="shared" si="3"/>
        <v>0</v>
      </c>
      <c r="AT49" s="2" t="e">
        <f t="shared" ca="1" si="4"/>
        <v>#VALUE!</v>
      </c>
      <c r="AV49">
        <f>IF(ISBLANK(Tabla7[[#This Row],[31/12/2017]]),0,Tabla7[[#This Row],[31/12/2017]])</f>
        <v>0</v>
      </c>
      <c r="AW49">
        <f>IF(ISBLANK(Tabla7[[#This Row],[15/01/2018]]),0,Tabla7[[#This Row],[15/01/2018]])</f>
        <v>0</v>
      </c>
      <c r="AX49">
        <f>IF(ISBLANK(Tabla7[[#This Row],[15/02/2018]]),0,Tabla7[[#This Row],[15/02/2018]])</f>
        <v>0</v>
      </c>
      <c r="AY49">
        <f>IF(ISBLANK(Tabla7[[#This Row],[15/03/2018]]),0,Tabla7[[#This Row],[15/03/2018]])</f>
        <v>0</v>
      </c>
      <c r="AZ49">
        <f>IF(ISBLANK(Tabla7[[#This Row],[15/04/2018]]),0,Tabla7[[#This Row],[15/04/2018]])</f>
        <v>0</v>
      </c>
      <c r="BA49">
        <f>IF(ISBLANK(Tabla7[[#This Row],[15/05/2018]]),0,Tabla7[[#This Row],[15/05/2018]])</f>
        <v>0</v>
      </c>
      <c r="BB49">
        <f>IF(ISBLANK(Tabla7[[#This Row],[15/06/2018]]),0,Tabla7[[#This Row],[15/06/2018]])</f>
        <v>0</v>
      </c>
      <c r="BC49">
        <f>IF(ISBLANK(Tabla7[[#This Row],[15/07/2018]]),0,Tabla7[[#This Row],[15/07/2018]])</f>
        <v>0</v>
      </c>
      <c r="BD49">
        <f>IF(ISBLANK(Tabla7[[#This Row],[15/08/2018]]),0,Tabla7[[#This Row],[15/08/2018]])</f>
        <v>0</v>
      </c>
      <c r="BE49">
        <f>IF(ISBLANK(Tabla7[[#This Row],[15/09/2018]]),0,Tabla7[[#This Row],[15/09/2018]])</f>
        <v>0</v>
      </c>
      <c r="BF49">
        <f>IF(ISBLANK(Tabla7[[#This Row],[15/10/2018]]),0,Tabla7[[#This Row],[15/10/2018]])</f>
        <v>0</v>
      </c>
      <c r="BG49">
        <f>IF(ISBLANK(Tabla7[[#This Row],[15/11/2018]]),0,Tabla7[[#This Row],[15/11/2018]])</f>
        <v>25046</v>
      </c>
      <c r="BH49">
        <f>IF(ISBLANK(Tabla7[[#This Row],[15/12/2018]]),0,Tabla7[[#This Row],[15/12/2018]])</f>
        <v>25813.7</v>
      </c>
      <c r="BI49">
        <f>IF(ISBLANK(Tabla7[[#This Row],[28/12/2018]]),0,Tabla7[[#This Row],[28/12/2018]])</f>
        <v>0</v>
      </c>
      <c r="BN4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('C02.09','G','GCT02','39658','NAVARRO Y BORONAD, S.L.','CT 2 SERPIS','TINGLADO 3 MUELLE SERPIS','ALTA 18/10/2018');</v>
      </c>
      <c r="BO49" t="s">
        <v>243</v>
      </c>
      <c r="BP49" s="632" t="str">
        <f>CONCATENATE("insert into lecturas values ","('",Tabla7[[#This Row],[CONTADOR]],"',STR_TO_DATE('",Tabla7[[#Headers],[31/12/2017]],"','%d/%m/%Y'),",AV49,"),","('",Tabla7[[#This Row],[CONTADOR]],"',STR_TO_DATE('",Tabla7[[#Headers],[15/01/2018]],"','%d/%m/%Y'),",AW49,"),","('",Tabla7[[#This Row],[CONTADOR]],"',STR_TO_DATE('",Tabla7[[#Headers],[15/02/2018]],"','%d/%m/%Y'),",AX49,"),","('",Tabla7[[#This Row],[CONTADOR]],"',STR_TO_DATE('",Tabla7[[#Headers],[15/03/2018]],"','%d/%m/%Y'),",AY49,"),","('",Tabla7[[#This Row],[CONTADOR]],"',STR_TO_DATE('",Tabla7[[#Headers],[15/04/2018]],"','%d/%m/%Y'),",AZ49,"),","('",Tabla7[[#This Row],[CONTADOR]],"',STR_TO_DATE('",Tabla7[[#Headers],[15/05/2018]],"','%d/%m/%Y'),",BA49,"),","('",Tabla7[[#This Row],[CONTADOR]],"',STR_TO_DATE('",Tabla7[[#Headers],[15/06/2018]],"','%d/%m/%Y'),",BB49,"),","('",Tabla7[[#This Row],[CONTADOR]],"',STR_TO_DATE('",Tabla7[[#Headers],[15/07/2018]],"','%d/%m/%Y'),",BC49,"),","('",Tabla7[[#This Row],[CONTADOR]],"',STR_TO_DATE('",Tabla7[[#Headers],[15/08/2018]],"','%d/%m/%Y'),",BD49,"),","('",Tabla7[[#This Row],[CONTADOR]],"',STR_TO_DATE('",Tabla7[[#Headers],[15/09/2018]],"','%d/%m/%Y'),",BE49,"),","('",Tabla7[[#This Row],[CONTADOR]],"',STR_TO_DATE('",Tabla7[[#Headers],[15/10/2018]],"','%d/%m/%Y'),",BF49,"),","('",Tabla7[[#This Row],[CONTADOR]],"',STR_TO_DATE('",Tabla7[[#Headers],[15/11/2018]],"','%d/%m/%Y'),",BG49,"),","('",Tabla7[[#This Row],[CONTADOR]],"',STR_TO_DATE('",Tabla7[[#Headers],[15/12/2018]],"','%d/%m/%Y'),",BH49,");")</f>
        <v>insert into lecturas values ('C02.09',STR_TO_DATE('31/12/2017','%d/%m/%Y'),0),('C02.09',STR_TO_DATE('15/01/2018','%d/%m/%Y'),0),('C02.09',STR_TO_DATE('15/02/2018','%d/%m/%Y'),0),('C02.09',STR_TO_DATE('15/03/2018','%d/%m/%Y'),0),('C02.09',STR_TO_DATE('15/04/2018','%d/%m/%Y'),0),('C02.09',STR_TO_DATE('15/05/2018','%d/%m/%Y'),0),('C02.09',STR_TO_DATE('15/06/2018','%d/%m/%Y'),0),('C02.09',STR_TO_DATE('15/07/2018','%d/%m/%Y'),0),('C02.09',STR_TO_DATE('15/08/2018','%d/%m/%Y'),0),('C02.09',STR_TO_DATE('15/09/2018','%d/%m/%Y'),0),('C02.09',STR_TO_DATE('15/10/2018','%d/%m/%Y'),0),('C02.09',STR_TO_DATE('15/11/2018','%d/%m/%Y'),25046),('C02.09',STR_TO_DATE('15/12/2018','%d/%m/%Y'),25813,7);</v>
      </c>
    </row>
    <row r="50" spans="1:68" ht="18" customHeight="1" x14ac:dyDescent="0.25">
      <c r="A50" s="372" t="s">
        <v>1097</v>
      </c>
      <c r="B50" s="372">
        <v>472</v>
      </c>
      <c r="C50" s="459" t="s">
        <v>420</v>
      </c>
      <c r="D50" s="372" t="s">
        <v>650</v>
      </c>
      <c r="E50" s="372">
        <v>39874</v>
      </c>
      <c r="F50" s="376" t="s">
        <v>658</v>
      </c>
      <c r="G50" s="376" t="s">
        <v>654</v>
      </c>
      <c r="H50" s="376" t="s">
        <v>659</v>
      </c>
      <c r="I50" s="377"/>
      <c r="J50" s="383">
        <v>24029</v>
      </c>
      <c r="K50" s="383">
        <v>24029</v>
      </c>
      <c r="L50" s="383">
        <v>24029</v>
      </c>
      <c r="M50" s="376"/>
      <c r="N50" s="453"/>
      <c r="O50" s="453"/>
      <c r="P50" s="376"/>
      <c r="Q50" s="376"/>
      <c r="R50" s="311"/>
      <c r="S50" s="376"/>
      <c r="T50" s="376"/>
      <c r="U50" s="383"/>
      <c r="V50" s="377"/>
      <c r="W50" s="377"/>
      <c r="X50" s="377"/>
      <c r="Y50" s="376">
        <f t="shared" si="5"/>
        <v>0</v>
      </c>
      <c r="Z50" s="376">
        <f t="shared" si="6"/>
        <v>0</v>
      </c>
      <c r="AA50" s="376" t="str">
        <f t="shared" si="25"/>
        <v/>
      </c>
      <c r="AB50" s="376" t="str">
        <f t="shared" si="26"/>
        <v/>
      </c>
      <c r="AC50" s="376" t="str">
        <f t="shared" si="17"/>
        <v/>
      </c>
      <c r="AD50" s="376" t="str">
        <f t="shared" si="18"/>
        <v/>
      </c>
      <c r="AE50" s="376" t="str">
        <f t="shared" si="19"/>
        <v/>
      </c>
      <c r="AF50" s="376" t="str">
        <f t="shared" si="20"/>
        <v/>
      </c>
      <c r="AG50" s="376" t="str">
        <f t="shared" si="21"/>
        <v/>
      </c>
      <c r="AH50" s="376" t="str">
        <f t="shared" si="22"/>
        <v/>
      </c>
      <c r="AI50" s="376" t="str">
        <f t="shared" si="23"/>
        <v/>
      </c>
      <c r="AJ50" s="376" t="str">
        <f t="shared" si="24"/>
        <v/>
      </c>
      <c r="AK50" s="377">
        <v>1</v>
      </c>
      <c r="AL50" s="377">
        <f t="shared" ca="1" si="1"/>
        <v>0</v>
      </c>
      <c r="AM50" s="383">
        <f t="shared" ca="1" si="2"/>
        <v>0</v>
      </c>
      <c r="AN50" s="377" t="str">
        <f ca="1">IF(AND(Tabla7[[#This Row],[UltLec]]&lt;&gt;0,Tabla7[[#This Row],[PenLect]]&lt;&gt;0),(AM50-AL50)*Tabla7[[#This Row],[RT]],"N/A")</f>
        <v>N/A</v>
      </c>
      <c r="AO50" s="433" t="s">
        <v>1281</v>
      </c>
      <c r="AP50" s="433" t="s">
        <v>1190</v>
      </c>
      <c r="AQ50" s="433" t="s">
        <v>1189</v>
      </c>
      <c r="AR50" s="377">
        <f t="shared" si="3"/>
        <v>0</v>
      </c>
      <c r="AT50" s="2" t="e">
        <f t="shared" ca="1" si="4"/>
        <v>#VALUE!</v>
      </c>
      <c r="AV50">
        <f>IF(ISBLANK(Tabla7[[#This Row],[31/12/2017]]),0,Tabla7[[#This Row],[31/12/2017]])</f>
        <v>24029</v>
      </c>
      <c r="AW50">
        <f>IF(ISBLANK(Tabla7[[#This Row],[15/01/2018]]),0,Tabla7[[#This Row],[15/01/2018]])</f>
        <v>24029</v>
      </c>
      <c r="AX50">
        <f>IF(ISBLANK(Tabla7[[#This Row],[15/02/2018]]),0,Tabla7[[#This Row],[15/02/2018]])</f>
        <v>24029</v>
      </c>
      <c r="AY50">
        <f>IF(ISBLANK(Tabla7[[#This Row],[15/03/2018]]),0,Tabla7[[#This Row],[15/03/2018]])</f>
        <v>0</v>
      </c>
      <c r="AZ50">
        <f>IF(ISBLANK(Tabla7[[#This Row],[15/04/2018]]),0,Tabla7[[#This Row],[15/04/2018]])</f>
        <v>0</v>
      </c>
      <c r="BA50">
        <f>IF(ISBLANK(Tabla7[[#This Row],[15/05/2018]]),0,Tabla7[[#This Row],[15/05/2018]])</f>
        <v>0</v>
      </c>
      <c r="BB50">
        <f>IF(ISBLANK(Tabla7[[#This Row],[15/06/2018]]),0,Tabla7[[#This Row],[15/06/2018]])</f>
        <v>0</v>
      </c>
      <c r="BC50">
        <f>IF(ISBLANK(Tabla7[[#This Row],[15/07/2018]]),0,Tabla7[[#This Row],[15/07/2018]])</f>
        <v>0</v>
      </c>
      <c r="BD50">
        <f>IF(ISBLANK(Tabla7[[#This Row],[15/08/2018]]),0,Tabla7[[#This Row],[15/08/2018]])</f>
        <v>0</v>
      </c>
      <c r="BE50">
        <f>IF(ISBLANK(Tabla7[[#This Row],[15/09/2018]]),0,Tabla7[[#This Row],[15/09/2018]])</f>
        <v>0</v>
      </c>
      <c r="BF50">
        <f>IF(ISBLANK(Tabla7[[#This Row],[15/10/2018]]),0,Tabla7[[#This Row],[15/10/2018]])</f>
        <v>0</v>
      </c>
      <c r="BG50">
        <f>IF(ISBLANK(Tabla7[[#This Row],[15/11/2018]]),0,Tabla7[[#This Row],[15/11/2018]])</f>
        <v>0</v>
      </c>
      <c r="BH50">
        <f>IF(ISBLANK(Tabla7[[#This Row],[15/12/2018]]),0,Tabla7[[#This Row],[15/12/2018]])</f>
        <v>0</v>
      </c>
      <c r="BI50">
        <f>IF(ISBLANK(Tabla7[[#This Row],[28/12/2018]]),0,Tabla7[[#This Row],[28/12/2018]])</f>
        <v>0</v>
      </c>
      <c r="BN5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('C02.09','GBAJA','GCT02','39874','FLASHCAT VALENCIA, S.L.','CT 2 SERPIS','TINGLADO 3 SERPIS','');</v>
      </c>
      <c r="BO50" t="s">
        <v>243</v>
      </c>
      <c r="BP50" s="632" t="str">
        <f>CONCATENATE("insert into lecturas values ","('",Tabla7[[#This Row],[CONTADOR]],"',STR_TO_DATE('",Tabla7[[#Headers],[31/12/2017]],"','%d/%m/%Y'),",AV50,"),","('",Tabla7[[#This Row],[CONTADOR]],"',STR_TO_DATE('",Tabla7[[#Headers],[15/01/2018]],"','%d/%m/%Y'),",AW50,"),","('",Tabla7[[#This Row],[CONTADOR]],"',STR_TO_DATE('",Tabla7[[#Headers],[15/02/2018]],"','%d/%m/%Y'),",AX50,"),","('",Tabla7[[#This Row],[CONTADOR]],"',STR_TO_DATE('",Tabla7[[#Headers],[15/03/2018]],"','%d/%m/%Y'),",AY50,"),","('",Tabla7[[#This Row],[CONTADOR]],"',STR_TO_DATE('",Tabla7[[#Headers],[15/04/2018]],"','%d/%m/%Y'),",AZ50,"),","('",Tabla7[[#This Row],[CONTADOR]],"',STR_TO_DATE('",Tabla7[[#Headers],[15/05/2018]],"','%d/%m/%Y'),",BA50,"),","('",Tabla7[[#This Row],[CONTADOR]],"',STR_TO_DATE('",Tabla7[[#Headers],[15/06/2018]],"','%d/%m/%Y'),",BB50,"),","('",Tabla7[[#This Row],[CONTADOR]],"',STR_TO_DATE('",Tabla7[[#Headers],[15/07/2018]],"','%d/%m/%Y'),",BC50,"),","('",Tabla7[[#This Row],[CONTADOR]],"',STR_TO_DATE('",Tabla7[[#Headers],[15/08/2018]],"','%d/%m/%Y'),",BD50,"),","('",Tabla7[[#This Row],[CONTADOR]],"',STR_TO_DATE('",Tabla7[[#Headers],[15/09/2018]],"','%d/%m/%Y'),",BE50,"),","('",Tabla7[[#This Row],[CONTADOR]],"',STR_TO_DATE('",Tabla7[[#Headers],[15/10/2018]],"','%d/%m/%Y'),",BF50,"),","('",Tabla7[[#This Row],[CONTADOR]],"',STR_TO_DATE('",Tabla7[[#Headers],[15/11/2018]],"','%d/%m/%Y'),",BG50,"),","('",Tabla7[[#This Row],[CONTADOR]],"',STR_TO_DATE('",Tabla7[[#Headers],[15/12/2018]],"','%d/%m/%Y'),",BH50,");")</f>
        <v>insert into lecturas values ('C02.09',STR_TO_DATE('31/12/2017','%d/%m/%Y'),24029),('C02.09',STR_TO_DATE('15/01/2018','%d/%m/%Y'),24029),('C02.09',STR_TO_DATE('15/02/2018','%d/%m/%Y'),24029),('C02.09',STR_TO_DATE('15/03/2018','%d/%m/%Y'),0),('C02.09',STR_TO_DATE('15/04/2018','%d/%m/%Y'),0),('C02.09',STR_TO_DATE('15/05/2018','%d/%m/%Y'),0),('C02.09',STR_TO_DATE('15/06/2018','%d/%m/%Y'),0),('C02.09',STR_TO_DATE('15/07/2018','%d/%m/%Y'),0),('C02.09',STR_TO_DATE('15/08/2018','%d/%m/%Y'),0),('C02.09',STR_TO_DATE('15/09/2018','%d/%m/%Y'),0),('C02.09',STR_TO_DATE('15/10/2018','%d/%m/%Y'),0),('C02.09',STR_TO_DATE('15/11/2018','%d/%m/%Y'),0),('C02.09',STR_TO_DATE('15/12/2018','%d/%m/%Y'),0);</v>
      </c>
    </row>
    <row r="51" spans="1:68" ht="18" customHeight="1" x14ac:dyDescent="0.25">
      <c r="A51" s="372" t="s">
        <v>1097</v>
      </c>
      <c r="B51" s="374"/>
      <c r="C51" s="374" t="s">
        <v>420</v>
      </c>
      <c r="D51" s="374" t="s">
        <v>650</v>
      </c>
      <c r="E51" s="375">
        <v>39941</v>
      </c>
      <c r="F51" s="376" t="s">
        <v>1186</v>
      </c>
      <c r="G51" s="376" t="s">
        <v>654</v>
      </c>
      <c r="H51" s="376" t="s">
        <v>1408</v>
      </c>
      <c r="I51" s="376" t="s">
        <v>1431</v>
      </c>
      <c r="J51" s="376"/>
      <c r="K51" s="376"/>
      <c r="L51" s="376">
        <v>24029</v>
      </c>
      <c r="M51" s="376">
        <v>24029.1</v>
      </c>
      <c r="N51" s="376">
        <v>24068.6</v>
      </c>
      <c r="O51" s="376">
        <v>24188.6</v>
      </c>
      <c r="P51" s="376">
        <v>24350.7</v>
      </c>
      <c r="Q51" s="376">
        <v>24442.5</v>
      </c>
      <c r="R51" s="376">
        <v>24659.7</v>
      </c>
      <c r="S51" s="376">
        <v>24861.9</v>
      </c>
      <c r="T51" s="376"/>
      <c r="U51" s="519"/>
      <c r="V51" s="376"/>
      <c r="W51" s="376"/>
      <c r="X51" s="376"/>
      <c r="Y51" s="376" t="str">
        <f t="shared" si="5"/>
        <v/>
      </c>
      <c r="Z51" s="376" t="str">
        <f t="shared" si="6"/>
        <v/>
      </c>
      <c r="AA51" s="376">
        <f t="shared" si="25"/>
        <v>9.9999999998544808E-2</v>
      </c>
      <c r="AB51" s="376">
        <f t="shared" si="26"/>
        <v>39.5</v>
      </c>
      <c r="AC51" s="376">
        <f t="shared" si="17"/>
        <v>120</v>
      </c>
      <c r="AD51" s="376">
        <f t="shared" si="18"/>
        <v>162.10000000000218</v>
      </c>
      <c r="AE51" s="376">
        <f t="shared" si="19"/>
        <v>91.799999999999272</v>
      </c>
      <c r="AF51" s="376">
        <f t="shared" si="20"/>
        <v>217.20000000000073</v>
      </c>
      <c r="AG51" s="376">
        <f t="shared" si="21"/>
        <v>202.20000000000073</v>
      </c>
      <c r="AH51" s="376" t="str">
        <f t="shared" si="22"/>
        <v/>
      </c>
      <c r="AI51" s="376" t="str">
        <f t="shared" si="23"/>
        <v/>
      </c>
      <c r="AJ51" s="376" t="str">
        <f t="shared" si="24"/>
        <v/>
      </c>
      <c r="AK51" s="408">
        <v>1</v>
      </c>
      <c r="AL51" s="376">
        <f t="shared" ca="1" si="1"/>
        <v>24068.6</v>
      </c>
      <c r="AM51" s="376">
        <f t="shared" ca="1" si="2"/>
        <v>24188.6</v>
      </c>
      <c r="AN51" s="376">
        <f ca="1">IF(AND(Tabla7[[#This Row],[UltLec]]&lt;&gt;0,Tabla7[[#This Row],[PenLect]]&lt;&gt;0),(AM51-AL51)*Tabla7[[#This Row],[RT]],"N/A")</f>
        <v>120</v>
      </c>
      <c r="AO51" s="624" t="s">
        <v>1281</v>
      </c>
      <c r="AP51" s="377" t="s">
        <v>1190</v>
      </c>
      <c r="AQ51" s="377" t="s">
        <v>1189</v>
      </c>
      <c r="AR51" s="409">
        <f t="shared" si="3"/>
        <v>0</v>
      </c>
      <c r="AT51" s="2">
        <f t="shared" ca="1" si="4"/>
        <v>3.037974683544304</v>
      </c>
      <c r="AV51">
        <f>IF(ISBLANK(Tabla7[[#This Row],[31/12/2017]]),0,Tabla7[[#This Row],[31/12/2017]])</f>
        <v>0</v>
      </c>
      <c r="AW51">
        <f>IF(ISBLANK(Tabla7[[#This Row],[15/01/2018]]),0,Tabla7[[#This Row],[15/01/2018]])</f>
        <v>0</v>
      </c>
      <c r="AX51">
        <f>IF(ISBLANK(Tabla7[[#This Row],[15/02/2018]]),0,Tabla7[[#This Row],[15/02/2018]])</f>
        <v>24029</v>
      </c>
      <c r="AY51">
        <f>IF(ISBLANK(Tabla7[[#This Row],[15/03/2018]]),0,Tabla7[[#This Row],[15/03/2018]])</f>
        <v>24029.1</v>
      </c>
      <c r="AZ51">
        <f>IF(ISBLANK(Tabla7[[#This Row],[15/04/2018]]),0,Tabla7[[#This Row],[15/04/2018]])</f>
        <v>24068.6</v>
      </c>
      <c r="BA51">
        <f>IF(ISBLANK(Tabla7[[#This Row],[15/05/2018]]),0,Tabla7[[#This Row],[15/05/2018]])</f>
        <v>24188.6</v>
      </c>
      <c r="BB51">
        <f>IF(ISBLANK(Tabla7[[#This Row],[15/06/2018]]),0,Tabla7[[#This Row],[15/06/2018]])</f>
        <v>24350.7</v>
      </c>
      <c r="BC51">
        <f>IF(ISBLANK(Tabla7[[#This Row],[15/07/2018]]),0,Tabla7[[#This Row],[15/07/2018]])</f>
        <v>24442.5</v>
      </c>
      <c r="BD51">
        <f>IF(ISBLANK(Tabla7[[#This Row],[15/08/2018]]),0,Tabla7[[#This Row],[15/08/2018]])</f>
        <v>24659.7</v>
      </c>
      <c r="BE51">
        <f>IF(ISBLANK(Tabla7[[#This Row],[15/09/2018]]),0,Tabla7[[#This Row],[15/09/2018]])</f>
        <v>24861.9</v>
      </c>
      <c r="BF51">
        <f>IF(ISBLANK(Tabla7[[#This Row],[15/10/2018]]),0,Tabla7[[#This Row],[15/10/2018]])</f>
        <v>0</v>
      </c>
      <c r="BG51">
        <f>IF(ISBLANK(Tabla7[[#This Row],[15/11/2018]]),0,Tabla7[[#This Row],[15/11/2018]])</f>
        <v>0</v>
      </c>
      <c r="BH51">
        <f>IF(ISBLANK(Tabla7[[#This Row],[15/12/2018]]),0,Tabla7[[#This Row],[15/12/2018]])</f>
        <v>0</v>
      </c>
      <c r="BI51">
        <f>IF(ISBLANK(Tabla7[[#This Row],[28/12/2018]]),0,Tabla7[[#This Row],[28/12/2018]])</f>
        <v>0</v>
      </c>
      <c r="BN5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('C02.09','GBAJA','GCT02','39941','DRAGADOS S.L.','CT 2 SERPIS','TINGLADO 3 MUELLE SERPIS','Baja 14/09/2018 a solicitud del abonado, está será la última factura ');</v>
      </c>
      <c r="BO51" t="s">
        <v>243</v>
      </c>
      <c r="BP51" s="632" t="str">
        <f>CONCATENATE("insert into lecturas values ","('",Tabla7[[#This Row],[CONTADOR]],"',STR_TO_DATE('",Tabla7[[#Headers],[31/12/2017]],"','%d/%m/%Y'),",AV51,"),","('",Tabla7[[#This Row],[CONTADOR]],"',STR_TO_DATE('",Tabla7[[#Headers],[15/01/2018]],"','%d/%m/%Y'),",AW51,"),","('",Tabla7[[#This Row],[CONTADOR]],"',STR_TO_DATE('",Tabla7[[#Headers],[15/02/2018]],"','%d/%m/%Y'),",AX51,"),","('",Tabla7[[#This Row],[CONTADOR]],"',STR_TO_DATE('",Tabla7[[#Headers],[15/03/2018]],"','%d/%m/%Y'),",AY51,"),","('",Tabla7[[#This Row],[CONTADOR]],"',STR_TO_DATE('",Tabla7[[#Headers],[15/04/2018]],"','%d/%m/%Y'),",AZ51,"),","('",Tabla7[[#This Row],[CONTADOR]],"',STR_TO_DATE('",Tabla7[[#Headers],[15/05/2018]],"','%d/%m/%Y'),",BA51,"),","('",Tabla7[[#This Row],[CONTADOR]],"',STR_TO_DATE('",Tabla7[[#Headers],[15/06/2018]],"','%d/%m/%Y'),",BB51,"),","('",Tabla7[[#This Row],[CONTADOR]],"',STR_TO_DATE('",Tabla7[[#Headers],[15/07/2018]],"','%d/%m/%Y'),",BC51,"),","('",Tabla7[[#This Row],[CONTADOR]],"',STR_TO_DATE('",Tabla7[[#Headers],[15/08/2018]],"','%d/%m/%Y'),",BD51,"),","('",Tabla7[[#This Row],[CONTADOR]],"',STR_TO_DATE('",Tabla7[[#Headers],[15/09/2018]],"','%d/%m/%Y'),",BE51,"),","('",Tabla7[[#This Row],[CONTADOR]],"',STR_TO_DATE('",Tabla7[[#Headers],[15/10/2018]],"','%d/%m/%Y'),",BF51,"),","('",Tabla7[[#This Row],[CONTADOR]],"',STR_TO_DATE('",Tabla7[[#Headers],[15/11/2018]],"','%d/%m/%Y'),",BG51,"),","('",Tabla7[[#This Row],[CONTADOR]],"',STR_TO_DATE('",Tabla7[[#Headers],[15/12/2018]],"','%d/%m/%Y'),",BH51,");")</f>
        <v>insert into lecturas values ('C02.09',STR_TO_DATE('31/12/2017','%d/%m/%Y'),0),('C02.09',STR_TO_DATE('15/01/2018','%d/%m/%Y'),0),('C02.09',STR_TO_DATE('15/02/2018','%d/%m/%Y'),24029),('C02.09',STR_TO_DATE('15/03/2018','%d/%m/%Y'),24029,1),('C02.09',STR_TO_DATE('15/04/2018','%d/%m/%Y'),24068,6),('C02.09',STR_TO_DATE('15/05/2018','%d/%m/%Y'),24188,6),('C02.09',STR_TO_DATE('15/06/2018','%d/%m/%Y'),24350,7),('C02.09',STR_TO_DATE('15/07/2018','%d/%m/%Y'),24442,5),('C02.09',STR_TO_DATE('15/08/2018','%d/%m/%Y'),24659,7),('C02.09',STR_TO_DATE('15/09/2018','%d/%m/%Y'),24861,9),('C02.09',STR_TO_DATE('15/10/2018','%d/%m/%Y'),0),('C02.09',STR_TO_DATE('15/11/2018','%d/%m/%Y'),0),('C02.09',STR_TO_DATE('15/12/2018','%d/%m/%Y'),0);</v>
      </c>
    </row>
    <row r="52" spans="1:68" ht="18" customHeight="1" x14ac:dyDescent="0.25">
      <c r="A52" s="241" t="s">
        <v>614</v>
      </c>
      <c r="B52" s="60"/>
      <c r="C52" s="223" t="s">
        <v>421</v>
      </c>
      <c r="D52" s="60" t="s">
        <v>650</v>
      </c>
      <c r="E52" s="258">
        <v>3</v>
      </c>
      <c r="F52" s="2" t="s">
        <v>21</v>
      </c>
      <c r="G52" s="2" t="s">
        <v>654</v>
      </c>
      <c r="H52" s="2" t="s">
        <v>660</v>
      </c>
      <c r="I52" s="2"/>
      <c r="J52" s="311">
        <v>168294.3</v>
      </c>
      <c r="K52" s="311">
        <v>169495.6</v>
      </c>
      <c r="L52" s="311">
        <v>170443</v>
      </c>
      <c r="M52" s="311">
        <v>171927.1</v>
      </c>
      <c r="N52" s="311">
        <v>172904.9</v>
      </c>
      <c r="O52" s="454">
        <v>173866.7</v>
      </c>
      <c r="P52" s="454">
        <v>174612.2</v>
      </c>
      <c r="Q52" s="454">
        <v>175465.8</v>
      </c>
      <c r="R52" s="311">
        <v>175466</v>
      </c>
      <c r="S52" s="492">
        <v>175466</v>
      </c>
      <c r="T52" s="492">
        <v>175724.3</v>
      </c>
      <c r="U52" s="311">
        <v>177320.7</v>
      </c>
      <c r="V52" s="311">
        <v>178779.1</v>
      </c>
      <c r="W52" s="274"/>
      <c r="X52" s="274"/>
      <c r="Y52" s="2">
        <f t="shared" si="5"/>
        <v>1201.3000000000175</v>
      </c>
      <c r="Z52" s="2">
        <f t="shared" si="6"/>
        <v>947.39999999999418</v>
      </c>
      <c r="AA52" s="2">
        <f t="shared" si="25"/>
        <v>1484.1000000000058</v>
      </c>
      <c r="AB52" s="2">
        <f t="shared" si="26"/>
        <v>977.79999999998836</v>
      </c>
      <c r="AC52" s="2">
        <f t="shared" si="17"/>
        <v>961.80000000001746</v>
      </c>
      <c r="AD52" s="2">
        <f t="shared" si="18"/>
        <v>745.5</v>
      </c>
      <c r="AE52" s="2">
        <f t="shared" si="19"/>
        <v>853.59999999997672</v>
      </c>
      <c r="AF52" s="2">
        <f t="shared" si="20"/>
        <v>0.20000000001164153</v>
      </c>
      <c r="AG52" s="2">
        <f t="shared" si="21"/>
        <v>0</v>
      </c>
      <c r="AH52" s="2">
        <f t="shared" si="22"/>
        <v>258.29999999998836</v>
      </c>
      <c r="AI52" s="2">
        <f t="shared" si="23"/>
        <v>1596.4000000000233</v>
      </c>
      <c r="AJ52" s="2">
        <f t="shared" si="24"/>
        <v>1458.3999999999942</v>
      </c>
      <c r="AK52" s="406">
        <v>1</v>
      </c>
      <c r="AL52" s="274">
        <f t="shared" ca="1" si="1"/>
        <v>172904.9</v>
      </c>
      <c r="AM52" s="311">
        <f t="shared" ca="1" si="2"/>
        <v>173866.7</v>
      </c>
      <c r="AN52" s="274">
        <f ca="1">IF(AND(Tabla7[[#This Row],[UltLec]]&lt;&gt;0,Tabla7[[#This Row],[PenLect]]&lt;&gt;0),(AM52-AL52)*Tabla7[[#This Row],[RT]],"N/A")</f>
        <v>961.80000000001746</v>
      </c>
      <c r="AO52" s="273" t="s">
        <v>910</v>
      </c>
      <c r="AP52" s="392" t="s">
        <v>1190</v>
      </c>
      <c r="AQ52" s="392" t="s">
        <v>1189</v>
      </c>
      <c r="AR52" s="407">
        <f t="shared" si="3"/>
        <v>0</v>
      </c>
      <c r="AT52" s="2">
        <f t="shared" ca="1" si="4"/>
        <v>0.98363673552876751</v>
      </c>
      <c r="AV52">
        <f>IF(ISBLANK(Tabla7[[#This Row],[31/12/2017]]),0,Tabla7[[#This Row],[31/12/2017]])</f>
        <v>168294.3</v>
      </c>
      <c r="AW52">
        <f>IF(ISBLANK(Tabla7[[#This Row],[15/01/2018]]),0,Tabla7[[#This Row],[15/01/2018]])</f>
        <v>169495.6</v>
      </c>
      <c r="AX52">
        <f>IF(ISBLANK(Tabla7[[#This Row],[15/02/2018]]),0,Tabla7[[#This Row],[15/02/2018]])</f>
        <v>170443</v>
      </c>
      <c r="AY52">
        <f>IF(ISBLANK(Tabla7[[#This Row],[15/03/2018]]),0,Tabla7[[#This Row],[15/03/2018]])</f>
        <v>171927.1</v>
      </c>
      <c r="AZ52">
        <f>IF(ISBLANK(Tabla7[[#This Row],[15/04/2018]]),0,Tabla7[[#This Row],[15/04/2018]])</f>
        <v>172904.9</v>
      </c>
      <c r="BA52">
        <f>IF(ISBLANK(Tabla7[[#This Row],[15/05/2018]]),0,Tabla7[[#This Row],[15/05/2018]])</f>
        <v>173866.7</v>
      </c>
      <c r="BB52">
        <f>IF(ISBLANK(Tabla7[[#This Row],[15/06/2018]]),0,Tabla7[[#This Row],[15/06/2018]])</f>
        <v>174612.2</v>
      </c>
      <c r="BC52">
        <f>IF(ISBLANK(Tabla7[[#This Row],[15/07/2018]]),0,Tabla7[[#This Row],[15/07/2018]])</f>
        <v>175465.8</v>
      </c>
      <c r="BD52">
        <f>IF(ISBLANK(Tabla7[[#This Row],[15/08/2018]]),0,Tabla7[[#This Row],[15/08/2018]])</f>
        <v>175466</v>
      </c>
      <c r="BE52">
        <f>IF(ISBLANK(Tabla7[[#This Row],[15/09/2018]]),0,Tabla7[[#This Row],[15/09/2018]])</f>
        <v>175466</v>
      </c>
      <c r="BF52">
        <f>IF(ISBLANK(Tabla7[[#This Row],[15/10/2018]]),0,Tabla7[[#This Row],[15/10/2018]])</f>
        <v>175724.3</v>
      </c>
      <c r="BG52">
        <f>IF(ISBLANK(Tabla7[[#This Row],[15/11/2018]]),0,Tabla7[[#This Row],[15/11/2018]])</f>
        <v>177320.7</v>
      </c>
      <c r="BH52">
        <f>IF(ISBLANK(Tabla7[[#This Row],[15/12/2018]]),0,Tabla7[[#This Row],[15/12/2018]])</f>
        <v>178779.1</v>
      </c>
      <c r="BI52">
        <f>IF(ISBLANK(Tabla7[[#This Row],[28/12/2018]]),0,Tabla7[[#This Row],[28/12/2018]])</f>
        <v>0</v>
      </c>
      <c r="BN5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('C02.10','G','GCT02','3','APV','CT 2 SERPIS','Tinglado Venecia nº 4 (INT y EXT.)','');</v>
      </c>
      <c r="BO52" t="s">
        <v>243</v>
      </c>
      <c r="BP52" s="632" t="str">
        <f>CONCATENATE("insert into lecturas values ","('",Tabla7[[#This Row],[CONTADOR]],"',STR_TO_DATE('",Tabla7[[#Headers],[31/12/2017]],"','%d/%m/%Y'),",AV52,"),","('",Tabla7[[#This Row],[CONTADOR]],"',STR_TO_DATE('",Tabla7[[#Headers],[15/01/2018]],"','%d/%m/%Y'),",AW52,"),","('",Tabla7[[#This Row],[CONTADOR]],"',STR_TO_DATE('",Tabla7[[#Headers],[15/02/2018]],"','%d/%m/%Y'),",AX52,"),","('",Tabla7[[#This Row],[CONTADOR]],"',STR_TO_DATE('",Tabla7[[#Headers],[15/03/2018]],"','%d/%m/%Y'),",AY52,"),","('",Tabla7[[#This Row],[CONTADOR]],"',STR_TO_DATE('",Tabla7[[#Headers],[15/04/2018]],"','%d/%m/%Y'),",AZ52,"),","('",Tabla7[[#This Row],[CONTADOR]],"',STR_TO_DATE('",Tabla7[[#Headers],[15/05/2018]],"','%d/%m/%Y'),",BA52,"),","('",Tabla7[[#This Row],[CONTADOR]],"',STR_TO_DATE('",Tabla7[[#Headers],[15/06/2018]],"','%d/%m/%Y'),",BB52,"),","('",Tabla7[[#This Row],[CONTADOR]],"',STR_TO_DATE('",Tabla7[[#Headers],[15/07/2018]],"','%d/%m/%Y'),",BC52,"),","('",Tabla7[[#This Row],[CONTADOR]],"',STR_TO_DATE('",Tabla7[[#Headers],[15/08/2018]],"','%d/%m/%Y'),",BD52,"),","('",Tabla7[[#This Row],[CONTADOR]],"',STR_TO_DATE('",Tabla7[[#Headers],[15/09/2018]],"','%d/%m/%Y'),",BE52,"),","('",Tabla7[[#This Row],[CONTADOR]],"',STR_TO_DATE('",Tabla7[[#Headers],[15/10/2018]],"','%d/%m/%Y'),",BF52,"),","('",Tabla7[[#This Row],[CONTADOR]],"',STR_TO_DATE('",Tabla7[[#Headers],[15/11/2018]],"','%d/%m/%Y'),",BG52,"),","('",Tabla7[[#This Row],[CONTADOR]],"',STR_TO_DATE('",Tabla7[[#Headers],[15/12/2018]],"','%d/%m/%Y'),",BH52,");")</f>
        <v>insert into lecturas values ('C02.10',STR_TO_DATE('31/12/2017','%d/%m/%Y'),168294,3),('C02.10',STR_TO_DATE('15/01/2018','%d/%m/%Y'),169495,6),('C02.10',STR_TO_DATE('15/02/2018','%d/%m/%Y'),170443),('C02.10',STR_TO_DATE('15/03/2018','%d/%m/%Y'),171927,1),('C02.10',STR_TO_DATE('15/04/2018','%d/%m/%Y'),172904,9),('C02.10',STR_TO_DATE('15/05/2018','%d/%m/%Y'),173866,7),('C02.10',STR_TO_DATE('15/06/2018','%d/%m/%Y'),174612,2),('C02.10',STR_TO_DATE('15/07/2018','%d/%m/%Y'),175465,8),('C02.10',STR_TO_DATE('15/08/2018','%d/%m/%Y'),175466),('C02.10',STR_TO_DATE('15/09/2018','%d/%m/%Y'),175466),('C02.10',STR_TO_DATE('15/10/2018','%d/%m/%Y'),175724,3),('C02.10',STR_TO_DATE('15/11/2018','%d/%m/%Y'),177320,7),('C02.10',STR_TO_DATE('15/12/2018','%d/%m/%Y'),178779,1);</v>
      </c>
    </row>
    <row r="53" spans="1:68" ht="18" customHeight="1" x14ac:dyDescent="0.25">
      <c r="A53" s="241" t="s">
        <v>614</v>
      </c>
      <c r="B53" s="60"/>
      <c r="C53" s="223" t="s">
        <v>422</v>
      </c>
      <c r="D53" s="60" t="s">
        <v>650</v>
      </c>
      <c r="E53" s="258">
        <v>3</v>
      </c>
      <c r="F53" s="275" t="s">
        <v>21</v>
      </c>
      <c r="G53" s="2" t="s">
        <v>654</v>
      </c>
      <c r="H53" s="275" t="s">
        <v>661</v>
      </c>
      <c r="I53" s="2"/>
      <c r="J53" s="311">
        <v>602.5</v>
      </c>
      <c r="K53" s="311">
        <v>602.5</v>
      </c>
      <c r="L53" s="311">
        <v>602.5</v>
      </c>
      <c r="M53" s="311">
        <v>602.5</v>
      </c>
      <c r="N53" s="311">
        <v>602.5</v>
      </c>
      <c r="O53" s="454">
        <v>602.5</v>
      </c>
      <c r="P53" s="454">
        <v>602.5</v>
      </c>
      <c r="Q53" s="454">
        <v>602.5</v>
      </c>
      <c r="R53" s="311">
        <v>602.5</v>
      </c>
      <c r="S53" s="492">
        <v>602.5</v>
      </c>
      <c r="T53" s="492">
        <v>602.5</v>
      </c>
      <c r="U53" s="311">
        <v>602.5</v>
      </c>
      <c r="V53" s="311">
        <v>602.5</v>
      </c>
      <c r="W53" s="274"/>
      <c r="X53" s="274"/>
      <c r="Y53" s="2">
        <f t="shared" si="5"/>
        <v>0</v>
      </c>
      <c r="Z53" s="2">
        <f t="shared" si="6"/>
        <v>0</v>
      </c>
      <c r="AA53" s="2">
        <f t="shared" si="25"/>
        <v>0</v>
      </c>
      <c r="AB53" s="2">
        <f t="shared" si="26"/>
        <v>0</v>
      </c>
      <c r="AC53" s="2">
        <f t="shared" si="17"/>
        <v>0</v>
      </c>
      <c r="AD53" s="2">
        <f t="shared" si="18"/>
        <v>0</v>
      </c>
      <c r="AE53" s="2">
        <f t="shared" si="19"/>
        <v>0</v>
      </c>
      <c r="AF53" s="2">
        <f t="shared" si="20"/>
        <v>0</v>
      </c>
      <c r="AG53" s="2">
        <f t="shared" si="21"/>
        <v>0</v>
      </c>
      <c r="AH53" s="2">
        <f t="shared" si="22"/>
        <v>0</v>
      </c>
      <c r="AI53" s="2">
        <f t="shared" si="23"/>
        <v>0</v>
      </c>
      <c r="AJ53" s="2">
        <f t="shared" si="24"/>
        <v>0</v>
      </c>
      <c r="AK53" s="406">
        <v>1</v>
      </c>
      <c r="AL53" s="274">
        <f t="shared" ca="1" si="1"/>
        <v>602.5</v>
      </c>
      <c r="AM53" s="311">
        <f t="shared" ca="1" si="2"/>
        <v>602.5</v>
      </c>
      <c r="AN53" s="274">
        <f ca="1">IF(AND(Tabla7[[#This Row],[UltLec]]&lt;&gt;0,Tabla7[[#This Row],[PenLect]]&lt;&gt;0),(AM53-AL53)*Tabla7[[#This Row],[RT]],"N/A")</f>
        <v>0</v>
      </c>
      <c r="AO53" s="273" t="s">
        <v>910</v>
      </c>
      <c r="AP53" s="392" t="s">
        <v>1190</v>
      </c>
      <c r="AQ53" s="392" t="s">
        <v>1189</v>
      </c>
      <c r="AR53" s="407">
        <f t="shared" si="3"/>
        <v>0</v>
      </c>
      <c r="AT53" s="2" t="str">
        <f t="shared" ca="1" si="4"/>
        <v>0</v>
      </c>
      <c r="AV53">
        <f>IF(ISBLANK(Tabla7[[#This Row],[31/12/2017]]),0,Tabla7[[#This Row],[31/12/2017]])</f>
        <v>602.5</v>
      </c>
      <c r="AW53">
        <f>IF(ISBLANK(Tabla7[[#This Row],[15/01/2018]]),0,Tabla7[[#This Row],[15/01/2018]])</f>
        <v>602.5</v>
      </c>
      <c r="AX53">
        <f>IF(ISBLANK(Tabla7[[#This Row],[15/02/2018]]),0,Tabla7[[#This Row],[15/02/2018]])</f>
        <v>602.5</v>
      </c>
      <c r="AY53">
        <f>IF(ISBLANK(Tabla7[[#This Row],[15/03/2018]]),0,Tabla7[[#This Row],[15/03/2018]])</f>
        <v>602.5</v>
      </c>
      <c r="AZ53">
        <f>IF(ISBLANK(Tabla7[[#This Row],[15/04/2018]]),0,Tabla7[[#This Row],[15/04/2018]])</f>
        <v>602.5</v>
      </c>
      <c r="BA53">
        <f>IF(ISBLANK(Tabla7[[#This Row],[15/05/2018]]),0,Tabla7[[#This Row],[15/05/2018]])</f>
        <v>602.5</v>
      </c>
      <c r="BB53">
        <f>IF(ISBLANK(Tabla7[[#This Row],[15/06/2018]]),0,Tabla7[[#This Row],[15/06/2018]])</f>
        <v>602.5</v>
      </c>
      <c r="BC53">
        <f>IF(ISBLANK(Tabla7[[#This Row],[15/07/2018]]),0,Tabla7[[#This Row],[15/07/2018]])</f>
        <v>602.5</v>
      </c>
      <c r="BD53">
        <f>IF(ISBLANK(Tabla7[[#This Row],[15/08/2018]]),0,Tabla7[[#This Row],[15/08/2018]])</f>
        <v>602.5</v>
      </c>
      <c r="BE53">
        <f>IF(ISBLANK(Tabla7[[#This Row],[15/09/2018]]),0,Tabla7[[#This Row],[15/09/2018]])</f>
        <v>602.5</v>
      </c>
      <c r="BF53">
        <f>IF(ISBLANK(Tabla7[[#This Row],[15/10/2018]]),0,Tabla7[[#This Row],[15/10/2018]])</f>
        <v>602.5</v>
      </c>
      <c r="BG53">
        <f>IF(ISBLANK(Tabla7[[#This Row],[15/11/2018]]),0,Tabla7[[#This Row],[15/11/2018]])</f>
        <v>602.5</v>
      </c>
      <c r="BH53">
        <f>IF(ISBLANK(Tabla7[[#This Row],[15/12/2018]]),0,Tabla7[[#This Row],[15/12/2018]])</f>
        <v>602.5</v>
      </c>
      <c r="BI53">
        <f>IF(ISBLANK(Tabla7[[#This Row],[28/12/2018]]),0,Tabla7[[#This Row],[28/12/2018]])</f>
        <v>0</v>
      </c>
      <c r="BN5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('C02.11','G','GCT02','3','APV','CT 2 SERPIS','Balizamiento contradique','');</v>
      </c>
      <c r="BO53" t="s">
        <v>243</v>
      </c>
      <c r="BP53" s="632" t="str">
        <f>CONCATENATE("insert into lecturas values ","('",Tabla7[[#This Row],[CONTADOR]],"',STR_TO_DATE('",Tabla7[[#Headers],[31/12/2017]],"','%d/%m/%Y'),",AV53,"),","('",Tabla7[[#This Row],[CONTADOR]],"',STR_TO_DATE('",Tabla7[[#Headers],[15/01/2018]],"','%d/%m/%Y'),",AW53,"),","('",Tabla7[[#This Row],[CONTADOR]],"',STR_TO_DATE('",Tabla7[[#Headers],[15/02/2018]],"','%d/%m/%Y'),",AX53,"),","('",Tabla7[[#This Row],[CONTADOR]],"',STR_TO_DATE('",Tabla7[[#Headers],[15/03/2018]],"','%d/%m/%Y'),",AY53,"),","('",Tabla7[[#This Row],[CONTADOR]],"',STR_TO_DATE('",Tabla7[[#Headers],[15/04/2018]],"','%d/%m/%Y'),",AZ53,"),","('",Tabla7[[#This Row],[CONTADOR]],"',STR_TO_DATE('",Tabla7[[#Headers],[15/05/2018]],"','%d/%m/%Y'),",BA53,"),","('",Tabla7[[#This Row],[CONTADOR]],"',STR_TO_DATE('",Tabla7[[#Headers],[15/06/2018]],"','%d/%m/%Y'),",BB53,"),","('",Tabla7[[#This Row],[CONTADOR]],"',STR_TO_DATE('",Tabla7[[#Headers],[15/07/2018]],"','%d/%m/%Y'),",BC53,"),","('",Tabla7[[#This Row],[CONTADOR]],"',STR_TO_DATE('",Tabla7[[#Headers],[15/08/2018]],"','%d/%m/%Y'),",BD53,"),","('",Tabla7[[#This Row],[CONTADOR]],"',STR_TO_DATE('",Tabla7[[#Headers],[15/09/2018]],"','%d/%m/%Y'),",BE53,"),","('",Tabla7[[#This Row],[CONTADOR]],"',STR_TO_DATE('",Tabla7[[#Headers],[15/10/2018]],"','%d/%m/%Y'),",BF53,"),","('",Tabla7[[#This Row],[CONTADOR]],"',STR_TO_DATE('",Tabla7[[#Headers],[15/11/2018]],"','%d/%m/%Y'),",BG53,"),","('",Tabla7[[#This Row],[CONTADOR]],"',STR_TO_DATE('",Tabla7[[#Headers],[15/12/2018]],"','%d/%m/%Y'),",BH53,");")</f>
        <v>insert into lecturas values ('C02.11',STR_TO_DATE('31/12/2017','%d/%m/%Y'),602,5),('C02.11',STR_TO_DATE('15/01/2018','%d/%m/%Y'),602,5),('C02.11',STR_TO_DATE('15/02/2018','%d/%m/%Y'),602,5),('C02.11',STR_TO_DATE('15/03/2018','%d/%m/%Y'),602,5),('C02.11',STR_TO_DATE('15/04/2018','%d/%m/%Y'),602,5),('C02.11',STR_TO_DATE('15/05/2018','%d/%m/%Y'),602,5),('C02.11',STR_TO_DATE('15/06/2018','%d/%m/%Y'),602,5),('C02.11',STR_TO_DATE('15/07/2018','%d/%m/%Y'),602,5),('C02.11',STR_TO_DATE('15/08/2018','%d/%m/%Y'),602,5),('C02.11',STR_TO_DATE('15/09/2018','%d/%m/%Y'),602,5),('C02.11',STR_TO_DATE('15/10/2018','%d/%m/%Y'),602,5),('C02.11',STR_TO_DATE('15/11/2018','%d/%m/%Y'),602,5),('C02.11',STR_TO_DATE('15/12/2018','%d/%m/%Y'),602,5);</v>
      </c>
    </row>
    <row r="54" spans="1:68" ht="18" customHeight="1" x14ac:dyDescent="0.25">
      <c r="A54" s="241" t="s">
        <v>614</v>
      </c>
      <c r="B54" s="60"/>
      <c r="C54" s="223" t="s">
        <v>423</v>
      </c>
      <c r="D54" s="60" t="s">
        <v>650</v>
      </c>
      <c r="E54" s="258">
        <v>3</v>
      </c>
      <c r="F54" s="274" t="s">
        <v>21</v>
      </c>
      <c r="G54" s="274" t="s">
        <v>654</v>
      </c>
      <c r="H54" s="274" t="s">
        <v>662</v>
      </c>
      <c r="I54" s="274" t="s">
        <v>663</v>
      </c>
      <c r="J54" s="311">
        <v>52232.3</v>
      </c>
      <c r="K54" s="311">
        <v>53554</v>
      </c>
      <c r="L54" s="311">
        <v>55252</v>
      </c>
      <c r="M54" s="311">
        <v>57192.3</v>
      </c>
      <c r="N54" s="311">
        <v>58484.4</v>
      </c>
      <c r="O54" s="454">
        <v>59730.6</v>
      </c>
      <c r="P54" s="454">
        <v>61163.6</v>
      </c>
      <c r="Q54" s="311">
        <v>62020.5</v>
      </c>
      <c r="R54" s="311">
        <v>63233.7</v>
      </c>
      <c r="S54" s="311">
        <v>64601.599999999999</v>
      </c>
      <c r="T54" s="311">
        <v>65932</v>
      </c>
      <c r="U54" s="311">
        <v>67797.5</v>
      </c>
      <c r="V54" s="311">
        <v>69575.100000000006</v>
      </c>
      <c r="W54" s="274"/>
      <c r="X54" s="274"/>
      <c r="Y54" s="274">
        <f t="shared" si="5"/>
        <v>1321.6999999999971</v>
      </c>
      <c r="Z54" s="274">
        <f t="shared" si="6"/>
        <v>1698</v>
      </c>
      <c r="AA54" s="274">
        <f t="shared" si="25"/>
        <v>1940.3000000000029</v>
      </c>
      <c r="AB54" s="274">
        <f t="shared" si="26"/>
        <v>1292.0999999999985</v>
      </c>
      <c r="AC54" s="274">
        <f t="shared" si="17"/>
        <v>1246.1999999999971</v>
      </c>
      <c r="AD54" s="274">
        <f t="shared" si="18"/>
        <v>1433</v>
      </c>
      <c r="AE54" s="274">
        <f t="shared" si="19"/>
        <v>856.90000000000146</v>
      </c>
      <c r="AF54" s="274">
        <f t="shared" si="20"/>
        <v>1213.1999999999971</v>
      </c>
      <c r="AG54" s="274">
        <f t="shared" si="21"/>
        <v>1367.9000000000015</v>
      </c>
      <c r="AH54" s="274">
        <f t="shared" si="22"/>
        <v>1330.4000000000015</v>
      </c>
      <c r="AI54" s="274">
        <f t="shared" si="23"/>
        <v>1865.5</v>
      </c>
      <c r="AJ54" s="274">
        <f t="shared" si="24"/>
        <v>1777.6000000000058</v>
      </c>
      <c r="AK54" s="406">
        <v>1</v>
      </c>
      <c r="AL54" s="274">
        <f t="shared" ca="1" si="1"/>
        <v>58484.4</v>
      </c>
      <c r="AM54" s="311">
        <f t="shared" ca="1" si="2"/>
        <v>59730.6</v>
      </c>
      <c r="AN54" s="274">
        <f ca="1">IF(AND(Tabla7[[#This Row],[UltLec]]&lt;&gt;0,Tabla7[[#This Row],[PenLect]]&lt;&gt;0),(AM54-AL54)*Tabla7[[#This Row],[RT]],"N/A")</f>
        <v>1246.1999999999971</v>
      </c>
      <c r="AO54" s="273" t="s">
        <v>910</v>
      </c>
      <c r="AP54" s="392" t="s">
        <v>1190</v>
      </c>
      <c r="AQ54" s="392" t="s">
        <v>1189</v>
      </c>
      <c r="AR54" s="407">
        <f t="shared" si="3"/>
        <v>0</v>
      </c>
      <c r="AT54" s="2">
        <f t="shared" ca="1" si="4"/>
        <v>0.96447643371255976</v>
      </c>
      <c r="AV54">
        <f>IF(ISBLANK(Tabla7[[#This Row],[31/12/2017]]),0,Tabla7[[#This Row],[31/12/2017]])</f>
        <v>52232.3</v>
      </c>
      <c r="AW54">
        <f>IF(ISBLANK(Tabla7[[#This Row],[15/01/2018]]),0,Tabla7[[#This Row],[15/01/2018]])</f>
        <v>53554</v>
      </c>
      <c r="AX54">
        <f>IF(ISBLANK(Tabla7[[#This Row],[15/02/2018]]),0,Tabla7[[#This Row],[15/02/2018]])</f>
        <v>55252</v>
      </c>
      <c r="AY54">
        <f>IF(ISBLANK(Tabla7[[#This Row],[15/03/2018]]),0,Tabla7[[#This Row],[15/03/2018]])</f>
        <v>57192.3</v>
      </c>
      <c r="AZ54">
        <f>IF(ISBLANK(Tabla7[[#This Row],[15/04/2018]]),0,Tabla7[[#This Row],[15/04/2018]])</f>
        <v>58484.4</v>
      </c>
      <c r="BA54">
        <f>IF(ISBLANK(Tabla7[[#This Row],[15/05/2018]]),0,Tabla7[[#This Row],[15/05/2018]])</f>
        <v>59730.6</v>
      </c>
      <c r="BB54">
        <f>IF(ISBLANK(Tabla7[[#This Row],[15/06/2018]]),0,Tabla7[[#This Row],[15/06/2018]])</f>
        <v>61163.6</v>
      </c>
      <c r="BC54">
        <f>IF(ISBLANK(Tabla7[[#This Row],[15/07/2018]]),0,Tabla7[[#This Row],[15/07/2018]])</f>
        <v>62020.5</v>
      </c>
      <c r="BD54">
        <f>IF(ISBLANK(Tabla7[[#This Row],[15/08/2018]]),0,Tabla7[[#This Row],[15/08/2018]])</f>
        <v>63233.7</v>
      </c>
      <c r="BE54">
        <f>IF(ISBLANK(Tabla7[[#This Row],[15/09/2018]]),0,Tabla7[[#This Row],[15/09/2018]])</f>
        <v>64601.599999999999</v>
      </c>
      <c r="BF54">
        <f>IF(ISBLANK(Tabla7[[#This Row],[15/10/2018]]),0,Tabla7[[#This Row],[15/10/2018]])</f>
        <v>65932</v>
      </c>
      <c r="BG54">
        <f>IF(ISBLANK(Tabla7[[#This Row],[15/11/2018]]),0,Tabla7[[#This Row],[15/11/2018]])</f>
        <v>67797.5</v>
      </c>
      <c r="BH54">
        <f>IF(ISBLANK(Tabla7[[#This Row],[15/12/2018]]),0,Tabla7[[#This Row],[15/12/2018]])</f>
        <v>69575.100000000006</v>
      </c>
      <c r="BI54">
        <f>IF(ISBLANK(Tabla7[[#This Row],[28/12/2018]]),0,Tabla7[[#This Row],[28/12/2018]])</f>
        <v>0</v>
      </c>
      <c r="BN5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('C02.12','G','GCT02','3','APV','CT 2 SERPIS','Tinglado Abierto (INT. y EXT.)','Contador cambiado');</v>
      </c>
      <c r="BO54" t="s">
        <v>243</v>
      </c>
      <c r="BP54" s="632" t="str">
        <f>CONCATENATE("insert into lecturas values ","('",Tabla7[[#This Row],[CONTADOR]],"',STR_TO_DATE('",Tabla7[[#Headers],[31/12/2017]],"','%d/%m/%Y'),",AV54,"),","('",Tabla7[[#This Row],[CONTADOR]],"',STR_TO_DATE('",Tabla7[[#Headers],[15/01/2018]],"','%d/%m/%Y'),",AW54,"),","('",Tabla7[[#This Row],[CONTADOR]],"',STR_TO_DATE('",Tabla7[[#Headers],[15/02/2018]],"','%d/%m/%Y'),",AX54,"),","('",Tabla7[[#This Row],[CONTADOR]],"',STR_TO_DATE('",Tabla7[[#Headers],[15/03/2018]],"','%d/%m/%Y'),",AY54,"),","('",Tabla7[[#This Row],[CONTADOR]],"',STR_TO_DATE('",Tabla7[[#Headers],[15/04/2018]],"','%d/%m/%Y'),",AZ54,"),","('",Tabla7[[#This Row],[CONTADOR]],"',STR_TO_DATE('",Tabla7[[#Headers],[15/05/2018]],"','%d/%m/%Y'),",BA54,"),","('",Tabla7[[#This Row],[CONTADOR]],"',STR_TO_DATE('",Tabla7[[#Headers],[15/06/2018]],"','%d/%m/%Y'),",BB54,"),","('",Tabla7[[#This Row],[CONTADOR]],"',STR_TO_DATE('",Tabla7[[#Headers],[15/07/2018]],"','%d/%m/%Y'),",BC54,"),","('",Tabla7[[#This Row],[CONTADOR]],"',STR_TO_DATE('",Tabla7[[#Headers],[15/08/2018]],"','%d/%m/%Y'),",BD54,"),","('",Tabla7[[#This Row],[CONTADOR]],"',STR_TO_DATE('",Tabla7[[#Headers],[15/09/2018]],"','%d/%m/%Y'),",BE54,"),","('",Tabla7[[#This Row],[CONTADOR]],"',STR_TO_DATE('",Tabla7[[#Headers],[15/10/2018]],"','%d/%m/%Y'),",BF54,"),","('",Tabla7[[#This Row],[CONTADOR]],"',STR_TO_DATE('",Tabla7[[#Headers],[15/11/2018]],"','%d/%m/%Y'),",BG54,"),","('",Tabla7[[#This Row],[CONTADOR]],"',STR_TO_DATE('",Tabla7[[#Headers],[15/12/2018]],"','%d/%m/%Y'),",BH54,");")</f>
        <v>insert into lecturas values ('C02.12',STR_TO_DATE('31/12/2017','%d/%m/%Y'),52232,3),('C02.12',STR_TO_DATE('15/01/2018','%d/%m/%Y'),53554),('C02.12',STR_TO_DATE('15/02/2018','%d/%m/%Y'),55252),('C02.12',STR_TO_DATE('15/03/2018','%d/%m/%Y'),57192,3),('C02.12',STR_TO_DATE('15/04/2018','%d/%m/%Y'),58484,4),('C02.12',STR_TO_DATE('15/05/2018','%d/%m/%Y'),59730,6),('C02.12',STR_TO_DATE('15/06/2018','%d/%m/%Y'),61163,6),('C02.12',STR_TO_DATE('15/07/2018','%d/%m/%Y'),62020,5),('C02.12',STR_TO_DATE('15/08/2018','%d/%m/%Y'),63233,7),('C02.12',STR_TO_DATE('15/09/2018','%d/%m/%Y'),64601,6),('C02.12',STR_TO_DATE('15/10/2018','%d/%m/%Y'),65932),('C02.12',STR_TO_DATE('15/11/2018','%d/%m/%Y'),67797,5),('C02.12',STR_TO_DATE('15/12/2018','%d/%m/%Y'),69575,1);</v>
      </c>
    </row>
    <row r="55" spans="1:68" ht="18" customHeight="1" x14ac:dyDescent="0.25">
      <c r="A55" s="241" t="s">
        <v>614</v>
      </c>
      <c r="B55" s="60"/>
      <c r="C55" s="223" t="s">
        <v>424</v>
      </c>
      <c r="D55" s="60" t="s">
        <v>650</v>
      </c>
      <c r="E55" s="258">
        <v>39899</v>
      </c>
      <c r="F55" s="2" t="s">
        <v>651</v>
      </c>
      <c r="G55" s="2" t="s">
        <v>654</v>
      </c>
      <c r="H55" s="2" t="s">
        <v>1409</v>
      </c>
      <c r="I55" s="274"/>
      <c r="J55" s="311">
        <v>41088</v>
      </c>
      <c r="K55" s="311">
        <v>41388</v>
      </c>
      <c r="L55" s="311">
        <v>41478</v>
      </c>
      <c r="M55" s="311">
        <v>42467</v>
      </c>
      <c r="N55" s="311">
        <v>42509</v>
      </c>
      <c r="O55" s="454">
        <v>42665</v>
      </c>
      <c r="P55" s="454">
        <v>42739</v>
      </c>
      <c r="Q55" s="311">
        <v>42797</v>
      </c>
      <c r="R55" s="311">
        <v>42953</v>
      </c>
      <c r="S55" s="492">
        <v>43289</v>
      </c>
      <c r="T55" s="492">
        <v>43699</v>
      </c>
      <c r="U55" s="311">
        <v>44478</v>
      </c>
      <c r="V55" s="311">
        <v>45436</v>
      </c>
      <c r="W55" s="274"/>
      <c r="X55" s="274"/>
      <c r="Y55" s="2">
        <f t="shared" si="5"/>
        <v>300</v>
      </c>
      <c r="Z55" s="2">
        <f t="shared" si="6"/>
        <v>90</v>
      </c>
      <c r="AA55" s="2">
        <f t="shared" si="25"/>
        <v>989</v>
      </c>
      <c r="AB55" s="2">
        <f t="shared" si="26"/>
        <v>42</v>
      </c>
      <c r="AC55" s="2">
        <f t="shared" si="17"/>
        <v>156</v>
      </c>
      <c r="AD55" s="2">
        <f t="shared" si="18"/>
        <v>74</v>
      </c>
      <c r="AE55" s="2">
        <f t="shared" si="19"/>
        <v>58</v>
      </c>
      <c r="AF55" s="2">
        <f t="shared" si="20"/>
        <v>156</v>
      </c>
      <c r="AG55" s="2">
        <f t="shared" si="21"/>
        <v>336</v>
      </c>
      <c r="AH55" s="2">
        <f t="shared" si="22"/>
        <v>410</v>
      </c>
      <c r="AI55" s="2">
        <f t="shared" si="23"/>
        <v>779</v>
      </c>
      <c r="AJ55" s="2">
        <f t="shared" si="24"/>
        <v>958</v>
      </c>
      <c r="AK55" s="406">
        <v>1</v>
      </c>
      <c r="AL55" s="274">
        <f t="shared" ca="1" si="1"/>
        <v>42509</v>
      </c>
      <c r="AM55" s="311">
        <f t="shared" ca="1" si="2"/>
        <v>42665</v>
      </c>
      <c r="AN55" s="274">
        <f ca="1">IF(AND(Tabla7[[#This Row],[UltLec]]&lt;&gt;0,Tabla7[[#This Row],[PenLect]]&lt;&gt;0),(AM55-AL55)*Tabla7[[#This Row],[RT]],"N/A")</f>
        <v>156</v>
      </c>
      <c r="AO55" s="273" t="s">
        <v>910</v>
      </c>
      <c r="AP55" s="392" t="s">
        <v>1190</v>
      </c>
      <c r="AQ55" s="392" t="s">
        <v>1189</v>
      </c>
      <c r="AR55" s="407">
        <f t="shared" si="3"/>
        <v>0</v>
      </c>
      <c r="AT55" s="2">
        <f t="shared" ca="1" si="4"/>
        <v>3.7142857142857144</v>
      </c>
      <c r="AV55">
        <f>IF(ISBLANK(Tabla7[[#This Row],[31/12/2017]]),0,Tabla7[[#This Row],[31/12/2017]])</f>
        <v>41088</v>
      </c>
      <c r="AW55">
        <f>IF(ISBLANK(Tabla7[[#This Row],[15/01/2018]]),0,Tabla7[[#This Row],[15/01/2018]])</f>
        <v>41388</v>
      </c>
      <c r="AX55">
        <f>IF(ISBLANK(Tabla7[[#This Row],[15/02/2018]]),0,Tabla7[[#This Row],[15/02/2018]])</f>
        <v>41478</v>
      </c>
      <c r="AY55">
        <f>IF(ISBLANK(Tabla7[[#This Row],[15/03/2018]]),0,Tabla7[[#This Row],[15/03/2018]])</f>
        <v>42467</v>
      </c>
      <c r="AZ55">
        <f>IF(ISBLANK(Tabla7[[#This Row],[15/04/2018]]),0,Tabla7[[#This Row],[15/04/2018]])</f>
        <v>42509</v>
      </c>
      <c r="BA55">
        <f>IF(ISBLANK(Tabla7[[#This Row],[15/05/2018]]),0,Tabla7[[#This Row],[15/05/2018]])</f>
        <v>42665</v>
      </c>
      <c r="BB55">
        <f>IF(ISBLANK(Tabla7[[#This Row],[15/06/2018]]),0,Tabla7[[#This Row],[15/06/2018]])</f>
        <v>42739</v>
      </c>
      <c r="BC55">
        <f>IF(ISBLANK(Tabla7[[#This Row],[15/07/2018]]),0,Tabla7[[#This Row],[15/07/2018]])</f>
        <v>42797</v>
      </c>
      <c r="BD55">
        <f>IF(ISBLANK(Tabla7[[#This Row],[15/08/2018]]),0,Tabla7[[#This Row],[15/08/2018]])</f>
        <v>42953</v>
      </c>
      <c r="BE55">
        <f>IF(ISBLANK(Tabla7[[#This Row],[15/09/2018]]),0,Tabla7[[#This Row],[15/09/2018]])</f>
        <v>43289</v>
      </c>
      <c r="BF55">
        <f>IF(ISBLANK(Tabla7[[#This Row],[15/10/2018]]),0,Tabla7[[#This Row],[15/10/2018]])</f>
        <v>43699</v>
      </c>
      <c r="BG55">
        <f>IF(ISBLANK(Tabla7[[#This Row],[15/11/2018]]),0,Tabla7[[#This Row],[15/11/2018]])</f>
        <v>44478</v>
      </c>
      <c r="BH55">
        <f>IF(ISBLANK(Tabla7[[#This Row],[15/12/2018]]),0,Tabla7[[#This Row],[15/12/2018]])</f>
        <v>45436</v>
      </c>
      <c r="BI55">
        <f>IF(ISBLANK(Tabla7[[#This Row],[28/12/2018]]),0,Tabla7[[#This Row],[28/12/2018]])</f>
        <v>0</v>
      </c>
      <c r="BN5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('C02.13','G','GCT02','39899','NAVARRO Y BORONAD, S.L.','CT 2 SERPIS','Alumbrado int. Tinglado Abierto','');</v>
      </c>
      <c r="BO55" t="s">
        <v>243</v>
      </c>
      <c r="BP55" s="632" t="str">
        <f>CONCATENATE("insert into lecturas values ","('",Tabla7[[#This Row],[CONTADOR]],"',STR_TO_DATE('",Tabla7[[#Headers],[31/12/2017]],"','%d/%m/%Y'),",AV55,"),","('",Tabla7[[#This Row],[CONTADOR]],"',STR_TO_DATE('",Tabla7[[#Headers],[15/01/2018]],"','%d/%m/%Y'),",AW55,"),","('",Tabla7[[#This Row],[CONTADOR]],"',STR_TO_DATE('",Tabla7[[#Headers],[15/02/2018]],"','%d/%m/%Y'),",AX55,"),","('",Tabla7[[#This Row],[CONTADOR]],"',STR_TO_DATE('",Tabla7[[#Headers],[15/03/2018]],"','%d/%m/%Y'),",AY55,"),","('",Tabla7[[#This Row],[CONTADOR]],"',STR_TO_DATE('",Tabla7[[#Headers],[15/04/2018]],"','%d/%m/%Y'),",AZ55,"),","('",Tabla7[[#This Row],[CONTADOR]],"',STR_TO_DATE('",Tabla7[[#Headers],[15/05/2018]],"','%d/%m/%Y'),",BA55,"),","('",Tabla7[[#This Row],[CONTADOR]],"',STR_TO_DATE('",Tabla7[[#Headers],[15/06/2018]],"','%d/%m/%Y'),",BB55,"),","('",Tabla7[[#This Row],[CONTADOR]],"',STR_TO_DATE('",Tabla7[[#Headers],[15/07/2018]],"','%d/%m/%Y'),",BC55,"),","('",Tabla7[[#This Row],[CONTADOR]],"',STR_TO_DATE('",Tabla7[[#Headers],[15/08/2018]],"','%d/%m/%Y'),",BD55,"),","('",Tabla7[[#This Row],[CONTADOR]],"',STR_TO_DATE('",Tabla7[[#Headers],[15/09/2018]],"','%d/%m/%Y'),",BE55,"),","('",Tabla7[[#This Row],[CONTADOR]],"',STR_TO_DATE('",Tabla7[[#Headers],[15/10/2018]],"','%d/%m/%Y'),",BF55,"),","('",Tabla7[[#This Row],[CONTADOR]],"',STR_TO_DATE('",Tabla7[[#Headers],[15/11/2018]],"','%d/%m/%Y'),",BG55,"),","('",Tabla7[[#This Row],[CONTADOR]],"',STR_TO_DATE('",Tabla7[[#Headers],[15/12/2018]],"','%d/%m/%Y'),",BH55,");")</f>
        <v>insert into lecturas values ('C02.13',STR_TO_DATE('31/12/2017','%d/%m/%Y'),41088),('C02.13',STR_TO_DATE('15/01/2018','%d/%m/%Y'),41388),('C02.13',STR_TO_DATE('15/02/2018','%d/%m/%Y'),41478),('C02.13',STR_TO_DATE('15/03/2018','%d/%m/%Y'),42467),('C02.13',STR_TO_DATE('15/04/2018','%d/%m/%Y'),42509),('C02.13',STR_TO_DATE('15/05/2018','%d/%m/%Y'),42665),('C02.13',STR_TO_DATE('15/06/2018','%d/%m/%Y'),42739),('C02.13',STR_TO_DATE('15/07/2018','%d/%m/%Y'),42797),('C02.13',STR_TO_DATE('15/08/2018','%d/%m/%Y'),42953),('C02.13',STR_TO_DATE('15/09/2018','%d/%m/%Y'),43289),('C02.13',STR_TO_DATE('15/10/2018','%d/%m/%Y'),43699),('C02.13',STR_TO_DATE('15/11/2018','%d/%m/%Y'),44478),('C02.13',STR_TO_DATE('15/12/2018','%d/%m/%Y'),45436);</v>
      </c>
    </row>
    <row r="56" spans="1:68" ht="18" customHeight="1" x14ac:dyDescent="0.25">
      <c r="A56" s="241" t="s">
        <v>666</v>
      </c>
      <c r="B56" s="60"/>
      <c r="C56" s="223">
        <v>542779</v>
      </c>
      <c r="D56" s="60" t="s">
        <v>667</v>
      </c>
      <c r="E56" s="258">
        <v>39869</v>
      </c>
      <c r="F56" s="2" t="s">
        <v>668</v>
      </c>
      <c r="G56" s="2" t="s">
        <v>669</v>
      </c>
      <c r="H56" s="2" t="s">
        <v>1410</v>
      </c>
      <c r="I56" s="274" t="s">
        <v>359</v>
      </c>
      <c r="J56" s="311">
        <v>1626579.4</v>
      </c>
      <c r="K56" s="311">
        <v>1630882.5</v>
      </c>
      <c r="L56" s="311">
        <v>1640092</v>
      </c>
      <c r="M56" s="311">
        <v>1675749</v>
      </c>
      <c r="N56" s="311">
        <v>1694058.6</v>
      </c>
      <c r="O56" s="454">
        <v>1711356.6</v>
      </c>
      <c r="P56" s="454">
        <v>1748131</v>
      </c>
      <c r="Q56" s="311">
        <v>1753182</v>
      </c>
      <c r="R56" s="311">
        <v>1759379.6</v>
      </c>
      <c r="S56" s="492">
        <v>1765037.2</v>
      </c>
      <c r="T56" s="492">
        <v>1770494</v>
      </c>
      <c r="U56" s="492">
        <v>1776466</v>
      </c>
      <c r="V56" s="311">
        <v>1782313</v>
      </c>
      <c r="W56" s="274"/>
      <c r="X56" s="274"/>
      <c r="Y56" s="629">
        <f t="shared" si="5"/>
        <v>4303.1000000000931</v>
      </c>
      <c r="Z56" s="629">
        <f t="shared" si="6"/>
        <v>9209.5</v>
      </c>
      <c r="AA56" s="629">
        <f t="shared" si="25"/>
        <v>35657</v>
      </c>
      <c r="AB56" s="629">
        <f t="shared" si="26"/>
        <v>18309.600000000093</v>
      </c>
      <c r="AC56" s="629">
        <f t="shared" si="17"/>
        <v>17298</v>
      </c>
      <c r="AD56" s="629">
        <f t="shared" si="18"/>
        <v>36774.399999999907</v>
      </c>
      <c r="AE56" s="629">
        <f t="shared" si="19"/>
        <v>5051</v>
      </c>
      <c r="AF56" s="629">
        <f t="shared" si="20"/>
        <v>6197.6000000000931</v>
      </c>
      <c r="AG56" s="629">
        <f t="shared" si="21"/>
        <v>5657.5999999998603</v>
      </c>
      <c r="AH56" s="629">
        <f t="shared" si="22"/>
        <v>5456.8000000000466</v>
      </c>
      <c r="AI56" s="629">
        <f t="shared" si="23"/>
        <v>5972</v>
      </c>
      <c r="AJ56" s="629">
        <f t="shared" si="24"/>
        <v>5847</v>
      </c>
      <c r="AK56" s="406">
        <v>1</v>
      </c>
      <c r="AL56" s="274">
        <f t="shared" ca="1" si="1"/>
        <v>1694058.6</v>
      </c>
      <c r="AM56" s="311">
        <f t="shared" ca="1" si="2"/>
        <v>1711356.6</v>
      </c>
      <c r="AN56" s="274">
        <f ca="1">IF(AND(Tabla7[[#This Row],[UltLec]]&lt;&gt;0,Tabla7[[#This Row],[PenLect]]&lt;&gt;0),(AM56-AL56)*Tabla7[[#This Row],[RT]],"N/A")</f>
        <v>17298</v>
      </c>
      <c r="AO56" s="273" t="s">
        <v>910</v>
      </c>
      <c r="AP56" s="392" t="s">
        <v>1191</v>
      </c>
      <c r="AQ56" s="392" t="s">
        <v>1189</v>
      </c>
      <c r="AR56" s="407">
        <f t="shared" si="3"/>
        <v>0</v>
      </c>
      <c r="AT56" s="2">
        <f t="shared" ca="1" si="4"/>
        <v>0.94475029492724649</v>
      </c>
      <c r="AV56">
        <f>IF(ISBLANK(Tabla7[[#This Row],[31/12/2017]]),0,Tabla7[[#This Row],[31/12/2017]])</f>
        <v>1626579.4</v>
      </c>
      <c r="AW56">
        <f>IF(ISBLANK(Tabla7[[#This Row],[15/01/2018]]),0,Tabla7[[#This Row],[15/01/2018]])</f>
        <v>1630882.5</v>
      </c>
      <c r="AX56">
        <f>IF(ISBLANK(Tabla7[[#This Row],[15/02/2018]]),0,Tabla7[[#This Row],[15/02/2018]])</f>
        <v>1640092</v>
      </c>
      <c r="AY56">
        <f>IF(ISBLANK(Tabla7[[#This Row],[15/03/2018]]),0,Tabla7[[#This Row],[15/03/2018]])</f>
        <v>1675749</v>
      </c>
      <c r="AZ56">
        <f>IF(ISBLANK(Tabla7[[#This Row],[15/04/2018]]),0,Tabla7[[#This Row],[15/04/2018]])</f>
        <v>1694058.6</v>
      </c>
      <c r="BA56">
        <f>IF(ISBLANK(Tabla7[[#This Row],[15/05/2018]]),0,Tabla7[[#This Row],[15/05/2018]])</f>
        <v>1711356.6</v>
      </c>
      <c r="BB56">
        <f>IF(ISBLANK(Tabla7[[#This Row],[15/06/2018]]),0,Tabla7[[#This Row],[15/06/2018]])</f>
        <v>1748131</v>
      </c>
      <c r="BC56">
        <f>IF(ISBLANK(Tabla7[[#This Row],[15/07/2018]]),0,Tabla7[[#This Row],[15/07/2018]])</f>
        <v>1753182</v>
      </c>
      <c r="BD56">
        <f>IF(ISBLANK(Tabla7[[#This Row],[15/08/2018]]),0,Tabla7[[#This Row],[15/08/2018]])</f>
        <v>1759379.6</v>
      </c>
      <c r="BE56">
        <f>IF(ISBLANK(Tabla7[[#This Row],[15/09/2018]]),0,Tabla7[[#This Row],[15/09/2018]])</f>
        <v>1765037.2</v>
      </c>
      <c r="BF56">
        <f>IF(ISBLANK(Tabla7[[#This Row],[15/10/2018]]),0,Tabla7[[#This Row],[15/10/2018]])</f>
        <v>1770494</v>
      </c>
      <c r="BG56">
        <f>IF(ISBLANK(Tabla7[[#This Row],[15/11/2018]]),0,Tabla7[[#This Row],[15/11/2018]])</f>
        <v>1776466</v>
      </c>
      <c r="BH56">
        <f>IF(ISBLANK(Tabla7[[#This Row],[15/12/2018]]),0,Tabla7[[#This Row],[15/12/2018]])</f>
        <v>1782313</v>
      </c>
      <c r="BI56">
        <f>IF(ISBLANK(Tabla7[[#This Row],[28/12/2018]]),0,Tabla7[[#This Row],[28/12/2018]])</f>
        <v>0</v>
      </c>
      <c r="BN5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('542779','MT-G','GCT03','39869','DESARR. HORTOFR. DE LA SAFOR, S.A.','CT 3 DEHORSA','Nave DEHORSA','MEDIA TENSIÓN');</v>
      </c>
      <c r="BO56" t="s">
        <v>243</v>
      </c>
      <c r="BP56" s="632" t="str">
        <f>CONCATENATE("insert into lecturas values ","('",Tabla7[[#This Row],[CONTADOR]],"',STR_TO_DATE('",Tabla7[[#Headers],[31/12/2017]],"','%d/%m/%Y'),",AV56,"),","('",Tabla7[[#This Row],[CONTADOR]],"',STR_TO_DATE('",Tabla7[[#Headers],[15/01/2018]],"','%d/%m/%Y'),",AW56,"),","('",Tabla7[[#This Row],[CONTADOR]],"',STR_TO_DATE('",Tabla7[[#Headers],[15/02/2018]],"','%d/%m/%Y'),",AX56,"),","('",Tabla7[[#This Row],[CONTADOR]],"',STR_TO_DATE('",Tabla7[[#Headers],[15/03/2018]],"','%d/%m/%Y'),",AY56,"),","('",Tabla7[[#This Row],[CONTADOR]],"',STR_TO_DATE('",Tabla7[[#Headers],[15/04/2018]],"','%d/%m/%Y'),",AZ56,"),","('",Tabla7[[#This Row],[CONTADOR]],"',STR_TO_DATE('",Tabla7[[#Headers],[15/05/2018]],"','%d/%m/%Y'),",BA56,"),","('",Tabla7[[#This Row],[CONTADOR]],"',STR_TO_DATE('",Tabla7[[#Headers],[15/06/2018]],"','%d/%m/%Y'),",BB56,"),","('",Tabla7[[#This Row],[CONTADOR]],"',STR_TO_DATE('",Tabla7[[#Headers],[15/07/2018]],"','%d/%m/%Y'),",BC56,"),","('",Tabla7[[#This Row],[CONTADOR]],"',STR_TO_DATE('",Tabla7[[#Headers],[15/08/2018]],"','%d/%m/%Y'),",BD56,"),","('",Tabla7[[#This Row],[CONTADOR]],"',STR_TO_DATE('",Tabla7[[#Headers],[15/09/2018]],"','%d/%m/%Y'),",BE56,"),","('",Tabla7[[#This Row],[CONTADOR]],"',STR_TO_DATE('",Tabla7[[#Headers],[15/10/2018]],"','%d/%m/%Y'),",BF56,"),","('",Tabla7[[#This Row],[CONTADOR]],"',STR_TO_DATE('",Tabla7[[#Headers],[15/11/2018]],"','%d/%m/%Y'),",BG56,"),","('",Tabla7[[#This Row],[CONTADOR]],"',STR_TO_DATE('",Tabla7[[#Headers],[15/12/2018]],"','%d/%m/%Y'),",BH56,");")</f>
        <v>insert into lecturas values ('542779',STR_TO_DATE('31/12/2017','%d/%m/%Y'),1626579,4),('542779',STR_TO_DATE('15/01/2018','%d/%m/%Y'),1630882,5),('542779',STR_TO_DATE('15/02/2018','%d/%m/%Y'),1640092),('542779',STR_TO_DATE('15/03/2018','%d/%m/%Y'),1675749),('542779',STR_TO_DATE('15/04/2018','%d/%m/%Y'),1694058,6),('542779',STR_TO_DATE('15/05/2018','%d/%m/%Y'),1711356,6),('542779',STR_TO_DATE('15/06/2018','%d/%m/%Y'),1748131),('542779',STR_TO_DATE('15/07/2018','%d/%m/%Y'),1753182),('542779',STR_TO_DATE('15/08/2018','%d/%m/%Y'),1759379,6),('542779',STR_TO_DATE('15/09/2018','%d/%m/%Y'),1765037,2),('542779',STR_TO_DATE('15/10/2018','%d/%m/%Y'),1770494),('542779',STR_TO_DATE('15/11/2018','%d/%m/%Y'),1776466),('542779',STR_TO_DATE('15/12/2018','%d/%m/%Y'),1782313);</v>
      </c>
    </row>
    <row r="57" spans="1:68" ht="18" customHeight="1" x14ac:dyDescent="0.25">
      <c r="A57" s="372" t="s">
        <v>1097</v>
      </c>
      <c r="B57" s="361"/>
      <c r="C57" s="373">
        <v>17070</v>
      </c>
      <c r="D57" s="374" t="s">
        <v>670</v>
      </c>
      <c r="E57" s="258">
        <v>39873</v>
      </c>
      <c r="F57" s="376" t="s">
        <v>671</v>
      </c>
      <c r="G57" s="376" t="s">
        <v>672</v>
      </c>
      <c r="H57" s="376" t="s">
        <v>673</v>
      </c>
      <c r="I57" s="377" t="s">
        <v>907</v>
      </c>
      <c r="J57" s="383"/>
      <c r="K57" s="383"/>
      <c r="L57" s="376"/>
      <c r="M57" s="376"/>
      <c r="N57" s="453"/>
      <c r="O57" s="376"/>
      <c r="P57" s="454"/>
      <c r="Q57" s="376"/>
      <c r="R57" s="311"/>
      <c r="S57" s="377"/>
      <c r="T57" s="377"/>
      <c r="U57" s="620"/>
      <c r="V57" s="377"/>
      <c r="W57" s="377"/>
      <c r="X57" s="377"/>
      <c r="Y57" s="376"/>
      <c r="Z57" s="376" t="str">
        <f t="shared" ref="Z57:Z120" si="27">IF(OR(ISBLANK(L57),ISBLANK(K57)),"",IF(AND(L57&gt;=K57,L57-K57&lt;=L57),(L57-K57)*$AK57,"!!!!"))</f>
        <v/>
      </c>
      <c r="AA57" s="376" t="str">
        <f t="shared" si="25"/>
        <v/>
      </c>
      <c r="AB57" s="376" t="str">
        <f t="shared" si="26"/>
        <v/>
      </c>
      <c r="AC57" s="376" t="str">
        <f t="shared" si="17"/>
        <v/>
      </c>
      <c r="AD57" s="376" t="str">
        <f t="shared" si="18"/>
        <v/>
      </c>
      <c r="AE57" s="376" t="str">
        <f t="shared" si="19"/>
        <v/>
      </c>
      <c r="AF57" s="376" t="str">
        <f t="shared" si="20"/>
        <v/>
      </c>
      <c r="AG57" s="376" t="str">
        <f t="shared" si="21"/>
        <v/>
      </c>
      <c r="AH57" s="376" t="str">
        <f t="shared" si="22"/>
        <v/>
      </c>
      <c r="AI57" s="376" t="str">
        <f t="shared" si="23"/>
        <v/>
      </c>
      <c r="AJ57" s="376" t="str">
        <f t="shared" si="24"/>
        <v/>
      </c>
      <c r="AK57" s="408">
        <v>1</v>
      </c>
      <c r="AL57" s="377">
        <f t="shared" ca="1" si="1"/>
        <v>0</v>
      </c>
      <c r="AM57" s="383">
        <f t="shared" ca="1" si="2"/>
        <v>0</v>
      </c>
      <c r="AN57" s="377" t="str">
        <f ca="1">IF(AND(Tabla7[[#This Row],[UltLec]]&lt;&gt;0,Tabla7[[#This Row],[PenLect]]&lt;&gt;0),(AM57-AL57)*Tabla7[[#This Row],[RT]],"N/A")</f>
        <v>N/A</v>
      </c>
      <c r="AO57" s="380" t="s">
        <v>1281</v>
      </c>
      <c r="AP57" s="462" t="s">
        <v>1190</v>
      </c>
      <c r="AQ57" s="462" t="s">
        <v>1193</v>
      </c>
      <c r="AR57" s="409">
        <f t="shared" si="3"/>
        <v>0</v>
      </c>
      <c r="AT57" s="2" t="e">
        <f t="shared" ca="1" si="4"/>
        <v>#VALUE!</v>
      </c>
      <c r="AV57">
        <f>IF(ISBLANK(Tabla7[[#This Row],[31/12/2017]]),0,Tabla7[[#This Row],[31/12/2017]])</f>
        <v>0</v>
      </c>
      <c r="AW57">
        <f>IF(ISBLANK(Tabla7[[#This Row],[15/01/2018]]),0,Tabla7[[#This Row],[15/01/2018]])</f>
        <v>0</v>
      </c>
      <c r="AX57">
        <f>IF(ISBLANK(Tabla7[[#This Row],[15/02/2018]]),0,Tabla7[[#This Row],[15/02/2018]])</f>
        <v>0</v>
      </c>
      <c r="AY57">
        <f>IF(ISBLANK(Tabla7[[#This Row],[15/03/2018]]),0,Tabla7[[#This Row],[15/03/2018]])</f>
        <v>0</v>
      </c>
      <c r="AZ57">
        <f>IF(ISBLANK(Tabla7[[#This Row],[15/04/2018]]),0,Tabla7[[#This Row],[15/04/2018]])</f>
        <v>0</v>
      </c>
      <c r="BA57">
        <f>IF(ISBLANK(Tabla7[[#This Row],[15/05/2018]]),0,Tabla7[[#This Row],[15/05/2018]])</f>
        <v>0</v>
      </c>
      <c r="BB57">
        <f>IF(ISBLANK(Tabla7[[#This Row],[15/06/2018]]),0,Tabla7[[#This Row],[15/06/2018]])</f>
        <v>0</v>
      </c>
      <c r="BC57">
        <f>IF(ISBLANK(Tabla7[[#This Row],[15/07/2018]]),0,Tabla7[[#This Row],[15/07/2018]])</f>
        <v>0</v>
      </c>
      <c r="BD57">
        <f>IF(ISBLANK(Tabla7[[#This Row],[15/08/2018]]),0,Tabla7[[#This Row],[15/08/2018]])</f>
        <v>0</v>
      </c>
      <c r="BE57">
        <f>IF(ISBLANK(Tabla7[[#This Row],[15/09/2018]]),0,Tabla7[[#This Row],[15/09/2018]])</f>
        <v>0</v>
      </c>
      <c r="BF57">
        <f>IF(ISBLANK(Tabla7[[#This Row],[15/10/2018]]),0,Tabla7[[#This Row],[15/10/2018]])</f>
        <v>0</v>
      </c>
      <c r="BG57">
        <f>IF(ISBLANK(Tabla7[[#This Row],[15/11/2018]]),0,Tabla7[[#This Row],[15/11/2018]])</f>
        <v>0</v>
      </c>
      <c r="BH57">
        <f>IF(ISBLANK(Tabla7[[#This Row],[15/12/2018]]),0,Tabla7[[#This Row],[15/12/2018]])</f>
        <v>0</v>
      </c>
      <c r="BI57">
        <f>IF(ISBLANK(Tabla7[[#This Row],[28/12/2018]]),0,Tabla7[[#This Row],[28/12/2018]])</f>
        <v>0</v>
      </c>
      <c r="BN5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('17070','GBAJA','GCT04','39873','TRAMUNTANA MAR, C.B.','INT. HORNACINA NUEVAS CASETAS','CASETA PESCA Nº 23',' BAJA 31/01/17');</v>
      </c>
      <c r="BO57" t="s">
        <v>243</v>
      </c>
      <c r="BP57" s="632" t="str">
        <f>CONCATENATE("insert into lecturas values ","('",Tabla7[[#This Row],[CONTADOR]],"',STR_TO_DATE('",Tabla7[[#Headers],[31/12/2017]],"','%d/%m/%Y'),",AV57,"),","('",Tabla7[[#This Row],[CONTADOR]],"',STR_TO_DATE('",Tabla7[[#Headers],[15/01/2018]],"','%d/%m/%Y'),",AW57,"),","('",Tabla7[[#This Row],[CONTADOR]],"',STR_TO_DATE('",Tabla7[[#Headers],[15/02/2018]],"','%d/%m/%Y'),",AX57,"),","('",Tabla7[[#This Row],[CONTADOR]],"',STR_TO_DATE('",Tabla7[[#Headers],[15/03/2018]],"','%d/%m/%Y'),",AY57,"),","('",Tabla7[[#This Row],[CONTADOR]],"',STR_TO_DATE('",Tabla7[[#Headers],[15/04/2018]],"','%d/%m/%Y'),",AZ57,"),","('",Tabla7[[#This Row],[CONTADOR]],"',STR_TO_DATE('",Tabla7[[#Headers],[15/05/2018]],"','%d/%m/%Y'),",BA57,"),","('",Tabla7[[#This Row],[CONTADOR]],"',STR_TO_DATE('",Tabla7[[#Headers],[15/06/2018]],"','%d/%m/%Y'),",BB57,"),","('",Tabla7[[#This Row],[CONTADOR]],"',STR_TO_DATE('",Tabla7[[#Headers],[15/07/2018]],"','%d/%m/%Y'),",BC57,"),","('",Tabla7[[#This Row],[CONTADOR]],"',STR_TO_DATE('",Tabla7[[#Headers],[15/08/2018]],"','%d/%m/%Y'),",BD57,"),","('",Tabla7[[#This Row],[CONTADOR]],"',STR_TO_DATE('",Tabla7[[#Headers],[15/09/2018]],"','%d/%m/%Y'),",BE57,"),","('",Tabla7[[#This Row],[CONTADOR]],"',STR_TO_DATE('",Tabla7[[#Headers],[15/10/2018]],"','%d/%m/%Y'),",BF57,"),","('",Tabla7[[#This Row],[CONTADOR]],"',STR_TO_DATE('",Tabla7[[#Headers],[15/11/2018]],"','%d/%m/%Y'),",BG57,"),","('",Tabla7[[#This Row],[CONTADOR]],"',STR_TO_DATE('",Tabla7[[#Headers],[15/12/2018]],"','%d/%m/%Y'),",BH57,");")</f>
        <v>insert into lecturas values ('17070',STR_TO_DATE('31/12/2017','%d/%m/%Y'),0),('17070',STR_TO_DATE('15/01/2018','%d/%m/%Y'),0),('17070',STR_TO_DATE('15/02/2018','%d/%m/%Y'),0),('17070',STR_TO_DATE('15/03/2018','%d/%m/%Y'),0),('17070',STR_TO_DATE('15/04/2018','%d/%m/%Y'),0),('17070',STR_TO_DATE('15/05/2018','%d/%m/%Y'),0),('17070',STR_TO_DATE('15/06/2018','%d/%m/%Y'),0),('17070',STR_TO_DATE('15/07/2018','%d/%m/%Y'),0),('17070',STR_TO_DATE('15/08/2018','%d/%m/%Y'),0),('17070',STR_TO_DATE('15/09/2018','%d/%m/%Y'),0),('17070',STR_TO_DATE('15/10/2018','%d/%m/%Y'),0),('17070',STR_TO_DATE('15/11/2018','%d/%m/%Y'),0),('17070',STR_TO_DATE('15/12/2018','%d/%m/%Y'),0);</v>
      </c>
    </row>
    <row r="58" spans="1:68" ht="18" customHeight="1" x14ac:dyDescent="0.25">
      <c r="A58" s="241" t="s">
        <v>614</v>
      </c>
      <c r="B58" s="60"/>
      <c r="C58" s="223">
        <v>17070</v>
      </c>
      <c r="D58" s="60" t="s">
        <v>670</v>
      </c>
      <c r="E58" s="258">
        <v>39873</v>
      </c>
      <c r="F58" s="2" t="s">
        <v>1411</v>
      </c>
      <c r="G58" s="2" t="s">
        <v>672</v>
      </c>
      <c r="H58" s="2" t="s">
        <v>673</v>
      </c>
      <c r="I58" s="274" t="s">
        <v>908</v>
      </c>
      <c r="J58" s="311">
        <v>13666</v>
      </c>
      <c r="K58" s="311">
        <v>13694</v>
      </c>
      <c r="L58" s="354">
        <v>13745</v>
      </c>
      <c r="M58" s="311">
        <v>13779</v>
      </c>
      <c r="N58" s="311">
        <v>13819</v>
      </c>
      <c r="O58" s="454">
        <v>13869</v>
      </c>
      <c r="P58" s="473">
        <v>14058</v>
      </c>
      <c r="Q58" s="492">
        <v>13909</v>
      </c>
      <c r="R58" s="311">
        <v>15314</v>
      </c>
      <c r="S58" s="492">
        <v>15395</v>
      </c>
      <c r="T58" s="492">
        <v>15457</v>
      </c>
      <c r="U58" s="617">
        <v>15518</v>
      </c>
      <c r="V58" s="617">
        <v>15560</v>
      </c>
      <c r="W58" s="274"/>
      <c r="X58" s="274"/>
      <c r="Y58" s="2">
        <f t="shared" ref="Y58:Y121" si="28">IF(OR(ISBLANK(K58),ISBLANK(J58)),"",IF(AND(K58&gt;=J58,K58-J58&lt;=K58),(K58-J58)*$AK58,"!!!!"))</f>
        <v>28</v>
      </c>
      <c r="Z58" s="2">
        <f t="shared" si="27"/>
        <v>51</v>
      </c>
      <c r="AA58" s="2">
        <f t="shared" si="25"/>
        <v>34</v>
      </c>
      <c r="AB58" s="2">
        <f t="shared" si="26"/>
        <v>40</v>
      </c>
      <c r="AC58" s="2">
        <f t="shared" si="17"/>
        <v>50</v>
      </c>
      <c r="AD58" s="2">
        <f t="shared" si="18"/>
        <v>189</v>
      </c>
      <c r="AE58" s="2" t="str">
        <f t="shared" si="19"/>
        <v>!!!!</v>
      </c>
      <c r="AF58" s="2">
        <f t="shared" si="20"/>
        <v>1405</v>
      </c>
      <c r="AG58" s="2">
        <f t="shared" si="21"/>
        <v>81</v>
      </c>
      <c r="AH58" s="2">
        <f t="shared" si="22"/>
        <v>62</v>
      </c>
      <c r="AI58" s="2">
        <f t="shared" si="23"/>
        <v>61</v>
      </c>
      <c r="AJ58" s="2">
        <f t="shared" si="24"/>
        <v>42</v>
      </c>
      <c r="AK58" s="406">
        <v>1</v>
      </c>
      <c r="AL58" s="412">
        <f t="shared" ca="1" si="1"/>
        <v>13819</v>
      </c>
      <c r="AM58" s="311">
        <f t="shared" ca="1" si="2"/>
        <v>13869</v>
      </c>
      <c r="AN58" s="274">
        <f ca="1">IF(AND(Tabla7[[#This Row],[UltLec]]&lt;&gt;0,Tabla7[[#This Row],[PenLect]]&lt;&gt;0),(AM58-AL58)*Tabla7[[#This Row],[RT]],"N/A")</f>
        <v>50</v>
      </c>
      <c r="AO58" s="273" t="s">
        <v>910</v>
      </c>
      <c r="AP58" s="392" t="s">
        <v>1190</v>
      </c>
      <c r="AQ58" s="392" t="s">
        <v>1193</v>
      </c>
      <c r="AR58" s="407">
        <f t="shared" si="3"/>
        <v>1</v>
      </c>
      <c r="AT58" s="2">
        <f t="shared" ca="1" si="4"/>
        <v>1.25</v>
      </c>
      <c r="AV58">
        <f>IF(ISBLANK(Tabla7[[#This Row],[31/12/2017]]),0,Tabla7[[#This Row],[31/12/2017]])</f>
        <v>13666</v>
      </c>
      <c r="AW58">
        <f>IF(ISBLANK(Tabla7[[#This Row],[15/01/2018]]),0,Tabla7[[#This Row],[15/01/2018]])</f>
        <v>13694</v>
      </c>
      <c r="AX58">
        <f>IF(ISBLANK(Tabla7[[#This Row],[15/02/2018]]),0,Tabla7[[#This Row],[15/02/2018]])</f>
        <v>13745</v>
      </c>
      <c r="AY58">
        <f>IF(ISBLANK(Tabla7[[#This Row],[15/03/2018]]),0,Tabla7[[#This Row],[15/03/2018]])</f>
        <v>13779</v>
      </c>
      <c r="AZ58">
        <f>IF(ISBLANK(Tabla7[[#This Row],[15/04/2018]]),0,Tabla7[[#This Row],[15/04/2018]])</f>
        <v>13819</v>
      </c>
      <c r="BA58">
        <f>IF(ISBLANK(Tabla7[[#This Row],[15/05/2018]]),0,Tabla7[[#This Row],[15/05/2018]])</f>
        <v>13869</v>
      </c>
      <c r="BB58">
        <f>IF(ISBLANK(Tabla7[[#This Row],[15/06/2018]]),0,Tabla7[[#This Row],[15/06/2018]])</f>
        <v>14058</v>
      </c>
      <c r="BC58">
        <f>IF(ISBLANK(Tabla7[[#This Row],[15/07/2018]]),0,Tabla7[[#This Row],[15/07/2018]])</f>
        <v>13909</v>
      </c>
      <c r="BD58">
        <f>IF(ISBLANK(Tabla7[[#This Row],[15/08/2018]]),0,Tabla7[[#This Row],[15/08/2018]])</f>
        <v>15314</v>
      </c>
      <c r="BE58">
        <f>IF(ISBLANK(Tabla7[[#This Row],[15/09/2018]]),0,Tabla7[[#This Row],[15/09/2018]])</f>
        <v>15395</v>
      </c>
      <c r="BF58">
        <f>IF(ISBLANK(Tabla7[[#This Row],[15/10/2018]]),0,Tabla7[[#This Row],[15/10/2018]])</f>
        <v>15457</v>
      </c>
      <c r="BG58">
        <f>IF(ISBLANK(Tabla7[[#This Row],[15/11/2018]]),0,Tabla7[[#This Row],[15/11/2018]])</f>
        <v>15518</v>
      </c>
      <c r="BH58">
        <f>IF(ISBLANK(Tabla7[[#This Row],[15/12/2018]]),0,Tabla7[[#This Row],[15/12/2018]])</f>
        <v>15560</v>
      </c>
      <c r="BI58">
        <f>IF(ISBLANK(Tabla7[[#This Row],[28/12/2018]]),0,Tabla7[[#This Row],[28/12/2018]])</f>
        <v>0</v>
      </c>
      <c r="BN5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('17070','G','GCT04','39873','MARIA CASAS MORENO','INT. HORNACINA NUEVAS CASETAS','CASETA PESCA Nº 23',' ALTA 31/01/17');</v>
      </c>
      <c r="BO58" t="s">
        <v>243</v>
      </c>
      <c r="BP58" s="632" t="str">
        <f>CONCATENATE("insert into lecturas values ","('",Tabla7[[#This Row],[CONTADOR]],"',STR_TO_DATE('",Tabla7[[#Headers],[31/12/2017]],"','%d/%m/%Y'),",AV58,"),","('",Tabla7[[#This Row],[CONTADOR]],"',STR_TO_DATE('",Tabla7[[#Headers],[15/01/2018]],"','%d/%m/%Y'),",AW58,"),","('",Tabla7[[#This Row],[CONTADOR]],"',STR_TO_DATE('",Tabla7[[#Headers],[15/02/2018]],"','%d/%m/%Y'),",AX58,"),","('",Tabla7[[#This Row],[CONTADOR]],"',STR_TO_DATE('",Tabla7[[#Headers],[15/03/2018]],"','%d/%m/%Y'),",AY58,"),","('",Tabla7[[#This Row],[CONTADOR]],"',STR_TO_DATE('",Tabla7[[#Headers],[15/04/2018]],"','%d/%m/%Y'),",AZ58,"),","('",Tabla7[[#This Row],[CONTADOR]],"',STR_TO_DATE('",Tabla7[[#Headers],[15/05/2018]],"','%d/%m/%Y'),",BA58,"),","('",Tabla7[[#This Row],[CONTADOR]],"',STR_TO_DATE('",Tabla7[[#Headers],[15/06/2018]],"','%d/%m/%Y'),",BB58,"),","('",Tabla7[[#This Row],[CONTADOR]],"',STR_TO_DATE('",Tabla7[[#Headers],[15/07/2018]],"','%d/%m/%Y'),",BC58,"),","('",Tabla7[[#This Row],[CONTADOR]],"',STR_TO_DATE('",Tabla7[[#Headers],[15/08/2018]],"','%d/%m/%Y'),",BD58,"),","('",Tabla7[[#This Row],[CONTADOR]],"',STR_TO_DATE('",Tabla7[[#Headers],[15/09/2018]],"','%d/%m/%Y'),",BE58,"),","('",Tabla7[[#This Row],[CONTADOR]],"',STR_TO_DATE('",Tabla7[[#Headers],[15/10/2018]],"','%d/%m/%Y'),",BF58,"),","('",Tabla7[[#This Row],[CONTADOR]],"',STR_TO_DATE('",Tabla7[[#Headers],[15/11/2018]],"','%d/%m/%Y'),",BG58,"),","('",Tabla7[[#This Row],[CONTADOR]],"',STR_TO_DATE('",Tabla7[[#Headers],[15/12/2018]],"','%d/%m/%Y'),",BH58,");")</f>
        <v>insert into lecturas values ('17070',STR_TO_DATE('31/12/2017','%d/%m/%Y'),13666),('17070',STR_TO_DATE('15/01/2018','%d/%m/%Y'),13694),('17070',STR_TO_DATE('15/02/2018','%d/%m/%Y'),13745),('17070',STR_TO_DATE('15/03/2018','%d/%m/%Y'),13779),('17070',STR_TO_DATE('15/04/2018','%d/%m/%Y'),13819),('17070',STR_TO_DATE('15/05/2018','%d/%m/%Y'),13869),('17070',STR_TO_DATE('15/06/2018','%d/%m/%Y'),14058),('17070',STR_TO_DATE('15/07/2018','%d/%m/%Y'),13909),('17070',STR_TO_DATE('15/08/2018','%d/%m/%Y'),15314),('17070',STR_TO_DATE('15/09/2018','%d/%m/%Y'),15395),('17070',STR_TO_DATE('15/10/2018','%d/%m/%Y'),15457),('17070',STR_TO_DATE('15/11/2018','%d/%m/%Y'),15518),('17070',STR_TO_DATE('15/12/2018','%d/%m/%Y'),15560);</v>
      </c>
    </row>
    <row r="59" spans="1:68" ht="18" customHeight="1" x14ac:dyDescent="0.25">
      <c r="A59" s="241" t="s">
        <v>614</v>
      </c>
      <c r="B59" s="60"/>
      <c r="C59" s="223">
        <v>30574059</v>
      </c>
      <c r="D59" s="60" t="s">
        <v>670</v>
      </c>
      <c r="E59" s="258">
        <v>3</v>
      </c>
      <c r="F59" s="2" t="s">
        <v>21</v>
      </c>
      <c r="G59" s="2" t="s">
        <v>679</v>
      </c>
      <c r="H59" s="2" t="s">
        <v>678</v>
      </c>
      <c r="I59" s="274" t="s">
        <v>680</v>
      </c>
      <c r="J59" s="311">
        <v>139470</v>
      </c>
      <c r="K59" s="311">
        <v>140851.6</v>
      </c>
      <c r="L59" s="311">
        <v>142580</v>
      </c>
      <c r="M59" s="311">
        <v>144614.5</v>
      </c>
      <c r="N59" s="311">
        <v>146111.9</v>
      </c>
      <c r="O59" s="454">
        <v>147565.9</v>
      </c>
      <c r="P59" s="454">
        <v>149284.20000000001</v>
      </c>
      <c r="Q59" s="492">
        <v>150343</v>
      </c>
      <c r="R59" s="311">
        <v>151912.1</v>
      </c>
      <c r="S59" s="311">
        <v>153602.4</v>
      </c>
      <c r="T59" s="311">
        <v>155230.20000000001</v>
      </c>
      <c r="U59" s="617">
        <v>157631.6</v>
      </c>
      <c r="V59" s="617">
        <v>159533.4</v>
      </c>
      <c r="W59" s="274"/>
      <c r="X59" s="274"/>
      <c r="Y59" s="2">
        <f t="shared" si="28"/>
        <v>1381.6000000000058</v>
      </c>
      <c r="Z59" s="2">
        <f t="shared" si="27"/>
        <v>1728.3999999999942</v>
      </c>
      <c r="AA59" s="2">
        <f t="shared" si="25"/>
        <v>2034.5</v>
      </c>
      <c r="AB59" s="2">
        <f t="shared" si="26"/>
        <v>1497.3999999999942</v>
      </c>
      <c r="AC59" s="2">
        <f t="shared" si="17"/>
        <v>1454</v>
      </c>
      <c r="AD59" s="2">
        <f t="shared" si="18"/>
        <v>1718.3000000000175</v>
      </c>
      <c r="AE59" s="2">
        <f t="shared" si="19"/>
        <v>1058.7999999999884</v>
      </c>
      <c r="AF59" s="2">
        <f t="shared" si="20"/>
        <v>1569.1000000000058</v>
      </c>
      <c r="AG59" s="2">
        <f t="shared" si="21"/>
        <v>1690.2999999999884</v>
      </c>
      <c r="AH59" s="2">
        <f t="shared" si="22"/>
        <v>1627.8000000000175</v>
      </c>
      <c r="AI59" s="2">
        <f t="shared" si="23"/>
        <v>2401.3999999999942</v>
      </c>
      <c r="AJ59" s="2">
        <f t="shared" si="24"/>
        <v>1901.7999999999884</v>
      </c>
      <c r="AK59" s="406">
        <v>1</v>
      </c>
      <c r="AL59" s="274">
        <f t="shared" ca="1" si="1"/>
        <v>146111.9</v>
      </c>
      <c r="AM59" s="311">
        <f t="shared" ca="1" si="2"/>
        <v>147565.9</v>
      </c>
      <c r="AN59" s="274">
        <f ca="1">IF(AND(Tabla7[[#This Row],[UltLec]]&lt;&gt;0,Tabla7[[#This Row],[PenLect]]&lt;&gt;0),(AM59-AL59)*Tabla7[[#This Row],[RT]],"N/A")</f>
        <v>1454</v>
      </c>
      <c r="AO59" s="273" t="s">
        <v>910</v>
      </c>
      <c r="AP59" s="392" t="s">
        <v>1190</v>
      </c>
      <c r="AQ59" s="392" t="s">
        <v>1189</v>
      </c>
      <c r="AR59" s="407">
        <f t="shared" si="3"/>
        <v>0</v>
      </c>
      <c r="AT59" s="2">
        <f t="shared" ca="1" si="4"/>
        <v>0.97101642847602887</v>
      </c>
      <c r="AV59">
        <f>IF(ISBLANK(Tabla7[[#This Row],[31/12/2017]]),0,Tabla7[[#This Row],[31/12/2017]])</f>
        <v>139470</v>
      </c>
      <c r="AW59">
        <f>IF(ISBLANK(Tabla7[[#This Row],[15/01/2018]]),0,Tabla7[[#This Row],[15/01/2018]])</f>
        <v>140851.6</v>
      </c>
      <c r="AX59">
        <f>IF(ISBLANK(Tabla7[[#This Row],[15/02/2018]]),0,Tabla7[[#This Row],[15/02/2018]])</f>
        <v>142580</v>
      </c>
      <c r="AY59">
        <f>IF(ISBLANK(Tabla7[[#This Row],[15/03/2018]]),0,Tabla7[[#This Row],[15/03/2018]])</f>
        <v>144614.5</v>
      </c>
      <c r="AZ59">
        <f>IF(ISBLANK(Tabla7[[#This Row],[15/04/2018]]),0,Tabla7[[#This Row],[15/04/2018]])</f>
        <v>146111.9</v>
      </c>
      <c r="BA59">
        <f>IF(ISBLANK(Tabla7[[#This Row],[15/05/2018]]),0,Tabla7[[#This Row],[15/05/2018]])</f>
        <v>147565.9</v>
      </c>
      <c r="BB59">
        <f>IF(ISBLANK(Tabla7[[#This Row],[15/06/2018]]),0,Tabla7[[#This Row],[15/06/2018]])</f>
        <v>149284.20000000001</v>
      </c>
      <c r="BC59">
        <f>IF(ISBLANK(Tabla7[[#This Row],[15/07/2018]]),0,Tabla7[[#This Row],[15/07/2018]])</f>
        <v>150343</v>
      </c>
      <c r="BD59">
        <f>IF(ISBLANK(Tabla7[[#This Row],[15/08/2018]]),0,Tabla7[[#This Row],[15/08/2018]])</f>
        <v>151912.1</v>
      </c>
      <c r="BE59">
        <f>IF(ISBLANK(Tabla7[[#This Row],[15/09/2018]]),0,Tabla7[[#This Row],[15/09/2018]])</f>
        <v>153602.4</v>
      </c>
      <c r="BF59">
        <f>IF(ISBLANK(Tabla7[[#This Row],[15/10/2018]]),0,Tabla7[[#This Row],[15/10/2018]])</f>
        <v>155230.20000000001</v>
      </c>
      <c r="BG59">
        <f>IF(ISBLANK(Tabla7[[#This Row],[15/11/2018]]),0,Tabla7[[#This Row],[15/11/2018]])</f>
        <v>157631.6</v>
      </c>
      <c r="BH59">
        <f>IF(ISBLANK(Tabla7[[#This Row],[15/12/2018]]),0,Tabla7[[#This Row],[15/12/2018]])</f>
        <v>159533.4</v>
      </c>
      <c r="BI59">
        <f>IF(ISBLANK(Tabla7[[#This Row],[28/12/2018]]),0,Tabla7[[#This Row],[28/12/2018]])</f>
        <v>0</v>
      </c>
      <c r="BN5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('30574059','G','GCT04','3','APV','Exterior hornacina nuevas casetas pescadores','Alumbrado EXTERIOR Nuevas casetas pescadores','Alta en fecha: 19/04/2013');</v>
      </c>
      <c r="BO59" t="s">
        <v>243</v>
      </c>
      <c r="BP59" s="632" t="str">
        <f>CONCATENATE("insert into lecturas values ","('",Tabla7[[#This Row],[CONTADOR]],"',STR_TO_DATE('",Tabla7[[#Headers],[31/12/2017]],"','%d/%m/%Y'),",AV59,"),","('",Tabla7[[#This Row],[CONTADOR]],"',STR_TO_DATE('",Tabla7[[#Headers],[15/01/2018]],"','%d/%m/%Y'),",AW59,"),","('",Tabla7[[#This Row],[CONTADOR]],"',STR_TO_DATE('",Tabla7[[#Headers],[15/02/2018]],"','%d/%m/%Y'),",AX59,"),","('",Tabla7[[#This Row],[CONTADOR]],"',STR_TO_DATE('",Tabla7[[#Headers],[15/03/2018]],"','%d/%m/%Y'),",AY59,"),","('",Tabla7[[#This Row],[CONTADOR]],"',STR_TO_DATE('",Tabla7[[#Headers],[15/04/2018]],"','%d/%m/%Y'),",AZ59,"),","('",Tabla7[[#This Row],[CONTADOR]],"',STR_TO_DATE('",Tabla7[[#Headers],[15/05/2018]],"','%d/%m/%Y'),",BA59,"),","('",Tabla7[[#This Row],[CONTADOR]],"',STR_TO_DATE('",Tabla7[[#Headers],[15/06/2018]],"','%d/%m/%Y'),",BB59,"),","('",Tabla7[[#This Row],[CONTADOR]],"',STR_TO_DATE('",Tabla7[[#Headers],[15/07/2018]],"','%d/%m/%Y'),",BC59,"),","('",Tabla7[[#This Row],[CONTADOR]],"',STR_TO_DATE('",Tabla7[[#Headers],[15/08/2018]],"','%d/%m/%Y'),",BD59,"),","('",Tabla7[[#This Row],[CONTADOR]],"',STR_TO_DATE('",Tabla7[[#Headers],[15/09/2018]],"','%d/%m/%Y'),",BE59,"),","('",Tabla7[[#This Row],[CONTADOR]],"',STR_TO_DATE('",Tabla7[[#Headers],[15/10/2018]],"','%d/%m/%Y'),",BF59,"),","('",Tabla7[[#This Row],[CONTADOR]],"',STR_TO_DATE('",Tabla7[[#Headers],[15/11/2018]],"','%d/%m/%Y'),",BG59,"),","('",Tabla7[[#This Row],[CONTADOR]],"',STR_TO_DATE('",Tabla7[[#Headers],[15/12/2018]],"','%d/%m/%Y'),",BH59,");")</f>
        <v>insert into lecturas values ('30574059',STR_TO_DATE('31/12/2017','%d/%m/%Y'),139470),('30574059',STR_TO_DATE('15/01/2018','%d/%m/%Y'),140851,6),('30574059',STR_TO_DATE('15/02/2018','%d/%m/%Y'),142580),('30574059',STR_TO_DATE('15/03/2018','%d/%m/%Y'),144614,5),('30574059',STR_TO_DATE('15/04/2018','%d/%m/%Y'),146111,9),('30574059',STR_TO_DATE('15/05/2018','%d/%m/%Y'),147565,9),('30574059',STR_TO_DATE('15/06/2018','%d/%m/%Y'),149284,2),('30574059',STR_TO_DATE('15/07/2018','%d/%m/%Y'),150343),('30574059',STR_TO_DATE('15/08/2018','%d/%m/%Y'),151912,1),('30574059',STR_TO_DATE('15/09/2018','%d/%m/%Y'),153602,4),('30574059',STR_TO_DATE('15/10/2018','%d/%m/%Y'),155230,2),('30574059',STR_TO_DATE('15/11/2018','%d/%m/%Y'),157631,6),('30574059',STR_TO_DATE('15/12/2018','%d/%m/%Y'),159533,4);</v>
      </c>
    </row>
    <row r="60" spans="1:68" ht="18" customHeight="1" x14ac:dyDescent="0.25">
      <c r="A60" s="241" t="s">
        <v>614</v>
      </c>
      <c r="B60" s="60"/>
      <c r="C60" s="223">
        <v>50564017</v>
      </c>
      <c r="D60" s="60" t="s">
        <v>670</v>
      </c>
      <c r="E60" s="258">
        <v>39878</v>
      </c>
      <c r="F60" s="2" t="s">
        <v>630</v>
      </c>
      <c r="G60" s="2" t="s">
        <v>674</v>
      </c>
      <c r="H60" s="2" t="s">
        <v>675</v>
      </c>
      <c r="I60" s="274"/>
      <c r="J60" s="311">
        <v>190615.2</v>
      </c>
      <c r="K60" s="311">
        <v>191770</v>
      </c>
      <c r="L60" s="311">
        <v>193262</v>
      </c>
      <c r="M60" s="311">
        <v>195197</v>
      </c>
      <c r="N60" s="311">
        <v>196742.2</v>
      </c>
      <c r="O60" s="454">
        <v>198717.6</v>
      </c>
      <c r="P60" s="454">
        <v>201554.8</v>
      </c>
      <c r="Q60" s="492">
        <v>203326</v>
      </c>
      <c r="R60" s="311">
        <v>205896.1</v>
      </c>
      <c r="S60" s="311">
        <v>208547.1</v>
      </c>
      <c r="T60" s="311">
        <v>210624.6</v>
      </c>
      <c r="U60" s="617">
        <v>212517.4</v>
      </c>
      <c r="V60" s="617">
        <v>213802.4</v>
      </c>
      <c r="W60" s="274"/>
      <c r="X60" s="274"/>
      <c r="Y60" s="2">
        <f t="shared" si="28"/>
        <v>1154.7999999999884</v>
      </c>
      <c r="Z60" s="2">
        <f t="shared" si="27"/>
        <v>1492</v>
      </c>
      <c r="AA60" s="2">
        <f t="shared" si="25"/>
        <v>1935</v>
      </c>
      <c r="AB60" s="2">
        <f t="shared" si="26"/>
        <v>1545.2000000000116</v>
      </c>
      <c r="AC60" s="2">
        <f t="shared" si="17"/>
        <v>1975.3999999999942</v>
      </c>
      <c r="AD60" s="2">
        <f t="shared" si="18"/>
        <v>2837.1999999999825</v>
      </c>
      <c r="AE60" s="2">
        <f t="shared" si="19"/>
        <v>1771.2000000000116</v>
      </c>
      <c r="AF60" s="2">
        <f t="shared" si="20"/>
        <v>2570.1000000000058</v>
      </c>
      <c r="AG60" s="2">
        <f t="shared" si="21"/>
        <v>2651</v>
      </c>
      <c r="AH60" s="2">
        <f t="shared" si="22"/>
        <v>2077.5</v>
      </c>
      <c r="AI60" s="2">
        <f t="shared" si="23"/>
        <v>1892.7999999999884</v>
      </c>
      <c r="AJ60" s="2">
        <f t="shared" si="24"/>
        <v>1285</v>
      </c>
      <c r="AK60" s="406">
        <v>1</v>
      </c>
      <c r="AL60" s="274">
        <f t="shared" ca="1" si="1"/>
        <v>196742.2</v>
      </c>
      <c r="AM60" s="311">
        <f t="shared" ca="1" si="2"/>
        <v>198717.6</v>
      </c>
      <c r="AN60" s="274">
        <f ca="1">IF(AND(Tabla7[[#This Row],[UltLec]]&lt;&gt;0,Tabla7[[#This Row],[PenLect]]&lt;&gt;0),(AM60-AL60)*Tabla7[[#This Row],[RT]],"N/A")</f>
        <v>1975.3999999999942</v>
      </c>
      <c r="AO60" s="273" t="s">
        <v>910</v>
      </c>
      <c r="AP60" s="392" t="s">
        <v>1190</v>
      </c>
      <c r="AQ60" s="392" t="s">
        <v>1189</v>
      </c>
      <c r="AR60" s="407">
        <f t="shared" si="3"/>
        <v>0</v>
      </c>
      <c r="AT60" s="2">
        <f t="shared" ca="1" si="4"/>
        <v>1.2784105617395671</v>
      </c>
      <c r="AV60">
        <f>IF(ISBLANK(Tabla7[[#This Row],[31/12/2017]]),0,Tabla7[[#This Row],[31/12/2017]])</f>
        <v>190615.2</v>
      </c>
      <c r="AW60">
        <f>IF(ISBLANK(Tabla7[[#This Row],[15/01/2018]]),0,Tabla7[[#This Row],[15/01/2018]])</f>
        <v>191770</v>
      </c>
      <c r="AX60">
        <f>IF(ISBLANK(Tabla7[[#This Row],[15/02/2018]]),0,Tabla7[[#This Row],[15/02/2018]])</f>
        <v>193262</v>
      </c>
      <c r="AY60">
        <f>IF(ISBLANK(Tabla7[[#This Row],[15/03/2018]]),0,Tabla7[[#This Row],[15/03/2018]])</f>
        <v>195197</v>
      </c>
      <c r="AZ60">
        <f>IF(ISBLANK(Tabla7[[#This Row],[15/04/2018]]),0,Tabla7[[#This Row],[15/04/2018]])</f>
        <v>196742.2</v>
      </c>
      <c r="BA60">
        <f>IF(ISBLANK(Tabla7[[#This Row],[15/05/2018]]),0,Tabla7[[#This Row],[15/05/2018]])</f>
        <v>198717.6</v>
      </c>
      <c r="BB60">
        <f>IF(ISBLANK(Tabla7[[#This Row],[15/06/2018]]),0,Tabla7[[#This Row],[15/06/2018]])</f>
        <v>201554.8</v>
      </c>
      <c r="BC60">
        <f>IF(ISBLANK(Tabla7[[#This Row],[15/07/2018]]),0,Tabla7[[#This Row],[15/07/2018]])</f>
        <v>203326</v>
      </c>
      <c r="BD60">
        <f>IF(ISBLANK(Tabla7[[#This Row],[15/08/2018]]),0,Tabla7[[#This Row],[15/08/2018]])</f>
        <v>205896.1</v>
      </c>
      <c r="BE60">
        <f>IF(ISBLANK(Tabla7[[#This Row],[15/09/2018]]),0,Tabla7[[#This Row],[15/09/2018]])</f>
        <v>208547.1</v>
      </c>
      <c r="BF60">
        <f>IF(ISBLANK(Tabla7[[#This Row],[15/10/2018]]),0,Tabla7[[#This Row],[15/10/2018]])</f>
        <v>210624.6</v>
      </c>
      <c r="BG60">
        <f>IF(ISBLANK(Tabla7[[#This Row],[15/11/2018]]),0,Tabla7[[#This Row],[15/11/2018]])</f>
        <v>212517.4</v>
      </c>
      <c r="BH60">
        <f>IF(ISBLANK(Tabla7[[#This Row],[15/12/2018]]),0,Tabla7[[#This Row],[15/12/2018]])</f>
        <v>213802.4</v>
      </c>
      <c r="BI60">
        <f>IF(ISBLANK(Tabla7[[#This Row],[28/12/2018]]),0,Tabla7[[#This Row],[28/12/2018]])</f>
        <v>0</v>
      </c>
      <c r="BN6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('50564017','G','GCT04','39878','COFRADÍA PESCADORES DE GANDÍA','Exterior hornacina nuevas casetas','NUEVAS CASETAS PESCADORES','');</v>
      </c>
      <c r="BO60" t="s">
        <v>243</v>
      </c>
      <c r="BP60" s="632" t="str">
        <f>CONCATENATE("insert into lecturas values ","('",Tabla7[[#This Row],[CONTADOR]],"',STR_TO_DATE('",Tabla7[[#Headers],[31/12/2017]],"','%d/%m/%Y'),",AV60,"),","('",Tabla7[[#This Row],[CONTADOR]],"',STR_TO_DATE('",Tabla7[[#Headers],[15/01/2018]],"','%d/%m/%Y'),",AW60,"),","('",Tabla7[[#This Row],[CONTADOR]],"',STR_TO_DATE('",Tabla7[[#Headers],[15/02/2018]],"','%d/%m/%Y'),",AX60,"),","('",Tabla7[[#This Row],[CONTADOR]],"',STR_TO_DATE('",Tabla7[[#Headers],[15/03/2018]],"','%d/%m/%Y'),",AY60,"),","('",Tabla7[[#This Row],[CONTADOR]],"',STR_TO_DATE('",Tabla7[[#Headers],[15/04/2018]],"','%d/%m/%Y'),",AZ60,"),","('",Tabla7[[#This Row],[CONTADOR]],"',STR_TO_DATE('",Tabla7[[#Headers],[15/05/2018]],"','%d/%m/%Y'),",BA60,"),","('",Tabla7[[#This Row],[CONTADOR]],"',STR_TO_DATE('",Tabla7[[#Headers],[15/06/2018]],"','%d/%m/%Y'),",BB60,"),","('",Tabla7[[#This Row],[CONTADOR]],"',STR_TO_DATE('",Tabla7[[#Headers],[15/07/2018]],"','%d/%m/%Y'),",BC60,"),","('",Tabla7[[#This Row],[CONTADOR]],"',STR_TO_DATE('",Tabla7[[#Headers],[15/08/2018]],"','%d/%m/%Y'),",BD60,"),","('",Tabla7[[#This Row],[CONTADOR]],"',STR_TO_DATE('",Tabla7[[#Headers],[15/09/2018]],"','%d/%m/%Y'),",BE60,"),","('",Tabla7[[#This Row],[CONTADOR]],"',STR_TO_DATE('",Tabla7[[#Headers],[15/10/2018]],"','%d/%m/%Y'),",BF60,"),","('",Tabla7[[#This Row],[CONTADOR]],"',STR_TO_DATE('",Tabla7[[#Headers],[15/11/2018]],"','%d/%m/%Y'),",BG60,"),","('",Tabla7[[#This Row],[CONTADOR]],"',STR_TO_DATE('",Tabla7[[#Headers],[15/12/2018]],"','%d/%m/%Y'),",BH60,");")</f>
        <v>insert into lecturas values ('50564017',STR_TO_DATE('31/12/2017','%d/%m/%Y'),190615,2),('50564017',STR_TO_DATE('15/01/2018','%d/%m/%Y'),191770),('50564017',STR_TO_DATE('15/02/2018','%d/%m/%Y'),193262),('50564017',STR_TO_DATE('15/03/2018','%d/%m/%Y'),195197),('50564017',STR_TO_DATE('15/04/2018','%d/%m/%Y'),196742,2),('50564017',STR_TO_DATE('15/05/2018','%d/%m/%Y'),198717,6),('50564017',STR_TO_DATE('15/06/2018','%d/%m/%Y'),201554,8),('50564017',STR_TO_DATE('15/07/2018','%d/%m/%Y'),203326),('50564017',STR_TO_DATE('15/08/2018','%d/%m/%Y'),205896,1),('50564017',STR_TO_DATE('15/09/2018','%d/%m/%Y'),208547,1),('50564017',STR_TO_DATE('15/10/2018','%d/%m/%Y'),210624,6),('50564017',STR_TO_DATE('15/11/2018','%d/%m/%Y'),212517,4),('50564017',STR_TO_DATE('15/12/2018','%d/%m/%Y'),213802,4);</v>
      </c>
    </row>
    <row r="61" spans="1:68" ht="18" customHeight="1" x14ac:dyDescent="0.25">
      <c r="A61" s="241" t="s">
        <v>614</v>
      </c>
      <c r="B61" s="60"/>
      <c r="C61" s="223">
        <v>85006712</v>
      </c>
      <c r="D61" s="60" t="s">
        <v>670</v>
      </c>
      <c r="E61" s="258">
        <v>39809</v>
      </c>
      <c r="F61" s="274" t="s">
        <v>630</v>
      </c>
      <c r="G61" s="2" t="s">
        <v>676</v>
      </c>
      <c r="H61" s="2" t="s">
        <v>1412</v>
      </c>
      <c r="I61" s="274"/>
      <c r="J61" s="311">
        <v>1873733</v>
      </c>
      <c r="K61" s="311">
        <v>1882841</v>
      </c>
      <c r="L61" s="311">
        <v>1908601</v>
      </c>
      <c r="M61" s="311">
        <v>1933502</v>
      </c>
      <c r="N61" s="311">
        <v>1957151</v>
      </c>
      <c r="O61" s="454">
        <v>1985357</v>
      </c>
      <c r="P61" s="454">
        <v>2004699</v>
      </c>
      <c r="Q61" s="311">
        <v>2049880</v>
      </c>
      <c r="R61" s="311">
        <v>2108451</v>
      </c>
      <c r="S61" s="311">
        <v>2135488</v>
      </c>
      <c r="T61" s="311">
        <v>2160046</v>
      </c>
      <c r="U61" s="617">
        <v>2183947</v>
      </c>
      <c r="V61" s="617">
        <v>2196997</v>
      </c>
      <c r="W61" s="274"/>
      <c r="X61" s="274"/>
      <c r="Y61" s="2">
        <f t="shared" si="28"/>
        <v>9108</v>
      </c>
      <c r="Z61" s="2">
        <f t="shared" si="27"/>
        <v>25760</v>
      </c>
      <c r="AA61" s="2">
        <f t="shared" si="25"/>
        <v>24901</v>
      </c>
      <c r="AB61" s="2">
        <f t="shared" si="26"/>
        <v>23649</v>
      </c>
      <c r="AC61" s="2">
        <f t="shared" si="17"/>
        <v>28206</v>
      </c>
      <c r="AD61" s="2">
        <f t="shared" si="18"/>
        <v>19342</v>
      </c>
      <c r="AE61" s="2">
        <f t="shared" si="19"/>
        <v>45181</v>
      </c>
      <c r="AF61" s="2">
        <f t="shared" si="20"/>
        <v>58571</v>
      </c>
      <c r="AG61" s="2">
        <f t="shared" si="21"/>
        <v>27037</v>
      </c>
      <c r="AH61" s="2">
        <f t="shared" si="22"/>
        <v>24558</v>
      </c>
      <c r="AI61" s="2">
        <f t="shared" si="23"/>
        <v>23901</v>
      </c>
      <c r="AJ61" s="2">
        <f t="shared" si="24"/>
        <v>13050</v>
      </c>
      <c r="AK61" s="406">
        <v>1</v>
      </c>
      <c r="AL61" s="274">
        <f t="shared" ca="1" si="1"/>
        <v>1957151</v>
      </c>
      <c r="AM61" s="311">
        <f t="shared" ca="1" si="2"/>
        <v>1985357</v>
      </c>
      <c r="AN61" s="274">
        <f ca="1">IF(AND(Tabla7[[#This Row],[UltLec]]&lt;&gt;0,Tabla7[[#This Row],[PenLect]]&lt;&gt;0),(AM61-AL61)*Tabla7[[#This Row],[RT]],"N/A")</f>
        <v>28206</v>
      </c>
      <c r="AO61" s="273" t="s">
        <v>910</v>
      </c>
      <c r="AP61" s="392" t="s">
        <v>1190</v>
      </c>
      <c r="AQ61" s="392" t="s">
        <v>1189</v>
      </c>
      <c r="AR61" s="407">
        <f t="shared" si="3"/>
        <v>0</v>
      </c>
      <c r="AT61" s="2">
        <f t="shared" ca="1" si="4"/>
        <v>1.192693137130534</v>
      </c>
      <c r="AV61">
        <f>IF(ISBLANK(Tabla7[[#This Row],[31/12/2017]]),0,Tabla7[[#This Row],[31/12/2017]])</f>
        <v>1873733</v>
      </c>
      <c r="AW61">
        <f>IF(ISBLANK(Tabla7[[#This Row],[15/01/2018]]),0,Tabla7[[#This Row],[15/01/2018]])</f>
        <v>1882841</v>
      </c>
      <c r="AX61">
        <f>IF(ISBLANK(Tabla7[[#This Row],[15/02/2018]]),0,Tabla7[[#This Row],[15/02/2018]])</f>
        <v>1908601</v>
      </c>
      <c r="AY61">
        <f>IF(ISBLANK(Tabla7[[#This Row],[15/03/2018]]),0,Tabla7[[#This Row],[15/03/2018]])</f>
        <v>1933502</v>
      </c>
      <c r="AZ61">
        <f>IF(ISBLANK(Tabla7[[#This Row],[15/04/2018]]),0,Tabla7[[#This Row],[15/04/2018]])</f>
        <v>1957151</v>
      </c>
      <c r="BA61">
        <f>IF(ISBLANK(Tabla7[[#This Row],[15/05/2018]]),0,Tabla7[[#This Row],[15/05/2018]])</f>
        <v>1985357</v>
      </c>
      <c r="BB61">
        <f>IF(ISBLANK(Tabla7[[#This Row],[15/06/2018]]),0,Tabla7[[#This Row],[15/06/2018]])</f>
        <v>2004699</v>
      </c>
      <c r="BC61">
        <f>IF(ISBLANK(Tabla7[[#This Row],[15/07/2018]]),0,Tabla7[[#This Row],[15/07/2018]])</f>
        <v>2049880</v>
      </c>
      <c r="BD61">
        <f>IF(ISBLANK(Tabla7[[#This Row],[15/08/2018]]),0,Tabla7[[#This Row],[15/08/2018]])</f>
        <v>2108451</v>
      </c>
      <c r="BE61">
        <f>IF(ISBLANK(Tabla7[[#This Row],[15/09/2018]]),0,Tabla7[[#This Row],[15/09/2018]])</f>
        <v>2135488</v>
      </c>
      <c r="BF61">
        <f>IF(ISBLANK(Tabla7[[#This Row],[15/10/2018]]),0,Tabla7[[#This Row],[15/10/2018]])</f>
        <v>2160046</v>
      </c>
      <c r="BG61">
        <f>IF(ISBLANK(Tabla7[[#This Row],[15/11/2018]]),0,Tabla7[[#This Row],[15/11/2018]])</f>
        <v>2183947</v>
      </c>
      <c r="BH61">
        <f>IF(ISBLANK(Tabla7[[#This Row],[15/12/2018]]),0,Tabla7[[#This Row],[15/12/2018]])</f>
        <v>2196997</v>
      </c>
      <c r="BI61">
        <f>IF(ISBLANK(Tabla7[[#This Row],[28/12/2018]]),0,Tabla7[[#This Row],[28/12/2018]])</f>
        <v>0</v>
      </c>
      <c r="BN6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('85006712','G','GCT04','39809','COFRADÍA PESCADORES DE GANDÍA','ARMARIO ADOSADO CT-4','FÁBRICA DE HIELO (COFRADIA PESCADORES)','');</v>
      </c>
      <c r="BO61" t="s">
        <v>243</v>
      </c>
      <c r="BP61" s="632" t="str">
        <f>CONCATENATE("insert into lecturas values ","('",Tabla7[[#This Row],[CONTADOR]],"',STR_TO_DATE('",Tabla7[[#Headers],[31/12/2017]],"','%d/%m/%Y'),",AV61,"),","('",Tabla7[[#This Row],[CONTADOR]],"',STR_TO_DATE('",Tabla7[[#Headers],[15/01/2018]],"','%d/%m/%Y'),",AW61,"),","('",Tabla7[[#This Row],[CONTADOR]],"',STR_TO_DATE('",Tabla7[[#Headers],[15/02/2018]],"','%d/%m/%Y'),",AX61,"),","('",Tabla7[[#This Row],[CONTADOR]],"',STR_TO_DATE('",Tabla7[[#Headers],[15/03/2018]],"','%d/%m/%Y'),",AY61,"),","('",Tabla7[[#This Row],[CONTADOR]],"',STR_TO_DATE('",Tabla7[[#Headers],[15/04/2018]],"','%d/%m/%Y'),",AZ61,"),","('",Tabla7[[#This Row],[CONTADOR]],"',STR_TO_DATE('",Tabla7[[#Headers],[15/05/2018]],"','%d/%m/%Y'),",BA61,"),","('",Tabla7[[#This Row],[CONTADOR]],"',STR_TO_DATE('",Tabla7[[#Headers],[15/06/2018]],"','%d/%m/%Y'),",BB61,"),","('",Tabla7[[#This Row],[CONTADOR]],"',STR_TO_DATE('",Tabla7[[#Headers],[15/07/2018]],"','%d/%m/%Y'),",BC61,"),","('",Tabla7[[#This Row],[CONTADOR]],"',STR_TO_DATE('",Tabla7[[#Headers],[15/08/2018]],"','%d/%m/%Y'),",BD61,"),","('",Tabla7[[#This Row],[CONTADOR]],"',STR_TO_DATE('",Tabla7[[#Headers],[15/09/2018]],"','%d/%m/%Y'),",BE61,"),","('",Tabla7[[#This Row],[CONTADOR]],"',STR_TO_DATE('",Tabla7[[#Headers],[15/10/2018]],"','%d/%m/%Y'),",BF61,"),","('",Tabla7[[#This Row],[CONTADOR]],"',STR_TO_DATE('",Tabla7[[#Headers],[15/11/2018]],"','%d/%m/%Y'),",BG61,"),","('",Tabla7[[#This Row],[CONTADOR]],"',STR_TO_DATE('",Tabla7[[#Headers],[15/12/2018]],"','%d/%m/%Y'),",BH61,");")</f>
        <v>insert into lecturas values ('85006712',STR_TO_DATE('31/12/2017','%d/%m/%Y'),1873733),('85006712',STR_TO_DATE('15/01/2018','%d/%m/%Y'),1882841),('85006712',STR_TO_DATE('15/02/2018','%d/%m/%Y'),1908601),('85006712',STR_TO_DATE('15/03/2018','%d/%m/%Y'),1933502),('85006712',STR_TO_DATE('15/04/2018','%d/%m/%Y'),1957151),('85006712',STR_TO_DATE('15/05/2018','%d/%m/%Y'),1985357),('85006712',STR_TO_DATE('15/06/2018','%d/%m/%Y'),2004699),('85006712',STR_TO_DATE('15/07/2018','%d/%m/%Y'),2049880),('85006712',STR_TO_DATE('15/08/2018','%d/%m/%Y'),2108451),('85006712',STR_TO_DATE('15/09/2018','%d/%m/%Y'),2135488),('85006712',STR_TO_DATE('15/10/2018','%d/%m/%Y'),2160046),('85006712',STR_TO_DATE('15/11/2018','%d/%m/%Y'),2183947),('85006712',STR_TO_DATE('15/12/2018','%d/%m/%Y'),2196997);</v>
      </c>
    </row>
    <row r="62" spans="1:68" ht="18" customHeight="1" x14ac:dyDescent="0.25">
      <c r="A62" s="241" t="s">
        <v>614</v>
      </c>
      <c r="B62" s="60"/>
      <c r="C62" s="223">
        <v>85006713</v>
      </c>
      <c r="D62" s="60" t="s">
        <v>670</v>
      </c>
      <c r="E62" s="258">
        <v>39810</v>
      </c>
      <c r="F62" s="274" t="s">
        <v>630</v>
      </c>
      <c r="G62" s="2" t="s">
        <v>676</v>
      </c>
      <c r="H62" s="2" t="s">
        <v>1424</v>
      </c>
      <c r="I62" s="274"/>
      <c r="J62" s="311">
        <v>750303</v>
      </c>
      <c r="K62" s="311">
        <v>754908</v>
      </c>
      <c r="L62" s="311">
        <v>764284</v>
      </c>
      <c r="M62" s="311">
        <v>775179</v>
      </c>
      <c r="N62" s="311">
        <v>782534</v>
      </c>
      <c r="O62" s="454">
        <v>790872</v>
      </c>
      <c r="P62" s="454">
        <v>803414</v>
      </c>
      <c r="Q62" s="311">
        <v>818239</v>
      </c>
      <c r="R62" s="311">
        <v>841942</v>
      </c>
      <c r="S62" s="311">
        <v>860869</v>
      </c>
      <c r="T62" s="311">
        <v>871732</v>
      </c>
      <c r="U62" s="617">
        <v>882023</v>
      </c>
      <c r="V62" s="617">
        <v>889369</v>
      </c>
      <c r="W62" s="274"/>
      <c r="X62" s="274"/>
      <c r="Y62" s="2">
        <f t="shared" si="28"/>
        <v>4605</v>
      </c>
      <c r="Z62" s="2">
        <f t="shared" si="27"/>
        <v>9376</v>
      </c>
      <c r="AA62" s="2">
        <f t="shared" si="25"/>
        <v>10895</v>
      </c>
      <c r="AB62" s="2">
        <f t="shared" si="26"/>
        <v>7355</v>
      </c>
      <c r="AC62" s="2">
        <f t="shared" si="17"/>
        <v>8338</v>
      </c>
      <c r="AD62" s="2">
        <f t="shared" si="18"/>
        <v>12542</v>
      </c>
      <c r="AE62" s="2">
        <f t="shared" si="19"/>
        <v>14825</v>
      </c>
      <c r="AF62" s="2">
        <f t="shared" si="20"/>
        <v>23703</v>
      </c>
      <c r="AG62" s="2">
        <f t="shared" si="21"/>
        <v>18927</v>
      </c>
      <c r="AH62" s="2">
        <f t="shared" si="22"/>
        <v>10863</v>
      </c>
      <c r="AI62" s="2">
        <f t="shared" si="23"/>
        <v>10291</v>
      </c>
      <c r="AJ62" s="2">
        <f t="shared" si="24"/>
        <v>7346</v>
      </c>
      <c r="AK62" s="406">
        <v>1</v>
      </c>
      <c r="AL62" s="274">
        <f t="shared" ca="1" si="1"/>
        <v>782534</v>
      </c>
      <c r="AM62" s="311">
        <f t="shared" ca="1" si="2"/>
        <v>790872</v>
      </c>
      <c r="AN62" s="274">
        <f ca="1">IF(AND(Tabla7[[#This Row],[UltLec]]&lt;&gt;0,Tabla7[[#This Row],[PenLect]]&lt;&gt;0),(AM62-AL62)*Tabla7[[#This Row],[RT]],"N/A")</f>
        <v>8338</v>
      </c>
      <c r="AO62" s="273" t="s">
        <v>910</v>
      </c>
      <c r="AP62" s="392" t="s">
        <v>1190</v>
      </c>
      <c r="AQ62" s="392" t="s">
        <v>1189</v>
      </c>
      <c r="AR62" s="407">
        <f t="shared" si="3"/>
        <v>0</v>
      </c>
      <c r="AT62" s="2">
        <f t="shared" ca="1" si="4"/>
        <v>1.1336505778382053</v>
      </c>
      <c r="AV62">
        <f>IF(ISBLANK(Tabla7[[#This Row],[31/12/2017]]),0,Tabla7[[#This Row],[31/12/2017]])</f>
        <v>750303</v>
      </c>
      <c r="AW62">
        <f>IF(ISBLANK(Tabla7[[#This Row],[15/01/2018]]),0,Tabla7[[#This Row],[15/01/2018]])</f>
        <v>754908</v>
      </c>
      <c r="AX62">
        <f>IF(ISBLANK(Tabla7[[#This Row],[15/02/2018]]),0,Tabla7[[#This Row],[15/02/2018]])</f>
        <v>764284</v>
      </c>
      <c r="AY62">
        <f>IF(ISBLANK(Tabla7[[#This Row],[15/03/2018]]),0,Tabla7[[#This Row],[15/03/2018]])</f>
        <v>775179</v>
      </c>
      <c r="AZ62">
        <f>IF(ISBLANK(Tabla7[[#This Row],[15/04/2018]]),0,Tabla7[[#This Row],[15/04/2018]])</f>
        <v>782534</v>
      </c>
      <c r="BA62">
        <f>IF(ISBLANK(Tabla7[[#This Row],[15/05/2018]]),0,Tabla7[[#This Row],[15/05/2018]])</f>
        <v>790872</v>
      </c>
      <c r="BB62">
        <f>IF(ISBLANK(Tabla7[[#This Row],[15/06/2018]]),0,Tabla7[[#This Row],[15/06/2018]])</f>
        <v>803414</v>
      </c>
      <c r="BC62">
        <f>IF(ISBLANK(Tabla7[[#This Row],[15/07/2018]]),0,Tabla7[[#This Row],[15/07/2018]])</f>
        <v>818239</v>
      </c>
      <c r="BD62">
        <f>IF(ISBLANK(Tabla7[[#This Row],[15/08/2018]]),0,Tabla7[[#This Row],[15/08/2018]])</f>
        <v>841942</v>
      </c>
      <c r="BE62">
        <f>IF(ISBLANK(Tabla7[[#This Row],[15/09/2018]]),0,Tabla7[[#This Row],[15/09/2018]])</f>
        <v>860869</v>
      </c>
      <c r="BF62">
        <f>IF(ISBLANK(Tabla7[[#This Row],[15/10/2018]]),0,Tabla7[[#This Row],[15/10/2018]])</f>
        <v>871732</v>
      </c>
      <c r="BG62">
        <f>IF(ISBLANK(Tabla7[[#This Row],[15/11/2018]]),0,Tabla7[[#This Row],[15/11/2018]])</f>
        <v>882023</v>
      </c>
      <c r="BH62">
        <f>IF(ISBLANK(Tabla7[[#This Row],[15/12/2018]]),0,Tabla7[[#This Row],[15/12/2018]])</f>
        <v>889369</v>
      </c>
      <c r="BI62">
        <f>IF(ISBLANK(Tabla7[[#This Row],[28/12/2018]]),0,Tabla7[[#This Row],[28/12/2018]])</f>
        <v>0</v>
      </c>
      <c r="BN6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('85006713','G','GCT04','39810','COFRADÍA PESCADORES DE GANDÍA','ARMARIO ADOSADO CT-4','Edificio Cofradía Pescadores','');</v>
      </c>
      <c r="BO62" t="s">
        <v>243</v>
      </c>
      <c r="BP62" s="632" t="str">
        <f>CONCATENATE("insert into lecturas values ","('",Tabla7[[#This Row],[CONTADOR]],"',STR_TO_DATE('",Tabla7[[#Headers],[31/12/2017]],"','%d/%m/%Y'),",AV62,"),","('",Tabla7[[#This Row],[CONTADOR]],"',STR_TO_DATE('",Tabla7[[#Headers],[15/01/2018]],"','%d/%m/%Y'),",AW62,"),","('",Tabla7[[#This Row],[CONTADOR]],"',STR_TO_DATE('",Tabla7[[#Headers],[15/02/2018]],"','%d/%m/%Y'),",AX62,"),","('",Tabla7[[#This Row],[CONTADOR]],"',STR_TO_DATE('",Tabla7[[#Headers],[15/03/2018]],"','%d/%m/%Y'),",AY62,"),","('",Tabla7[[#This Row],[CONTADOR]],"',STR_TO_DATE('",Tabla7[[#Headers],[15/04/2018]],"','%d/%m/%Y'),",AZ62,"),","('",Tabla7[[#This Row],[CONTADOR]],"',STR_TO_DATE('",Tabla7[[#Headers],[15/05/2018]],"','%d/%m/%Y'),",BA62,"),","('",Tabla7[[#This Row],[CONTADOR]],"',STR_TO_DATE('",Tabla7[[#Headers],[15/06/2018]],"','%d/%m/%Y'),",BB62,"),","('",Tabla7[[#This Row],[CONTADOR]],"',STR_TO_DATE('",Tabla7[[#Headers],[15/07/2018]],"','%d/%m/%Y'),",BC62,"),","('",Tabla7[[#This Row],[CONTADOR]],"',STR_TO_DATE('",Tabla7[[#Headers],[15/08/2018]],"','%d/%m/%Y'),",BD62,"),","('",Tabla7[[#This Row],[CONTADOR]],"',STR_TO_DATE('",Tabla7[[#Headers],[15/09/2018]],"','%d/%m/%Y'),",BE62,"),","('",Tabla7[[#This Row],[CONTADOR]],"',STR_TO_DATE('",Tabla7[[#Headers],[15/10/2018]],"','%d/%m/%Y'),",BF62,"),","('",Tabla7[[#This Row],[CONTADOR]],"',STR_TO_DATE('",Tabla7[[#Headers],[15/11/2018]],"','%d/%m/%Y'),",BG62,"),","('",Tabla7[[#This Row],[CONTADOR]],"',STR_TO_DATE('",Tabla7[[#Headers],[15/12/2018]],"','%d/%m/%Y'),",BH62,");")</f>
        <v>insert into lecturas values ('85006713',STR_TO_DATE('31/12/2017','%d/%m/%Y'),750303),('85006713',STR_TO_DATE('15/01/2018','%d/%m/%Y'),754908),('85006713',STR_TO_DATE('15/02/2018','%d/%m/%Y'),764284),('85006713',STR_TO_DATE('15/03/2018','%d/%m/%Y'),775179),('85006713',STR_TO_DATE('15/04/2018','%d/%m/%Y'),782534),('85006713',STR_TO_DATE('15/05/2018','%d/%m/%Y'),790872),('85006713',STR_TO_DATE('15/06/2018','%d/%m/%Y'),803414),('85006713',STR_TO_DATE('15/07/2018','%d/%m/%Y'),818239),('85006713',STR_TO_DATE('15/08/2018','%d/%m/%Y'),841942),('85006713',STR_TO_DATE('15/09/2018','%d/%m/%Y'),860869),('85006713',STR_TO_DATE('15/10/2018','%d/%m/%Y'),871732),('85006713',STR_TO_DATE('15/11/2018','%d/%m/%Y'),882023),('85006713',STR_TO_DATE('15/12/2018','%d/%m/%Y'),889369);</v>
      </c>
    </row>
    <row r="63" spans="1:68" ht="18" customHeight="1" x14ac:dyDescent="0.25">
      <c r="A63" s="241" t="s">
        <v>614</v>
      </c>
      <c r="B63" s="60"/>
      <c r="C63" s="223" t="s">
        <v>426</v>
      </c>
      <c r="D63" s="60" t="s">
        <v>670</v>
      </c>
      <c r="E63" s="258">
        <v>3</v>
      </c>
      <c r="F63" s="274" t="s">
        <v>677</v>
      </c>
      <c r="G63" s="274" t="s">
        <v>676</v>
      </c>
      <c r="H63" s="274" t="s">
        <v>1413</v>
      </c>
      <c r="I63" s="274"/>
      <c r="J63" s="311">
        <v>626223.6</v>
      </c>
      <c r="K63" s="311">
        <v>627368</v>
      </c>
      <c r="L63" s="311">
        <v>628804</v>
      </c>
      <c r="M63" s="311">
        <v>630582.6</v>
      </c>
      <c r="N63" s="311">
        <v>631933.30000000005</v>
      </c>
      <c r="O63" s="454">
        <v>633217.69999999995</v>
      </c>
      <c r="P63" s="454">
        <v>634675.30000000005</v>
      </c>
      <c r="Q63" s="311">
        <v>636503</v>
      </c>
      <c r="R63" s="311">
        <v>637025.4</v>
      </c>
      <c r="S63" s="311">
        <v>638530.69999999995</v>
      </c>
      <c r="T63" s="311">
        <v>640105.80000000005</v>
      </c>
      <c r="U63" s="617">
        <v>642590.9</v>
      </c>
      <c r="V63" s="617">
        <v>644696.30000000005</v>
      </c>
      <c r="W63" s="274"/>
      <c r="X63" s="274"/>
      <c r="Y63" s="274">
        <f t="shared" si="28"/>
        <v>1144.4000000000233</v>
      </c>
      <c r="Z63" s="274">
        <f t="shared" si="27"/>
        <v>1436</v>
      </c>
      <c r="AA63" s="274">
        <f t="shared" si="25"/>
        <v>1778.5999999999767</v>
      </c>
      <c r="AB63" s="274">
        <f t="shared" si="26"/>
        <v>1350.7000000000698</v>
      </c>
      <c r="AC63" s="274">
        <f t="shared" si="17"/>
        <v>1284.3999999999069</v>
      </c>
      <c r="AD63" s="274">
        <f t="shared" si="18"/>
        <v>1457.6000000000931</v>
      </c>
      <c r="AE63" s="274">
        <f t="shared" si="19"/>
        <v>1827.6999999999534</v>
      </c>
      <c r="AF63" s="274">
        <f t="shared" si="20"/>
        <v>522.40000000002328</v>
      </c>
      <c r="AG63" s="274">
        <f t="shared" si="21"/>
        <v>1505.2999999999302</v>
      </c>
      <c r="AH63" s="274">
        <f t="shared" si="22"/>
        <v>1575.1000000000931</v>
      </c>
      <c r="AI63" s="274">
        <f t="shared" si="23"/>
        <v>2485.0999999999767</v>
      </c>
      <c r="AJ63" s="274">
        <f t="shared" si="24"/>
        <v>2105.4000000000233</v>
      </c>
      <c r="AK63" s="406">
        <v>1</v>
      </c>
      <c r="AL63" s="274">
        <f t="shared" ca="1" si="1"/>
        <v>631933.30000000005</v>
      </c>
      <c r="AM63" s="311">
        <f t="shared" ca="1" si="2"/>
        <v>633217.69999999995</v>
      </c>
      <c r="AN63" s="274">
        <f ca="1">IF(AND(Tabla7[[#This Row],[UltLec]]&lt;&gt;0,Tabla7[[#This Row],[PenLect]]&lt;&gt;0),(AM63-AL63)*Tabla7[[#This Row],[RT]],"N/A")</f>
        <v>1284.3999999999069</v>
      </c>
      <c r="AO63" s="273" t="s">
        <v>910</v>
      </c>
      <c r="AP63" s="392" t="s">
        <v>1190</v>
      </c>
      <c r="AQ63" s="392" t="s">
        <v>1189</v>
      </c>
      <c r="AR63" s="407">
        <f t="shared" si="3"/>
        <v>0</v>
      </c>
      <c r="AT63" s="2">
        <f t="shared" ca="1" si="4"/>
        <v>0.95091434071210512</v>
      </c>
      <c r="AV63">
        <f>IF(ISBLANK(Tabla7[[#This Row],[31/12/2017]]),0,Tabla7[[#This Row],[31/12/2017]])</f>
        <v>626223.6</v>
      </c>
      <c r="AW63">
        <f>IF(ISBLANK(Tabla7[[#This Row],[15/01/2018]]),0,Tabla7[[#This Row],[15/01/2018]])</f>
        <v>627368</v>
      </c>
      <c r="AX63">
        <f>IF(ISBLANK(Tabla7[[#This Row],[15/02/2018]]),0,Tabla7[[#This Row],[15/02/2018]])</f>
        <v>628804</v>
      </c>
      <c r="AY63">
        <f>IF(ISBLANK(Tabla7[[#This Row],[15/03/2018]]),0,Tabla7[[#This Row],[15/03/2018]])</f>
        <v>630582.6</v>
      </c>
      <c r="AZ63">
        <f>IF(ISBLANK(Tabla7[[#This Row],[15/04/2018]]),0,Tabla7[[#This Row],[15/04/2018]])</f>
        <v>631933.30000000005</v>
      </c>
      <c r="BA63">
        <f>IF(ISBLANK(Tabla7[[#This Row],[15/05/2018]]),0,Tabla7[[#This Row],[15/05/2018]])</f>
        <v>633217.69999999995</v>
      </c>
      <c r="BB63">
        <f>IF(ISBLANK(Tabla7[[#This Row],[15/06/2018]]),0,Tabla7[[#This Row],[15/06/2018]])</f>
        <v>634675.30000000005</v>
      </c>
      <c r="BC63">
        <f>IF(ISBLANK(Tabla7[[#This Row],[15/07/2018]]),0,Tabla7[[#This Row],[15/07/2018]])</f>
        <v>636503</v>
      </c>
      <c r="BD63">
        <f>IF(ISBLANK(Tabla7[[#This Row],[15/08/2018]]),0,Tabla7[[#This Row],[15/08/2018]])</f>
        <v>637025.4</v>
      </c>
      <c r="BE63">
        <f>IF(ISBLANK(Tabla7[[#This Row],[15/09/2018]]),0,Tabla7[[#This Row],[15/09/2018]])</f>
        <v>638530.69999999995</v>
      </c>
      <c r="BF63">
        <f>IF(ISBLANK(Tabla7[[#This Row],[15/10/2018]]),0,Tabla7[[#This Row],[15/10/2018]])</f>
        <v>640105.80000000005</v>
      </c>
      <c r="BG63">
        <f>IF(ISBLANK(Tabla7[[#This Row],[15/11/2018]]),0,Tabla7[[#This Row],[15/11/2018]])</f>
        <v>642590.9</v>
      </c>
      <c r="BH63">
        <f>IF(ISBLANK(Tabla7[[#This Row],[15/12/2018]]),0,Tabla7[[#This Row],[15/12/2018]])</f>
        <v>644696.30000000005</v>
      </c>
      <c r="BI63">
        <f>IF(ISBLANK(Tabla7[[#This Row],[28/12/2018]]),0,Tabla7[[#This Row],[28/12/2018]])</f>
        <v>0</v>
      </c>
      <c r="BN6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('6423039-97','G','GCT04','3','Alumbrado público entorno Lonja','ARMARIO ADOSADO CT-4','Alumbrado público entorno Cofradía','');</v>
      </c>
      <c r="BO63" t="s">
        <v>243</v>
      </c>
      <c r="BP63" s="632" t="str">
        <f>CONCATENATE("insert into lecturas values ","('",Tabla7[[#This Row],[CONTADOR]],"',STR_TO_DATE('",Tabla7[[#Headers],[31/12/2017]],"','%d/%m/%Y'),",AV63,"),","('",Tabla7[[#This Row],[CONTADOR]],"',STR_TO_DATE('",Tabla7[[#Headers],[15/01/2018]],"','%d/%m/%Y'),",AW63,"),","('",Tabla7[[#This Row],[CONTADOR]],"',STR_TO_DATE('",Tabla7[[#Headers],[15/02/2018]],"','%d/%m/%Y'),",AX63,"),","('",Tabla7[[#This Row],[CONTADOR]],"',STR_TO_DATE('",Tabla7[[#Headers],[15/03/2018]],"','%d/%m/%Y'),",AY63,"),","('",Tabla7[[#This Row],[CONTADOR]],"',STR_TO_DATE('",Tabla7[[#Headers],[15/04/2018]],"','%d/%m/%Y'),",AZ63,"),","('",Tabla7[[#This Row],[CONTADOR]],"',STR_TO_DATE('",Tabla7[[#Headers],[15/05/2018]],"','%d/%m/%Y'),",BA63,"),","('",Tabla7[[#This Row],[CONTADOR]],"',STR_TO_DATE('",Tabla7[[#Headers],[15/06/2018]],"','%d/%m/%Y'),",BB63,"),","('",Tabla7[[#This Row],[CONTADOR]],"',STR_TO_DATE('",Tabla7[[#Headers],[15/07/2018]],"','%d/%m/%Y'),",BC63,"),","('",Tabla7[[#This Row],[CONTADOR]],"',STR_TO_DATE('",Tabla7[[#Headers],[15/08/2018]],"','%d/%m/%Y'),",BD63,"),","('",Tabla7[[#This Row],[CONTADOR]],"',STR_TO_DATE('",Tabla7[[#Headers],[15/09/2018]],"','%d/%m/%Y'),",BE63,"),","('",Tabla7[[#This Row],[CONTADOR]],"',STR_TO_DATE('",Tabla7[[#Headers],[15/10/2018]],"','%d/%m/%Y'),",BF63,"),","('",Tabla7[[#This Row],[CONTADOR]],"',STR_TO_DATE('",Tabla7[[#Headers],[15/11/2018]],"','%d/%m/%Y'),",BG63,"),","('",Tabla7[[#This Row],[CONTADOR]],"',STR_TO_DATE('",Tabla7[[#Headers],[15/12/2018]],"','%d/%m/%Y'),",BH63,");")</f>
        <v>insert into lecturas values ('6423039-97',STR_TO_DATE('31/12/2017','%d/%m/%Y'),626223,6),('6423039-97',STR_TO_DATE('15/01/2018','%d/%m/%Y'),627368),('6423039-97',STR_TO_DATE('15/02/2018','%d/%m/%Y'),628804),('6423039-97',STR_TO_DATE('15/03/2018','%d/%m/%Y'),630582,6),('6423039-97',STR_TO_DATE('15/04/2018','%d/%m/%Y'),631933,3),('6423039-97',STR_TO_DATE('15/05/2018','%d/%m/%Y'),633217,7),('6423039-97',STR_TO_DATE('15/06/2018','%d/%m/%Y'),634675,3),('6423039-97',STR_TO_DATE('15/07/2018','%d/%m/%Y'),636503),('6423039-97',STR_TO_DATE('15/08/2018','%d/%m/%Y'),637025,4),('6423039-97',STR_TO_DATE('15/09/2018','%d/%m/%Y'),638530,7),('6423039-97',STR_TO_DATE('15/10/2018','%d/%m/%Y'),640105,8),('6423039-97',STR_TO_DATE('15/11/2018','%d/%m/%Y'),642590,9),('6423039-97',STR_TO_DATE('15/12/2018','%d/%m/%Y'),644696,3);</v>
      </c>
    </row>
    <row r="64" spans="1:68" ht="18" customHeight="1" x14ac:dyDescent="0.25">
      <c r="A64" s="241" t="s">
        <v>614</v>
      </c>
      <c r="B64" s="60"/>
      <c r="C64" s="223">
        <v>50767753</v>
      </c>
      <c r="D64" s="60" t="s">
        <v>681</v>
      </c>
      <c r="E64" s="258">
        <v>3</v>
      </c>
      <c r="F64" s="2" t="s">
        <v>21</v>
      </c>
      <c r="G64" s="2" t="s">
        <v>1414</v>
      </c>
      <c r="H64" s="2" t="s">
        <v>1415</v>
      </c>
      <c r="I64" s="274"/>
      <c r="J64" s="311">
        <v>1638</v>
      </c>
      <c r="K64" s="311">
        <v>1735</v>
      </c>
      <c r="L64" s="311">
        <v>1877</v>
      </c>
      <c r="M64" s="311">
        <v>2039</v>
      </c>
      <c r="N64" s="311">
        <v>2140</v>
      </c>
      <c r="O64" s="454">
        <v>2218</v>
      </c>
      <c r="P64" s="454">
        <v>2271</v>
      </c>
      <c r="Q64" s="492">
        <v>2272</v>
      </c>
      <c r="R64" s="311">
        <v>2272</v>
      </c>
      <c r="S64" s="492">
        <v>2272</v>
      </c>
      <c r="T64" s="492">
        <v>2273</v>
      </c>
      <c r="U64" s="617">
        <v>2309</v>
      </c>
      <c r="V64" s="617">
        <v>2374</v>
      </c>
      <c r="W64" s="274"/>
      <c r="X64" s="274"/>
      <c r="Y64" s="2">
        <f t="shared" si="28"/>
        <v>97</v>
      </c>
      <c r="Z64" s="2">
        <f t="shared" si="27"/>
        <v>142</v>
      </c>
      <c r="AA64" s="2">
        <f t="shared" si="25"/>
        <v>162</v>
      </c>
      <c r="AB64" s="2">
        <f t="shared" si="26"/>
        <v>101</v>
      </c>
      <c r="AC64" s="2">
        <f t="shared" si="17"/>
        <v>78</v>
      </c>
      <c r="AD64" s="2">
        <f t="shared" si="18"/>
        <v>53</v>
      </c>
      <c r="AE64" s="2">
        <f t="shared" si="19"/>
        <v>1</v>
      </c>
      <c r="AF64" s="2">
        <f t="shared" si="20"/>
        <v>0</v>
      </c>
      <c r="AG64" s="2">
        <f t="shared" si="21"/>
        <v>0</v>
      </c>
      <c r="AH64" s="2">
        <f t="shared" si="22"/>
        <v>1</v>
      </c>
      <c r="AI64" s="2">
        <f t="shared" si="23"/>
        <v>36</v>
      </c>
      <c r="AJ64" s="2">
        <f t="shared" si="24"/>
        <v>65</v>
      </c>
      <c r="AK64" s="406">
        <v>1</v>
      </c>
      <c r="AL64" s="274">
        <f t="shared" ca="1" si="1"/>
        <v>2140</v>
      </c>
      <c r="AM64" s="311">
        <f t="shared" ca="1" si="2"/>
        <v>2218</v>
      </c>
      <c r="AN64" s="274">
        <f ca="1">IF(AND(Tabla7[[#This Row],[UltLec]]&lt;&gt;0,Tabla7[[#This Row],[PenLect]]&lt;&gt;0),(AM64-AL64)*Tabla7[[#This Row],[RT]],"N/A")</f>
        <v>78</v>
      </c>
      <c r="AO64" s="273" t="s">
        <v>910</v>
      </c>
      <c r="AP64" s="392" t="s">
        <v>1190</v>
      </c>
      <c r="AQ64" s="392" t="s">
        <v>1189</v>
      </c>
      <c r="AR64" s="407">
        <f t="shared" si="3"/>
        <v>0</v>
      </c>
      <c r="AT64" s="2">
        <f t="shared" ca="1" si="4"/>
        <v>0.7722772277227723</v>
      </c>
      <c r="AV64">
        <f>IF(ISBLANK(Tabla7[[#This Row],[31/12/2017]]),0,Tabla7[[#This Row],[31/12/2017]])</f>
        <v>1638</v>
      </c>
      <c r="AW64">
        <f>IF(ISBLANK(Tabla7[[#This Row],[15/01/2018]]),0,Tabla7[[#This Row],[15/01/2018]])</f>
        <v>1735</v>
      </c>
      <c r="AX64">
        <f>IF(ISBLANK(Tabla7[[#This Row],[15/02/2018]]),0,Tabla7[[#This Row],[15/02/2018]])</f>
        <v>1877</v>
      </c>
      <c r="AY64">
        <f>IF(ISBLANK(Tabla7[[#This Row],[15/03/2018]]),0,Tabla7[[#This Row],[15/03/2018]])</f>
        <v>2039</v>
      </c>
      <c r="AZ64">
        <f>IF(ISBLANK(Tabla7[[#This Row],[15/04/2018]]),0,Tabla7[[#This Row],[15/04/2018]])</f>
        <v>2140</v>
      </c>
      <c r="BA64">
        <f>IF(ISBLANK(Tabla7[[#This Row],[15/05/2018]]),0,Tabla7[[#This Row],[15/05/2018]])</f>
        <v>2218</v>
      </c>
      <c r="BB64">
        <f>IF(ISBLANK(Tabla7[[#This Row],[15/06/2018]]),0,Tabla7[[#This Row],[15/06/2018]])</f>
        <v>2271</v>
      </c>
      <c r="BC64">
        <f>IF(ISBLANK(Tabla7[[#This Row],[15/07/2018]]),0,Tabla7[[#This Row],[15/07/2018]])</f>
        <v>2272</v>
      </c>
      <c r="BD64">
        <f>IF(ISBLANK(Tabla7[[#This Row],[15/08/2018]]),0,Tabla7[[#This Row],[15/08/2018]])</f>
        <v>2272</v>
      </c>
      <c r="BE64">
        <f>IF(ISBLANK(Tabla7[[#This Row],[15/09/2018]]),0,Tabla7[[#This Row],[15/09/2018]])</f>
        <v>2272</v>
      </c>
      <c r="BF64">
        <f>IF(ISBLANK(Tabla7[[#This Row],[15/10/2018]]),0,Tabla7[[#This Row],[15/10/2018]])</f>
        <v>2273</v>
      </c>
      <c r="BG64">
        <f>IF(ISBLANK(Tabla7[[#This Row],[15/11/2018]]),0,Tabla7[[#This Row],[15/11/2018]])</f>
        <v>2309</v>
      </c>
      <c r="BH64">
        <f>IF(ISBLANK(Tabla7[[#This Row],[15/12/2018]]),0,Tabla7[[#This Row],[15/12/2018]])</f>
        <v>2374</v>
      </c>
      <c r="BI64">
        <f>IF(ISBLANK(Tabla7[[#This Row],[28/12/2018]]),0,Tabla7[[#This Row],[28/12/2018]])</f>
        <v>0</v>
      </c>
      <c r="BN6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('50767753','G','GCT05','3','APV','CT5','TOMAS FUERZA MUELLE SUR 1, 3 Y 5','');</v>
      </c>
      <c r="BO64" t="s">
        <v>243</v>
      </c>
      <c r="BP64" s="632" t="str">
        <f>CONCATENATE("insert into lecturas values ","('",Tabla7[[#This Row],[CONTADOR]],"',STR_TO_DATE('",Tabla7[[#Headers],[31/12/2017]],"','%d/%m/%Y'),",AV64,"),","('",Tabla7[[#This Row],[CONTADOR]],"',STR_TO_DATE('",Tabla7[[#Headers],[15/01/2018]],"','%d/%m/%Y'),",AW64,"),","('",Tabla7[[#This Row],[CONTADOR]],"',STR_TO_DATE('",Tabla7[[#Headers],[15/02/2018]],"','%d/%m/%Y'),",AX64,"),","('",Tabla7[[#This Row],[CONTADOR]],"',STR_TO_DATE('",Tabla7[[#Headers],[15/03/2018]],"','%d/%m/%Y'),",AY64,"),","('",Tabla7[[#This Row],[CONTADOR]],"',STR_TO_DATE('",Tabla7[[#Headers],[15/04/2018]],"','%d/%m/%Y'),",AZ64,"),","('",Tabla7[[#This Row],[CONTADOR]],"',STR_TO_DATE('",Tabla7[[#Headers],[15/05/2018]],"','%d/%m/%Y'),",BA64,"),","('",Tabla7[[#This Row],[CONTADOR]],"',STR_TO_DATE('",Tabla7[[#Headers],[15/06/2018]],"','%d/%m/%Y'),",BB64,"),","('",Tabla7[[#This Row],[CONTADOR]],"',STR_TO_DATE('",Tabla7[[#Headers],[15/07/2018]],"','%d/%m/%Y'),",BC64,"),","('",Tabla7[[#This Row],[CONTADOR]],"',STR_TO_DATE('",Tabla7[[#Headers],[15/08/2018]],"','%d/%m/%Y'),",BD64,"),","('",Tabla7[[#This Row],[CONTADOR]],"',STR_TO_DATE('",Tabla7[[#Headers],[15/09/2018]],"','%d/%m/%Y'),",BE64,"),","('",Tabla7[[#This Row],[CONTADOR]],"',STR_TO_DATE('",Tabla7[[#Headers],[15/10/2018]],"','%d/%m/%Y'),",BF64,"),","('",Tabla7[[#This Row],[CONTADOR]],"',STR_TO_DATE('",Tabla7[[#Headers],[15/11/2018]],"','%d/%m/%Y'),",BG64,"),","('",Tabla7[[#This Row],[CONTADOR]],"',STR_TO_DATE('",Tabla7[[#Headers],[15/12/2018]],"','%d/%m/%Y'),",BH64,");")</f>
        <v>insert into lecturas values ('50767753',STR_TO_DATE('31/12/2017','%d/%m/%Y'),1638),('50767753',STR_TO_DATE('15/01/2018','%d/%m/%Y'),1735),('50767753',STR_TO_DATE('15/02/2018','%d/%m/%Y'),1877),('50767753',STR_TO_DATE('15/03/2018','%d/%m/%Y'),2039),('50767753',STR_TO_DATE('15/04/2018','%d/%m/%Y'),2140),('50767753',STR_TO_DATE('15/05/2018','%d/%m/%Y'),2218),('50767753',STR_TO_DATE('15/06/2018','%d/%m/%Y'),2271),('50767753',STR_TO_DATE('15/07/2018','%d/%m/%Y'),2272),('50767753',STR_TO_DATE('15/08/2018','%d/%m/%Y'),2272),('50767753',STR_TO_DATE('15/09/2018','%d/%m/%Y'),2272),('50767753',STR_TO_DATE('15/10/2018','%d/%m/%Y'),2273),('50767753',STR_TO_DATE('15/11/2018','%d/%m/%Y'),2309),('50767753',STR_TO_DATE('15/12/2018','%d/%m/%Y'),2374);</v>
      </c>
    </row>
    <row r="65" spans="1:68" ht="18" customHeight="1" x14ac:dyDescent="0.25">
      <c r="A65" s="241" t="s">
        <v>614</v>
      </c>
      <c r="B65" s="60"/>
      <c r="C65" s="223">
        <v>50767755</v>
      </c>
      <c r="D65" s="60" t="s">
        <v>681</v>
      </c>
      <c r="E65" s="258">
        <v>3</v>
      </c>
      <c r="F65" s="2" t="s">
        <v>21</v>
      </c>
      <c r="G65" s="2" t="s">
        <v>1414</v>
      </c>
      <c r="H65" s="2" t="s">
        <v>1416</v>
      </c>
      <c r="I65" s="274"/>
      <c r="J65" s="311">
        <v>1259</v>
      </c>
      <c r="K65" s="311">
        <v>1324</v>
      </c>
      <c r="L65" s="311">
        <v>1416</v>
      </c>
      <c r="M65" s="311">
        <v>1525</v>
      </c>
      <c r="N65" s="311">
        <v>1594</v>
      </c>
      <c r="O65" s="454">
        <v>1654</v>
      </c>
      <c r="P65" s="454">
        <v>1695</v>
      </c>
      <c r="Q65" s="492">
        <v>1715</v>
      </c>
      <c r="R65" s="311">
        <v>1742</v>
      </c>
      <c r="S65" s="311">
        <v>1776</v>
      </c>
      <c r="T65" s="311">
        <v>1811</v>
      </c>
      <c r="U65" s="617">
        <v>1896</v>
      </c>
      <c r="V65" s="617">
        <v>2095</v>
      </c>
      <c r="W65" s="274"/>
      <c r="X65" s="274"/>
      <c r="Y65" s="2">
        <f t="shared" si="28"/>
        <v>65</v>
      </c>
      <c r="Z65" s="2">
        <f t="shared" si="27"/>
        <v>92</v>
      </c>
      <c r="AA65" s="2">
        <f t="shared" si="25"/>
        <v>109</v>
      </c>
      <c r="AB65" s="2">
        <f t="shared" si="26"/>
        <v>69</v>
      </c>
      <c r="AC65" s="2">
        <f t="shared" si="17"/>
        <v>60</v>
      </c>
      <c r="AD65" s="2">
        <f t="shared" si="18"/>
        <v>41</v>
      </c>
      <c r="AE65" s="2">
        <f t="shared" si="19"/>
        <v>20</v>
      </c>
      <c r="AF65" s="2">
        <f t="shared" si="20"/>
        <v>27</v>
      </c>
      <c r="AG65" s="2">
        <f t="shared" si="21"/>
        <v>34</v>
      </c>
      <c r="AH65" s="2">
        <f t="shared" si="22"/>
        <v>35</v>
      </c>
      <c r="AI65" s="2">
        <f t="shared" si="23"/>
        <v>85</v>
      </c>
      <c r="AJ65" s="2">
        <f t="shared" si="24"/>
        <v>199</v>
      </c>
      <c r="AK65" s="406">
        <v>1</v>
      </c>
      <c r="AL65" s="274">
        <f t="shared" ca="1" si="1"/>
        <v>1594</v>
      </c>
      <c r="AM65" s="311">
        <f t="shared" ca="1" si="2"/>
        <v>1654</v>
      </c>
      <c r="AN65" s="274">
        <f ca="1">IF(AND(Tabla7[[#This Row],[UltLec]]&lt;&gt;0,Tabla7[[#This Row],[PenLect]]&lt;&gt;0),(AM65-AL65)*Tabla7[[#This Row],[RT]],"N/A")</f>
        <v>60</v>
      </c>
      <c r="AO65" s="273" t="s">
        <v>910</v>
      </c>
      <c r="AP65" s="392" t="s">
        <v>1190</v>
      </c>
      <c r="AQ65" s="392" t="s">
        <v>1189</v>
      </c>
      <c r="AR65" s="407">
        <f t="shared" si="3"/>
        <v>0</v>
      </c>
      <c r="AT65" s="2">
        <f t="shared" ca="1" si="4"/>
        <v>0.86956521739130432</v>
      </c>
      <c r="AV65">
        <f>IF(ISBLANK(Tabla7[[#This Row],[31/12/2017]]),0,Tabla7[[#This Row],[31/12/2017]])</f>
        <v>1259</v>
      </c>
      <c r="AW65">
        <f>IF(ISBLANK(Tabla7[[#This Row],[15/01/2018]]),0,Tabla7[[#This Row],[15/01/2018]])</f>
        <v>1324</v>
      </c>
      <c r="AX65">
        <f>IF(ISBLANK(Tabla7[[#This Row],[15/02/2018]]),0,Tabla7[[#This Row],[15/02/2018]])</f>
        <v>1416</v>
      </c>
      <c r="AY65">
        <f>IF(ISBLANK(Tabla7[[#This Row],[15/03/2018]]),0,Tabla7[[#This Row],[15/03/2018]])</f>
        <v>1525</v>
      </c>
      <c r="AZ65">
        <f>IF(ISBLANK(Tabla7[[#This Row],[15/04/2018]]),0,Tabla7[[#This Row],[15/04/2018]])</f>
        <v>1594</v>
      </c>
      <c r="BA65">
        <f>IF(ISBLANK(Tabla7[[#This Row],[15/05/2018]]),0,Tabla7[[#This Row],[15/05/2018]])</f>
        <v>1654</v>
      </c>
      <c r="BB65">
        <f>IF(ISBLANK(Tabla7[[#This Row],[15/06/2018]]),0,Tabla7[[#This Row],[15/06/2018]])</f>
        <v>1695</v>
      </c>
      <c r="BC65">
        <f>IF(ISBLANK(Tabla7[[#This Row],[15/07/2018]]),0,Tabla7[[#This Row],[15/07/2018]])</f>
        <v>1715</v>
      </c>
      <c r="BD65">
        <f>IF(ISBLANK(Tabla7[[#This Row],[15/08/2018]]),0,Tabla7[[#This Row],[15/08/2018]])</f>
        <v>1742</v>
      </c>
      <c r="BE65">
        <f>IF(ISBLANK(Tabla7[[#This Row],[15/09/2018]]),0,Tabla7[[#This Row],[15/09/2018]])</f>
        <v>1776</v>
      </c>
      <c r="BF65">
        <f>IF(ISBLANK(Tabla7[[#This Row],[15/10/2018]]),0,Tabla7[[#This Row],[15/10/2018]])</f>
        <v>1811</v>
      </c>
      <c r="BG65">
        <f>IF(ISBLANK(Tabla7[[#This Row],[15/11/2018]]),0,Tabla7[[#This Row],[15/11/2018]])</f>
        <v>1896</v>
      </c>
      <c r="BH65">
        <f>IF(ISBLANK(Tabla7[[#This Row],[15/12/2018]]),0,Tabla7[[#This Row],[15/12/2018]])</f>
        <v>2095</v>
      </c>
      <c r="BI65">
        <f>IF(ISBLANK(Tabla7[[#This Row],[28/12/2018]]),0,Tabla7[[#This Row],[28/12/2018]])</f>
        <v>0</v>
      </c>
      <c r="BN6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('50767755','G','GCT05','3','APV','CT5','TOMAS FUERZA MUELLE SUR 2 Y 4','');</v>
      </c>
      <c r="BO65" t="s">
        <v>243</v>
      </c>
      <c r="BP65" s="632" t="str">
        <f>CONCATENATE("insert into lecturas values ","('",Tabla7[[#This Row],[CONTADOR]],"',STR_TO_DATE('",Tabla7[[#Headers],[31/12/2017]],"','%d/%m/%Y'),",AV65,"),","('",Tabla7[[#This Row],[CONTADOR]],"',STR_TO_DATE('",Tabla7[[#Headers],[15/01/2018]],"','%d/%m/%Y'),",AW65,"),","('",Tabla7[[#This Row],[CONTADOR]],"',STR_TO_DATE('",Tabla7[[#Headers],[15/02/2018]],"','%d/%m/%Y'),",AX65,"),","('",Tabla7[[#This Row],[CONTADOR]],"',STR_TO_DATE('",Tabla7[[#Headers],[15/03/2018]],"','%d/%m/%Y'),",AY65,"),","('",Tabla7[[#This Row],[CONTADOR]],"',STR_TO_DATE('",Tabla7[[#Headers],[15/04/2018]],"','%d/%m/%Y'),",AZ65,"),","('",Tabla7[[#This Row],[CONTADOR]],"',STR_TO_DATE('",Tabla7[[#Headers],[15/05/2018]],"','%d/%m/%Y'),",BA65,"),","('",Tabla7[[#This Row],[CONTADOR]],"',STR_TO_DATE('",Tabla7[[#Headers],[15/06/2018]],"','%d/%m/%Y'),",BB65,"),","('",Tabla7[[#This Row],[CONTADOR]],"',STR_TO_DATE('",Tabla7[[#Headers],[15/07/2018]],"','%d/%m/%Y'),",BC65,"),","('",Tabla7[[#This Row],[CONTADOR]],"',STR_TO_DATE('",Tabla7[[#Headers],[15/08/2018]],"','%d/%m/%Y'),",BD65,"),","('",Tabla7[[#This Row],[CONTADOR]],"',STR_TO_DATE('",Tabla7[[#Headers],[15/09/2018]],"','%d/%m/%Y'),",BE65,"),","('",Tabla7[[#This Row],[CONTADOR]],"',STR_TO_DATE('",Tabla7[[#Headers],[15/10/2018]],"','%d/%m/%Y'),",BF65,"),","('",Tabla7[[#This Row],[CONTADOR]],"',STR_TO_DATE('",Tabla7[[#Headers],[15/11/2018]],"','%d/%m/%Y'),",BG65,"),","('",Tabla7[[#This Row],[CONTADOR]],"',STR_TO_DATE('",Tabla7[[#Headers],[15/12/2018]],"','%d/%m/%Y'),",BH65,");")</f>
        <v>insert into lecturas values ('50767755',STR_TO_DATE('31/12/2017','%d/%m/%Y'),1259),('50767755',STR_TO_DATE('15/01/2018','%d/%m/%Y'),1324),('50767755',STR_TO_DATE('15/02/2018','%d/%m/%Y'),1416),('50767755',STR_TO_DATE('15/03/2018','%d/%m/%Y'),1525),('50767755',STR_TO_DATE('15/04/2018','%d/%m/%Y'),1594),('50767755',STR_TO_DATE('15/05/2018','%d/%m/%Y'),1654),('50767755',STR_TO_DATE('15/06/2018','%d/%m/%Y'),1695),('50767755',STR_TO_DATE('15/07/2018','%d/%m/%Y'),1715),('50767755',STR_TO_DATE('15/08/2018','%d/%m/%Y'),1742),('50767755',STR_TO_DATE('15/09/2018','%d/%m/%Y'),1776),('50767755',STR_TO_DATE('15/10/2018','%d/%m/%Y'),1811),('50767755',STR_TO_DATE('15/11/2018','%d/%m/%Y'),1896),('50767755',STR_TO_DATE('15/12/2018','%d/%m/%Y'),2095);</v>
      </c>
    </row>
    <row r="66" spans="1:68" ht="18" customHeight="1" x14ac:dyDescent="0.25">
      <c r="A66" s="241" t="s">
        <v>743</v>
      </c>
      <c r="B66" s="60"/>
      <c r="C66" s="223" t="s">
        <v>427</v>
      </c>
      <c r="D66" s="60" t="s">
        <v>681</v>
      </c>
      <c r="E66" s="258">
        <v>0</v>
      </c>
      <c r="F66" s="2" t="s">
        <v>21</v>
      </c>
      <c r="G66" s="2" t="s">
        <v>1414</v>
      </c>
      <c r="H66" s="2" t="s">
        <v>682</v>
      </c>
      <c r="I66" s="274"/>
      <c r="J66" s="311">
        <v>276109.90000000002</v>
      </c>
      <c r="K66" s="311">
        <v>280206.09999999998</v>
      </c>
      <c r="L66" s="311">
        <v>286798</v>
      </c>
      <c r="M66" s="311">
        <v>295330.40000000002</v>
      </c>
      <c r="N66" s="311">
        <v>301155.90000000002</v>
      </c>
      <c r="O66" s="454">
        <v>306659.20000000001</v>
      </c>
      <c r="P66" s="454">
        <v>313121.2</v>
      </c>
      <c r="Q66" s="492">
        <v>318275.26</v>
      </c>
      <c r="R66" s="311">
        <v>323495.59999999998</v>
      </c>
      <c r="S66" s="492">
        <v>330094.7</v>
      </c>
      <c r="T66" s="492">
        <v>336340</v>
      </c>
      <c r="U66" s="617">
        <v>345271</v>
      </c>
      <c r="V66" s="617">
        <v>356029.5</v>
      </c>
      <c r="W66" s="311"/>
      <c r="X66" s="274"/>
      <c r="Y66" s="2">
        <f t="shared" si="28"/>
        <v>4096.1999999999534</v>
      </c>
      <c r="Z66" s="2">
        <f t="shared" si="27"/>
        <v>6591.9000000000233</v>
      </c>
      <c r="AA66" s="2">
        <f t="shared" si="25"/>
        <v>8532.4000000000233</v>
      </c>
      <c r="AB66" s="2">
        <f t="shared" si="26"/>
        <v>5825.5</v>
      </c>
      <c r="AC66" s="2">
        <f t="shared" si="17"/>
        <v>5503.2999999999884</v>
      </c>
      <c r="AD66" s="2">
        <f t="shared" si="18"/>
        <v>6462</v>
      </c>
      <c r="AE66" s="2">
        <f t="shared" si="19"/>
        <v>5154.0599999999977</v>
      </c>
      <c r="AF66" s="2">
        <f t="shared" si="20"/>
        <v>5220.3399999999674</v>
      </c>
      <c r="AG66" s="2">
        <f t="shared" si="21"/>
        <v>6599.1000000000349</v>
      </c>
      <c r="AH66" s="2">
        <f t="shared" si="22"/>
        <v>6245.2999999999884</v>
      </c>
      <c r="AI66" s="2">
        <f t="shared" si="23"/>
        <v>8931</v>
      </c>
      <c r="AJ66" s="2">
        <f t="shared" si="24"/>
        <v>10758.5</v>
      </c>
      <c r="AK66" s="406">
        <v>1</v>
      </c>
      <c r="AL66" s="274">
        <f t="shared" ca="1" si="1"/>
        <v>301155.90000000002</v>
      </c>
      <c r="AM66" s="311">
        <f t="shared" ca="1" si="2"/>
        <v>306659.20000000001</v>
      </c>
      <c r="AN66" s="274">
        <f ca="1">IF(AND(Tabla7[[#This Row],[UltLec]]&lt;&gt;0,Tabla7[[#This Row],[PenLect]]&lt;&gt;0),(AM66-AL66)*Tabla7[[#This Row],[RT]],"N/A")</f>
        <v>5503.2999999999884</v>
      </c>
      <c r="AO66" s="273" t="s">
        <v>910</v>
      </c>
      <c r="AP66" s="392" t="s">
        <v>1190</v>
      </c>
      <c r="AQ66" s="392" t="s">
        <v>1189</v>
      </c>
      <c r="AR66" s="407">
        <f t="shared" si="3"/>
        <v>0</v>
      </c>
      <c r="AT66" s="2">
        <f t="shared" ca="1" si="4"/>
        <v>0.94469144279460793</v>
      </c>
      <c r="AV66">
        <f>IF(ISBLANK(Tabla7[[#This Row],[31/12/2017]]),0,Tabla7[[#This Row],[31/12/2017]])</f>
        <v>276109.90000000002</v>
      </c>
      <c r="AW66">
        <f>IF(ISBLANK(Tabla7[[#This Row],[15/01/2018]]),0,Tabla7[[#This Row],[15/01/2018]])</f>
        <v>280206.09999999998</v>
      </c>
      <c r="AX66">
        <f>IF(ISBLANK(Tabla7[[#This Row],[15/02/2018]]),0,Tabla7[[#This Row],[15/02/2018]])</f>
        <v>286798</v>
      </c>
      <c r="AY66">
        <f>IF(ISBLANK(Tabla7[[#This Row],[15/03/2018]]),0,Tabla7[[#This Row],[15/03/2018]])</f>
        <v>295330.40000000002</v>
      </c>
      <c r="AZ66">
        <f>IF(ISBLANK(Tabla7[[#This Row],[15/04/2018]]),0,Tabla7[[#This Row],[15/04/2018]])</f>
        <v>301155.90000000002</v>
      </c>
      <c r="BA66">
        <f>IF(ISBLANK(Tabla7[[#This Row],[15/05/2018]]),0,Tabla7[[#This Row],[15/05/2018]])</f>
        <v>306659.20000000001</v>
      </c>
      <c r="BB66">
        <f>IF(ISBLANK(Tabla7[[#This Row],[15/06/2018]]),0,Tabla7[[#This Row],[15/06/2018]])</f>
        <v>313121.2</v>
      </c>
      <c r="BC66">
        <f>IF(ISBLANK(Tabla7[[#This Row],[15/07/2018]]),0,Tabla7[[#This Row],[15/07/2018]])</f>
        <v>318275.26</v>
      </c>
      <c r="BD66">
        <f>IF(ISBLANK(Tabla7[[#This Row],[15/08/2018]]),0,Tabla7[[#This Row],[15/08/2018]])</f>
        <v>323495.59999999998</v>
      </c>
      <c r="BE66">
        <f>IF(ISBLANK(Tabla7[[#This Row],[15/09/2018]]),0,Tabla7[[#This Row],[15/09/2018]])</f>
        <v>330094.7</v>
      </c>
      <c r="BF66">
        <f>IF(ISBLANK(Tabla7[[#This Row],[15/10/2018]]),0,Tabla7[[#This Row],[15/10/2018]])</f>
        <v>336340</v>
      </c>
      <c r="BG66">
        <f>IF(ISBLANK(Tabla7[[#This Row],[15/11/2018]]),0,Tabla7[[#This Row],[15/11/2018]])</f>
        <v>345271</v>
      </c>
      <c r="BH66">
        <f>IF(ISBLANK(Tabla7[[#This Row],[15/12/2018]]),0,Tabla7[[#This Row],[15/12/2018]])</f>
        <v>356029.5</v>
      </c>
      <c r="BI66">
        <f>IF(ISBLANK(Tabla7[[#This Row],[28/12/2018]]),0,Tabla7[[#This Row],[28/12/2018]])</f>
        <v>0</v>
      </c>
      <c r="BN6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('C05.00','GTOT','GCT05','0','APV','CT5','GENERAL GCT05','');</v>
      </c>
      <c r="BO66" t="s">
        <v>243</v>
      </c>
      <c r="BP66" s="632" t="str">
        <f>CONCATENATE("insert into lecturas values ","('",Tabla7[[#This Row],[CONTADOR]],"',STR_TO_DATE('",Tabla7[[#Headers],[31/12/2017]],"','%d/%m/%Y'),",AV66,"),","('",Tabla7[[#This Row],[CONTADOR]],"',STR_TO_DATE('",Tabla7[[#Headers],[15/01/2018]],"','%d/%m/%Y'),",AW66,"),","('",Tabla7[[#This Row],[CONTADOR]],"',STR_TO_DATE('",Tabla7[[#Headers],[15/02/2018]],"','%d/%m/%Y'),",AX66,"),","('",Tabla7[[#This Row],[CONTADOR]],"',STR_TO_DATE('",Tabla7[[#Headers],[15/03/2018]],"','%d/%m/%Y'),",AY66,"),","('",Tabla7[[#This Row],[CONTADOR]],"',STR_TO_DATE('",Tabla7[[#Headers],[15/04/2018]],"','%d/%m/%Y'),",AZ66,"),","('",Tabla7[[#This Row],[CONTADOR]],"',STR_TO_DATE('",Tabla7[[#Headers],[15/05/2018]],"','%d/%m/%Y'),",BA66,"),","('",Tabla7[[#This Row],[CONTADOR]],"',STR_TO_DATE('",Tabla7[[#Headers],[15/06/2018]],"','%d/%m/%Y'),",BB66,"),","('",Tabla7[[#This Row],[CONTADOR]],"',STR_TO_DATE('",Tabla7[[#Headers],[15/07/2018]],"','%d/%m/%Y'),",BC66,"),","('",Tabla7[[#This Row],[CONTADOR]],"',STR_TO_DATE('",Tabla7[[#Headers],[15/08/2018]],"','%d/%m/%Y'),",BD66,"),","('",Tabla7[[#This Row],[CONTADOR]],"',STR_TO_DATE('",Tabla7[[#Headers],[15/09/2018]],"','%d/%m/%Y'),",BE66,"),","('",Tabla7[[#This Row],[CONTADOR]],"',STR_TO_DATE('",Tabla7[[#Headers],[15/10/2018]],"','%d/%m/%Y'),",BF66,"),","('",Tabla7[[#This Row],[CONTADOR]],"',STR_TO_DATE('",Tabla7[[#Headers],[15/11/2018]],"','%d/%m/%Y'),",BG66,"),","('",Tabla7[[#This Row],[CONTADOR]],"',STR_TO_DATE('",Tabla7[[#Headers],[15/12/2018]],"','%d/%m/%Y'),",BH66,");")</f>
        <v>insert into lecturas values ('C05.00',STR_TO_DATE('31/12/2017','%d/%m/%Y'),276109,9),('C05.00',STR_TO_DATE('15/01/2018','%d/%m/%Y'),280206,1),('C05.00',STR_TO_DATE('15/02/2018','%d/%m/%Y'),286798),('C05.00',STR_TO_DATE('15/03/2018','%d/%m/%Y'),295330,4),('C05.00',STR_TO_DATE('15/04/2018','%d/%m/%Y'),301155,9),('C05.00',STR_TO_DATE('15/05/2018','%d/%m/%Y'),306659,2),('C05.00',STR_TO_DATE('15/06/2018','%d/%m/%Y'),313121,2),('C05.00',STR_TO_DATE('15/07/2018','%d/%m/%Y'),318275,26),('C05.00',STR_TO_DATE('15/08/2018','%d/%m/%Y'),323495,6),('C05.00',STR_TO_DATE('15/09/2018','%d/%m/%Y'),330094,7),('C05.00',STR_TO_DATE('15/10/2018','%d/%m/%Y'),336340),('C05.00',STR_TO_DATE('15/11/2018','%d/%m/%Y'),345271),('C05.00',STR_TO_DATE('15/12/2018','%d/%m/%Y'),356029,5);</v>
      </c>
    </row>
    <row r="67" spans="1:68" ht="18" customHeight="1" x14ac:dyDescent="0.25">
      <c r="A67" s="372" t="s">
        <v>1097</v>
      </c>
      <c r="B67" s="361"/>
      <c r="C67" s="373">
        <v>41709388</v>
      </c>
      <c r="D67" s="374" t="s">
        <v>683</v>
      </c>
      <c r="E67" s="372">
        <v>3</v>
      </c>
      <c r="F67" s="372" t="s">
        <v>21</v>
      </c>
      <c r="G67" s="372" t="s">
        <v>645</v>
      </c>
      <c r="H67" s="372" t="s">
        <v>684</v>
      </c>
      <c r="I67" s="372" t="s">
        <v>1417</v>
      </c>
      <c r="J67" s="372">
        <v>35387</v>
      </c>
      <c r="K67" s="372">
        <v>35833</v>
      </c>
      <c r="L67" s="434">
        <f>(Tabla7[[#This Row],[15/03/2018]]+Tabla7[[#This Row],[15/01/2018]])/2</f>
        <v>36198.5</v>
      </c>
      <c r="M67" s="372">
        <v>36564</v>
      </c>
      <c r="N67" s="372">
        <v>36743</v>
      </c>
      <c r="O67" s="372">
        <v>37393</v>
      </c>
      <c r="P67" s="372">
        <v>38478</v>
      </c>
      <c r="Q67" s="372">
        <v>39007</v>
      </c>
      <c r="R67" s="372"/>
      <c r="S67" s="372">
        <v>0</v>
      </c>
      <c r="T67" s="372"/>
      <c r="U67" s="611"/>
      <c r="V67" s="372"/>
      <c r="W67" s="372"/>
      <c r="X67" s="372"/>
      <c r="Y67" s="372">
        <f t="shared" si="28"/>
        <v>446</v>
      </c>
      <c r="Z67" s="372">
        <f t="shared" si="27"/>
        <v>365.5</v>
      </c>
      <c r="AA67" s="372">
        <f t="shared" si="25"/>
        <v>365.5</v>
      </c>
      <c r="AB67" s="372">
        <f t="shared" si="26"/>
        <v>179</v>
      </c>
      <c r="AC67" s="372">
        <f t="shared" si="17"/>
        <v>650</v>
      </c>
      <c r="AD67" s="372">
        <f t="shared" si="18"/>
        <v>1085</v>
      </c>
      <c r="AE67" s="372">
        <f t="shared" si="19"/>
        <v>529</v>
      </c>
      <c r="AF67" s="372" t="str">
        <f t="shared" si="20"/>
        <v/>
      </c>
      <c r="AG67" s="372" t="str">
        <f t="shared" si="21"/>
        <v/>
      </c>
      <c r="AH67" s="372" t="str">
        <f t="shared" si="22"/>
        <v/>
      </c>
      <c r="AI67" s="372" t="str">
        <f t="shared" si="23"/>
        <v/>
      </c>
      <c r="AJ67" s="372" t="str">
        <f t="shared" si="24"/>
        <v/>
      </c>
      <c r="AK67" s="372">
        <v>1</v>
      </c>
      <c r="AL67" s="372">
        <f t="shared" ref="AL67:AL130" ca="1" si="29">IF(DAY(TODAY())&lt;16,INDEX(J67:X67,1,MONTH(TODAY())-1),INDEX(J67:X67,1,MONTH(TODAY())))</f>
        <v>36743</v>
      </c>
      <c r="AM67" s="372">
        <f t="shared" ref="AM67:AM130" ca="1" si="30">IF(DAY(TODAY())&lt;16,INDEX(J67:X67,1,MONTH(TODAY())),INDEX(J67:X67,1,MONTH(TODAY())+1))</f>
        <v>37393</v>
      </c>
      <c r="AN67" s="372">
        <f ca="1">IF(AND(Tabla7[[#This Row],[UltLec]]&lt;&gt;0,Tabla7[[#This Row],[PenLect]]&lt;&gt;0),(AM67-AL67)*Tabla7[[#This Row],[RT]],"N/A")</f>
        <v>650</v>
      </c>
      <c r="AO67" s="372" t="s">
        <v>1281</v>
      </c>
      <c r="AP67" s="372" t="s">
        <v>1190</v>
      </c>
      <c r="AQ67" s="372" t="s">
        <v>1189</v>
      </c>
      <c r="AR67" s="372">
        <f t="shared" ref="AR67:AR130" si="31">COUNTIF(Y67:AJ67,"!!!!")</f>
        <v>0</v>
      </c>
      <c r="AT67" s="2">
        <f t="shared" ca="1" si="4"/>
        <v>3.6312849162011172</v>
      </c>
      <c r="AV67">
        <f>IF(ISBLANK(Tabla7[[#This Row],[31/12/2017]]),0,Tabla7[[#This Row],[31/12/2017]])</f>
        <v>35387</v>
      </c>
      <c r="AW67">
        <f>IF(ISBLANK(Tabla7[[#This Row],[15/01/2018]]),0,Tabla7[[#This Row],[15/01/2018]])</f>
        <v>35833</v>
      </c>
      <c r="AX67">
        <f>IF(ISBLANK(Tabla7[[#This Row],[15/02/2018]]),0,Tabla7[[#This Row],[15/02/2018]])</f>
        <v>36198.5</v>
      </c>
      <c r="AY67">
        <f>IF(ISBLANK(Tabla7[[#This Row],[15/03/2018]]),0,Tabla7[[#This Row],[15/03/2018]])</f>
        <v>36564</v>
      </c>
      <c r="AZ67">
        <f>IF(ISBLANK(Tabla7[[#This Row],[15/04/2018]]),0,Tabla7[[#This Row],[15/04/2018]])</f>
        <v>36743</v>
      </c>
      <c r="BA67">
        <f>IF(ISBLANK(Tabla7[[#This Row],[15/05/2018]]),0,Tabla7[[#This Row],[15/05/2018]])</f>
        <v>37393</v>
      </c>
      <c r="BB67">
        <f>IF(ISBLANK(Tabla7[[#This Row],[15/06/2018]]),0,Tabla7[[#This Row],[15/06/2018]])</f>
        <v>38478</v>
      </c>
      <c r="BC67">
        <f>IF(ISBLANK(Tabla7[[#This Row],[15/07/2018]]),0,Tabla7[[#This Row],[15/07/2018]])</f>
        <v>39007</v>
      </c>
      <c r="BD67">
        <f>IF(ISBLANK(Tabla7[[#This Row],[15/08/2018]]),0,Tabla7[[#This Row],[15/08/2018]])</f>
        <v>0</v>
      </c>
      <c r="BE67">
        <f>IF(ISBLANK(Tabla7[[#This Row],[15/09/2018]]),0,Tabla7[[#This Row],[15/09/2018]])</f>
        <v>0</v>
      </c>
      <c r="BF67">
        <f>IF(ISBLANK(Tabla7[[#This Row],[15/10/2018]]),0,Tabla7[[#This Row],[15/10/2018]])</f>
        <v>0</v>
      </c>
      <c r="BG67">
        <f>IF(ISBLANK(Tabla7[[#This Row],[15/11/2018]]),0,Tabla7[[#This Row],[15/11/2018]])</f>
        <v>0</v>
      </c>
      <c r="BH67">
        <f>IF(ISBLANK(Tabla7[[#This Row],[15/12/2018]]),0,Tabla7[[#This Row],[15/12/2018]])</f>
        <v>0</v>
      </c>
      <c r="BI67">
        <f>IF(ISBLANK(Tabla7[[#This Row],[28/12/2018]]),0,Tabla7[[#This Row],[28/12/2018]])</f>
        <v>0</v>
      </c>
      <c r="BN6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('41709388','GBAJA','IBERDROLA','3','APV','Hornacina Acceso Dique Norte','Alumbrado Dique Norte','Nuevo contador Alta en fecha: 19/04/2013-facturacion externa contrato 383107842');</v>
      </c>
      <c r="BO67" t="s">
        <v>243</v>
      </c>
      <c r="BP67" s="632" t="str">
        <f>CONCATENATE("insert into lecturas values ","('",Tabla7[[#This Row],[CONTADOR]],"',STR_TO_DATE('",Tabla7[[#Headers],[31/12/2017]],"','%d/%m/%Y'),",AV67,"),","('",Tabla7[[#This Row],[CONTADOR]],"',STR_TO_DATE('",Tabla7[[#Headers],[15/01/2018]],"','%d/%m/%Y'),",AW67,"),","('",Tabla7[[#This Row],[CONTADOR]],"',STR_TO_DATE('",Tabla7[[#Headers],[15/02/2018]],"','%d/%m/%Y'),",AX67,"),","('",Tabla7[[#This Row],[CONTADOR]],"',STR_TO_DATE('",Tabla7[[#Headers],[15/03/2018]],"','%d/%m/%Y'),",AY67,"),","('",Tabla7[[#This Row],[CONTADOR]],"',STR_TO_DATE('",Tabla7[[#Headers],[15/04/2018]],"','%d/%m/%Y'),",AZ67,"),","('",Tabla7[[#This Row],[CONTADOR]],"',STR_TO_DATE('",Tabla7[[#Headers],[15/05/2018]],"','%d/%m/%Y'),",BA67,"),","('",Tabla7[[#This Row],[CONTADOR]],"',STR_TO_DATE('",Tabla7[[#Headers],[15/06/2018]],"','%d/%m/%Y'),",BB67,"),","('",Tabla7[[#This Row],[CONTADOR]],"',STR_TO_DATE('",Tabla7[[#Headers],[15/07/2018]],"','%d/%m/%Y'),",BC67,"),","('",Tabla7[[#This Row],[CONTADOR]],"',STR_TO_DATE('",Tabla7[[#Headers],[15/08/2018]],"','%d/%m/%Y'),",BD67,"),","('",Tabla7[[#This Row],[CONTADOR]],"',STR_TO_DATE('",Tabla7[[#Headers],[15/09/2018]],"','%d/%m/%Y'),",BE67,"),","('",Tabla7[[#This Row],[CONTADOR]],"',STR_TO_DATE('",Tabla7[[#Headers],[15/10/2018]],"','%d/%m/%Y'),",BF67,"),","('",Tabla7[[#This Row],[CONTADOR]],"',STR_TO_DATE('",Tabla7[[#Headers],[15/11/2018]],"','%d/%m/%Y'),",BG67,"),","('",Tabla7[[#This Row],[CONTADOR]],"',STR_TO_DATE('",Tabla7[[#Headers],[15/12/2018]],"','%d/%m/%Y'),",BH67,");")</f>
        <v>insert into lecturas values ('41709388',STR_TO_DATE('31/12/2017','%d/%m/%Y'),35387),('41709388',STR_TO_DATE('15/01/2018','%d/%m/%Y'),35833),('41709388',STR_TO_DATE('15/02/2018','%d/%m/%Y'),36198,5),('41709388',STR_TO_DATE('15/03/2018','%d/%m/%Y'),36564),('41709388',STR_TO_DATE('15/04/2018','%d/%m/%Y'),36743),('41709388',STR_TO_DATE('15/05/2018','%d/%m/%Y'),37393),('41709388',STR_TO_DATE('15/06/2018','%d/%m/%Y'),38478),('41709388',STR_TO_DATE('15/07/2018','%d/%m/%Y'),39007),('41709388',STR_TO_DATE('15/08/2018','%d/%m/%Y'),0),('41709388',STR_TO_DATE('15/09/2018','%d/%m/%Y'),0),('41709388',STR_TO_DATE('15/10/2018','%d/%m/%Y'),0),('41709388',STR_TO_DATE('15/11/2018','%d/%m/%Y'),0),('41709388',STR_TO_DATE('15/12/2018','%d/%m/%Y'),0);</v>
      </c>
    </row>
    <row r="68" spans="1:68" s="3" customFormat="1" ht="18" customHeight="1" x14ac:dyDescent="0.25">
      <c r="A68" s="241" t="s">
        <v>614</v>
      </c>
      <c r="B68" s="60"/>
      <c r="C68" s="223">
        <v>49311166</v>
      </c>
      <c r="D68" s="60" t="s">
        <v>683</v>
      </c>
      <c r="E68" s="258">
        <v>3</v>
      </c>
      <c r="F68" s="275" t="s">
        <v>21</v>
      </c>
      <c r="G68" s="2" t="s">
        <v>645</v>
      </c>
      <c r="H68" s="2" t="s">
        <v>684</v>
      </c>
      <c r="I68" s="274" t="s">
        <v>1443</v>
      </c>
      <c r="J68" s="353"/>
      <c r="K68" s="353"/>
      <c r="L68" s="353"/>
      <c r="M68" s="353"/>
      <c r="N68" s="353"/>
      <c r="O68" s="555"/>
      <c r="P68" s="556"/>
      <c r="Q68" s="555"/>
      <c r="R68" s="307"/>
      <c r="S68" s="353">
        <v>0</v>
      </c>
      <c r="T68" s="275">
        <v>556</v>
      </c>
      <c r="U68" s="532">
        <v>2008</v>
      </c>
      <c r="V68" s="532">
        <v>3325</v>
      </c>
      <c r="W68" s="353"/>
      <c r="X68" s="307"/>
      <c r="Y68" s="275" t="str">
        <f t="shared" si="28"/>
        <v/>
      </c>
      <c r="Z68" s="275" t="str">
        <f t="shared" si="27"/>
        <v/>
      </c>
      <c r="AA68" s="275" t="str">
        <f>IF(OR(ISBLANK(#REF!),ISBLANK(L68)),"",IF(AND(#REF!&gt;=L68,#REF!-L68&lt;=#REF!),(#REF!-L68)*$AK68,"!!!!"))</f>
        <v/>
      </c>
      <c r="AB68" s="275" t="str">
        <f>IF(OR(ISBLANK(N68),ISBLANK(#REF!)),"",IF(AND(N68&gt;=#REF!,N68-#REF!&lt;=N68),(N68-#REF!)*$AK68,"!!!!"))</f>
        <v/>
      </c>
      <c r="AC68" s="275" t="str">
        <f t="shared" si="17"/>
        <v/>
      </c>
      <c r="AD68" s="275" t="str">
        <f t="shared" si="18"/>
        <v/>
      </c>
      <c r="AE68" s="275" t="str">
        <f t="shared" si="19"/>
        <v/>
      </c>
      <c r="AF68" s="275" t="str">
        <f t="shared" si="20"/>
        <v/>
      </c>
      <c r="AG68" s="275" t="str">
        <f t="shared" si="21"/>
        <v/>
      </c>
      <c r="AH68" s="439">
        <f t="shared" si="22"/>
        <v>556</v>
      </c>
      <c r="AI68" s="275">
        <f t="shared" si="23"/>
        <v>1452</v>
      </c>
      <c r="AJ68" s="275">
        <f t="shared" si="24"/>
        <v>1317</v>
      </c>
      <c r="AK68" s="420">
        <v>1</v>
      </c>
      <c r="AL68" s="429">
        <f t="shared" ca="1" si="29"/>
        <v>0</v>
      </c>
      <c r="AM68" s="429">
        <f t="shared" ca="1" si="30"/>
        <v>0</v>
      </c>
      <c r="AN68" s="429" t="str">
        <f ca="1">IF(AND(Tabla7[[#This Row],[UltLec]]&lt;&gt;0,Tabla7[[#This Row],[PenLect]]&lt;&gt;0),(AM68-AL68)*Tabla7[[#This Row],[RT]],"N/A")</f>
        <v>N/A</v>
      </c>
      <c r="AO68" s="273" t="s">
        <v>910</v>
      </c>
      <c r="AP68" s="441" t="s">
        <v>1190</v>
      </c>
      <c r="AQ68" s="441" t="s">
        <v>1189</v>
      </c>
      <c r="AR68" s="422">
        <f t="shared" si="31"/>
        <v>0</v>
      </c>
      <c r="AT68" s="2" t="e">
        <f t="shared" ref="AT68:AT131" ca="1" si="32">IF(IF(DAY(TODAY())&gt;15,INDEX($Y68:$AJ68,1,MONTH(TODAY())-1),INDEX($Y68:$AJ68,1,MONTH(TODAY())-2))=0,"0",IF(DAY(TODAY())&gt;15,INDEX($Y68:$AJ68,1,MONTH(TODAY())),INDEX($Y68:$AJ68,1,MONTH(TODAY())-1))/IF(DAY(TODAY())&gt;15,INDEX($Y68:$AJ68,1,MONTH(TODAY())-1),INDEX($Y68:$AJ68,1,MONTH(TODAY())-2)))</f>
        <v>#VALUE!</v>
      </c>
      <c r="AV68">
        <f>IF(ISBLANK(Tabla7[[#This Row],[31/12/2017]]),0,Tabla7[[#This Row],[31/12/2017]])</f>
        <v>0</v>
      </c>
      <c r="AW68">
        <f>IF(ISBLANK(Tabla7[[#This Row],[15/01/2018]]),0,Tabla7[[#This Row],[15/01/2018]])</f>
        <v>0</v>
      </c>
      <c r="AX68">
        <f>IF(ISBLANK(Tabla7[[#This Row],[15/02/2018]]),0,Tabla7[[#This Row],[15/02/2018]])</f>
        <v>0</v>
      </c>
      <c r="AY68">
        <f>IF(ISBLANK(Tabla7[[#This Row],[15/03/2018]]),0,Tabla7[[#This Row],[15/03/2018]])</f>
        <v>0</v>
      </c>
      <c r="AZ68">
        <f>IF(ISBLANK(Tabla7[[#This Row],[15/04/2018]]),0,Tabla7[[#This Row],[15/04/2018]])</f>
        <v>0</v>
      </c>
      <c r="BA68">
        <f>IF(ISBLANK(Tabla7[[#This Row],[15/05/2018]]),0,Tabla7[[#This Row],[15/05/2018]])</f>
        <v>0</v>
      </c>
      <c r="BB68">
        <f>IF(ISBLANK(Tabla7[[#This Row],[15/06/2018]]),0,Tabla7[[#This Row],[15/06/2018]])</f>
        <v>0</v>
      </c>
      <c r="BC68">
        <f>IF(ISBLANK(Tabla7[[#This Row],[15/07/2018]]),0,Tabla7[[#This Row],[15/07/2018]])</f>
        <v>0</v>
      </c>
      <c r="BD68">
        <f>IF(ISBLANK(Tabla7[[#This Row],[15/08/2018]]),0,Tabla7[[#This Row],[15/08/2018]])</f>
        <v>0</v>
      </c>
      <c r="BE68">
        <f>IF(ISBLANK(Tabla7[[#This Row],[15/09/2018]]),0,Tabla7[[#This Row],[15/09/2018]])</f>
        <v>0</v>
      </c>
      <c r="BF68">
        <f>IF(ISBLANK(Tabla7[[#This Row],[15/10/2018]]),0,Tabla7[[#This Row],[15/10/2018]])</f>
        <v>556</v>
      </c>
      <c r="BG68">
        <f>IF(ISBLANK(Tabla7[[#This Row],[15/11/2018]]),0,Tabla7[[#This Row],[15/11/2018]])</f>
        <v>2008</v>
      </c>
      <c r="BH68">
        <f>IF(ISBLANK(Tabla7[[#This Row],[15/12/2018]]),0,Tabla7[[#This Row],[15/12/2018]])</f>
        <v>3325</v>
      </c>
      <c r="BI68">
        <f>IF(ISBLANK(Tabla7[[#This Row],[28/12/2018]]),0,Tabla7[[#This Row],[28/12/2018]])</f>
        <v>0</v>
      </c>
      <c r="BN6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('49311166','G','IBERDROLA','3','APV','Hornacina Acceso Dique Norte','Alumbrado Dique Norte','Nuevo contador Alta en fecha: 26/09/2018');</v>
      </c>
      <c r="BO68" t="s">
        <v>243</v>
      </c>
      <c r="BP68" s="632" t="str">
        <f>CONCATENATE("insert into lecturas values ","('",Tabla7[[#This Row],[CONTADOR]],"',STR_TO_DATE('",Tabla7[[#Headers],[31/12/2017]],"','%d/%m/%Y'),",AV68,"),","('",Tabla7[[#This Row],[CONTADOR]],"',STR_TO_DATE('",Tabla7[[#Headers],[15/01/2018]],"','%d/%m/%Y'),",AW68,"),","('",Tabla7[[#This Row],[CONTADOR]],"',STR_TO_DATE('",Tabla7[[#Headers],[15/02/2018]],"','%d/%m/%Y'),",AX68,"),","('",Tabla7[[#This Row],[CONTADOR]],"',STR_TO_DATE('",Tabla7[[#Headers],[15/03/2018]],"','%d/%m/%Y'),",AY68,"),","('",Tabla7[[#This Row],[CONTADOR]],"',STR_TO_DATE('",Tabla7[[#Headers],[15/04/2018]],"','%d/%m/%Y'),",AZ68,"),","('",Tabla7[[#This Row],[CONTADOR]],"',STR_TO_DATE('",Tabla7[[#Headers],[15/05/2018]],"','%d/%m/%Y'),",BA68,"),","('",Tabla7[[#This Row],[CONTADOR]],"',STR_TO_DATE('",Tabla7[[#Headers],[15/06/2018]],"','%d/%m/%Y'),",BB68,"),","('",Tabla7[[#This Row],[CONTADOR]],"',STR_TO_DATE('",Tabla7[[#Headers],[15/07/2018]],"','%d/%m/%Y'),",BC68,"),","('",Tabla7[[#This Row],[CONTADOR]],"',STR_TO_DATE('",Tabla7[[#Headers],[15/08/2018]],"','%d/%m/%Y'),",BD68,"),","('",Tabla7[[#This Row],[CONTADOR]],"',STR_TO_DATE('",Tabla7[[#Headers],[15/09/2018]],"','%d/%m/%Y'),",BE68,"),","('",Tabla7[[#This Row],[CONTADOR]],"',STR_TO_DATE('",Tabla7[[#Headers],[15/10/2018]],"','%d/%m/%Y'),",BF68,"),","('",Tabla7[[#This Row],[CONTADOR]],"',STR_TO_DATE('",Tabla7[[#Headers],[15/11/2018]],"','%d/%m/%Y'),",BG68,"),","('",Tabla7[[#This Row],[CONTADOR]],"',STR_TO_DATE('",Tabla7[[#Headers],[15/12/2018]],"','%d/%m/%Y'),",BH68,");")</f>
        <v>insert into lecturas values ('49311166',STR_TO_DATE('31/12/2017','%d/%m/%Y'),0),('49311166',STR_TO_DATE('15/01/2018','%d/%m/%Y'),0),('49311166',STR_TO_DATE('15/02/2018','%d/%m/%Y'),0),('49311166',STR_TO_DATE('15/03/2018','%d/%m/%Y'),0),('49311166',STR_TO_DATE('15/04/2018','%d/%m/%Y'),0),('49311166',STR_TO_DATE('15/05/2018','%d/%m/%Y'),0),('49311166',STR_TO_DATE('15/06/2018','%d/%m/%Y'),0),('49311166',STR_TO_DATE('15/07/2018','%d/%m/%Y'),0),('49311166',STR_TO_DATE('15/08/2018','%d/%m/%Y'),0),('49311166',STR_TO_DATE('15/09/2018','%d/%m/%Y'),0),('49311166',STR_TO_DATE('15/10/2018','%d/%m/%Y'),556),('49311166',STR_TO_DATE('15/11/2018','%d/%m/%Y'),2008),('49311166',STR_TO_DATE('15/12/2018','%d/%m/%Y'),3325);</v>
      </c>
    </row>
    <row r="69" spans="1:68" ht="18" customHeight="1" x14ac:dyDescent="0.25">
      <c r="A69" s="372" t="s">
        <v>1197</v>
      </c>
      <c r="B69" s="374"/>
      <c r="C69" s="373">
        <v>28302205</v>
      </c>
      <c r="D69" s="374" t="s">
        <v>517</v>
      </c>
      <c r="E69" s="375">
        <v>39501</v>
      </c>
      <c r="F69" s="376" t="s">
        <v>532</v>
      </c>
      <c r="G69" s="376" t="s">
        <v>533</v>
      </c>
      <c r="H69" s="377" t="s">
        <v>359</v>
      </c>
      <c r="I69" s="376" t="s">
        <v>1156</v>
      </c>
      <c r="J69" s="383">
        <v>2241787</v>
      </c>
      <c r="K69" s="383">
        <v>2283465</v>
      </c>
      <c r="L69" s="383">
        <v>2366636</v>
      </c>
      <c r="M69" s="383"/>
      <c r="N69" s="384"/>
      <c r="O69" s="384"/>
      <c r="P69" s="384"/>
      <c r="Q69" s="384"/>
      <c r="R69" s="384"/>
      <c r="S69" s="384"/>
      <c r="T69" s="384"/>
      <c r="U69" s="620"/>
      <c r="V69" s="383"/>
      <c r="W69" s="379"/>
      <c r="X69" s="377"/>
      <c r="Y69" s="376">
        <f t="shared" si="28"/>
        <v>41678</v>
      </c>
      <c r="Z69" s="376">
        <f t="shared" si="27"/>
        <v>83171</v>
      </c>
      <c r="AA69" s="376" t="str">
        <f t="shared" ref="AA69:AB74" si="33">IF(OR(ISBLANK(M69),ISBLANK(L69)),"",IF(AND(M69&gt;=L69,M69-L69&lt;=M69),(M69-L69)*$AK69,"!!!!"))</f>
        <v/>
      </c>
      <c r="AB69" s="376" t="str">
        <f t="shared" si="33"/>
        <v/>
      </c>
      <c r="AC69" s="376" t="str">
        <f t="shared" si="17"/>
        <v/>
      </c>
      <c r="AD69" s="376" t="str">
        <f t="shared" si="18"/>
        <v/>
      </c>
      <c r="AE69" s="376" t="str">
        <f t="shared" si="19"/>
        <v/>
      </c>
      <c r="AF69" s="376" t="str">
        <f t="shared" si="20"/>
        <v/>
      </c>
      <c r="AG69" s="376" t="str">
        <f t="shared" si="21"/>
        <v/>
      </c>
      <c r="AH69" s="376" t="str">
        <f t="shared" si="22"/>
        <v/>
      </c>
      <c r="AI69" s="376" t="str">
        <f t="shared" si="23"/>
        <v/>
      </c>
      <c r="AJ69" s="376" t="str">
        <f t="shared" si="24"/>
        <v/>
      </c>
      <c r="AK69" s="408">
        <v>1</v>
      </c>
      <c r="AL69" s="377">
        <f t="shared" ca="1" si="29"/>
        <v>0</v>
      </c>
      <c r="AM69" s="383">
        <f t="shared" ca="1" si="30"/>
        <v>0</v>
      </c>
      <c r="AN69" s="377" t="str">
        <f ca="1">IF(AND(Tabla7[[#This Row],[UltLec]]&lt;&gt;0,Tabla7[[#This Row],[PenLect]]&lt;&gt;0),(AM69-AL69)*Tabla7[[#This Row],[RT]],"N/A")</f>
        <v>N/A</v>
      </c>
      <c r="AO69" s="380" t="s">
        <v>1281</v>
      </c>
      <c r="AP69" s="433" t="s">
        <v>1191</v>
      </c>
      <c r="AQ69" s="433" t="s">
        <v>1189</v>
      </c>
      <c r="AR69" s="409">
        <f t="shared" si="31"/>
        <v>0</v>
      </c>
      <c r="AT69" s="2" t="e">
        <f t="shared" ca="1" si="32"/>
        <v>#VALUE!</v>
      </c>
      <c r="AV69">
        <f>IF(ISBLANK(Tabla7[[#This Row],[31/12/2017]]),0,Tabla7[[#This Row],[31/12/2017]])</f>
        <v>2241787</v>
      </c>
      <c r="AW69">
        <f>IF(ISBLANK(Tabla7[[#This Row],[15/01/2018]]),0,Tabla7[[#This Row],[15/01/2018]])</f>
        <v>2283465</v>
      </c>
      <c r="AX69">
        <f>IF(ISBLANK(Tabla7[[#This Row],[15/02/2018]]),0,Tabla7[[#This Row],[15/02/2018]])</f>
        <v>2366636</v>
      </c>
      <c r="AY69">
        <f>IF(ISBLANK(Tabla7[[#This Row],[15/03/2018]]),0,Tabla7[[#This Row],[15/03/2018]])</f>
        <v>0</v>
      </c>
      <c r="AZ69">
        <f>IF(ISBLANK(Tabla7[[#This Row],[15/04/2018]]),0,Tabla7[[#This Row],[15/04/2018]])</f>
        <v>0</v>
      </c>
      <c r="BA69">
        <f>IF(ISBLANK(Tabla7[[#This Row],[15/05/2018]]),0,Tabla7[[#This Row],[15/05/2018]])</f>
        <v>0</v>
      </c>
      <c r="BB69">
        <f>IF(ISBLANK(Tabla7[[#This Row],[15/06/2018]]),0,Tabla7[[#This Row],[15/06/2018]])</f>
        <v>0</v>
      </c>
      <c r="BC69">
        <f>IF(ISBLANK(Tabla7[[#This Row],[15/07/2018]]),0,Tabla7[[#This Row],[15/07/2018]])</f>
        <v>0</v>
      </c>
      <c r="BD69">
        <f>IF(ISBLANK(Tabla7[[#This Row],[15/08/2018]]),0,Tabla7[[#This Row],[15/08/2018]])</f>
        <v>0</v>
      </c>
      <c r="BE69">
        <f>IF(ISBLANK(Tabla7[[#This Row],[15/09/2018]]),0,Tabla7[[#This Row],[15/09/2018]])</f>
        <v>0</v>
      </c>
      <c r="BF69">
        <f>IF(ISBLANK(Tabla7[[#This Row],[15/10/2018]]),0,Tabla7[[#This Row],[15/10/2018]])</f>
        <v>0</v>
      </c>
      <c r="BG69">
        <f>IF(ISBLANK(Tabla7[[#This Row],[15/11/2018]]),0,Tabla7[[#This Row],[15/11/2018]])</f>
        <v>0</v>
      </c>
      <c r="BH69">
        <f>IF(ISBLANK(Tabla7[[#This Row],[15/12/2018]]),0,Tabla7[[#This Row],[15/12/2018]])</f>
        <v>0</v>
      </c>
      <c r="BI69">
        <f>IF(ISBLANK(Tabla7[[#This Row],[28/12/2018]]),0,Tabla7[[#This Row],[28/12/2018]])</f>
        <v>0</v>
      </c>
      <c r="BN6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('28302205','MT-BAJA','MT-S','39501','INTERSAGUNTO TERMINALES, S.A. ','MUELLE NORTE DOS','MEDIA TENSIÓN','BAJA EL 19-2-18. 26 MEDIA TENSIÓN');</v>
      </c>
      <c r="BO69" t="s">
        <v>243</v>
      </c>
      <c r="BP69" s="632" t="str">
        <f>CONCATENATE("insert into lecturas values ","('",Tabla7[[#This Row],[CONTADOR]],"',STR_TO_DATE('",Tabla7[[#Headers],[31/12/2017]],"','%d/%m/%Y'),",AV69,"),","('",Tabla7[[#This Row],[CONTADOR]],"',STR_TO_DATE('",Tabla7[[#Headers],[15/01/2018]],"','%d/%m/%Y'),",AW69,"),","('",Tabla7[[#This Row],[CONTADOR]],"',STR_TO_DATE('",Tabla7[[#Headers],[15/02/2018]],"','%d/%m/%Y'),",AX69,"),","('",Tabla7[[#This Row],[CONTADOR]],"',STR_TO_DATE('",Tabla7[[#Headers],[15/03/2018]],"','%d/%m/%Y'),",AY69,"),","('",Tabla7[[#This Row],[CONTADOR]],"',STR_TO_DATE('",Tabla7[[#Headers],[15/04/2018]],"','%d/%m/%Y'),",AZ69,"),","('",Tabla7[[#This Row],[CONTADOR]],"',STR_TO_DATE('",Tabla7[[#Headers],[15/05/2018]],"','%d/%m/%Y'),",BA69,"),","('",Tabla7[[#This Row],[CONTADOR]],"',STR_TO_DATE('",Tabla7[[#Headers],[15/06/2018]],"','%d/%m/%Y'),",BB69,"),","('",Tabla7[[#This Row],[CONTADOR]],"',STR_TO_DATE('",Tabla7[[#Headers],[15/07/2018]],"','%d/%m/%Y'),",BC69,"),","('",Tabla7[[#This Row],[CONTADOR]],"',STR_TO_DATE('",Tabla7[[#Headers],[15/08/2018]],"','%d/%m/%Y'),",BD69,"),","('",Tabla7[[#This Row],[CONTADOR]],"',STR_TO_DATE('",Tabla7[[#Headers],[15/09/2018]],"','%d/%m/%Y'),",BE69,"),","('",Tabla7[[#This Row],[CONTADOR]],"',STR_TO_DATE('",Tabla7[[#Headers],[15/10/2018]],"','%d/%m/%Y'),",BF69,"),","('",Tabla7[[#This Row],[CONTADOR]],"',STR_TO_DATE('",Tabla7[[#Headers],[15/11/2018]],"','%d/%m/%Y'),",BG69,"),","('",Tabla7[[#This Row],[CONTADOR]],"',STR_TO_DATE('",Tabla7[[#Headers],[15/12/2018]],"','%d/%m/%Y'),",BH69,");")</f>
        <v>insert into lecturas values ('28302205',STR_TO_DATE('31/12/2017','%d/%m/%Y'),2241787),('28302205',STR_TO_DATE('15/01/2018','%d/%m/%Y'),2283465),('28302205',STR_TO_DATE('15/02/2018','%d/%m/%Y'),2366636),('28302205',STR_TO_DATE('15/03/2018','%d/%m/%Y'),0),('28302205',STR_TO_DATE('15/04/2018','%d/%m/%Y'),0),('28302205',STR_TO_DATE('15/05/2018','%d/%m/%Y'),0),('28302205',STR_TO_DATE('15/06/2018','%d/%m/%Y'),0),('28302205',STR_TO_DATE('15/07/2018','%d/%m/%Y'),0),('28302205',STR_TO_DATE('15/08/2018','%d/%m/%Y'),0),('28302205',STR_TO_DATE('15/09/2018','%d/%m/%Y'),0),('28302205',STR_TO_DATE('15/10/2018','%d/%m/%Y'),0),('28302205',STR_TO_DATE('15/11/2018','%d/%m/%Y'),0),('28302205',STR_TO_DATE('15/12/2018','%d/%m/%Y'),0);</v>
      </c>
    </row>
    <row r="70" spans="1:68" ht="18" customHeight="1" x14ac:dyDescent="0.25">
      <c r="A70" s="241" t="s">
        <v>517</v>
      </c>
      <c r="B70" s="60"/>
      <c r="C70" s="319">
        <v>83061189</v>
      </c>
      <c r="D70" s="320" t="s">
        <v>517</v>
      </c>
      <c r="E70" s="268">
        <v>39539</v>
      </c>
      <c r="F70" s="308" t="s">
        <v>146</v>
      </c>
      <c r="G70" s="308" t="s">
        <v>1062</v>
      </c>
      <c r="H70" s="308" t="s">
        <v>1115</v>
      </c>
      <c r="I70" s="308"/>
      <c r="J70" s="354">
        <v>1275725</v>
      </c>
      <c r="K70" s="354">
        <v>1293226</v>
      </c>
      <c r="L70" s="354">
        <v>1325461</v>
      </c>
      <c r="M70" s="354">
        <v>1325461</v>
      </c>
      <c r="N70" s="354">
        <v>1385287</v>
      </c>
      <c r="O70" s="354">
        <v>1414860</v>
      </c>
      <c r="P70" s="312"/>
      <c r="Q70" s="354">
        <v>1482075</v>
      </c>
      <c r="R70" s="354">
        <v>1482075</v>
      </c>
      <c r="S70" s="354">
        <v>1558062</v>
      </c>
      <c r="T70" s="308"/>
      <c r="U70" s="354">
        <v>1558062</v>
      </c>
      <c r="V70" s="354">
        <v>1588209</v>
      </c>
      <c r="W70" s="308"/>
      <c r="X70" s="308"/>
      <c r="Y70" s="265">
        <f t="shared" si="28"/>
        <v>17501</v>
      </c>
      <c r="Z70" s="265">
        <f t="shared" si="27"/>
        <v>32235</v>
      </c>
      <c r="AA70" s="265">
        <f t="shared" si="33"/>
        <v>0</v>
      </c>
      <c r="AB70" s="265">
        <f t="shared" si="33"/>
        <v>59826</v>
      </c>
      <c r="AC70" s="265">
        <f t="shared" ref="AC70:AC133" si="34">IF(OR(ISBLANK(O70),ISBLANK(N70)),"",IF(AND(O70&gt;=N70,O70-N70&lt;=O70),(O70-N70)*$AK70,"!!!!"))</f>
        <v>29573</v>
      </c>
      <c r="AD70" s="265" t="str">
        <f t="shared" ref="AD70:AD133" si="35">IF(OR(ISBLANK(P70),ISBLANK(O70)),"",IF(AND(P70&gt;=O70,P70-O70&lt;=P70),(P70-O70)*$AK70,"!!!!"))</f>
        <v/>
      </c>
      <c r="AE70" s="265" t="str">
        <f t="shared" ref="AE70:AE133" si="36">IF(OR(ISBLANK(Q70),ISBLANK(P70)),"",IF(AND(Q70&gt;=P70,Q70-P70&lt;=Q70),(Q70-P70)*$AK70,"!!!!"))</f>
        <v/>
      </c>
      <c r="AF70" s="265">
        <f t="shared" ref="AF70:AF133" si="37">IF(OR(ISBLANK(R70),ISBLANK(Q70)),"",IF(AND(R70&gt;=Q70,R70-Q70&lt;=R70),(R70-Q70)*$AK70,"!!!!"))</f>
        <v>0</v>
      </c>
      <c r="AG70" s="265">
        <f t="shared" ref="AG70:AG133" si="38">IF(OR(ISBLANK(S70),ISBLANK(R70)),"",IF(AND(S70&gt;=R70,S70-R70&lt;=S70),(S70-R70)*$AK70,"!!!!"))</f>
        <v>75987</v>
      </c>
      <c r="AH70" s="265">
        <v>0</v>
      </c>
      <c r="AI70" s="265" t="str">
        <f t="shared" ref="AI70:AI133" si="39">IF(OR(ISBLANK(U70),ISBLANK(T70)),"",IF(AND(U70&gt;=T70,U70-T70&lt;=U70),(U70-T70)*$AK70,"!!!!"))</f>
        <v/>
      </c>
      <c r="AJ70" s="265">
        <f t="shared" ref="AJ70:AJ133" si="40">IF(OR(ISBLANK(V70),ISBLANK(U70)),"",IF(AND(V70&gt;=U70,V70-U70&lt;=V70),(V70-U70)*$AK70,"!!!!"))</f>
        <v>30147</v>
      </c>
      <c r="AK70" s="410">
        <v>1</v>
      </c>
      <c r="AL70" s="308">
        <f t="shared" ca="1" si="29"/>
        <v>1385287</v>
      </c>
      <c r="AM70" s="354">
        <f t="shared" ca="1" si="30"/>
        <v>1414860</v>
      </c>
      <c r="AN70" s="411">
        <f ca="1">IF(AND(Tabla7[[#This Row],[UltLec]]&lt;&gt;0,Tabla7[[#This Row],[PenLect]]&lt;&gt;0),(AM70-AL70)*Tabla7[[#This Row],[RT]],"N/A")</f>
        <v>29573</v>
      </c>
      <c r="AO70" s="391" t="s">
        <v>1135</v>
      </c>
      <c r="AP70" s="435" t="s">
        <v>1191</v>
      </c>
      <c r="AQ70" s="435" t="s">
        <v>1189</v>
      </c>
      <c r="AR70" s="428">
        <f t="shared" si="31"/>
        <v>0</v>
      </c>
      <c r="AT70" s="2">
        <f t="shared" ca="1" si="32"/>
        <v>0.49431685220472704</v>
      </c>
      <c r="AV70">
        <f>IF(ISBLANK(Tabla7[[#This Row],[31/12/2017]]),0,Tabla7[[#This Row],[31/12/2017]])</f>
        <v>1275725</v>
      </c>
      <c r="AW70">
        <f>IF(ISBLANK(Tabla7[[#This Row],[15/01/2018]]),0,Tabla7[[#This Row],[15/01/2018]])</f>
        <v>1293226</v>
      </c>
      <c r="AX70">
        <f>IF(ISBLANK(Tabla7[[#This Row],[15/02/2018]]),0,Tabla7[[#This Row],[15/02/2018]])</f>
        <v>1325461</v>
      </c>
      <c r="AY70">
        <f>IF(ISBLANK(Tabla7[[#This Row],[15/03/2018]]),0,Tabla7[[#This Row],[15/03/2018]])</f>
        <v>1325461</v>
      </c>
      <c r="AZ70">
        <f>IF(ISBLANK(Tabla7[[#This Row],[15/04/2018]]),0,Tabla7[[#This Row],[15/04/2018]])</f>
        <v>1385287</v>
      </c>
      <c r="BA70">
        <f>IF(ISBLANK(Tabla7[[#This Row],[15/05/2018]]),0,Tabla7[[#This Row],[15/05/2018]])</f>
        <v>1414860</v>
      </c>
      <c r="BB70">
        <f>IF(ISBLANK(Tabla7[[#This Row],[15/06/2018]]),0,Tabla7[[#This Row],[15/06/2018]])</f>
        <v>0</v>
      </c>
      <c r="BC70">
        <f>IF(ISBLANK(Tabla7[[#This Row],[15/07/2018]]),0,Tabla7[[#This Row],[15/07/2018]])</f>
        <v>1482075</v>
      </c>
      <c r="BD70">
        <f>IF(ISBLANK(Tabla7[[#This Row],[15/08/2018]]),0,Tabla7[[#This Row],[15/08/2018]])</f>
        <v>1482075</v>
      </c>
      <c r="BE70">
        <f>IF(ISBLANK(Tabla7[[#This Row],[15/09/2018]]),0,Tabla7[[#This Row],[15/09/2018]])</f>
        <v>1558062</v>
      </c>
      <c r="BF70">
        <f>IF(ISBLANK(Tabla7[[#This Row],[15/10/2018]]),0,Tabla7[[#This Row],[15/10/2018]])</f>
        <v>0</v>
      </c>
      <c r="BG70">
        <f>IF(ISBLANK(Tabla7[[#This Row],[15/11/2018]]),0,Tabla7[[#This Row],[15/11/2018]])</f>
        <v>1558062</v>
      </c>
      <c r="BH70">
        <f>IF(ISBLANK(Tabla7[[#This Row],[15/12/2018]]),0,Tabla7[[#This Row],[15/12/2018]])</f>
        <v>1588209</v>
      </c>
      <c r="BI70">
        <f>IF(ISBLANK(Tabla7[[#This Row],[28/12/2018]]),0,Tabla7[[#This Row],[28/12/2018]])</f>
        <v>0</v>
      </c>
      <c r="BN7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('83061189','MT-S','MT-S','39539','VALENCIA TERMINAL EUROPA, S.A.','TRANSFORMADOR EN CAMPA MUELLE SUR 2','CT ANTIGUO CARPORT','');</v>
      </c>
      <c r="BO70" t="s">
        <v>243</v>
      </c>
      <c r="BP70" s="632" t="str">
        <f>CONCATENATE("insert into lecturas values ","('",Tabla7[[#This Row],[CONTADOR]],"',STR_TO_DATE('",Tabla7[[#Headers],[31/12/2017]],"','%d/%m/%Y'),",AV70,"),","('",Tabla7[[#This Row],[CONTADOR]],"',STR_TO_DATE('",Tabla7[[#Headers],[15/01/2018]],"','%d/%m/%Y'),",AW70,"),","('",Tabla7[[#This Row],[CONTADOR]],"',STR_TO_DATE('",Tabla7[[#Headers],[15/02/2018]],"','%d/%m/%Y'),",AX70,"),","('",Tabla7[[#This Row],[CONTADOR]],"',STR_TO_DATE('",Tabla7[[#Headers],[15/03/2018]],"','%d/%m/%Y'),",AY70,"),","('",Tabla7[[#This Row],[CONTADOR]],"',STR_TO_DATE('",Tabla7[[#Headers],[15/04/2018]],"','%d/%m/%Y'),",AZ70,"),","('",Tabla7[[#This Row],[CONTADOR]],"',STR_TO_DATE('",Tabla7[[#Headers],[15/05/2018]],"','%d/%m/%Y'),",BA70,"),","('",Tabla7[[#This Row],[CONTADOR]],"',STR_TO_DATE('",Tabla7[[#Headers],[15/06/2018]],"','%d/%m/%Y'),",BB70,"),","('",Tabla7[[#This Row],[CONTADOR]],"',STR_TO_DATE('",Tabla7[[#Headers],[15/07/2018]],"','%d/%m/%Y'),",BC70,"),","('",Tabla7[[#This Row],[CONTADOR]],"',STR_TO_DATE('",Tabla7[[#Headers],[15/08/2018]],"','%d/%m/%Y'),",BD70,"),","('",Tabla7[[#This Row],[CONTADOR]],"',STR_TO_DATE('",Tabla7[[#Headers],[15/09/2018]],"','%d/%m/%Y'),",BE70,"),","('",Tabla7[[#This Row],[CONTADOR]],"',STR_TO_DATE('",Tabla7[[#Headers],[15/10/2018]],"','%d/%m/%Y'),",BF70,"),","('",Tabla7[[#This Row],[CONTADOR]],"',STR_TO_DATE('",Tabla7[[#Headers],[15/11/2018]],"','%d/%m/%Y'),",BG70,"),","('",Tabla7[[#This Row],[CONTADOR]],"',STR_TO_DATE('",Tabla7[[#Headers],[15/12/2018]],"','%d/%m/%Y'),",BH70,");")</f>
        <v>insert into lecturas values ('83061189',STR_TO_DATE('31/12/2017','%d/%m/%Y'),1275725),('83061189',STR_TO_DATE('15/01/2018','%d/%m/%Y'),1293226),('83061189',STR_TO_DATE('15/02/2018','%d/%m/%Y'),1325461),('83061189',STR_TO_DATE('15/03/2018','%d/%m/%Y'),1325461),('83061189',STR_TO_DATE('15/04/2018','%d/%m/%Y'),1385287),('83061189',STR_TO_DATE('15/05/2018','%d/%m/%Y'),1414860),('83061189',STR_TO_DATE('15/06/2018','%d/%m/%Y'),0),('83061189',STR_TO_DATE('15/07/2018','%d/%m/%Y'),1482075),('83061189',STR_TO_DATE('15/08/2018','%d/%m/%Y'),1482075),('83061189',STR_TO_DATE('15/09/2018','%d/%m/%Y'),1558062),('83061189',STR_TO_DATE('15/10/2018','%d/%m/%Y'),0),('83061189',STR_TO_DATE('15/11/2018','%d/%m/%Y'),1558062),('83061189',STR_TO_DATE('15/12/2018','%d/%m/%Y'),1588209);</v>
      </c>
    </row>
    <row r="71" spans="1:68" ht="18" customHeight="1" x14ac:dyDescent="0.25">
      <c r="A71" s="372" t="s">
        <v>1175</v>
      </c>
      <c r="B71" s="374" t="s">
        <v>1060</v>
      </c>
      <c r="C71" s="373">
        <v>94811189</v>
      </c>
      <c r="D71" s="374" t="s">
        <v>517</v>
      </c>
      <c r="E71" s="375" t="s">
        <v>1060</v>
      </c>
      <c r="F71" s="376" t="s">
        <v>1064</v>
      </c>
      <c r="G71" s="376" t="s">
        <v>519</v>
      </c>
      <c r="H71" s="376" t="s">
        <v>531</v>
      </c>
      <c r="I71" s="377" t="s">
        <v>942</v>
      </c>
      <c r="J71" s="383"/>
      <c r="K71" s="383"/>
      <c r="L71" s="383"/>
      <c r="M71" s="383"/>
      <c r="N71" s="383"/>
      <c r="O71" s="384"/>
      <c r="P71" s="385"/>
      <c r="Q71" s="384"/>
      <c r="R71" s="384"/>
      <c r="S71" s="385"/>
      <c r="T71" s="385"/>
      <c r="U71" s="621"/>
      <c r="V71" s="377"/>
      <c r="W71" s="383"/>
      <c r="X71" s="376"/>
      <c r="Y71" s="376" t="str">
        <f t="shared" si="28"/>
        <v/>
      </c>
      <c r="Z71" s="376" t="str">
        <f t="shared" si="27"/>
        <v/>
      </c>
      <c r="AA71" s="376" t="str">
        <f t="shared" si="33"/>
        <v/>
      </c>
      <c r="AB71" s="376" t="str">
        <f t="shared" si="33"/>
        <v/>
      </c>
      <c r="AC71" s="376" t="str">
        <f t="shared" si="34"/>
        <v/>
      </c>
      <c r="AD71" s="376" t="str">
        <f t="shared" si="35"/>
        <v/>
      </c>
      <c r="AE71" s="376" t="str">
        <f t="shared" si="36"/>
        <v/>
      </c>
      <c r="AF71" s="376" t="str">
        <f t="shared" si="37"/>
        <v/>
      </c>
      <c r="AG71" s="376" t="str">
        <f t="shared" si="38"/>
        <v/>
      </c>
      <c r="AH71" s="376" t="str">
        <f t="shared" ref="AH71:AH134" si="41">IF(OR(ISBLANK(T71),ISBLANK(S71)),"",IF(AND(T71&gt;=S71,T71-S71&lt;=T71),(T71-S71)*$AK71,"!!!!"))</f>
        <v/>
      </c>
      <c r="AI71" s="376" t="str">
        <f t="shared" si="39"/>
        <v/>
      </c>
      <c r="AJ71" s="376" t="str">
        <f t="shared" si="40"/>
        <v/>
      </c>
      <c r="AK71" s="408">
        <v>1</v>
      </c>
      <c r="AL71" s="377">
        <f t="shared" ca="1" si="29"/>
        <v>0</v>
      </c>
      <c r="AM71" s="383">
        <f t="shared" ca="1" si="30"/>
        <v>0</v>
      </c>
      <c r="AN71" s="377" t="str">
        <f ca="1">IF(AND(Tabla7[[#This Row],[UltLec]]&lt;&gt;0,Tabla7[[#This Row],[PenLect]]&lt;&gt;0),(AM71-AL71)*Tabla7[[#This Row],[RT]],"N/A")</f>
        <v>N/A</v>
      </c>
      <c r="AO71" s="380" t="s">
        <v>1281</v>
      </c>
      <c r="AP71" s="433" t="s">
        <v>1191</v>
      </c>
      <c r="AQ71" s="433" t="s">
        <v>1189</v>
      </c>
      <c r="AR71" s="409">
        <f t="shared" si="31"/>
        <v>0</v>
      </c>
      <c r="AT71" s="2" t="e">
        <f t="shared" ca="1" si="32"/>
        <v>#VALUE!</v>
      </c>
      <c r="AV71">
        <f>IF(ISBLANK(Tabla7[[#This Row],[31/12/2017]]),0,Tabla7[[#This Row],[31/12/2017]])</f>
        <v>0</v>
      </c>
      <c r="AW71">
        <f>IF(ISBLANK(Tabla7[[#This Row],[15/01/2018]]),0,Tabla7[[#This Row],[15/01/2018]])</f>
        <v>0</v>
      </c>
      <c r="AX71">
        <f>IF(ISBLANK(Tabla7[[#This Row],[15/02/2018]]),0,Tabla7[[#This Row],[15/02/2018]])</f>
        <v>0</v>
      </c>
      <c r="AY71">
        <f>IF(ISBLANK(Tabla7[[#This Row],[15/03/2018]]),0,Tabla7[[#This Row],[15/03/2018]])</f>
        <v>0</v>
      </c>
      <c r="AZ71">
        <f>IF(ISBLANK(Tabla7[[#This Row],[15/04/2018]]),0,Tabla7[[#This Row],[15/04/2018]])</f>
        <v>0</v>
      </c>
      <c r="BA71">
        <f>IF(ISBLANK(Tabla7[[#This Row],[15/05/2018]]),0,Tabla7[[#This Row],[15/05/2018]])</f>
        <v>0</v>
      </c>
      <c r="BB71">
        <f>IF(ISBLANK(Tabla7[[#This Row],[15/06/2018]]),0,Tabla7[[#This Row],[15/06/2018]])</f>
        <v>0</v>
      </c>
      <c r="BC71">
        <f>IF(ISBLANK(Tabla7[[#This Row],[15/07/2018]]),0,Tabla7[[#This Row],[15/07/2018]])</f>
        <v>0</v>
      </c>
      <c r="BD71">
        <f>IF(ISBLANK(Tabla7[[#This Row],[15/08/2018]]),0,Tabla7[[#This Row],[15/08/2018]])</f>
        <v>0</v>
      </c>
      <c r="BE71">
        <f>IF(ISBLANK(Tabla7[[#This Row],[15/09/2018]]),0,Tabla7[[#This Row],[15/09/2018]])</f>
        <v>0</v>
      </c>
      <c r="BF71">
        <f>IF(ISBLANK(Tabla7[[#This Row],[15/10/2018]]),0,Tabla7[[#This Row],[15/10/2018]])</f>
        <v>0</v>
      </c>
      <c r="BG71">
        <f>IF(ISBLANK(Tabla7[[#This Row],[15/11/2018]]),0,Tabla7[[#This Row],[15/11/2018]])</f>
        <v>0</v>
      </c>
      <c r="BH71">
        <f>IF(ISBLANK(Tabla7[[#This Row],[15/12/2018]]),0,Tabla7[[#This Row],[15/12/2018]])</f>
        <v>0</v>
      </c>
      <c r="BI71">
        <f>IF(ISBLANK(Tabla7[[#This Row],[28/12/2018]]),0,Tabla7[[#This Row],[28/12/2018]])</f>
        <v>0</v>
      </c>
      <c r="BN7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('94811189','SBAJA','MT-S','BAJA','39981 CARPORT SAGUNTO, S.L.         ','ZONA RELLENO 3      ','CARPORT','25 MEDIA TENSIÓN');</v>
      </c>
      <c r="BO71" t="s">
        <v>243</v>
      </c>
      <c r="BP71" s="632" t="str">
        <f>CONCATENATE("insert into lecturas values ","('",Tabla7[[#This Row],[CONTADOR]],"',STR_TO_DATE('",Tabla7[[#Headers],[31/12/2017]],"','%d/%m/%Y'),",AV71,"),","('",Tabla7[[#This Row],[CONTADOR]],"',STR_TO_DATE('",Tabla7[[#Headers],[15/01/2018]],"','%d/%m/%Y'),",AW71,"),","('",Tabla7[[#This Row],[CONTADOR]],"',STR_TO_DATE('",Tabla7[[#Headers],[15/02/2018]],"','%d/%m/%Y'),",AX71,"),","('",Tabla7[[#This Row],[CONTADOR]],"',STR_TO_DATE('",Tabla7[[#Headers],[15/03/2018]],"','%d/%m/%Y'),",AY71,"),","('",Tabla7[[#This Row],[CONTADOR]],"',STR_TO_DATE('",Tabla7[[#Headers],[15/04/2018]],"','%d/%m/%Y'),",AZ71,"),","('",Tabla7[[#This Row],[CONTADOR]],"',STR_TO_DATE('",Tabla7[[#Headers],[15/05/2018]],"','%d/%m/%Y'),",BA71,"),","('",Tabla7[[#This Row],[CONTADOR]],"',STR_TO_DATE('",Tabla7[[#Headers],[15/06/2018]],"','%d/%m/%Y'),",BB71,"),","('",Tabla7[[#This Row],[CONTADOR]],"',STR_TO_DATE('",Tabla7[[#Headers],[15/07/2018]],"','%d/%m/%Y'),",BC71,"),","('",Tabla7[[#This Row],[CONTADOR]],"',STR_TO_DATE('",Tabla7[[#Headers],[15/08/2018]],"','%d/%m/%Y'),",BD71,"),","('",Tabla7[[#This Row],[CONTADOR]],"',STR_TO_DATE('",Tabla7[[#Headers],[15/09/2018]],"','%d/%m/%Y'),",BE71,"),","('",Tabla7[[#This Row],[CONTADOR]],"',STR_TO_DATE('",Tabla7[[#Headers],[15/10/2018]],"','%d/%m/%Y'),",BF71,"),","('",Tabla7[[#This Row],[CONTADOR]],"',STR_TO_DATE('",Tabla7[[#Headers],[15/11/2018]],"','%d/%m/%Y'),",BG71,"),","('",Tabla7[[#This Row],[CONTADOR]],"',STR_TO_DATE('",Tabla7[[#Headers],[15/12/2018]],"','%d/%m/%Y'),",BH71,");")</f>
        <v>insert into lecturas values ('94811189',STR_TO_DATE('31/12/2017','%d/%m/%Y'),0),('94811189',STR_TO_DATE('15/01/2018','%d/%m/%Y'),0),('94811189',STR_TO_DATE('15/02/2018','%d/%m/%Y'),0),('94811189',STR_TO_DATE('15/03/2018','%d/%m/%Y'),0),('94811189',STR_TO_DATE('15/04/2018','%d/%m/%Y'),0),('94811189',STR_TO_DATE('15/05/2018','%d/%m/%Y'),0),('94811189',STR_TO_DATE('15/06/2018','%d/%m/%Y'),0),('94811189',STR_TO_DATE('15/07/2018','%d/%m/%Y'),0),('94811189',STR_TO_DATE('15/08/2018','%d/%m/%Y'),0),('94811189',STR_TO_DATE('15/09/2018','%d/%m/%Y'),0),('94811189',STR_TO_DATE('15/10/2018','%d/%m/%Y'),0),('94811189',STR_TO_DATE('15/11/2018','%d/%m/%Y'),0),('94811189',STR_TO_DATE('15/12/2018','%d/%m/%Y'),0);</v>
      </c>
    </row>
    <row r="72" spans="1:68" ht="18" customHeight="1" x14ac:dyDescent="0.25">
      <c r="A72" s="241" t="s">
        <v>517</v>
      </c>
      <c r="B72" s="60"/>
      <c r="C72" s="223">
        <v>94811334</v>
      </c>
      <c r="D72" s="60" t="s">
        <v>517</v>
      </c>
      <c r="E72" s="258">
        <v>39483</v>
      </c>
      <c r="F72" s="274" t="s">
        <v>523</v>
      </c>
      <c r="G72" s="274" t="s">
        <v>521</v>
      </c>
      <c r="H72" s="2" t="s">
        <v>524</v>
      </c>
      <c r="I72" s="2" t="s">
        <v>943</v>
      </c>
      <c r="J72" s="311">
        <v>3577120</v>
      </c>
      <c r="K72" s="311">
        <v>3579969</v>
      </c>
      <c r="L72" s="311">
        <v>3585606</v>
      </c>
      <c r="M72" s="311">
        <v>3589825</v>
      </c>
      <c r="N72" s="311">
        <v>3594728</v>
      </c>
      <c r="O72" s="454">
        <v>3598880</v>
      </c>
      <c r="P72" s="454">
        <v>3602799</v>
      </c>
      <c r="Q72" s="454">
        <v>3607401</v>
      </c>
      <c r="R72" s="311">
        <v>3611975</v>
      </c>
      <c r="S72" s="311">
        <v>3616765</v>
      </c>
      <c r="T72" s="311">
        <v>3621332</v>
      </c>
      <c r="U72" s="311">
        <v>3626098</v>
      </c>
      <c r="V72" s="311">
        <v>3630606</v>
      </c>
      <c r="W72" s="311"/>
      <c r="X72" s="274"/>
      <c r="Y72" s="2">
        <f t="shared" si="28"/>
        <v>2849</v>
      </c>
      <c r="Z72" s="2">
        <f t="shared" si="27"/>
        <v>5637</v>
      </c>
      <c r="AA72" s="2">
        <f t="shared" si="33"/>
        <v>4219</v>
      </c>
      <c r="AB72" s="2">
        <f t="shared" si="33"/>
        <v>4903</v>
      </c>
      <c r="AC72" s="2">
        <f t="shared" si="34"/>
        <v>4152</v>
      </c>
      <c r="AD72" s="2">
        <f t="shared" si="35"/>
        <v>3919</v>
      </c>
      <c r="AE72" s="2">
        <f t="shared" si="36"/>
        <v>4602</v>
      </c>
      <c r="AF72" s="2">
        <f t="shared" si="37"/>
        <v>4574</v>
      </c>
      <c r="AG72" s="2">
        <f t="shared" si="38"/>
        <v>4790</v>
      </c>
      <c r="AH72" s="2">
        <f t="shared" si="41"/>
        <v>4567</v>
      </c>
      <c r="AI72" s="2">
        <f t="shared" si="39"/>
        <v>4766</v>
      </c>
      <c r="AJ72" s="2">
        <f t="shared" si="40"/>
        <v>4508</v>
      </c>
      <c r="AK72" s="406">
        <v>1</v>
      </c>
      <c r="AL72" s="274">
        <f t="shared" ca="1" si="29"/>
        <v>3594728</v>
      </c>
      <c r="AM72" s="311">
        <f t="shared" ca="1" si="30"/>
        <v>3598880</v>
      </c>
      <c r="AN72" s="274">
        <f ca="1">IF(AND(Tabla7[[#This Row],[UltLec]]&lt;&gt;0,Tabla7[[#This Row],[PenLect]]&lt;&gt;0),(AM72-AL72)*Tabla7[[#This Row],[RT]],"N/A")</f>
        <v>4152</v>
      </c>
      <c r="AO72" s="273" t="s">
        <v>1135</v>
      </c>
      <c r="AP72" s="392" t="s">
        <v>1191</v>
      </c>
      <c r="AQ72" s="392" t="s">
        <v>1189</v>
      </c>
      <c r="AR72" s="407">
        <f t="shared" si="31"/>
        <v>0</v>
      </c>
      <c r="AT72" s="2">
        <f t="shared" ca="1" si="32"/>
        <v>0.84682847236385883</v>
      </c>
      <c r="AV72">
        <f>IF(ISBLANK(Tabla7[[#This Row],[31/12/2017]]),0,Tabla7[[#This Row],[31/12/2017]])</f>
        <v>3577120</v>
      </c>
      <c r="AW72">
        <f>IF(ISBLANK(Tabla7[[#This Row],[15/01/2018]]),0,Tabla7[[#This Row],[15/01/2018]])</f>
        <v>3579969</v>
      </c>
      <c r="AX72">
        <f>IF(ISBLANK(Tabla7[[#This Row],[15/02/2018]]),0,Tabla7[[#This Row],[15/02/2018]])</f>
        <v>3585606</v>
      </c>
      <c r="AY72">
        <f>IF(ISBLANK(Tabla7[[#This Row],[15/03/2018]]),0,Tabla7[[#This Row],[15/03/2018]])</f>
        <v>3589825</v>
      </c>
      <c r="AZ72">
        <f>IF(ISBLANK(Tabla7[[#This Row],[15/04/2018]]),0,Tabla7[[#This Row],[15/04/2018]])</f>
        <v>3594728</v>
      </c>
      <c r="BA72">
        <f>IF(ISBLANK(Tabla7[[#This Row],[15/05/2018]]),0,Tabla7[[#This Row],[15/05/2018]])</f>
        <v>3598880</v>
      </c>
      <c r="BB72">
        <f>IF(ISBLANK(Tabla7[[#This Row],[15/06/2018]]),0,Tabla7[[#This Row],[15/06/2018]])</f>
        <v>3602799</v>
      </c>
      <c r="BC72">
        <f>IF(ISBLANK(Tabla7[[#This Row],[15/07/2018]]),0,Tabla7[[#This Row],[15/07/2018]])</f>
        <v>3607401</v>
      </c>
      <c r="BD72">
        <f>IF(ISBLANK(Tabla7[[#This Row],[15/08/2018]]),0,Tabla7[[#This Row],[15/08/2018]])</f>
        <v>3611975</v>
      </c>
      <c r="BE72">
        <f>IF(ISBLANK(Tabla7[[#This Row],[15/09/2018]]),0,Tabla7[[#This Row],[15/09/2018]])</f>
        <v>3616765</v>
      </c>
      <c r="BF72">
        <f>IF(ISBLANK(Tabla7[[#This Row],[15/10/2018]]),0,Tabla7[[#This Row],[15/10/2018]])</f>
        <v>3621332</v>
      </c>
      <c r="BG72">
        <f>IF(ISBLANK(Tabla7[[#This Row],[15/11/2018]]),0,Tabla7[[#This Row],[15/11/2018]])</f>
        <v>3626098</v>
      </c>
      <c r="BH72">
        <f>IF(ISBLANK(Tabla7[[#This Row],[15/12/2018]]),0,Tabla7[[#This Row],[15/12/2018]])</f>
        <v>3630606</v>
      </c>
      <c r="BI72">
        <f>IF(ISBLANK(Tabla7[[#This Row],[28/12/2018]]),0,Tabla7[[#This Row],[28/12/2018]])</f>
        <v>0</v>
      </c>
      <c r="BN7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('94811334','MT-S','MT-S','39483','BERSOLAZ','MUELLE PESQUERO     ','MEDIA TENSION. ACUITMED','22 MEDIA TENSIÓN');</v>
      </c>
      <c r="BO72" t="s">
        <v>243</v>
      </c>
      <c r="BP72" s="632" t="str">
        <f>CONCATENATE("insert into lecturas values ","('",Tabla7[[#This Row],[CONTADOR]],"',STR_TO_DATE('",Tabla7[[#Headers],[31/12/2017]],"','%d/%m/%Y'),",AV72,"),","('",Tabla7[[#This Row],[CONTADOR]],"',STR_TO_DATE('",Tabla7[[#Headers],[15/01/2018]],"','%d/%m/%Y'),",AW72,"),","('",Tabla7[[#This Row],[CONTADOR]],"',STR_TO_DATE('",Tabla7[[#Headers],[15/02/2018]],"','%d/%m/%Y'),",AX72,"),","('",Tabla7[[#This Row],[CONTADOR]],"',STR_TO_DATE('",Tabla7[[#Headers],[15/03/2018]],"','%d/%m/%Y'),",AY72,"),","('",Tabla7[[#This Row],[CONTADOR]],"',STR_TO_DATE('",Tabla7[[#Headers],[15/04/2018]],"','%d/%m/%Y'),",AZ72,"),","('",Tabla7[[#This Row],[CONTADOR]],"',STR_TO_DATE('",Tabla7[[#Headers],[15/05/2018]],"','%d/%m/%Y'),",BA72,"),","('",Tabla7[[#This Row],[CONTADOR]],"',STR_TO_DATE('",Tabla7[[#Headers],[15/06/2018]],"','%d/%m/%Y'),",BB72,"),","('",Tabla7[[#This Row],[CONTADOR]],"',STR_TO_DATE('",Tabla7[[#Headers],[15/07/2018]],"','%d/%m/%Y'),",BC72,"),","('",Tabla7[[#This Row],[CONTADOR]],"',STR_TO_DATE('",Tabla7[[#Headers],[15/08/2018]],"','%d/%m/%Y'),",BD72,"),","('",Tabla7[[#This Row],[CONTADOR]],"',STR_TO_DATE('",Tabla7[[#Headers],[15/09/2018]],"','%d/%m/%Y'),",BE72,"),","('",Tabla7[[#This Row],[CONTADOR]],"',STR_TO_DATE('",Tabla7[[#Headers],[15/10/2018]],"','%d/%m/%Y'),",BF72,"),","('",Tabla7[[#This Row],[CONTADOR]],"',STR_TO_DATE('",Tabla7[[#Headers],[15/11/2018]],"','%d/%m/%Y'),",BG72,"),","('",Tabla7[[#This Row],[CONTADOR]],"',STR_TO_DATE('",Tabla7[[#Headers],[15/12/2018]],"','%d/%m/%Y'),",BH72,");")</f>
        <v>insert into lecturas values ('94811334',STR_TO_DATE('31/12/2017','%d/%m/%Y'),3577120),('94811334',STR_TO_DATE('15/01/2018','%d/%m/%Y'),3579969),('94811334',STR_TO_DATE('15/02/2018','%d/%m/%Y'),3585606),('94811334',STR_TO_DATE('15/03/2018','%d/%m/%Y'),3589825),('94811334',STR_TO_DATE('15/04/2018','%d/%m/%Y'),3594728),('94811334',STR_TO_DATE('15/05/2018','%d/%m/%Y'),3598880),('94811334',STR_TO_DATE('15/06/2018','%d/%m/%Y'),3602799),('94811334',STR_TO_DATE('15/07/2018','%d/%m/%Y'),3607401),('94811334',STR_TO_DATE('15/08/2018','%d/%m/%Y'),3611975),('94811334',STR_TO_DATE('15/09/2018','%d/%m/%Y'),3616765),('94811334',STR_TO_DATE('15/10/2018','%d/%m/%Y'),3621332),('94811334',STR_TO_DATE('15/11/2018','%d/%m/%Y'),3626098),('94811334',STR_TO_DATE('15/12/2018','%d/%m/%Y'),3630606);</v>
      </c>
    </row>
    <row r="73" spans="1:68" ht="18" customHeight="1" x14ac:dyDescent="0.25">
      <c r="A73" s="241" t="s">
        <v>517</v>
      </c>
      <c r="B73" s="60"/>
      <c r="C73" s="223">
        <v>94811340</v>
      </c>
      <c r="D73" s="60" t="s">
        <v>517</v>
      </c>
      <c r="E73" s="258">
        <v>39947</v>
      </c>
      <c r="F73" s="274" t="s">
        <v>520</v>
      </c>
      <c r="G73" s="274" t="s">
        <v>521</v>
      </c>
      <c r="H73" s="2" t="s">
        <v>522</v>
      </c>
      <c r="I73" s="274" t="s">
        <v>944</v>
      </c>
      <c r="J73" s="311">
        <v>5044440</v>
      </c>
      <c r="K73" s="311">
        <v>5081623</v>
      </c>
      <c r="L73" s="311">
        <v>5165982</v>
      </c>
      <c r="M73" s="311">
        <v>5257835</v>
      </c>
      <c r="N73" s="311">
        <v>5327616</v>
      </c>
      <c r="O73" s="343">
        <v>5399270</v>
      </c>
      <c r="P73" s="454">
        <v>5475892</v>
      </c>
      <c r="Q73" s="311">
        <v>5560453</v>
      </c>
      <c r="R73" s="311">
        <v>5616159</v>
      </c>
      <c r="S73" s="311">
        <v>5622706</v>
      </c>
      <c r="T73" s="311">
        <v>5630166</v>
      </c>
      <c r="U73" s="311">
        <v>5640590</v>
      </c>
      <c r="V73" s="311">
        <v>5652719</v>
      </c>
      <c r="W73" s="311"/>
      <c r="X73" s="274"/>
      <c r="Y73" s="2">
        <f t="shared" si="28"/>
        <v>37183</v>
      </c>
      <c r="Z73" s="2">
        <f t="shared" si="27"/>
        <v>84359</v>
      </c>
      <c r="AA73" s="2">
        <f t="shared" si="33"/>
        <v>91853</v>
      </c>
      <c r="AB73" s="2">
        <f t="shared" si="33"/>
        <v>69781</v>
      </c>
      <c r="AC73" s="2">
        <f t="shared" si="34"/>
        <v>71654</v>
      </c>
      <c r="AD73" s="2">
        <f t="shared" si="35"/>
        <v>76622</v>
      </c>
      <c r="AE73" s="2">
        <f t="shared" si="36"/>
        <v>84561</v>
      </c>
      <c r="AF73" s="2">
        <f t="shared" si="37"/>
        <v>55706</v>
      </c>
      <c r="AG73" s="2">
        <f t="shared" si="38"/>
        <v>6547</v>
      </c>
      <c r="AH73" s="2">
        <f t="shared" si="41"/>
        <v>7460</v>
      </c>
      <c r="AI73" s="2">
        <f t="shared" si="39"/>
        <v>10424</v>
      </c>
      <c r="AJ73" s="2">
        <f t="shared" si="40"/>
        <v>12129</v>
      </c>
      <c r="AK73" s="406">
        <v>1</v>
      </c>
      <c r="AL73" s="274">
        <f t="shared" ca="1" si="29"/>
        <v>5327616</v>
      </c>
      <c r="AM73" s="311">
        <f t="shared" ca="1" si="30"/>
        <v>5399270</v>
      </c>
      <c r="AN73" s="274">
        <f ca="1">IF(AND(Tabla7[[#This Row],[UltLec]]&lt;&gt;0,Tabla7[[#This Row],[PenLect]]&lt;&gt;0),(AM73-AL73)*Tabla7[[#This Row],[RT]],"N/A")</f>
        <v>71654</v>
      </c>
      <c r="AO73" s="403" t="s">
        <v>1135</v>
      </c>
      <c r="AP73" s="392" t="s">
        <v>1191</v>
      </c>
      <c r="AQ73" s="392" t="s">
        <v>1189</v>
      </c>
      <c r="AR73" s="407">
        <f t="shared" si="31"/>
        <v>0</v>
      </c>
      <c r="AT73" s="2">
        <f t="shared" ca="1" si="32"/>
        <v>1.0268411172095555</v>
      </c>
      <c r="AV73">
        <f>IF(ISBLANK(Tabla7[[#This Row],[31/12/2017]]),0,Tabla7[[#This Row],[31/12/2017]])</f>
        <v>5044440</v>
      </c>
      <c r="AW73">
        <f>IF(ISBLANK(Tabla7[[#This Row],[15/01/2018]]),0,Tabla7[[#This Row],[15/01/2018]])</f>
        <v>5081623</v>
      </c>
      <c r="AX73">
        <f>IF(ISBLANK(Tabla7[[#This Row],[15/02/2018]]),0,Tabla7[[#This Row],[15/02/2018]])</f>
        <v>5165982</v>
      </c>
      <c r="AY73">
        <f>IF(ISBLANK(Tabla7[[#This Row],[15/03/2018]]),0,Tabla7[[#This Row],[15/03/2018]])</f>
        <v>5257835</v>
      </c>
      <c r="AZ73">
        <f>IF(ISBLANK(Tabla7[[#This Row],[15/04/2018]]),0,Tabla7[[#This Row],[15/04/2018]])</f>
        <v>5327616</v>
      </c>
      <c r="BA73">
        <f>IF(ISBLANK(Tabla7[[#This Row],[15/05/2018]]),0,Tabla7[[#This Row],[15/05/2018]])</f>
        <v>5399270</v>
      </c>
      <c r="BB73">
        <f>IF(ISBLANK(Tabla7[[#This Row],[15/06/2018]]),0,Tabla7[[#This Row],[15/06/2018]])</f>
        <v>5475892</v>
      </c>
      <c r="BC73">
        <f>IF(ISBLANK(Tabla7[[#This Row],[15/07/2018]]),0,Tabla7[[#This Row],[15/07/2018]])</f>
        <v>5560453</v>
      </c>
      <c r="BD73">
        <f>IF(ISBLANK(Tabla7[[#This Row],[15/08/2018]]),0,Tabla7[[#This Row],[15/08/2018]])</f>
        <v>5616159</v>
      </c>
      <c r="BE73">
        <f>IF(ISBLANK(Tabla7[[#This Row],[15/09/2018]]),0,Tabla7[[#This Row],[15/09/2018]])</f>
        <v>5622706</v>
      </c>
      <c r="BF73">
        <f>IF(ISBLANK(Tabla7[[#This Row],[15/10/2018]]),0,Tabla7[[#This Row],[15/10/2018]])</f>
        <v>5630166</v>
      </c>
      <c r="BG73">
        <f>IF(ISBLANK(Tabla7[[#This Row],[15/11/2018]]),0,Tabla7[[#This Row],[15/11/2018]])</f>
        <v>5640590</v>
      </c>
      <c r="BH73">
        <f>IF(ISBLANK(Tabla7[[#This Row],[15/12/2018]]),0,Tabla7[[#This Row],[15/12/2018]])</f>
        <v>5652719</v>
      </c>
      <c r="BI73">
        <f>IF(ISBLANK(Tabla7[[#This Row],[28/12/2018]]),0,Tabla7[[#This Row],[28/12/2018]])</f>
        <v>0</v>
      </c>
      <c r="BN7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('94811340','MT-S','MT-S','39947','SAGUNTO ALEVINES (CNX SR-004)','MUELLE PESQUERO     ','MEDIA TENSION.ALEVINES','21 MEDIA TENSIÓN');</v>
      </c>
      <c r="BO73" t="s">
        <v>243</v>
      </c>
      <c r="BP73" s="632" t="str">
        <f>CONCATENATE("insert into lecturas values ","('",Tabla7[[#This Row],[CONTADOR]],"',STR_TO_DATE('",Tabla7[[#Headers],[31/12/2017]],"','%d/%m/%Y'),",AV73,"),","('",Tabla7[[#This Row],[CONTADOR]],"',STR_TO_DATE('",Tabla7[[#Headers],[15/01/2018]],"','%d/%m/%Y'),",AW73,"),","('",Tabla7[[#This Row],[CONTADOR]],"',STR_TO_DATE('",Tabla7[[#Headers],[15/02/2018]],"','%d/%m/%Y'),",AX73,"),","('",Tabla7[[#This Row],[CONTADOR]],"',STR_TO_DATE('",Tabla7[[#Headers],[15/03/2018]],"','%d/%m/%Y'),",AY73,"),","('",Tabla7[[#This Row],[CONTADOR]],"',STR_TO_DATE('",Tabla7[[#Headers],[15/04/2018]],"','%d/%m/%Y'),",AZ73,"),","('",Tabla7[[#This Row],[CONTADOR]],"',STR_TO_DATE('",Tabla7[[#Headers],[15/05/2018]],"','%d/%m/%Y'),",BA73,"),","('",Tabla7[[#This Row],[CONTADOR]],"',STR_TO_DATE('",Tabla7[[#Headers],[15/06/2018]],"','%d/%m/%Y'),",BB73,"),","('",Tabla7[[#This Row],[CONTADOR]],"',STR_TO_DATE('",Tabla7[[#Headers],[15/07/2018]],"','%d/%m/%Y'),",BC73,"),","('",Tabla7[[#This Row],[CONTADOR]],"',STR_TO_DATE('",Tabla7[[#Headers],[15/08/2018]],"','%d/%m/%Y'),",BD73,"),","('",Tabla7[[#This Row],[CONTADOR]],"',STR_TO_DATE('",Tabla7[[#Headers],[15/09/2018]],"','%d/%m/%Y'),",BE73,"),","('",Tabla7[[#This Row],[CONTADOR]],"',STR_TO_DATE('",Tabla7[[#Headers],[15/10/2018]],"','%d/%m/%Y'),",BF73,"),","('",Tabla7[[#This Row],[CONTADOR]],"',STR_TO_DATE('",Tabla7[[#Headers],[15/11/2018]],"','%d/%m/%Y'),",BG73,"),","('",Tabla7[[#This Row],[CONTADOR]],"',STR_TO_DATE('",Tabla7[[#Headers],[15/12/2018]],"','%d/%m/%Y'),",BH73,");")</f>
        <v>insert into lecturas values ('94811340',STR_TO_DATE('31/12/2017','%d/%m/%Y'),5044440),('94811340',STR_TO_DATE('15/01/2018','%d/%m/%Y'),5081623),('94811340',STR_TO_DATE('15/02/2018','%d/%m/%Y'),5165982),('94811340',STR_TO_DATE('15/03/2018','%d/%m/%Y'),5257835),('94811340',STR_TO_DATE('15/04/2018','%d/%m/%Y'),5327616),('94811340',STR_TO_DATE('15/05/2018','%d/%m/%Y'),5399270),('94811340',STR_TO_DATE('15/06/2018','%d/%m/%Y'),5475892),('94811340',STR_TO_DATE('15/07/2018','%d/%m/%Y'),5560453),('94811340',STR_TO_DATE('15/08/2018','%d/%m/%Y'),5616159),('94811340',STR_TO_DATE('15/09/2018','%d/%m/%Y'),5622706),('94811340',STR_TO_DATE('15/10/2018','%d/%m/%Y'),5630166),('94811340',STR_TO_DATE('15/11/2018','%d/%m/%Y'),5640590),('94811340',STR_TO_DATE('15/12/2018','%d/%m/%Y'),5652719);</v>
      </c>
    </row>
    <row r="74" spans="1:68" ht="18" customHeight="1" x14ac:dyDescent="0.25">
      <c r="A74" s="241" t="s">
        <v>517</v>
      </c>
      <c r="B74" s="60"/>
      <c r="C74" s="223">
        <v>94811345</v>
      </c>
      <c r="D74" s="60" t="s">
        <v>517</v>
      </c>
      <c r="E74" s="258">
        <v>39975</v>
      </c>
      <c r="F74" s="2" t="s">
        <v>528</v>
      </c>
      <c r="G74" s="2" t="s">
        <v>529</v>
      </c>
      <c r="H74" s="2" t="s">
        <v>530</v>
      </c>
      <c r="I74" s="274" t="s">
        <v>945</v>
      </c>
      <c r="J74" s="311">
        <v>2666938</v>
      </c>
      <c r="K74" s="311">
        <v>2684135</v>
      </c>
      <c r="L74" s="311">
        <v>2726188</v>
      </c>
      <c r="M74" s="311">
        <v>2762864</v>
      </c>
      <c r="N74" s="2">
        <v>2801733</v>
      </c>
      <c r="O74" s="311">
        <v>2837724</v>
      </c>
      <c r="P74" s="454">
        <v>2876360</v>
      </c>
      <c r="Q74" s="311">
        <v>2923373</v>
      </c>
      <c r="R74" s="311">
        <v>2972132</v>
      </c>
      <c r="S74" s="311">
        <v>3014242</v>
      </c>
      <c r="T74" s="311">
        <v>3044882</v>
      </c>
      <c r="U74" s="311">
        <v>3076242</v>
      </c>
      <c r="V74" s="353">
        <v>3106337</v>
      </c>
      <c r="W74" s="321"/>
      <c r="X74" s="307"/>
      <c r="Y74" s="2">
        <f t="shared" si="28"/>
        <v>17197</v>
      </c>
      <c r="Z74" s="2">
        <f t="shared" si="27"/>
        <v>42053</v>
      </c>
      <c r="AA74" s="2">
        <f t="shared" si="33"/>
        <v>36676</v>
      </c>
      <c r="AB74" s="2">
        <f t="shared" si="33"/>
        <v>38869</v>
      </c>
      <c r="AC74" s="2">
        <f t="shared" si="34"/>
        <v>35991</v>
      </c>
      <c r="AD74" s="2">
        <f t="shared" si="35"/>
        <v>38636</v>
      </c>
      <c r="AE74" s="2">
        <f t="shared" si="36"/>
        <v>47013</v>
      </c>
      <c r="AF74" s="2">
        <f t="shared" si="37"/>
        <v>48759</v>
      </c>
      <c r="AG74" s="2">
        <f t="shared" si="38"/>
        <v>42110</v>
      </c>
      <c r="AH74" s="2">
        <f t="shared" si="41"/>
        <v>30640</v>
      </c>
      <c r="AI74" s="2">
        <f t="shared" si="39"/>
        <v>31360</v>
      </c>
      <c r="AJ74" s="2">
        <f t="shared" si="40"/>
        <v>30095</v>
      </c>
      <c r="AK74" s="406">
        <v>1</v>
      </c>
      <c r="AL74" s="274">
        <f t="shared" ca="1" si="29"/>
        <v>2801733</v>
      </c>
      <c r="AM74" s="311">
        <f t="shared" ca="1" si="30"/>
        <v>2837724</v>
      </c>
      <c r="AN74" s="274">
        <f ca="1">IF(AND(Tabla7[[#This Row],[UltLec]]&lt;&gt;0,Tabla7[[#This Row],[PenLect]]&lt;&gt;0),(AM74-AL74)*Tabla7[[#This Row],[RT]],"N/A")</f>
        <v>35991</v>
      </c>
      <c r="AO74" s="273" t="s">
        <v>1135</v>
      </c>
      <c r="AP74" s="392" t="s">
        <v>1191</v>
      </c>
      <c r="AQ74" s="392" t="s">
        <v>1189</v>
      </c>
      <c r="AR74" s="407">
        <f t="shared" si="31"/>
        <v>0</v>
      </c>
      <c r="AT74" s="2">
        <f t="shared" ca="1" si="32"/>
        <v>0.92595641771077208</v>
      </c>
      <c r="AV74">
        <f>IF(ISBLANK(Tabla7[[#This Row],[31/12/2017]]),0,Tabla7[[#This Row],[31/12/2017]])</f>
        <v>2666938</v>
      </c>
      <c r="AW74">
        <f>IF(ISBLANK(Tabla7[[#This Row],[15/01/2018]]),0,Tabla7[[#This Row],[15/01/2018]])</f>
        <v>2684135</v>
      </c>
      <c r="AX74">
        <f>IF(ISBLANK(Tabla7[[#This Row],[15/02/2018]]),0,Tabla7[[#This Row],[15/02/2018]])</f>
        <v>2726188</v>
      </c>
      <c r="AY74">
        <f>IF(ISBLANK(Tabla7[[#This Row],[15/03/2018]]),0,Tabla7[[#This Row],[15/03/2018]])</f>
        <v>2762864</v>
      </c>
      <c r="AZ74">
        <f>IF(ISBLANK(Tabla7[[#This Row],[15/04/2018]]),0,Tabla7[[#This Row],[15/04/2018]])</f>
        <v>2801733</v>
      </c>
      <c r="BA74">
        <f>IF(ISBLANK(Tabla7[[#This Row],[15/05/2018]]),0,Tabla7[[#This Row],[15/05/2018]])</f>
        <v>2837724</v>
      </c>
      <c r="BB74">
        <f>IF(ISBLANK(Tabla7[[#This Row],[15/06/2018]]),0,Tabla7[[#This Row],[15/06/2018]])</f>
        <v>2876360</v>
      </c>
      <c r="BC74">
        <f>IF(ISBLANK(Tabla7[[#This Row],[15/07/2018]]),0,Tabla7[[#This Row],[15/07/2018]])</f>
        <v>2923373</v>
      </c>
      <c r="BD74">
        <f>IF(ISBLANK(Tabla7[[#This Row],[15/08/2018]]),0,Tabla7[[#This Row],[15/08/2018]])</f>
        <v>2972132</v>
      </c>
      <c r="BE74">
        <f>IF(ISBLANK(Tabla7[[#This Row],[15/09/2018]]),0,Tabla7[[#This Row],[15/09/2018]])</f>
        <v>3014242</v>
      </c>
      <c r="BF74">
        <f>IF(ISBLANK(Tabla7[[#This Row],[15/10/2018]]),0,Tabla7[[#This Row],[15/10/2018]])</f>
        <v>3044882</v>
      </c>
      <c r="BG74">
        <f>IF(ISBLANK(Tabla7[[#This Row],[15/11/2018]]),0,Tabla7[[#This Row],[15/11/2018]])</f>
        <v>3076242</v>
      </c>
      <c r="BH74">
        <f>IF(ISBLANK(Tabla7[[#This Row],[15/12/2018]]),0,Tabla7[[#This Row],[15/12/2018]])</f>
        <v>3106337</v>
      </c>
      <c r="BI74">
        <f>IF(ISBLANK(Tabla7[[#This Row],[28/12/2018]]),0,Tabla7[[#This Row],[28/12/2018]])</f>
        <v>0</v>
      </c>
      <c r="BN7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('94811345','MT-S','MT-S','39975','TOYOTA LOGISTICS S. ESPAÑA,SLU','AMPLIACIÓN SUR      ','MEDIA TENSION. TOYOTA','24 MEDIA TENSIÓN');</v>
      </c>
      <c r="BO74" t="s">
        <v>243</v>
      </c>
      <c r="BP74" s="632" t="str">
        <f>CONCATENATE("insert into lecturas values ","('",Tabla7[[#This Row],[CONTADOR]],"',STR_TO_DATE('",Tabla7[[#Headers],[31/12/2017]],"','%d/%m/%Y'),",AV74,"),","('",Tabla7[[#This Row],[CONTADOR]],"',STR_TO_DATE('",Tabla7[[#Headers],[15/01/2018]],"','%d/%m/%Y'),",AW74,"),","('",Tabla7[[#This Row],[CONTADOR]],"',STR_TO_DATE('",Tabla7[[#Headers],[15/02/2018]],"','%d/%m/%Y'),",AX74,"),","('",Tabla7[[#This Row],[CONTADOR]],"',STR_TO_DATE('",Tabla7[[#Headers],[15/03/2018]],"','%d/%m/%Y'),",AY74,"),","('",Tabla7[[#This Row],[CONTADOR]],"',STR_TO_DATE('",Tabla7[[#Headers],[15/04/2018]],"','%d/%m/%Y'),",AZ74,"),","('",Tabla7[[#This Row],[CONTADOR]],"',STR_TO_DATE('",Tabla7[[#Headers],[15/05/2018]],"','%d/%m/%Y'),",BA74,"),","('",Tabla7[[#This Row],[CONTADOR]],"',STR_TO_DATE('",Tabla7[[#Headers],[15/06/2018]],"','%d/%m/%Y'),",BB74,"),","('",Tabla7[[#This Row],[CONTADOR]],"',STR_TO_DATE('",Tabla7[[#Headers],[15/07/2018]],"','%d/%m/%Y'),",BC74,"),","('",Tabla7[[#This Row],[CONTADOR]],"',STR_TO_DATE('",Tabla7[[#Headers],[15/08/2018]],"','%d/%m/%Y'),",BD74,"),","('",Tabla7[[#This Row],[CONTADOR]],"',STR_TO_DATE('",Tabla7[[#Headers],[15/09/2018]],"','%d/%m/%Y'),",BE74,"),","('",Tabla7[[#This Row],[CONTADOR]],"',STR_TO_DATE('",Tabla7[[#Headers],[15/10/2018]],"','%d/%m/%Y'),",BF74,"),","('",Tabla7[[#This Row],[CONTADOR]],"',STR_TO_DATE('",Tabla7[[#Headers],[15/11/2018]],"','%d/%m/%Y'),",BG74,"),","('",Tabla7[[#This Row],[CONTADOR]],"',STR_TO_DATE('",Tabla7[[#Headers],[15/12/2018]],"','%d/%m/%Y'),",BH74,");")</f>
        <v>insert into lecturas values ('94811345',STR_TO_DATE('31/12/2017','%d/%m/%Y'),2666938),('94811345',STR_TO_DATE('15/01/2018','%d/%m/%Y'),2684135),('94811345',STR_TO_DATE('15/02/2018','%d/%m/%Y'),2726188),('94811345',STR_TO_DATE('15/03/2018','%d/%m/%Y'),2762864),('94811345',STR_TO_DATE('15/04/2018','%d/%m/%Y'),2801733),('94811345',STR_TO_DATE('15/05/2018','%d/%m/%Y'),2837724),('94811345',STR_TO_DATE('15/06/2018','%d/%m/%Y'),2876360),('94811345',STR_TO_DATE('15/07/2018','%d/%m/%Y'),2923373),('94811345',STR_TO_DATE('15/08/2018','%d/%m/%Y'),2972132),('94811345',STR_TO_DATE('15/09/2018','%d/%m/%Y'),3014242),('94811345',STR_TO_DATE('15/10/2018','%d/%m/%Y'),3044882),('94811345',STR_TO_DATE('15/11/2018','%d/%m/%Y'),3076242),('94811345',STR_TO_DATE('15/12/2018','%d/%m/%Y'),3106337);</v>
      </c>
    </row>
    <row r="75" spans="1:68" ht="18" customHeight="1" x14ac:dyDescent="0.3">
      <c r="A75" s="241" t="s">
        <v>517</v>
      </c>
      <c r="B75" s="60"/>
      <c r="C75" s="223">
        <v>94811349</v>
      </c>
      <c r="D75" s="60" t="s">
        <v>517</v>
      </c>
      <c r="E75" s="258">
        <v>39424</v>
      </c>
      <c r="F75" s="274" t="s">
        <v>1372</v>
      </c>
      <c r="G75" s="274" t="s">
        <v>1373</v>
      </c>
      <c r="H75" s="2" t="s">
        <v>1374</v>
      </c>
      <c r="I75" s="274"/>
      <c r="J75" s="311"/>
      <c r="K75" s="311"/>
      <c r="L75" s="311"/>
      <c r="M75" s="311"/>
      <c r="N75" s="311"/>
      <c r="O75" s="311"/>
      <c r="P75" s="454">
        <v>1153006</v>
      </c>
      <c r="Q75" s="311"/>
      <c r="R75" s="491"/>
      <c r="S75" s="539">
        <v>1153006</v>
      </c>
      <c r="T75" s="307"/>
      <c r="U75" s="454">
        <v>1162976</v>
      </c>
      <c r="V75" s="311">
        <v>1165591</v>
      </c>
      <c r="W75" s="344"/>
      <c r="X75" s="307"/>
      <c r="Y75" s="2" t="str">
        <f t="shared" si="28"/>
        <v/>
      </c>
      <c r="Z75" s="2" t="str">
        <f t="shared" si="27"/>
        <v/>
      </c>
      <c r="AA75" s="2" t="str">
        <f>IF(OR(ISBLANK(#REF!),ISBLANK(L75)),"",IF(AND(#REF!&gt;=L75,#REF!-L75&lt;=#REF!),(#REF!-L75)*$AK75,"!!!!"))</f>
        <v/>
      </c>
      <c r="AB75" s="2" t="str">
        <f>IF(OR(ISBLANK(N75),ISBLANK(#REF!)),"",IF(AND(N75&gt;=#REF!,N75-#REF!&lt;=N75),(N75-#REF!)*$AK75,"!!!!"))</f>
        <v/>
      </c>
      <c r="AC75" s="2" t="str">
        <f t="shared" si="34"/>
        <v/>
      </c>
      <c r="AD75" s="2" t="str">
        <f t="shared" si="35"/>
        <v/>
      </c>
      <c r="AE75" s="2" t="str">
        <f t="shared" si="36"/>
        <v/>
      </c>
      <c r="AF75" s="2" t="str">
        <f t="shared" si="37"/>
        <v/>
      </c>
      <c r="AG75" s="2" t="str">
        <f t="shared" si="38"/>
        <v/>
      </c>
      <c r="AH75" s="271" t="str">
        <f t="shared" si="41"/>
        <v/>
      </c>
      <c r="AI75" s="2" t="str">
        <f t="shared" si="39"/>
        <v/>
      </c>
      <c r="AJ75" s="2">
        <f t="shared" si="40"/>
        <v>2615</v>
      </c>
      <c r="AK75" s="420">
        <v>1</v>
      </c>
      <c r="AL75" s="429">
        <f t="shared" ca="1" si="29"/>
        <v>0</v>
      </c>
      <c r="AM75" s="311">
        <f t="shared" ca="1" si="30"/>
        <v>0</v>
      </c>
      <c r="AN75" s="412" t="str">
        <f ca="1">IF(AND(Tabla7[[#This Row],[UltLec]]&lt;&gt;0,Tabla7[[#This Row],[PenLect]]&lt;&gt;0),(AM75-AL75)*Tabla7[[#This Row],[RT]],"N/A")</f>
        <v>N/A</v>
      </c>
      <c r="AO75" s="273" t="s">
        <v>1135</v>
      </c>
      <c r="AP75" s="392" t="s">
        <v>1191</v>
      </c>
      <c r="AQ75" s="392" t="s">
        <v>1189</v>
      </c>
      <c r="AR75" s="407">
        <f t="shared" si="31"/>
        <v>0</v>
      </c>
      <c r="AT75" s="2" t="e">
        <f t="shared" ca="1" si="32"/>
        <v>#VALUE!</v>
      </c>
      <c r="AV75">
        <f>IF(ISBLANK(Tabla7[[#This Row],[31/12/2017]]),0,Tabla7[[#This Row],[31/12/2017]])</f>
        <v>0</v>
      </c>
      <c r="AW75">
        <f>IF(ISBLANK(Tabla7[[#This Row],[15/01/2018]]),0,Tabla7[[#This Row],[15/01/2018]])</f>
        <v>0</v>
      </c>
      <c r="AX75">
        <f>IF(ISBLANK(Tabla7[[#This Row],[15/02/2018]]),0,Tabla7[[#This Row],[15/02/2018]])</f>
        <v>0</v>
      </c>
      <c r="AY75">
        <f>IF(ISBLANK(Tabla7[[#This Row],[15/03/2018]]),0,Tabla7[[#This Row],[15/03/2018]])</f>
        <v>0</v>
      </c>
      <c r="AZ75">
        <f>IF(ISBLANK(Tabla7[[#This Row],[15/04/2018]]),0,Tabla7[[#This Row],[15/04/2018]])</f>
        <v>0</v>
      </c>
      <c r="BA75">
        <f>IF(ISBLANK(Tabla7[[#This Row],[15/05/2018]]),0,Tabla7[[#This Row],[15/05/2018]])</f>
        <v>0</v>
      </c>
      <c r="BB75">
        <f>IF(ISBLANK(Tabla7[[#This Row],[15/06/2018]]),0,Tabla7[[#This Row],[15/06/2018]])</f>
        <v>1153006</v>
      </c>
      <c r="BC75">
        <f>IF(ISBLANK(Tabla7[[#This Row],[15/07/2018]]),0,Tabla7[[#This Row],[15/07/2018]])</f>
        <v>0</v>
      </c>
      <c r="BD75">
        <f>IF(ISBLANK(Tabla7[[#This Row],[15/08/2018]]),0,Tabla7[[#This Row],[15/08/2018]])</f>
        <v>0</v>
      </c>
      <c r="BE75">
        <f>IF(ISBLANK(Tabla7[[#This Row],[15/09/2018]]),0,Tabla7[[#This Row],[15/09/2018]])</f>
        <v>1153006</v>
      </c>
      <c r="BF75">
        <f>IF(ISBLANK(Tabla7[[#This Row],[15/10/2018]]),0,Tabla7[[#This Row],[15/10/2018]])</f>
        <v>0</v>
      </c>
      <c r="BG75">
        <f>IF(ISBLANK(Tabla7[[#This Row],[15/11/2018]]),0,Tabla7[[#This Row],[15/11/2018]])</f>
        <v>1162976</v>
      </c>
      <c r="BH75">
        <f>IF(ISBLANK(Tabla7[[#This Row],[15/12/2018]]),0,Tabla7[[#This Row],[15/12/2018]])</f>
        <v>1165591</v>
      </c>
      <c r="BI75">
        <f>IF(ISBLANK(Tabla7[[#This Row],[28/12/2018]]),0,Tabla7[[#This Row],[28/12/2018]])</f>
        <v>0</v>
      </c>
      <c r="BN7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('94811349','MT-S','MT-S','39424','IDEAL DEVELOPMENTS S.L','EN CT PROPIO','ALTA 10/07/2018','');</v>
      </c>
      <c r="BO75" t="s">
        <v>243</v>
      </c>
      <c r="BP75" s="632" t="str">
        <f>CONCATENATE("insert into lecturas values ","('",Tabla7[[#This Row],[CONTADOR]],"',STR_TO_DATE('",Tabla7[[#Headers],[31/12/2017]],"','%d/%m/%Y'),",AV75,"),","('",Tabla7[[#This Row],[CONTADOR]],"',STR_TO_DATE('",Tabla7[[#Headers],[15/01/2018]],"','%d/%m/%Y'),",AW75,"),","('",Tabla7[[#This Row],[CONTADOR]],"',STR_TO_DATE('",Tabla7[[#Headers],[15/02/2018]],"','%d/%m/%Y'),",AX75,"),","('",Tabla7[[#This Row],[CONTADOR]],"',STR_TO_DATE('",Tabla7[[#Headers],[15/03/2018]],"','%d/%m/%Y'),",AY75,"),","('",Tabla7[[#This Row],[CONTADOR]],"',STR_TO_DATE('",Tabla7[[#Headers],[15/04/2018]],"','%d/%m/%Y'),",AZ75,"),","('",Tabla7[[#This Row],[CONTADOR]],"',STR_TO_DATE('",Tabla7[[#Headers],[15/05/2018]],"','%d/%m/%Y'),",BA75,"),","('",Tabla7[[#This Row],[CONTADOR]],"',STR_TO_DATE('",Tabla7[[#Headers],[15/06/2018]],"','%d/%m/%Y'),",BB75,"),","('",Tabla7[[#This Row],[CONTADOR]],"',STR_TO_DATE('",Tabla7[[#Headers],[15/07/2018]],"','%d/%m/%Y'),",BC75,"),","('",Tabla7[[#This Row],[CONTADOR]],"',STR_TO_DATE('",Tabla7[[#Headers],[15/08/2018]],"','%d/%m/%Y'),",BD75,"),","('",Tabla7[[#This Row],[CONTADOR]],"',STR_TO_DATE('",Tabla7[[#Headers],[15/09/2018]],"','%d/%m/%Y'),",BE75,"),","('",Tabla7[[#This Row],[CONTADOR]],"',STR_TO_DATE('",Tabla7[[#Headers],[15/10/2018]],"','%d/%m/%Y'),",BF75,"),","('",Tabla7[[#This Row],[CONTADOR]],"',STR_TO_DATE('",Tabla7[[#Headers],[15/11/2018]],"','%d/%m/%Y'),",BG75,"),","('",Tabla7[[#This Row],[CONTADOR]],"',STR_TO_DATE('",Tabla7[[#Headers],[15/12/2018]],"','%d/%m/%Y'),",BH75,");")</f>
        <v>insert into lecturas values ('94811349',STR_TO_DATE('31/12/2017','%d/%m/%Y'),0),('94811349',STR_TO_DATE('15/01/2018','%d/%m/%Y'),0),('94811349',STR_TO_DATE('15/02/2018','%d/%m/%Y'),0),('94811349',STR_TO_DATE('15/03/2018','%d/%m/%Y'),0),('94811349',STR_TO_DATE('15/04/2018','%d/%m/%Y'),0),('94811349',STR_TO_DATE('15/05/2018','%d/%m/%Y'),0),('94811349',STR_TO_DATE('15/06/2018','%d/%m/%Y'),1153006),('94811349',STR_TO_DATE('15/07/2018','%d/%m/%Y'),0),('94811349',STR_TO_DATE('15/08/2018','%d/%m/%Y'),0),('94811349',STR_TO_DATE('15/09/2018','%d/%m/%Y'),1153006),('94811349',STR_TO_DATE('15/10/2018','%d/%m/%Y'),0),('94811349',STR_TO_DATE('15/11/2018','%d/%m/%Y'),1162976),('94811349',STR_TO_DATE('15/12/2018','%d/%m/%Y'),1165591);</v>
      </c>
    </row>
    <row r="76" spans="1:68" ht="18" customHeight="1" x14ac:dyDescent="0.25">
      <c r="A76" s="372" t="s">
        <v>1197</v>
      </c>
      <c r="B76" s="374"/>
      <c r="C76" s="373">
        <v>94811349</v>
      </c>
      <c r="D76" s="374" t="s">
        <v>517</v>
      </c>
      <c r="E76" s="375">
        <v>39971</v>
      </c>
      <c r="F76" s="377" t="s">
        <v>525</v>
      </c>
      <c r="G76" s="377" t="s">
        <v>526</v>
      </c>
      <c r="H76" s="376" t="s">
        <v>527</v>
      </c>
      <c r="I76" s="377" t="s">
        <v>359</v>
      </c>
      <c r="J76" s="383"/>
      <c r="K76" s="383"/>
      <c r="L76" s="383"/>
      <c r="M76" s="383"/>
      <c r="N76" s="376"/>
      <c r="O76" s="383"/>
      <c r="P76" s="383">
        <v>1153006</v>
      </c>
      <c r="Q76" s="383"/>
      <c r="R76" s="384"/>
      <c r="S76" s="377"/>
      <c r="T76" s="377"/>
      <c r="U76" s="383"/>
      <c r="V76" s="377"/>
      <c r="W76" s="383"/>
      <c r="X76" s="377"/>
      <c r="Y76" s="376" t="str">
        <f t="shared" si="28"/>
        <v/>
      </c>
      <c r="Z76" s="376" t="str">
        <f t="shared" si="27"/>
        <v/>
      </c>
      <c r="AA76" s="376" t="str">
        <f t="shared" ref="AA76:AA91" si="42">IF(OR(ISBLANK(M76),ISBLANK(L76)),"",IF(AND(M76&gt;=L76,M76-L76&lt;=M76),(M76-L76)*$AK76,"!!!!"))</f>
        <v/>
      </c>
      <c r="AB76" s="376" t="str">
        <f t="shared" ref="AB76:AB91" si="43">IF(OR(ISBLANK(N76),ISBLANK(M76)),"",IF(AND(N76&gt;=M76,N76-M76&lt;=N76),(N76-M76)*$AK76,"!!!!"))</f>
        <v/>
      </c>
      <c r="AC76" s="376" t="str">
        <f t="shared" si="34"/>
        <v/>
      </c>
      <c r="AD76" s="376" t="str">
        <f t="shared" si="35"/>
        <v/>
      </c>
      <c r="AE76" s="376" t="str">
        <f t="shared" si="36"/>
        <v/>
      </c>
      <c r="AF76" s="376" t="str">
        <f t="shared" si="37"/>
        <v/>
      </c>
      <c r="AG76" s="376" t="str">
        <f t="shared" si="38"/>
        <v/>
      </c>
      <c r="AH76" s="376" t="str">
        <f t="shared" si="41"/>
        <v/>
      </c>
      <c r="AI76" s="376" t="str">
        <f t="shared" si="39"/>
        <v/>
      </c>
      <c r="AJ76" s="376" t="str">
        <f t="shared" si="40"/>
        <v/>
      </c>
      <c r="AK76" s="408">
        <v>1</v>
      </c>
      <c r="AL76" s="377">
        <f t="shared" ca="1" si="29"/>
        <v>0</v>
      </c>
      <c r="AM76" s="383">
        <f t="shared" ca="1" si="30"/>
        <v>0</v>
      </c>
      <c r="AN76" s="377" t="str">
        <f ca="1">IF(AND(Tabla7[[#This Row],[UltLec]]&lt;&gt;0,Tabla7[[#This Row],[PenLect]]&lt;&gt;0),(AM76-AL76)*Tabla7[[#This Row],[RT]],"N/A")</f>
        <v>N/A</v>
      </c>
      <c r="AO76" s="380" t="s">
        <v>1281</v>
      </c>
      <c r="AP76" s="433" t="s">
        <v>1191</v>
      </c>
      <c r="AQ76" s="433" t="s">
        <v>1189</v>
      </c>
      <c r="AR76" s="407">
        <f t="shared" si="31"/>
        <v>0</v>
      </c>
      <c r="AT76" s="2" t="e">
        <f t="shared" ca="1" si="32"/>
        <v>#VALUE!</v>
      </c>
      <c r="AV76">
        <f>IF(ISBLANK(Tabla7[[#This Row],[31/12/2017]]),0,Tabla7[[#This Row],[31/12/2017]])</f>
        <v>0</v>
      </c>
      <c r="AW76">
        <f>IF(ISBLANK(Tabla7[[#This Row],[15/01/2018]]),0,Tabla7[[#This Row],[15/01/2018]])</f>
        <v>0</v>
      </c>
      <c r="AX76">
        <f>IF(ISBLANK(Tabla7[[#This Row],[15/02/2018]]),0,Tabla7[[#This Row],[15/02/2018]])</f>
        <v>0</v>
      </c>
      <c r="AY76">
        <f>IF(ISBLANK(Tabla7[[#This Row],[15/03/2018]]),0,Tabla7[[#This Row],[15/03/2018]])</f>
        <v>0</v>
      </c>
      <c r="AZ76">
        <f>IF(ISBLANK(Tabla7[[#This Row],[15/04/2018]]),0,Tabla7[[#This Row],[15/04/2018]])</f>
        <v>0</v>
      </c>
      <c r="BA76">
        <f>IF(ISBLANK(Tabla7[[#This Row],[15/05/2018]]),0,Tabla7[[#This Row],[15/05/2018]])</f>
        <v>0</v>
      </c>
      <c r="BB76">
        <f>IF(ISBLANK(Tabla7[[#This Row],[15/06/2018]]),0,Tabla7[[#This Row],[15/06/2018]])</f>
        <v>1153006</v>
      </c>
      <c r="BC76">
        <f>IF(ISBLANK(Tabla7[[#This Row],[15/07/2018]]),0,Tabla7[[#This Row],[15/07/2018]])</f>
        <v>0</v>
      </c>
      <c r="BD76">
        <f>IF(ISBLANK(Tabla7[[#This Row],[15/08/2018]]),0,Tabla7[[#This Row],[15/08/2018]])</f>
        <v>0</v>
      </c>
      <c r="BE76">
        <f>IF(ISBLANK(Tabla7[[#This Row],[15/09/2018]]),0,Tabla7[[#This Row],[15/09/2018]])</f>
        <v>0</v>
      </c>
      <c r="BF76">
        <f>IF(ISBLANK(Tabla7[[#This Row],[15/10/2018]]),0,Tabla7[[#This Row],[15/10/2018]])</f>
        <v>0</v>
      </c>
      <c r="BG76">
        <f>IF(ISBLANK(Tabla7[[#This Row],[15/11/2018]]),0,Tabla7[[#This Row],[15/11/2018]])</f>
        <v>0</v>
      </c>
      <c r="BH76">
        <f>IF(ISBLANK(Tabla7[[#This Row],[15/12/2018]]),0,Tabla7[[#This Row],[15/12/2018]])</f>
        <v>0</v>
      </c>
      <c r="BI76">
        <f>IF(ISBLANK(Tabla7[[#This Row],[28/12/2018]]),0,Tabla7[[#This Row],[28/12/2018]])</f>
        <v>0</v>
      </c>
      <c r="BN7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('94811349','MT-BAJA','MT-S','39971','PROCESOS LOGISTC. INTEGLES SLU','M CENTRO 2          ','MEDIA TENSION.','MEDIA TENSIÓN');</v>
      </c>
      <c r="BO76" t="s">
        <v>243</v>
      </c>
      <c r="BP76" s="632" t="str">
        <f>CONCATENATE("insert into lecturas values ","('",Tabla7[[#This Row],[CONTADOR]],"',STR_TO_DATE('",Tabla7[[#Headers],[31/12/2017]],"','%d/%m/%Y'),",AV76,"),","('",Tabla7[[#This Row],[CONTADOR]],"',STR_TO_DATE('",Tabla7[[#Headers],[15/01/2018]],"','%d/%m/%Y'),",AW76,"),","('",Tabla7[[#This Row],[CONTADOR]],"',STR_TO_DATE('",Tabla7[[#Headers],[15/02/2018]],"','%d/%m/%Y'),",AX76,"),","('",Tabla7[[#This Row],[CONTADOR]],"',STR_TO_DATE('",Tabla7[[#Headers],[15/03/2018]],"','%d/%m/%Y'),",AY76,"),","('",Tabla7[[#This Row],[CONTADOR]],"',STR_TO_DATE('",Tabla7[[#Headers],[15/04/2018]],"','%d/%m/%Y'),",AZ76,"),","('",Tabla7[[#This Row],[CONTADOR]],"',STR_TO_DATE('",Tabla7[[#Headers],[15/05/2018]],"','%d/%m/%Y'),",BA76,"),","('",Tabla7[[#This Row],[CONTADOR]],"',STR_TO_DATE('",Tabla7[[#Headers],[15/06/2018]],"','%d/%m/%Y'),",BB76,"),","('",Tabla7[[#This Row],[CONTADOR]],"',STR_TO_DATE('",Tabla7[[#Headers],[15/07/2018]],"','%d/%m/%Y'),",BC76,"),","('",Tabla7[[#This Row],[CONTADOR]],"',STR_TO_DATE('",Tabla7[[#Headers],[15/08/2018]],"','%d/%m/%Y'),",BD76,"),","('",Tabla7[[#This Row],[CONTADOR]],"',STR_TO_DATE('",Tabla7[[#Headers],[15/09/2018]],"','%d/%m/%Y'),",BE76,"),","('",Tabla7[[#This Row],[CONTADOR]],"',STR_TO_DATE('",Tabla7[[#Headers],[15/10/2018]],"','%d/%m/%Y'),",BF76,"),","('",Tabla7[[#This Row],[CONTADOR]],"',STR_TO_DATE('",Tabla7[[#Headers],[15/11/2018]],"','%d/%m/%Y'),",BG76,"),","('",Tabla7[[#This Row],[CONTADOR]],"',STR_TO_DATE('",Tabla7[[#Headers],[15/12/2018]],"','%d/%m/%Y'),",BH76,");")</f>
        <v>insert into lecturas values ('94811349',STR_TO_DATE('31/12/2017','%d/%m/%Y'),0),('94811349',STR_TO_DATE('15/01/2018','%d/%m/%Y'),0),('94811349',STR_TO_DATE('15/02/2018','%d/%m/%Y'),0),('94811349',STR_TO_DATE('15/03/2018','%d/%m/%Y'),0),('94811349',STR_TO_DATE('15/04/2018','%d/%m/%Y'),0),('94811349',STR_TO_DATE('15/05/2018','%d/%m/%Y'),0),('94811349',STR_TO_DATE('15/06/2018','%d/%m/%Y'),1153006),('94811349',STR_TO_DATE('15/07/2018','%d/%m/%Y'),0),('94811349',STR_TO_DATE('15/08/2018','%d/%m/%Y'),0),('94811349',STR_TO_DATE('15/09/2018','%d/%m/%Y'),0),('94811349',STR_TO_DATE('15/10/2018','%d/%m/%Y'),0),('94811349',STR_TO_DATE('15/11/2018','%d/%m/%Y'),0),('94811349',STR_TO_DATE('15/12/2018','%d/%m/%Y'),0);</v>
      </c>
    </row>
    <row r="77" spans="1:68" ht="18" customHeight="1" x14ac:dyDescent="0.25">
      <c r="A77" s="241" t="s">
        <v>517</v>
      </c>
      <c r="B77" s="60"/>
      <c r="C77" s="223">
        <v>94823397</v>
      </c>
      <c r="D77" s="60" t="s">
        <v>517</v>
      </c>
      <c r="E77" s="258">
        <v>39929</v>
      </c>
      <c r="F77" s="274" t="s">
        <v>518</v>
      </c>
      <c r="G77" s="2" t="s">
        <v>519</v>
      </c>
      <c r="H77" s="274"/>
      <c r="I77" s="274" t="s">
        <v>946</v>
      </c>
      <c r="J77" s="311">
        <v>2044816</v>
      </c>
      <c r="K77" s="311">
        <v>2047845</v>
      </c>
      <c r="L77" s="311">
        <v>2054431</v>
      </c>
      <c r="M77" s="311">
        <v>2059792</v>
      </c>
      <c r="N77" s="311">
        <v>2064419</v>
      </c>
      <c r="O77" s="311">
        <v>2068455</v>
      </c>
      <c r="P77" s="454">
        <v>2072920</v>
      </c>
      <c r="Q77" s="311">
        <v>2077751</v>
      </c>
      <c r="R77" s="311">
        <v>2083530</v>
      </c>
      <c r="S77" s="311">
        <v>2088761</v>
      </c>
      <c r="T77" s="311">
        <v>2093885</v>
      </c>
      <c r="U77" s="311">
        <v>2098685</v>
      </c>
      <c r="V77" s="311">
        <v>2103807</v>
      </c>
      <c r="W77" s="321"/>
      <c r="X77" s="274"/>
      <c r="Y77" s="2">
        <f t="shared" si="28"/>
        <v>3029</v>
      </c>
      <c r="Z77" s="2">
        <f t="shared" si="27"/>
        <v>6586</v>
      </c>
      <c r="AA77" s="2">
        <f t="shared" si="42"/>
        <v>5361</v>
      </c>
      <c r="AB77" s="2">
        <f t="shared" si="43"/>
        <v>4627</v>
      </c>
      <c r="AC77" s="2">
        <f t="shared" si="34"/>
        <v>4036</v>
      </c>
      <c r="AD77" s="2">
        <f t="shared" si="35"/>
        <v>4465</v>
      </c>
      <c r="AE77" s="2">
        <f t="shared" si="36"/>
        <v>4831</v>
      </c>
      <c r="AF77" s="2">
        <f t="shared" si="37"/>
        <v>5779</v>
      </c>
      <c r="AG77" s="2">
        <f t="shared" si="38"/>
        <v>5231</v>
      </c>
      <c r="AH77" s="2">
        <f t="shared" si="41"/>
        <v>5124</v>
      </c>
      <c r="AI77" s="2">
        <f t="shared" si="39"/>
        <v>4800</v>
      </c>
      <c r="AJ77" s="2">
        <f t="shared" si="40"/>
        <v>5122</v>
      </c>
      <c r="AK77" s="406">
        <v>1</v>
      </c>
      <c r="AL77" s="274">
        <f t="shared" ca="1" si="29"/>
        <v>2064419</v>
      </c>
      <c r="AM77" s="311">
        <f t="shared" ca="1" si="30"/>
        <v>2068455</v>
      </c>
      <c r="AN77" s="274">
        <f ca="1">IF(AND(Tabla7[[#This Row],[UltLec]]&lt;&gt;0,Tabla7[[#This Row],[PenLect]]&lt;&gt;0),(AM77-AL77)*Tabla7[[#This Row],[RT]],"N/A")</f>
        <v>4036</v>
      </c>
      <c r="AO77" s="273" t="s">
        <v>1135</v>
      </c>
      <c r="AP77" s="392" t="s">
        <v>1191</v>
      </c>
      <c r="AQ77" s="392" t="s">
        <v>1189</v>
      </c>
      <c r="AR77" s="407">
        <f t="shared" si="31"/>
        <v>0</v>
      </c>
      <c r="AT77" s="2">
        <f t="shared" ca="1" si="32"/>
        <v>0.87227145018370433</v>
      </c>
      <c r="AV77">
        <f>IF(ISBLANK(Tabla7[[#This Row],[31/12/2017]]),0,Tabla7[[#This Row],[31/12/2017]])</f>
        <v>2044816</v>
      </c>
      <c r="AW77">
        <f>IF(ISBLANK(Tabla7[[#This Row],[15/01/2018]]),0,Tabla7[[#This Row],[15/01/2018]])</f>
        <v>2047845</v>
      </c>
      <c r="AX77">
        <f>IF(ISBLANK(Tabla7[[#This Row],[15/02/2018]]),0,Tabla7[[#This Row],[15/02/2018]])</f>
        <v>2054431</v>
      </c>
      <c r="AY77">
        <f>IF(ISBLANK(Tabla7[[#This Row],[15/03/2018]]),0,Tabla7[[#This Row],[15/03/2018]])</f>
        <v>2059792</v>
      </c>
      <c r="AZ77">
        <f>IF(ISBLANK(Tabla7[[#This Row],[15/04/2018]]),0,Tabla7[[#This Row],[15/04/2018]])</f>
        <v>2064419</v>
      </c>
      <c r="BA77">
        <f>IF(ISBLANK(Tabla7[[#This Row],[15/05/2018]]),0,Tabla7[[#This Row],[15/05/2018]])</f>
        <v>2068455</v>
      </c>
      <c r="BB77">
        <f>IF(ISBLANK(Tabla7[[#This Row],[15/06/2018]]),0,Tabla7[[#This Row],[15/06/2018]])</f>
        <v>2072920</v>
      </c>
      <c r="BC77">
        <f>IF(ISBLANK(Tabla7[[#This Row],[15/07/2018]]),0,Tabla7[[#This Row],[15/07/2018]])</f>
        <v>2077751</v>
      </c>
      <c r="BD77">
        <f>IF(ISBLANK(Tabla7[[#This Row],[15/08/2018]]),0,Tabla7[[#This Row],[15/08/2018]])</f>
        <v>2083530</v>
      </c>
      <c r="BE77">
        <f>IF(ISBLANK(Tabla7[[#This Row],[15/09/2018]]),0,Tabla7[[#This Row],[15/09/2018]])</f>
        <v>2088761</v>
      </c>
      <c r="BF77">
        <f>IF(ISBLANK(Tabla7[[#This Row],[15/10/2018]]),0,Tabla7[[#This Row],[15/10/2018]])</f>
        <v>2093885</v>
      </c>
      <c r="BG77">
        <f>IF(ISBLANK(Tabla7[[#This Row],[15/11/2018]]),0,Tabla7[[#This Row],[15/11/2018]])</f>
        <v>2098685</v>
      </c>
      <c r="BH77">
        <f>IF(ISBLANK(Tabla7[[#This Row],[15/12/2018]]),0,Tabla7[[#This Row],[15/12/2018]])</f>
        <v>2103807</v>
      </c>
      <c r="BI77">
        <f>IF(ISBLANK(Tabla7[[#This Row],[28/12/2018]]),0,Tabla7[[#This Row],[28/12/2018]])</f>
        <v>0</v>
      </c>
      <c r="BN7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('94823397','MT-S','MT-S','39929','VULKAN SHIPYARD, S.L.         ','ZONA RELLENO 3      ','','20 MEDIA TENSIÓN');</v>
      </c>
      <c r="BO77" t="s">
        <v>243</v>
      </c>
      <c r="BP77" s="632" t="str">
        <f>CONCATENATE("insert into lecturas values ","('",Tabla7[[#This Row],[CONTADOR]],"',STR_TO_DATE('",Tabla7[[#Headers],[31/12/2017]],"','%d/%m/%Y'),",AV77,"),","('",Tabla7[[#This Row],[CONTADOR]],"',STR_TO_DATE('",Tabla7[[#Headers],[15/01/2018]],"','%d/%m/%Y'),",AW77,"),","('",Tabla7[[#This Row],[CONTADOR]],"',STR_TO_DATE('",Tabla7[[#Headers],[15/02/2018]],"','%d/%m/%Y'),",AX77,"),","('",Tabla7[[#This Row],[CONTADOR]],"',STR_TO_DATE('",Tabla7[[#Headers],[15/03/2018]],"','%d/%m/%Y'),",AY77,"),","('",Tabla7[[#This Row],[CONTADOR]],"',STR_TO_DATE('",Tabla7[[#Headers],[15/04/2018]],"','%d/%m/%Y'),",AZ77,"),","('",Tabla7[[#This Row],[CONTADOR]],"',STR_TO_DATE('",Tabla7[[#Headers],[15/05/2018]],"','%d/%m/%Y'),",BA77,"),","('",Tabla7[[#This Row],[CONTADOR]],"',STR_TO_DATE('",Tabla7[[#Headers],[15/06/2018]],"','%d/%m/%Y'),",BB77,"),","('",Tabla7[[#This Row],[CONTADOR]],"',STR_TO_DATE('",Tabla7[[#Headers],[15/07/2018]],"','%d/%m/%Y'),",BC77,"),","('",Tabla7[[#This Row],[CONTADOR]],"',STR_TO_DATE('",Tabla7[[#Headers],[15/08/2018]],"','%d/%m/%Y'),",BD77,"),","('",Tabla7[[#This Row],[CONTADOR]],"',STR_TO_DATE('",Tabla7[[#Headers],[15/09/2018]],"','%d/%m/%Y'),",BE77,"),","('",Tabla7[[#This Row],[CONTADOR]],"',STR_TO_DATE('",Tabla7[[#Headers],[15/10/2018]],"','%d/%m/%Y'),",BF77,"),","('",Tabla7[[#This Row],[CONTADOR]],"',STR_TO_DATE('",Tabla7[[#Headers],[15/11/2018]],"','%d/%m/%Y'),",BG77,"),","('",Tabla7[[#This Row],[CONTADOR]],"',STR_TO_DATE('",Tabla7[[#Headers],[15/12/2018]],"','%d/%m/%Y'),",BH77,");")</f>
        <v>insert into lecturas values ('94823397',STR_TO_DATE('31/12/2017','%d/%m/%Y'),2044816),('94823397',STR_TO_DATE('15/01/2018','%d/%m/%Y'),2047845),('94823397',STR_TO_DATE('15/02/2018','%d/%m/%Y'),2054431),('94823397',STR_TO_DATE('15/03/2018','%d/%m/%Y'),2059792),('94823397',STR_TO_DATE('15/04/2018','%d/%m/%Y'),2064419),('94823397',STR_TO_DATE('15/05/2018','%d/%m/%Y'),2068455),('94823397',STR_TO_DATE('15/06/2018','%d/%m/%Y'),2072920),('94823397',STR_TO_DATE('15/07/2018','%d/%m/%Y'),2077751),('94823397',STR_TO_DATE('15/08/2018','%d/%m/%Y'),2083530),('94823397',STR_TO_DATE('15/09/2018','%d/%m/%Y'),2088761),('94823397',STR_TO_DATE('15/10/2018','%d/%m/%Y'),2093885),('94823397',STR_TO_DATE('15/11/2018','%d/%m/%Y'),2098685),('94823397',STR_TO_DATE('15/12/2018','%d/%m/%Y'),2103807);</v>
      </c>
    </row>
    <row r="78" spans="1:68" ht="18" customHeight="1" x14ac:dyDescent="0.3">
      <c r="A78" s="241" t="s">
        <v>517</v>
      </c>
      <c r="B78" s="60"/>
      <c r="C78" s="342" t="s">
        <v>1155</v>
      </c>
      <c r="D78" s="60" t="s">
        <v>517</v>
      </c>
      <c r="E78" s="258">
        <v>39501</v>
      </c>
      <c r="F78" s="274" t="s">
        <v>532</v>
      </c>
      <c r="G78" s="274" t="s">
        <v>533</v>
      </c>
      <c r="H78" s="274" t="s">
        <v>359</v>
      </c>
      <c r="I78" s="2" t="s">
        <v>1157</v>
      </c>
      <c r="J78" s="311"/>
      <c r="K78" s="311"/>
      <c r="L78" s="311">
        <v>23</v>
      </c>
      <c r="M78" s="311">
        <v>46212</v>
      </c>
      <c r="N78" s="311">
        <v>120731</v>
      </c>
      <c r="O78" s="311">
        <v>181305</v>
      </c>
      <c r="P78" s="311">
        <v>246786</v>
      </c>
      <c r="Q78" s="311">
        <v>317822</v>
      </c>
      <c r="R78" s="311">
        <v>397165</v>
      </c>
      <c r="S78" s="311">
        <v>472924</v>
      </c>
      <c r="T78" s="311">
        <v>542932</v>
      </c>
      <c r="U78" s="311">
        <v>607647</v>
      </c>
      <c r="V78" s="311">
        <v>677250</v>
      </c>
      <c r="W78" s="344"/>
      <c r="X78" s="274"/>
      <c r="Y78" s="2" t="str">
        <f t="shared" si="28"/>
        <v/>
      </c>
      <c r="Z78" s="2" t="str">
        <f t="shared" si="27"/>
        <v/>
      </c>
      <c r="AA78" s="2">
        <f t="shared" si="42"/>
        <v>46189</v>
      </c>
      <c r="AB78" s="2">
        <f t="shared" si="43"/>
        <v>74519</v>
      </c>
      <c r="AC78" s="2">
        <f t="shared" si="34"/>
        <v>60574</v>
      </c>
      <c r="AD78" s="2">
        <f t="shared" si="35"/>
        <v>65481</v>
      </c>
      <c r="AE78" s="2">
        <f t="shared" si="36"/>
        <v>71036</v>
      </c>
      <c r="AF78" s="2">
        <f t="shared" si="37"/>
        <v>79343</v>
      </c>
      <c r="AG78" s="2">
        <f t="shared" si="38"/>
        <v>75759</v>
      </c>
      <c r="AH78" s="271">
        <f t="shared" si="41"/>
        <v>70008</v>
      </c>
      <c r="AI78" s="2">
        <f t="shared" si="39"/>
        <v>64715</v>
      </c>
      <c r="AJ78" s="2">
        <f t="shared" si="40"/>
        <v>69603</v>
      </c>
      <c r="AK78" s="406">
        <v>1</v>
      </c>
      <c r="AL78" s="412">
        <f t="shared" ca="1" si="29"/>
        <v>120731</v>
      </c>
      <c r="AM78" s="311">
        <f t="shared" ca="1" si="30"/>
        <v>181305</v>
      </c>
      <c r="AN78" s="412">
        <f ca="1">IF(AND(Tabla7[[#This Row],[UltLec]]&lt;&gt;0,Tabla7[[#This Row],[PenLect]]&lt;&gt;0),(AM78-AL78)*Tabla7[[#This Row],[RT]],"N/A")</f>
        <v>60574</v>
      </c>
      <c r="AO78" s="273" t="s">
        <v>1135</v>
      </c>
      <c r="AP78" s="392" t="s">
        <v>1191</v>
      </c>
      <c r="AQ78" s="392" t="s">
        <v>1189</v>
      </c>
      <c r="AR78" s="407">
        <f t="shared" si="31"/>
        <v>0</v>
      </c>
      <c r="AT78" s="2">
        <f t="shared" ca="1" si="32"/>
        <v>0.81286651726405346</v>
      </c>
      <c r="AV78">
        <f>IF(ISBLANK(Tabla7[[#This Row],[31/12/2017]]),0,Tabla7[[#This Row],[31/12/2017]])</f>
        <v>0</v>
      </c>
      <c r="AW78">
        <f>IF(ISBLANK(Tabla7[[#This Row],[15/01/2018]]),0,Tabla7[[#This Row],[15/01/2018]])</f>
        <v>0</v>
      </c>
      <c r="AX78">
        <f>IF(ISBLANK(Tabla7[[#This Row],[15/02/2018]]),0,Tabla7[[#This Row],[15/02/2018]])</f>
        <v>23</v>
      </c>
      <c r="AY78">
        <f>IF(ISBLANK(Tabla7[[#This Row],[15/03/2018]]),0,Tabla7[[#This Row],[15/03/2018]])</f>
        <v>46212</v>
      </c>
      <c r="AZ78">
        <f>IF(ISBLANK(Tabla7[[#This Row],[15/04/2018]]),0,Tabla7[[#This Row],[15/04/2018]])</f>
        <v>120731</v>
      </c>
      <c r="BA78">
        <f>IF(ISBLANK(Tabla7[[#This Row],[15/05/2018]]),0,Tabla7[[#This Row],[15/05/2018]])</f>
        <v>181305</v>
      </c>
      <c r="BB78">
        <f>IF(ISBLANK(Tabla7[[#This Row],[15/06/2018]]),0,Tabla7[[#This Row],[15/06/2018]])</f>
        <v>246786</v>
      </c>
      <c r="BC78">
        <f>IF(ISBLANK(Tabla7[[#This Row],[15/07/2018]]),0,Tabla7[[#This Row],[15/07/2018]])</f>
        <v>317822</v>
      </c>
      <c r="BD78">
        <f>IF(ISBLANK(Tabla7[[#This Row],[15/08/2018]]),0,Tabla7[[#This Row],[15/08/2018]])</f>
        <v>397165</v>
      </c>
      <c r="BE78">
        <f>IF(ISBLANK(Tabla7[[#This Row],[15/09/2018]]),0,Tabla7[[#This Row],[15/09/2018]])</f>
        <v>472924</v>
      </c>
      <c r="BF78">
        <f>IF(ISBLANK(Tabla7[[#This Row],[15/10/2018]]),0,Tabla7[[#This Row],[15/10/2018]])</f>
        <v>542932</v>
      </c>
      <c r="BG78">
        <f>IF(ISBLANK(Tabla7[[#This Row],[15/11/2018]]),0,Tabla7[[#This Row],[15/11/2018]])</f>
        <v>607647</v>
      </c>
      <c r="BH78">
        <f>IF(ISBLANK(Tabla7[[#This Row],[15/12/2018]]),0,Tabla7[[#This Row],[15/12/2018]])</f>
        <v>677250</v>
      </c>
      <c r="BI78">
        <f>IF(ISBLANK(Tabla7[[#This Row],[28/12/2018]]),0,Tabla7[[#This Row],[28/12/2018]])</f>
        <v>0</v>
      </c>
      <c r="BN7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('CXZVFER 17040183032  ','MT-S','MT-S','39501','INTERSAGUNTO TERMINALES, S.A. ','MUELLE NORTE DOS','MEDIA TENSIÓN','ALTA EL 19-2-18. 26 MEDIA TENSIÓN');</v>
      </c>
      <c r="BO78" t="s">
        <v>243</v>
      </c>
      <c r="BP78" s="632" t="str">
        <f>CONCATENATE("insert into lecturas values ","('",Tabla7[[#This Row],[CONTADOR]],"',STR_TO_DATE('",Tabla7[[#Headers],[31/12/2017]],"','%d/%m/%Y'),",AV78,"),","('",Tabla7[[#This Row],[CONTADOR]],"',STR_TO_DATE('",Tabla7[[#Headers],[15/01/2018]],"','%d/%m/%Y'),",AW78,"),","('",Tabla7[[#This Row],[CONTADOR]],"',STR_TO_DATE('",Tabla7[[#Headers],[15/02/2018]],"','%d/%m/%Y'),",AX78,"),","('",Tabla7[[#This Row],[CONTADOR]],"',STR_TO_DATE('",Tabla7[[#Headers],[15/03/2018]],"','%d/%m/%Y'),",AY78,"),","('",Tabla7[[#This Row],[CONTADOR]],"',STR_TO_DATE('",Tabla7[[#Headers],[15/04/2018]],"','%d/%m/%Y'),",AZ78,"),","('",Tabla7[[#This Row],[CONTADOR]],"',STR_TO_DATE('",Tabla7[[#Headers],[15/05/2018]],"','%d/%m/%Y'),",BA78,"),","('",Tabla7[[#This Row],[CONTADOR]],"',STR_TO_DATE('",Tabla7[[#Headers],[15/06/2018]],"','%d/%m/%Y'),",BB78,"),","('",Tabla7[[#This Row],[CONTADOR]],"',STR_TO_DATE('",Tabla7[[#Headers],[15/07/2018]],"','%d/%m/%Y'),",BC78,"),","('",Tabla7[[#This Row],[CONTADOR]],"',STR_TO_DATE('",Tabla7[[#Headers],[15/08/2018]],"','%d/%m/%Y'),",BD78,"),","('",Tabla7[[#This Row],[CONTADOR]],"',STR_TO_DATE('",Tabla7[[#Headers],[15/09/2018]],"','%d/%m/%Y'),",BE78,"),","('",Tabla7[[#This Row],[CONTADOR]],"',STR_TO_DATE('",Tabla7[[#Headers],[15/10/2018]],"','%d/%m/%Y'),",BF78,"),","('",Tabla7[[#This Row],[CONTADOR]],"',STR_TO_DATE('",Tabla7[[#Headers],[15/11/2018]],"','%d/%m/%Y'),",BG78,"),","('",Tabla7[[#This Row],[CONTADOR]],"',STR_TO_DATE('",Tabla7[[#Headers],[15/12/2018]],"','%d/%m/%Y'),",BH78,");")</f>
        <v>insert into lecturas values ('CXZVFER 17040183032  ',STR_TO_DATE('31/12/2017','%d/%m/%Y'),0),('CXZVFER 17040183032  ',STR_TO_DATE('15/01/2018','%d/%m/%Y'),0),('CXZVFER 17040183032  ',STR_TO_DATE('15/02/2018','%d/%m/%Y'),23),('CXZVFER 17040183032  ',STR_TO_DATE('15/03/2018','%d/%m/%Y'),46212),('CXZVFER 17040183032  ',STR_TO_DATE('15/04/2018','%d/%m/%Y'),120731),('CXZVFER 17040183032  ',STR_TO_DATE('15/05/2018','%d/%m/%Y'),181305),('CXZVFER 17040183032  ',STR_TO_DATE('15/06/2018','%d/%m/%Y'),246786),('CXZVFER 17040183032  ',STR_TO_DATE('15/07/2018','%d/%m/%Y'),317822),('CXZVFER 17040183032  ',STR_TO_DATE('15/08/2018','%d/%m/%Y'),397165),('CXZVFER 17040183032  ',STR_TO_DATE('15/09/2018','%d/%m/%Y'),472924),('CXZVFER 17040183032  ',STR_TO_DATE('15/10/2018','%d/%m/%Y'),542932),('CXZVFER 17040183032  ',STR_TO_DATE('15/11/2018','%d/%m/%Y'),607647),('CXZVFER 17040183032  ',STR_TO_DATE('15/12/2018','%d/%m/%Y'),677250);</v>
      </c>
    </row>
    <row r="79" spans="1:68" ht="18" customHeight="1" x14ac:dyDescent="0.25">
      <c r="A79" s="241" t="s">
        <v>356</v>
      </c>
      <c r="B79" s="60"/>
      <c r="C79" s="342">
        <v>95589698</v>
      </c>
      <c r="D79" s="60" t="s">
        <v>356</v>
      </c>
      <c r="E79" s="258">
        <v>39471</v>
      </c>
      <c r="F79" s="274" t="s">
        <v>379</v>
      </c>
      <c r="G79" s="274" t="s">
        <v>380</v>
      </c>
      <c r="H79" s="2"/>
      <c r="I79" s="2" t="s">
        <v>950</v>
      </c>
      <c r="J79" s="311">
        <v>5837416</v>
      </c>
      <c r="K79" s="311">
        <v>5866300</v>
      </c>
      <c r="L79" s="311">
        <v>5892084</v>
      </c>
      <c r="M79" s="311">
        <v>5923665</v>
      </c>
      <c r="N79" s="311">
        <v>5956278</v>
      </c>
      <c r="O79" s="454">
        <v>5986343</v>
      </c>
      <c r="P79" s="454">
        <v>6019193</v>
      </c>
      <c r="Q79" s="454">
        <v>6051587</v>
      </c>
      <c r="R79" s="311">
        <v>6087835</v>
      </c>
      <c r="S79" s="311">
        <v>6122468</v>
      </c>
      <c r="T79" s="311">
        <v>6153605</v>
      </c>
      <c r="U79" s="311">
        <v>6188305</v>
      </c>
      <c r="V79" s="311">
        <v>6220516</v>
      </c>
      <c r="W79" s="311"/>
      <c r="X79" s="274"/>
      <c r="Y79" s="2">
        <f t="shared" si="28"/>
        <v>28884</v>
      </c>
      <c r="Z79" s="2">
        <f t="shared" si="27"/>
        <v>25784</v>
      </c>
      <c r="AA79" s="2">
        <f t="shared" si="42"/>
        <v>31581</v>
      </c>
      <c r="AB79" s="2">
        <f t="shared" si="43"/>
        <v>32613</v>
      </c>
      <c r="AC79" s="2">
        <f t="shared" si="34"/>
        <v>30065</v>
      </c>
      <c r="AD79" s="2">
        <f t="shared" si="35"/>
        <v>32850</v>
      </c>
      <c r="AE79" s="2">
        <f t="shared" si="36"/>
        <v>32394</v>
      </c>
      <c r="AF79" s="2">
        <f t="shared" si="37"/>
        <v>36248</v>
      </c>
      <c r="AG79" s="2">
        <f t="shared" si="38"/>
        <v>34633</v>
      </c>
      <c r="AH79" s="2">
        <f t="shared" si="41"/>
        <v>31137</v>
      </c>
      <c r="AI79" s="2">
        <f t="shared" si="39"/>
        <v>34700</v>
      </c>
      <c r="AJ79" s="2">
        <f t="shared" si="40"/>
        <v>32211</v>
      </c>
      <c r="AK79" s="406">
        <v>1</v>
      </c>
      <c r="AL79" s="274">
        <f t="shared" ca="1" si="29"/>
        <v>5956278</v>
      </c>
      <c r="AM79" s="311">
        <f t="shared" ca="1" si="30"/>
        <v>5986343</v>
      </c>
      <c r="AN79" s="274">
        <f ca="1">IF(AND(Tabla7[[#This Row],[UltLec]]&lt;&gt;0,Tabla7[[#This Row],[PenLect]]&lt;&gt;0),(AM79-AL79)*Tabla7[[#This Row],[RT]],"N/A")</f>
        <v>30065</v>
      </c>
      <c r="AO79" s="478" t="s">
        <v>1442</v>
      </c>
      <c r="AP79" s="392" t="s">
        <v>1191</v>
      </c>
      <c r="AQ79" s="392" t="s">
        <v>1189</v>
      </c>
      <c r="AR79" s="407">
        <f t="shared" si="31"/>
        <v>0</v>
      </c>
      <c r="AT79" s="2">
        <f t="shared" ca="1" si="32"/>
        <v>0.92187164627602491</v>
      </c>
      <c r="AV79">
        <f>IF(ISBLANK(Tabla7[[#This Row],[31/12/2017]]),0,Tabla7[[#This Row],[31/12/2017]])</f>
        <v>5837416</v>
      </c>
      <c r="AW79">
        <f>IF(ISBLANK(Tabla7[[#This Row],[15/01/2018]]),0,Tabla7[[#This Row],[15/01/2018]])</f>
        <v>5866300</v>
      </c>
      <c r="AX79">
        <f>IF(ISBLANK(Tabla7[[#This Row],[15/02/2018]]),0,Tabla7[[#This Row],[15/02/2018]])</f>
        <v>5892084</v>
      </c>
      <c r="AY79">
        <f>IF(ISBLANK(Tabla7[[#This Row],[15/03/2018]]),0,Tabla7[[#This Row],[15/03/2018]])</f>
        <v>5923665</v>
      </c>
      <c r="AZ79">
        <f>IF(ISBLANK(Tabla7[[#This Row],[15/04/2018]]),0,Tabla7[[#This Row],[15/04/2018]])</f>
        <v>5956278</v>
      </c>
      <c r="BA79">
        <f>IF(ISBLANK(Tabla7[[#This Row],[15/05/2018]]),0,Tabla7[[#This Row],[15/05/2018]])</f>
        <v>5986343</v>
      </c>
      <c r="BB79">
        <f>IF(ISBLANK(Tabla7[[#This Row],[15/06/2018]]),0,Tabla7[[#This Row],[15/06/2018]])</f>
        <v>6019193</v>
      </c>
      <c r="BC79">
        <f>IF(ISBLANK(Tabla7[[#This Row],[15/07/2018]]),0,Tabla7[[#This Row],[15/07/2018]])</f>
        <v>6051587</v>
      </c>
      <c r="BD79">
        <f>IF(ISBLANK(Tabla7[[#This Row],[15/08/2018]]),0,Tabla7[[#This Row],[15/08/2018]])</f>
        <v>6087835</v>
      </c>
      <c r="BE79">
        <f>IF(ISBLANK(Tabla7[[#This Row],[15/09/2018]]),0,Tabla7[[#This Row],[15/09/2018]])</f>
        <v>6122468</v>
      </c>
      <c r="BF79">
        <f>IF(ISBLANK(Tabla7[[#This Row],[15/10/2018]]),0,Tabla7[[#This Row],[15/10/2018]])</f>
        <v>6153605</v>
      </c>
      <c r="BG79">
        <f>IF(ISBLANK(Tabla7[[#This Row],[15/11/2018]]),0,Tabla7[[#This Row],[15/11/2018]])</f>
        <v>6188305</v>
      </c>
      <c r="BH79">
        <f>IF(ISBLANK(Tabla7[[#This Row],[15/12/2018]]),0,Tabla7[[#This Row],[15/12/2018]])</f>
        <v>6220516</v>
      </c>
      <c r="BI79">
        <f>IF(ISBLANK(Tabla7[[#This Row],[28/12/2018]]),0,Tabla7[[#This Row],[28/12/2018]])</f>
        <v>0</v>
      </c>
      <c r="BN7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('95589698','MT-V','MT-V','39471','GALP ENERGIA ESPAÑA, S.A.U. (6410)','PETROVAL','','12 MEDIA TENSIÓN');</v>
      </c>
      <c r="BO79" t="s">
        <v>243</v>
      </c>
      <c r="BP79" s="632" t="str">
        <f>CONCATENATE("insert into lecturas values ","('",Tabla7[[#This Row],[CONTADOR]],"',STR_TO_DATE('",Tabla7[[#Headers],[31/12/2017]],"','%d/%m/%Y'),",AV79,"),","('",Tabla7[[#This Row],[CONTADOR]],"',STR_TO_DATE('",Tabla7[[#Headers],[15/01/2018]],"','%d/%m/%Y'),",AW79,"),","('",Tabla7[[#This Row],[CONTADOR]],"',STR_TO_DATE('",Tabla7[[#Headers],[15/02/2018]],"','%d/%m/%Y'),",AX79,"),","('",Tabla7[[#This Row],[CONTADOR]],"',STR_TO_DATE('",Tabla7[[#Headers],[15/03/2018]],"','%d/%m/%Y'),",AY79,"),","('",Tabla7[[#This Row],[CONTADOR]],"',STR_TO_DATE('",Tabla7[[#Headers],[15/04/2018]],"','%d/%m/%Y'),",AZ79,"),","('",Tabla7[[#This Row],[CONTADOR]],"',STR_TO_DATE('",Tabla7[[#Headers],[15/05/2018]],"','%d/%m/%Y'),",BA79,"),","('",Tabla7[[#This Row],[CONTADOR]],"',STR_TO_DATE('",Tabla7[[#Headers],[15/06/2018]],"','%d/%m/%Y'),",BB79,"),","('",Tabla7[[#This Row],[CONTADOR]],"',STR_TO_DATE('",Tabla7[[#Headers],[15/07/2018]],"','%d/%m/%Y'),",BC79,"),","('",Tabla7[[#This Row],[CONTADOR]],"',STR_TO_DATE('",Tabla7[[#Headers],[15/08/2018]],"','%d/%m/%Y'),",BD79,"),","('",Tabla7[[#This Row],[CONTADOR]],"',STR_TO_DATE('",Tabla7[[#Headers],[15/09/2018]],"','%d/%m/%Y'),",BE79,"),","('",Tabla7[[#This Row],[CONTADOR]],"',STR_TO_DATE('",Tabla7[[#Headers],[15/10/2018]],"','%d/%m/%Y'),",BF79,"),","('",Tabla7[[#This Row],[CONTADOR]],"',STR_TO_DATE('",Tabla7[[#Headers],[15/11/2018]],"','%d/%m/%Y'),",BG79,"),","('",Tabla7[[#This Row],[CONTADOR]],"',STR_TO_DATE('",Tabla7[[#Headers],[15/12/2018]],"','%d/%m/%Y'),",BH79,");")</f>
        <v>insert into lecturas values ('95589698',STR_TO_DATE('31/12/2017','%d/%m/%Y'),5837416),('95589698',STR_TO_DATE('15/01/2018','%d/%m/%Y'),5866300),('95589698',STR_TO_DATE('15/02/2018','%d/%m/%Y'),5892084),('95589698',STR_TO_DATE('15/03/2018','%d/%m/%Y'),5923665),('95589698',STR_TO_DATE('15/04/2018','%d/%m/%Y'),5956278),('95589698',STR_TO_DATE('15/05/2018','%d/%m/%Y'),5986343),('95589698',STR_TO_DATE('15/06/2018','%d/%m/%Y'),6019193),('95589698',STR_TO_DATE('15/07/2018','%d/%m/%Y'),6051587),('95589698',STR_TO_DATE('15/08/2018','%d/%m/%Y'),6087835),('95589698',STR_TO_DATE('15/09/2018','%d/%m/%Y'),6122468),('95589698',STR_TO_DATE('15/10/2018','%d/%m/%Y'),6153605),('95589698',STR_TO_DATE('15/11/2018','%d/%m/%Y'),6188305),('95589698',STR_TO_DATE('15/12/2018','%d/%m/%Y'),6220516);</v>
      </c>
    </row>
    <row r="80" spans="1:68" ht="18" customHeight="1" x14ac:dyDescent="0.25">
      <c r="A80" s="241" t="s">
        <v>356</v>
      </c>
      <c r="B80" s="60"/>
      <c r="C80" s="342">
        <v>95589705</v>
      </c>
      <c r="D80" s="60" t="s">
        <v>356</v>
      </c>
      <c r="E80" s="258">
        <v>39017</v>
      </c>
      <c r="F80" s="2" t="s">
        <v>108</v>
      </c>
      <c r="G80" s="2" t="s">
        <v>467</v>
      </c>
      <c r="H80" s="2" t="s">
        <v>700</v>
      </c>
      <c r="I80" s="274" t="s">
        <v>951</v>
      </c>
      <c r="J80" s="311">
        <v>823015</v>
      </c>
      <c r="K80" s="311">
        <v>823015</v>
      </c>
      <c r="L80" s="311">
        <v>823015</v>
      </c>
      <c r="M80" s="311">
        <v>823015</v>
      </c>
      <c r="N80" s="311">
        <v>823015</v>
      </c>
      <c r="O80" s="454">
        <v>823015</v>
      </c>
      <c r="P80" s="454">
        <v>823015</v>
      </c>
      <c r="Q80" s="454">
        <v>823015</v>
      </c>
      <c r="R80" s="311">
        <v>823015</v>
      </c>
      <c r="S80" s="311">
        <v>823015</v>
      </c>
      <c r="T80" s="311">
        <v>823015</v>
      </c>
      <c r="U80" s="311">
        <v>823015</v>
      </c>
      <c r="V80" s="311">
        <v>823015</v>
      </c>
      <c r="W80" s="311"/>
      <c r="X80" s="274"/>
      <c r="Y80" s="2">
        <f t="shared" si="28"/>
        <v>0</v>
      </c>
      <c r="Z80" s="2">
        <f t="shared" si="27"/>
        <v>0</v>
      </c>
      <c r="AA80" s="2">
        <f t="shared" si="42"/>
        <v>0</v>
      </c>
      <c r="AB80" s="2">
        <f t="shared" si="43"/>
        <v>0</v>
      </c>
      <c r="AC80" s="2">
        <f t="shared" si="34"/>
        <v>0</v>
      </c>
      <c r="AD80" s="2">
        <f t="shared" si="35"/>
        <v>0</v>
      </c>
      <c r="AE80" s="2">
        <f t="shared" si="36"/>
        <v>0</v>
      </c>
      <c r="AF80" s="2">
        <f t="shared" si="37"/>
        <v>0</v>
      </c>
      <c r="AG80" s="2">
        <f t="shared" si="38"/>
        <v>0</v>
      </c>
      <c r="AH80" s="2">
        <f t="shared" si="41"/>
        <v>0</v>
      </c>
      <c r="AI80" s="2">
        <f t="shared" si="39"/>
        <v>0</v>
      </c>
      <c r="AJ80" s="2">
        <f t="shared" si="40"/>
        <v>0</v>
      </c>
      <c r="AK80" s="406">
        <v>1</v>
      </c>
      <c r="AL80" s="274">
        <f t="shared" ca="1" si="29"/>
        <v>823015</v>
      </c>
      <c r="AM80" s="311">
        <f t="shared" ca="1" si="30"/>
        <v>823015</v>
      </c>
      <c r="AN80" s="274">
        <f ca="1">IF(AND(Tabla7[[#This Row],[UltLec]]&lt;&gt;0,Tabla7[[#This Row],[PenLect]]&lt;&gt;0),(AM80-AL80)*Tabla7[[#This Row],[RT]],"N/A")</f>
        <v>0</v>
      </c>
      <c r="AO80" s="478" t="s">
        <v>1442</v>
      </c>
      <c r="AP80" s="392" t="s">
        <v>1190</v>
      </c>
      <c r="AQ80" s="392" t="s">
        <v>1189</v>
      </c>
      <c r="AR80" s="407">
        <f t="shared" si="31"/>
        <v>0</v>
      </c>
      <c r="AT80" s="2" t="str">
        <f t="shared" ca="1" si="32"/>
        <v>0</v>
      </c>
      <c r="AV80">
        <f>IF(ISBLANK(Tabla7[[#This Row],[31/12/2017]]),0,Tabla7[[#This Row],[31/12/2017]])</f>
        <v>823015</v>
      </c>
      <c r="AW80">
        <f>IF(ISBLANK(Tabla7[[#This Row],[15/01/2018]]),0,Tabla7[[#This Row],[15/01/2018]])</f>
        <v>823015</v>
      </c>
      <c r="AX80">
        <f>IF(ISBLANK(Tabla7[[#This Row],[15/02/2018]]),0,Tabla7[[#This Row],[15/02/2018]])</f>
        <v>823015</v>
      </c>
      <c r="AY80">
        <f>IF(ISBLANK(Tabla7[[#This Row],[15/03/2018]]),0,Tabla7[[#This Row],[15/03/2018]])</f>
        <v>823015</v>
      </c>
      <c r="AZ80">
        <f>IF(ISBLANK(Tabla7[[#This Row],[15/04/2018]]),0,Tabla7[[#This Row],[15/04/2018]])</f>
        <v>823015</v>
      </c>
      <c r="BA80">
        <f>IF(ISBLANK(Tabla7[[#This Row],[15/05/2018]]),0,Tabla7[[#This Row],[15/05/2018]])</f>
        <v>823015</v>
      </c>
      <c r="BB80">
        <f>IF(ISBLANK(Tabla7[[#This Row],[15/06/2018]]),0,Tabla7[[#This Row],[15/06/2018]])</f>
        <v>823015</v>
      </c>
      <c r="BC80">
        <f>IF(ISBLANK(Tabla7[[#This Row],[15/07/2018]]),0,Tabla7[[#This Row],[15/07/2018]])</f>
        <v>823015</v>
      </c>
      <c r="BD80">
        <f>IF(ISBLANK(Tabla7[[#This Row],[15/08/2018]]),0,Tabla7[[#This Row],[15/08/2018]])</f>
        <v>823015</v>
      </c>
      <c r="BE80">
        <f>IF(ISBLANK(Tabla7[[#This Row],[15/09/2018]]),0,Tabla7[[#This Row],[15/09/2018]])</f>
        <v>823015</v>
      </c>
      <c r="BF80">
        <f>IF(ISBLANK(Tabla7[[#This Row],[15/10/2018]]),0,Tabla7[[#This Row],[15/10/2018]])</f>
        <v>823015</v>
      </c>
      <c r="BG80">
        <f>IF(ISBLANK(Tabla7[[#This Row],[15/11/2018]]),0,Tabla7[[#This Row],[15/11/2018]])</f>
        <v>823015</v>
      </c>
      <c r="BH80">
        <f>IF(ISBLANK(Tabla7[[#This Row],[15/12/2018]]),0,Tabla7[[#This Row],[15/12/2018]])</f>
        <v>823015</v>
      </c>
      <c r="BI80">
        <f>IF(ISBLANK(Tabla7[[#This Row],[28/12/2018]]),0,Tabla7[[#This Row],[28/12/2018]])</f>
        <v>0</v>
      </c>
      <c r="BN8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('95589705','MT-V','MT-V','39017','TCV STEVEDORING COMPANY, S.A.','TCV3','EN CT-3','19 MEDIA TENSIÓN');</v>
      </c>
      <c r="BO80" t="s">
        <v>243</v>
      </c>
      <c r="BP80" s="632" t="str">
        <f>CONCATENATE("insert into lecturas values ","('",Tabla7[[#This Row],[CONTADOR]],"',STR_TO_DATE('",Tabla7[[#Headers],[31/12/2017]],"','%d/%m/%Y'),",AV80,"),","('",Tabla7[[#This Row],[CONTADOR]],"',STR_TO_DATE('",Tabla7[[#Headers],[15/01/2018]],"','%d/%m/%Y'),",AW80,"),","('",Tabla7[[#This Row],[CONTADOR]],"',STR_TO_DATE('",Tabla7[[#Headers],[15/02/2018]],"','%d/%m/%Y'),",AX80,"),","('",Tabla7[[#This Row],[CONTADOR]],"',STR_TO_DATE('",Tabla7[[#Headers],[15/03/2018]],"','%d/%m/%Y'),",AY80,"),","('",Tabla7[[#This Row],[CONTADOR]],"',STR_TO_DATE('",Tabla7[[#Headers],[15/04/2018]],"','%d/%m/%Y'),",AZ80,"),","('",Tabla7[[#This Row],[CONTADOR]],"',STR_TO_DATE('",Tabla7[[#Headers],[15/05/2018]],"','%d/%m/%Y'),",BA80,"),","('",Tabla7[[#This Row],[CONTADOR]],"',STR_TO_DATE('",Tabla7[[#Headers],[15/06/2018]],"','%d/%m/%Y'),",BB80,"),","('",Tabla7[[#This Row],[CONTADOR]],"',STR_TO_DATE('",Tabla7[[#Headers],[15/07/2018]],"','%d/%m/%Y'),",BC80,"),","('",Tabla7[[#This Row],[CONTADOR]],"',STR_TO_DATE('",Tabla7[[#Headers],[15/08/2018]],"','%d/%m/%Y'),",BD80,"),","('",Tabla7[[#This Row],[CONTADOR]],"',STR_TO_DATE('",Tabla7[[#Headers],[15/09/2018]],"','%d/%m/%Y'),",BE80,"),","('",Tabla7[[#This Row],[CONTADOR]],"',STR_TO_DATE('",Tabla7[[#Headers],[15/10/2018]],"','%d/%m/%Y'),",BF80,"),","('",Tabla7[[#This Row],[CONTADOR]],"',STR_TO_DATE('",Tabla7[[#Headers],[15/11/2018]],"','%d/%m/%Y'),",BG80,"),","('",Tabla7[[#This Row],[CONTADOR]],"',STR_TO_DATE('",Tabla7[[#Headers],[15/12/2018]],"','%d/%m/%Y'),",BH80,");")</f>
        <v>insert into lecturas values ('95589705',STR_TO_DATE('31/12/2017','%d/%m/%Y'),823015),('95589705',STR_TO_DATE('15/01/2018','%d/%m/%Y'),823015),('95589705',STR_TO_DATE('15/02/2018','%d/%m/%Y'),823015),('95589705',STR_TO_DATE('15/03/2018','%d/%m/%Y'),823015),('95589705',STR_TO_DATE('15/04/2018','%d/%m/%Y'),823015),('95589705',STR_TO_DATE('15/05/2018','%d/%m/%Y'),823015),('95589705',STR_TO_DATE('15/06/2018','%d/%m/%Y'),823015),('95589705',STR_TO_DATE('15/07/2018','%d/%m/%Y'),823015),('95589705',STR_TO_DATE('15/08/2018','%d/%m/%Y'),823015),('95589705',STR_TO_DATE('15/09/2018','%d/%m/%Y'),823015),('95589705',STR_TO_DATE('15/10/2018','%d/%m/%Y'),823015),('95589705',STR_TO_DATE('15/11/2018','%d/%m/%Y'),823015),('95589705',STR_TO_DATE('15/12/2018','%d/%m/%Y'),823015);</v>
      </c>
    </row>
    <row r="81" spans="1:68" ht="18" customHeight="1" x14ac:dyDescent="0.25">
      <c r="A81" s="241" t="s">
        <v>356</v>
      </c>
      <c r="B81" s="60"/>
      <c r="C81" s="342">
        <v>95589721</v>
      </c>
      <c r="D81" s="60" t="s">
        <v>356</v>
      </c>
      <c r="E81" s="258">
        <v>39145</v>
      </c>
      <c r="F81" s="274" t="s">
        <v>108</v>
      </c>
      <c r="G81" s="2" t="s">
        <v>382</v>
      </c>
      <c r="H81" s="2" t="s">
        <v>1195</v>
      </c>
      <c r="I81" s="274" t="s">
        <v>954</v>
      </c>
      <c r="J81" s="311">
        <v>3238642</v>
      </c>
      <c r="K81" s="311">
        <v>3238714</v>
      </c>
      <c r="L81" s="311">
        <v>3238755</v>
      </c>
      <c r="M81" s="311">
        <v>3238773</v>
      </c>
      <c r="N81" s="311">
        <v>3238798</v>
      </c>
      <c r="O81" s="454">
        <v>3239000</v>
      </c>
      <c r="P81" s="454">
        <v>3239395</v>
      </c>
      <c r="Q81" s="454">
        <v>3240128</v>
      </c>
      <c r="R81" s="311">
        <v>3241494</v>
      </c>
      <c r="S81" s="311">
        <v>3242033</v>
      </c>
      <c r="T81" s="311">
        <v>3242261</v>
      </c>
      <c r="U81" s="311">
        <v>3242302</v>
      </c>
      <c r="V81" s="311">
        <v>3242344</v>
      </c>
      <c r="W81" s="311"/>
      <c r="X81" s="274"/>
      <c r="Y81" s="2">
        <f t="shared" si="28"/>
        <v>72</v>
      </c>
      <c r="Z81" s="2">
        <f t="shared" si="27"/>
        <v>41</v>
      </c>
      <c r="AA81" s="2">
        <f t="shared" si="42"/>
        <v>18</v>
      </c>
      <c r="AB81" s="2">
        <f t="shared" si="43"/>
        <v>25</v>
      </c>
      <c r="AC81" s="2">
        <f t="shared" si="34"/>
        <v>202</v>
      </c>
      <c r="AD81" s="2">
        <f t="shared" si="35"/>
        <v>395</v>
      </c>
      <c r="AE81" s="2">
        <f t="shared" si="36"/>
        <v>733</v>
      </c>
      <c r="AF81" s="2">
        <f t="shared" si="37"/>
        <v>1366</v>
      </c>
      <c r="AG81" s="2">
        <f t="shared" si="38"/>
        <v>539</v>
      </c>
      <c r="AH81" s="2">
        <f t="shared" si="41"/>
        <v>228</v>
      </c>
      <c r="AI81" s="2">
        <f t="shared" si="39"/>
        <v>41</v>
      </c>
      <c r="AJ81" s="2">
        <f t="shared" si="40"/>
        <v>42</v>
      </c>
      <c r="AK81" s="406">
        <v>1</v>
      </c>
      <c r="AL81" s="274">
        <f t="shared" ca="1" si="29"/>
        <v>3238798</v>
      </c>
      <c r="AM81" s="311">
        <f t="shared" ca="1" si="30"/>
        <v>3239000</v>
      </c>
      <c r="AN81" s="274">
        <f ca="1">IF(AND(Tabla7[[#This Row],[UltLec]]&lt;&gt;0,Tabla7[[#This Row],[PenLect]]&lt;&gt;0),(AM81-AL81)*Tabla7[[#This Row],[RT]],"N/A")</f>
        <v>202</v>
      </c>
      <c r="AO81" s="478" t="s">
        <v>1442</v>
      </c>
      <c r="AP81" s="392" t="s">
        <v>1191</v>
      </c>
      <c r="AQ81" s="392" t="s">
        <v>1189</v>
      </c>
      <c r="AR81" s="407">
        <f t="shared" si="31"/>
        <v>0</v>
      </c>
      <c r="AT81" s="2">
        <f t="shared" ca="1" si="32"/>
        <v>8.08</v>
      </c>
      <c r="AV81">
        <f>IF(ISBLANK(Tabla7[[#This Row],[31/12/2017]]),0,Tabla7[[#This Row],[31/12/2017]])</f>
        <v>3238642</v>
      </c>
      <c r="AW81">
        <f>IF(ISBLANK(Tabla7[[#This Row],[15/01/2018]]),0,Tabla7[[#This Row],[15/01/2018]])</f>
        <v>3238714</v>
      </c>
      <c r="AX81">
        <f>IF(ISBLANK(Tabla7[[#This Row],[15/02/2018]]),0,Tabla7[[#This Row],[15/02/2018]])</f>
        <v>3238755</v>
      </c>
      <c r="AY81">
        <f>IF(ISBLANK(Tabla7[[#This Row],[15/03/2018]]),0,Tabla7[[#This Row],[15/03/2018]])</f>
        <v>3238773</v>
      </c>
      <c r="AZ81">
        <f>IF(ISBLANK(Tabla7[[#This Row],[15/04/2018]]),0,Tabla7[[#This Row],[15/04/2018]])</f>
        <v>3238798</v>
      </c>
      <c r="BA81">
        <f>IF(ISBLANK(Tabla7[[#This Row],[15/05/2018]]),0,Tabla7[[#This Row],[15/05/2018]])</f>
        <v>3239000</v>
      </c>
      <c r="BB81">
        <f>IF(ISBLANK(Tabla7[[#This Row],[15/06/2018]]),0,Tabla7[[#This Row],[15/06/2018]])</f>
        <v>3239395</v>
      </c>
      <c r="BC81">
        <f>IF(ISBLANK(Tabla7[[#This Row],[15/07/2018]]),0,Tabla7[[#This Row],[15/07/2018]])</f>
        <v>3240128</v>
      </c>
      <c r="BD81">
        <f>IF(ISBLANK(Tabla7[[#This Row],[15/08/2018]]),0,Tabla7[[#This Row],[15/08/2018]])</f>
        <v>3241494</v>
      </c>
      <c r="BE81">
        <f>IF(ISBLANK(Tabla7[[#This Row],[15/09/2018]]),0,Tabla7[[#This Row],[15/09/2018]])</f>
        <v>3242033</v>
      </c>
      <c r="BF81">
        <f>IF(ISBLANK(Tabla7[[#This Row],[15/10/2018]]),0,Tabla7[[#This Row],[15/10/2018]])</f>
        <v>3242261</v>
      </c>
      <c r="BG81">
        <f>IF(ISBLANK(Tabla7[[#This Row],[15/11/2018]]),0,Tabla7[[#This Row],[15/11/2018]])</f>
        <v>3242302</v>
      </c>
      <c r="BH81">
        <f>IF(ISBLANK(Tabla7[[#This Row],[15/12/2018]]),0,Tabla7[[#This Row],[15/12/2018]])</f>
        <v>3242344</v>
      </c>
      <c r="BI81">
        <f>IF(ISBLANK(Tabla7[[#This Row],[28/12/2018]]),0,Tabla7[[#This Row],[28/12/2018]])</f>
        <v>0</v>
      </c>
      <c r="BN8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('95589721','MT-V','MT-V','39145','TCV STEVEDORING COMPANY, S.A.','TYCOM MARINES TCV','MUELLE DESGUACE','14 MEDIA TENSIÓN');</v>
      </c>
      <c r="BO81" t="s">
        <v>243</v>
      </c>
      <c r="BP81" s="632" t="str">
        <f>CONCATENATE("insert into lecturas values ","('",Tabla7[[#This Row],[CONTADOR]],"',STR_TO_DATE('",Tabla7[[#Headers],[31/12/2017]],"','%d/%m/%Y'),",AV81,"),","('",Tabla7[[#This Row],[CONTADOR]],"',STR_TO_DATE('",Tabla7[[#Headers],[15/01/2018]],"','%d/%m/%Y'),",AW81,"),","('",Tabla7[[#This Row],[CONTADOR]],"',STR_TO_DATE('",Tabla7[[#Headers],[15/02/2018]],"','%d/%m/%Y'),",AX81,"),","('",Tabla7[[#This Row],[CONTADOR]],"',STR_TO_DATE('",Tabla7[[#Headers],[15/03/2018]],"','%d/%m/%Y'),",AY81,"),","('",Tabla7[[#This Row],[CONTADOR]],"',STR_TO_DATE('",Tabla7[[#Headers],[15/04/2018]],"','%d/%m/%Y'),",AZ81,"),","('",Tabla7[[#This Row],[CONTADOR]],"',STR_TO_DATE('",Tabla7[[#Headers],[15/05/2018]],"','%d/%m/%Y'),",BA81,"),","('",Tabla7[[#This Row],[CONTADOR]],"',STR_TO_DATE('",Tabla7[[#Headers],[15/06/2018]],"','%d/%m/%Y'),",BB81,"),","('",Tabla7[[#This Row],[CONTADOR]],"',STR_TO_DATE('",Tabla7[[#Headers],[15/07/2018]],"','%d/%m/%Y'),",BC81,"),","('",Tabla7[[#This Row],[CONTADOR]],"',STR_TO_DATE('",Tabla7[[#Headers],[15/08/2018]],"','%d/%m/%Y'),",BD81,"),","('",Tabla7[[#This Row],[CONTADOR]],"',STR_TO_DATE('",Tabla7[[#Headers],[15/09/2018]],"','%d/%m/%Y'),",BE81,"),","('",Tabla7[[#This Row],[CONTADOR]],"',STR_TO_DATE('",Tabla7[[#Headers],[15/10/2018]],"','%d/%m/%Y'),",BF81,"),","('",Tabla7[[#This Row],[CONTADOR]],"',STR_TO_DATE('",Tabla7[[#Headers],[15/11/2018]],"','%d/%m/%Y'),",BG81,"),","('",Tabla7[[#This Row],[CONTADOR]],"',STR_TO_DATE('",Tabla7[[#Headers],[15/12/2018]],"','%d/%m/%Y'),",BH81,");")</f>
        <v>insert into lecturas values ('95589721',STR_TO_DATE('31/12/2017','%d/%m/%Y'),3238642),('95589721',STR_TO_DATE('15/01/2018','%d/%m/%Y'),3238714),('95589721',STR_TO_DATE('15/02/2018','%d/%m/%Y'),3238755),('95589721',STR_TO_DATE('15/03/2018','%d/%m/%Y'),3238773),('95589721',STR_TO_DATE('15/04/2018','%d/%m/%Y'),3238798),('95589721',STR_TO_DATE('15/05/2018','%d/%m/%Y'),3239000),('95589721',STR_TO_DATE('15/06/2018','%d/%m/%Y'),3239395),('95589721',STR_TO_DATE('15/07/2018','%d/%m/%Y'),3240128),('95589721',STR_TO_DATE('15/08/2018','%d/%m/%Y'),3241494),('95589721',STR_TO_DATE('15/09/2018','%d/%m/%Y'),3242033),('95589721',STR_TO_DATE('15/10/2018','%d/%m/%Y'),3242261),('95589721',STR_TO_DATE('15/11/2018','%d/%m/%Y'),3242302),('95589721',STR_TO_DATE('15/12/2018','%d/%m/%Y'),3242344);</v>
      </c>
    </row>
    <row r="82" spans="1:68" ht="18" customHeight="1" x14ac:dyDescent="0.25">
      <c r="A82" s="241" t="s">
        <v>356</v>
      </c>
      <c r="B82" s="60"/>
      <c r="C82" s="342">
        <v>95589723</v>
      </c>
      <c r="D82" s="60" t="s">
        <v>356</v>
      </c>
      <c r="E82" s="258">
        <v>39667</v>
      </c>
      <c r="F82" s="274" t="s">
        <v>108</v>
      </c>
      <c r="G82" s="274" t="s">
        <v>362</v>
      </c>
      <c r="H82" s="2"/>
      <c r="I82" s="2" t="s">
        <v>953</v>
      </c>
      <c r="J82" s="311">
        <v>84411211</v>
      </c>
      <c r="K82" s="311">
        <v>84868187</v>
      </c>
      <c r="L82" s="311">
        <v>85743935</v>
      </c>
      <c r="M82" s="311">
        <v>86600074</v>
      </c>
      <c r="N82" s="311">
        <v>87577861</v>
      </c>
      <c r="O82" s="454">
        <v>88463497</v>
      </c>
      <c r="P82" s="311">
        <v>89355053</v>
      </c>
      <c r="Q82" s="311">
        <v>90336422</v>
      </c>
      <c r="R82" s="311">
        <v>91506503</v>
      </c>
      <c r="S82" s="311">
        <v>92573213</v>
      </c>
      <c r="T82" s="311">
        <v>93659788</v>
      </c>
      <c r="U82" s="311">
        <v>94724238</v>
      </c>
      <c r="V82" s="311">
        <v>95782194</v>
      </c>
      <c r="W82" s="311"/>
      <c r="X82" s="274"/>
      <c r="Y82" s="2">
        <f t="shared" si="28"/>
        <v>456976</v>
      </c>
      <c r="Z82" s="2">
        <f t="shared" si="27"/>
        <v>875748</v>
      </c>
      <c r="AA82" s="2">
        <f t="shared" si="42"/>
        <v>856139</v>
      </c>
      <c r="AB82" s="2">
        <f t="shared" si="43"/>
        <v>977787</v>
      </c>
      <c r="AC82" s="2">
        <f t="shared" si="34"/>
        <v>885636</v>
      </c>
      <c r="AD82" s="2">
        <f t="shared" si="35"/>
        <v>891556</v>
      </c>
      <c r="AE82" s="2">
        <f t="shared" si="36"/>
        <v>981369</v>
      </c>
      <c r="AF82" s="2">
        <f t="shared" si="37"/>
        <v>1170081</v>
      </c>
      <c r="AG82" s="2">
        <f t="shared" si="38"/>
        <v>1066710</v>
      </c>
      <c r="AH82" s="2">
        <f t="shared" si="41"/>
        <v>1086575</v>
      </c>
      <c r="AI82" s="2">
        <f t="shared" si="39"/>
        <v>1064450</v>
      </c>
      <c r="AJ82" s="2">
        <f t="shared" si="40"/>
        <v>1057956</v>
      </c>
      <c r="AK82" s="406">
        <v>1</v>
      </c>
      <c r="AL82" s="274">
        <f t="shared" ca="1" si="29"/>
        <v>87577861</v>
      </c>
      <c r="AM82" s="311">
        <f t="shared" ca="1" si="30"/>
        <v>88463497</v>
      </c>
      <c r="AN82" s="274">
        <f ca="1">IF(AND(Tabla7[[#This Row],[UltLec]]&lt;&gt;0,Tabla7[[#This Row],[PenLect]]&lt;&gt;0),(AM82-AL82)*Tabla7[[#This Row],[RT]],"N/A")</f>
        <v>885636</v>
      </c>
      <c r="AO82" s="478" t="s">
        <v>1442</v>
      </c>
      <c r="AP82" s="392" t="s">
        <v>1191</v>
      </c>
      <c r="AQ82" s="392" t="s">
        <v>1189</v>
      </c>
      <c r="AR82" s="407">
        <f t="shared" si="31"/>
        <v>0</v>
      </c>
      <c r="AT82" s="2">
        <f t="shared" ca="1" si="32"/>
        <v>0.90575554798744506</v>
      </c>
      <c r="AV82">
        <f>IF(ISBLANK(Tabla7[[#This Row],[31/12/2017]]),0,Tabla7[[#This Row],[31/12/2017]])</f>
        <v>84411211</v>
      </c>
      <c r="AW82">
        <f>IF(ISBLANK(Tabla7[[#This Row],[15/01/2018]]),0,Tabla7[[#This Row],[15/01/2018]])</f>
        <v>84868187</v>
      </c>
      <c r="AX82">
        <f>IF(ISBLANK(Tabla7[[#This Row],[15/02/2018]]),0,Tabla7[[#This Row],[15/02/2018]])</f>
        <v>85743935</v>
      </c>
      <c r="AY82">
        <f>IF(ISBLANK(Tabla7[[#This Row],[15/03/2018]]),0,Tabla7[[#This Row],[15/03/2018]])</f>
        <v>86600074</v>
      </c>
      <c r="AZ82">
        <f>IF(ISBLANK(Tabla7[[#This Row],[15/04/2018]]),0,Tabla7[[#This Row],[15/04/2018]])</f>
        <v>87577861</v>
      </c>
      <c r="BA82">
        <f>IF(ISBLANK(Tabla7[[#This Row],[15/05/2018]]),0,Tabla7[[#This Row],[15/05/2018]])</f>
        <v>88463497</v>
      </c>
      <c r="BB82">
        <f>IF(ISBLANK(Tabla7[[#This Row],[15/06/2018]]),0,Tabla7[[#This Row],[15/06/2018]])</f>
        <v>89355053</v>
      </c>
      <c r="BC82">
        <f>IF(ISBLANK(Tabla7[[#This Row],[15/07/2018]]),0,Tabla7[[#This Row],[15/07/2018]])</f>
        <v>90336422</v>
      </c>
      <c r="BD82">
        <f>IF(ISBLANK(Tabla7[[#This Row],[15/08/2018]]),0,Tabla7[[#This Row],[15/08/2018]])</f>
        <v>91506503</v>
      </c>
      <c r="BE82">
        <f>IF(ISBLANK(Tabla7[[#This Row],[15/09/2018]]),0,Tabla7[[#This Row],[15/09/2018]])</f>
        <v>92573213</v>
      </c>
      <c r="BF82">
        <f>IF(ISBLANK(Tabla7[[#This Row],[15/10/2018]]),0,Tabla7[[#This Row],[15/10/2018]])</f>
        <v>93659788</v>
      </c>
      <c r="BG82">
        <f>IF(ISBLANK(Tabla7[[#This Row],[15/11/2018]]),0,Tabla7[[#This Row],[15/11/2018]])</f>
        <v>94724238</v>
      </c>
      <c r="BH82">
        <f>IF(ISBLANK(Tabla7[[#This Row],[15/12/2018]]),0,Tabla7[[#This Row],[15/12/2018]])</f>
        <v>95782194</v>
      </c>
      <c r="BI82">
        <f>IF(ISBLANK(Tabla7[[#This Row],[28/12/2018]]),0,Tabla7[[#This Row],[28/12/2018]])</f>
        <v>0</v>
      </c>
      <c r="BN8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('95589723','MT-V','MT-V','39667','TCV STEVEDORING COMPANY, S.A.','TCV CT1','','3 MEDIA TENSIÓN');</v>
      </c>
      <c r="BO82" t="s">
        <v>243</v>
      </c>
      <c r="BP82" s="632" t="str">
        <f>CONCATENATE("insert into lecturas values ","('",Tabla7[[#This Row],[CONTADOR]],"',STR_TO_DATE('",Tabla7[[#Headers],[31/12/2017]],"','%d/%m/%Y'),",AV82,"),","('",Tabla7[[#This Row],[CONTADOR]],"',STR_TO_DATE('",Tabla7[[#Headers],[15/01/2018]],"','%d/%m/%Y'),",AW82,"),","('",Tabla7[[#This Row],[CONTADOR]],"',STR_TO_DATE('",Tabla7[[#Headers],[15/02/2018]],"','%d/%m/%Y'),",AX82,"),","('",Tabla7[[#This Row],[CONTADOR]],"',STR_TO_DATE('",Tabla7[[#Headers],[15/03/2018]],"','%d/%m/%Y'),",AY82,"),","('",Tabla7[[#This Row],[CONTADOR]],"',STR_TO_DATE('",Tabla7[[#Headers],[15/04/2018]],"','%d/%m/%Y'),",AZ82,"),","('",Tabla7[[#This Row],[CONTADOR]],"',STR_TO_DATE('",Tabla7[[#Headers],[15/05/2018]],"','%d/%m/%Y'),",BA82,"),","('",Tabla7[[#This Row],[CONTADOR]],"',STR_TO_DATE('",Tabla7[[#Headers],[15/06/2018]],"','%d/%m/%Y'),",BB82,"),","('",Tabla7[[#This Row],[CONTADOR]],"',STR_TO_DATE('",Tabla7[[#Headers],[15/07/2018]],"','%d/%m/%Y'),",BC82,"),","('",Tabla7[[#This Row],[CONTADOR]],"',STR_TO_DATE('",Tabla7[[#Headers],[15/08/2018]],"','%d/%m/%Y'),",BD82,"),","('",Tabla7[[#This Row],[CONTADOR]],"',STR_TO_DATE('",Tabla7[[#Headers],[15/09/2018]],"','%d/%m/%Y'),",BE82,"),","('",Tabla7[[#This Row],[CONTADOR]],"',STR_TO_DATE('",Tabla7[[#Headers],[15/10/2018]],"','%d/%m/%Y'),",BF82,"),","('",Tabla7[[#This Row],[CONTADOR]],"',STR_TO_DATE('",Tabla7[[#Headers],[15/11/2018]],"','%d/%m/%Y'),",BG82,"),","('",Tabla7[[#This Row],[CONTADOR]],"',STR_TO_DATE('",Tabla7[[#Headers],[15/12/2018]],"','%d/%m/%Y'),",BH82,");")</f>
        <v>insert into lecturas values ('95589723',STR_TO_DATE('31/12/2017','%d/%m/%Y'),84411211),('95589723',STR_TO_DATE('15/01/2018','%d/%m/%Y'),84868187),('95589723',STR_TO_DATE('15/02/2018','%d/%m/%Y'),85743935),('95589723',STR_TO_DATE('15/03/2018','%d/%m/%Y'),86600074),('95589723',STR_TO_DATE('15/04/2018','%d/%m/%Y'),87577861),('95589723',STR_TO_DATE('15/05/2018','%d/%m/%Y'),88463497),('95589723',STR_TO_DATE('15/06/2018','%d/%m/%Y'),89355053),('95589723',STR_TO_DATE('15/07/2018','%d/%m/%Y'),90336422),('95589723',STR_TO_DATE('15/08/2018','%d/%m/%Y'),91506503),('95589723',STR_TO_DATE('15/09/2018','%d/%m/%Y'),92573213),('95589723',STR_TO_DATE('15/10/2018','%d/%m/%Y'),93659788),('95589723',STR_TO_DATE('15/11/2018','%d/%m/%Y'),94724238),('95589723',STR_TO_DATE('15/12/2018','%d/%m/%Y'),95782194);</v>
      </c>
    </row>
    <row r="83" spans="1:68" ht="18" customHeight="1" x14ac:dyDescent="0.25">
      <c r="A83" s="241" t="s">
        <v>356</v>
      </c>
      <c r="B83" s="60"/>
      <c r="C83" s="342">
        <v>95589730</v>
      </c>
      <c r="D83" s="60" t="s">
        <v>356</v>
      </c>
      <c r="E83" s="258">
        <v>39729</v>
      </c>
      <c r="F83" s="274" t="s">
        <v>375</v>
      </c>
      <c r="G83" s="2" t="s">
        <v>376</v>
      </c>
      <c r="H83" s="274"/>
      <c r="I83" s="2" t="s">
        <v>961</v>
      </c>
      <c r="J83" s="311">
        <v>6877654</v>
      </c>
      <c r="K83" s="311">
        <v>6907607</v>
      </c>
      <c r="L83" s="311">
        <v>6962662</v>
      </c>
      <c r="M83" s="311">
        <v>7006492</v>
      </c>
      <c r="N83" s="311">
        <v>7044688</v>
      </c>
      <c r="O83" s="454">
        <v>7087545</v>
      </c>
      <c r="P83" s="311">
        <v>7148990</v>
      </c>
      <c r="Q83" s="311">
        <v>7256363</v>
      </c>
      <c r="R83" s="311">
        <v>7386585</v>
      </c>
      <c r="S83" s="311">
        <v>7505905</v>
      </c>
      <c r="T83" s="311">
        <v>7600712</v>
      </c>
      <c r="U83" s="311">
        <v>7655232</v>
      </c>
      <c r="V83" s="311">
        <v>7699379</v>
      </c>
      <c r="W83" s="311"/>
      <c r="X83" s="274"/>
      <c r="Y83" s="2">
        <f t="shared" si="28"/>
        <v>29953</v>
      </c>
      <c r="Z83" s="2">
        <f t="shared" si="27"/>
        <v>55055</v>
      </c>
      <c r="AA83" s="2">
        <f t="shared" si="42"/>
        <v>43830</v>
      </c>
      <c r="AB83" s="2">
        <f t="shared" si="43"/>
        <v>38196</v>
      </c>
      <c r="AC83" s="2">
        <f t="shared" si="34"/>
        <v>42857</v>
      </c>
      <c r="AD83" s="2">
        <f t="shared" si="35"/>
        <v>61445</v>
      </c>
      <c r="AE83" s="2">
        <f t="shared" si="36"/>
        <v>107373</v>
      </c>
      <c r="AF83" s="2">
        <f t="shared" si="37"/>
        <v>130222</v>
      </c>
      <c r="AG83" s="2">
        <f t="shared" si="38"/>
        <v>119320</v>
      </c>
      <c r="AH83" s="2">
        <f t="shared" si="41"/>
        <v>94807</v>
      </c>
      <c r="AI83" s="2">
        <f t="shared" si="39"/>
        <v>54520</v>
      </c>
      <c r="AJ83" s="2">
        <f t="shared" si="40"/>
        <v>44147</v>
      </c>
      <c r="AK83" s="406">
        <v>1</v>
      </c>
      <c r="AL83" s="274">
        <f t="shared" ca="1" si="29"/>
        <v>7044688</v>
      </c>
      <c r="AM83" s="311">
        <f t="shared" ca="1" si="30"/>
        <v>7087545</v>
      </c>
      <c r="AN83" s="274">
        <f ca="1">IF(AND(Tabla7[[#This Row],[UltLec]]&lt;&gt;0,Tabla7[[#This Row],[PenLect]]&lt;&gt;0),(AM83-AL83)*Tabla7[[#This Row],[RT]],"N/A")</f>
        <v>42857</v>
      </c>
      <c r="AO83" s="478" t="s">
        <v>1442</v>
      </c>
      <c r="AP83" s="392" t="s">
        <v>1191</v>
      </c>
      <c r="AQ83" s="392" t="s">
        <v>1189</v>
      </c>
      <c r="AR83" s="407">
        <f t="shared" si="31"/>
        <v>0</v>
      </c>
      <c r="AT83" s="2">
        <f t="shared" ca="1" si="32"/>
        <v>1.1220284846580795</v>
      </c>
      <c r="AV83">
        <f>IF(ISBLANK(Tabla7[[#This Row],[31/12/2017]]),0,Tabla7[[#This Row],[31/12/2017]])</f>
        <v>6877654</v>
      </c>
      <c r="AW83">
        <f>IF(ISBLANK(Tabla7[[#This Row],[15/01/2018]]),0,Tabla7[[#This Row],[15/01/2018]])</f>
        <v>6907607</v>
      </c>
      <c r="AX83">
        <f>IF(ISBLANK(Tabla7[[#This Row],[15/02/2018]]),0,Tabla7[[#This Row],[15/02/2018]])</f>
        <v>6962662</v>
      </c>
      <c r="AY83">
        <f>IF(ISBLANK(Tabla7[[#This Row],[15/03/2018]]),0,Tabla7[[#This Row],[15/03/2018]])</f>
        <v>7006492</v>
      </c>
      <c r="AZ83">
        <f>IF(ISBLANK(Tabla7[[#This Row],[15/04/2018]]),0,Tabla7[[#This Row],[15/04/2018]])</f>
        <v>7044688</v>
      </c>
      <c r="BA83">
        <f>IF(ISBLANK(Tabla7[[#This Row],[15/05/2018]]),0,Tabla7[[#This Row],[15/05/2018]])</f>
        <v>7087545</v>
      </c>
      <c r="BB83">
        <f>IF(ISBLANK(Tabla7[[#This Row],[15/06/2018]]),0,Tabla7[[#This Row],[15/06/2018]])</f>
        <v>7148990</v>
      </c>
      <c r="BC83">
        <f>IF(ISBLANK(Tabla7[[#This Row],[15/07/2018]]),0,Tabla7[[#This Row],[15/07/2018]])</f>
        <v>7256363</v>
      </c>
      <c r="BD83">
        <f>IF(ISBLANK(Tabla7[[#This Row],[15/08/2018]]),0,Tabla7[[#This Row],[15/08/2018]])</f>
        <v>7386585</v>
      </c>
      <c r="BE83">
        <f>IF(ISBLANK(Tabla7[[#This Row],[15/09/2018]]),0,Tabla7[[#This Row],[15/09/2018]])</f>
        <v>7505905</v>
      </c>
      <c r="BF83">
        <f>IF(ISBLANK(Tabla7[[#This Row],[15/10/2018]]),0,Tabla7[[#This Row],[15/10/2018]])</f>
        <v>7600712</v>
      </c>
      <c r="BG83">
        <f>IF(ISBLANK(Tabla7[[#This Row],[15/11/2018]]),0,Tabla7[[#This Row],[15/11/2018]])</f>
        <v>7655232</v>
      </c>
      <c r="BH83">
        <f>IF(ISBLANK(Tabla7[[#This Row],[15/12/2018]]),0,Tabla7[[#This Row],[15/12/2018]])</f>
        <v>7699379</v>
      </c>
      <c r="BI83">
        <f>IF(ISBLANK(Tabla7[[#This Row],[28/12/2018]]),0,Tabla7[[#This Row],[28/12/2018]])</f>
        <v>0</v>
      </c>
      <c r="BN8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('95589730','MT-V','MT-V','39729','CIA. TRASMEDITERRANEA, S. A.','ACCIONA ','','10 MEDIA TENSIÓN');</v>
      </c>
      <c r="BO83" t="s">
        <v>243</v>
      </c>
      <c r="BP83" s="632" t="str">
        <f>CONCATENATE("insert into lecturas values ","('",Tabla7[[#This Row],[CONTADOR]],"',STR_TO_DATE('",Tabla7[[#Headers],[31/12/2017]],"','%d/%m/%Y'),",AV83,"),","('",Tabla7[[#This Row],[CONTADOR]],"',STR_TO_DATE('",Tabla7[[#Headers],[15/01/2018]],"','%d/%m/%Y'),",AW83,"),","('",Tabla7[[#This Row],[CONTADOR]],"',STR_TO_DATE('",Tabla7[[#Headers],[15/02/2018]],"','%d/%m/%Y'),",AX83,"),","('",Tabla7[[#This Row],[CONTADOR]],"',STR_TO_DATE('",Tabla7[[#Headers],[15/03/2018]],"','%d/%m/%Y'),",AY83,"),","('",Tabla7[[#This Row],[CONTADOR]],"',STR_TO_DATE('",Tabla7[[#Headers],[15/04/2018]],"','%d/%m/%Y'),",AZ83,"),","('",Tabla7[[#This Row],[CONTADOR]],"',STR_TO_DATE('",Tabla7[[#Headers],[15/05/2018]],"','%d/%m/%Y'),",BA83,"),","('",Tabla7[[#This Row],[CONTADOR]],"',STR_TO_DATE('",Tabla7[[#Headers],[15/06/2018]],"','%d/%m/%Y'),",BB83,"),","('",Tabla7[[#This Row],[CONTADOR]],"',STR_TO_DATE('",Tabla7[[#Headers],[15/07/2018]],"','%d/%m/%Y'),",BC83,"),","('",Tabla7[[#This Row],[CONTADOR]],"',STR_TO_DATE('",Tabla7[[#Headers],[15/08/2018]],"','%d/%m/%Y'),",BD83,"),","('",Tabla7[[#This Row],[CONTADOR]],"',STR_TO_DATE('",Tabla7[[#Headers],[15/09/2018]],"','%d/%m/%Y'),",BE83,"),","('",Tabla7[[#This Row],[CONTADOR]],"',STR_TO_DATE('",Tabla7[[#Headers],[15/10/2018]],"','%d/%m/%Y'),",BF83,"),","('",Tabla7[[#This Row],[CONTADOR]],"',STR_TO_DATE('",Tabla7[[#Headers],[15/11/2018]],"','%d/%m/%Y'),",BG83,"),","('",Tabla7[[#This Row],[CONTADOR]],"',STR_TO_DATE('",Tabla7[[#Headers],[15/12/2018]],"','%d/%m/%Y'),",BH83,");")</f>
        <v>insert into lecturas values ('95589730',STR_TO_DATE('31/12/2017','%d/%m/%Y'),6877654),('95589730',STR_TO_DATE('15/01/2018','%d/%m/%Y'),6907607),('95589730',STR_TO_DATE('15/02/2018','%d/%m/%Y'),6962662),('95589730',STR_TO_DATE('15/03/2018','%d/%m/%Y'),7006492),('95589730',STR_TO_DATE('15/04/2018','%d/%m/%Y'),7044688),('95589730',STR_TO_DATE('15/05/2018','%d/%m/%Y'),7087545),('95589730',STR_TO_DATE('15/06/2018','%d/%m/%Y'),7148990),('95589730',STR_TO_DATE('15/07/2018','%d/%m/%Y'),7256363),('95589730',STR_TO_DATE('15/08/2018','%d/%m/%Y'),7386585),('95589730',STR_TO_DATE('15/09/2018','%d/%m/%Y'),7505905),('95589730',STR_TO_DATE('15/10/2018','%d/%m/%Y'),7600712),('95589730',STR_TO_DATE('15/11/2018','%d/%m/%Y'),7655232),('95589730',STR_TO_DATE('15/12/2018','%d/%m/%Y'),7699379);</v>
      </c>
    </row>
    <row r="84" spans="1:68" ht="18" customHeight="1" x14ac:dyDescent="0.25">
      <c r="A84" s="241" t="s">
        <v>356</v>
      </c>
      <c r="B84" s="60"/>
      <c r="C84" s="342">
        <v>95589744</v>
      </c>
      <c r="D84" s="60" t="s">
        <v>356</v>
      </c>
      <c r="E84" s="258">
        <v>39000</v>
      </c>
      <c r="F84" s="274" t="s">
        <v>372</v>
      </c>
      <c r="G84" s="274" t="s">
        <v>372</v>
      </c>
      <c r="H84" s="2" t="s">
        <v>699</v>
      </c>
      <c r="I84" s="274" t="s">
        <v>959</v>
      </c>
      <c r="J84" s="311">
        <v>2049816</v>
      </c>
      <c r="K84" s="311">
        <v>2057539</v>
      </c>
      <c r="L84" s="311">
        <v>2076213</v>
      </c>
      <c r="M84" s="311">
        <v>2093233</v>
      </c>
      <c r="N84" s="311">
        <v>2111338</v>
      </c>
      <c r="O84" s="454">
        <v>2129797</v>
      </c>
      <c r="P84" s="311">
        <v>2150803</v>
      </c>
      <c r="Q84" s="311">
        <v>2172036</v>
      </c>
      <c r="R84" s="311">
        <v>2191924</v>
      </c>
      <c r="S84" s="311">
        <v>2213289</v>
      </c>
      <c r="T84" s="311">
        <v>2228649</v>
      </c>
      <c r="U84" s="311">
        <v>2249416</v>
      </c>
      <c r="V84" s="311">
        <v>2264340</v>
      </c>
      <c r="W84" s="311"/>
      <c r="X84" s="274"/>
      <c r="Y84" s="2">
        <f t="shared" si="28"/>
        <v>7723</v>
      </c>
      <c r="Z84" s="2">
        <f t="shared" si="27"/>
        <v>18674</v>
      </c>
      <c r="AA84" s="2">
        <f t="shared" si="42"/>
        <v>17020</v>
      </c>
      <c r="AB84" s="2">
        <f t="shared" si="43"/>
        <v>18105</v>
      </c>
      <c r="AC84" s="2">
        <f t="shared" si="34"/>
        <v>18459</v>
      </c>
      <c r="AD84" s="2">
        <f t="shared" si="35"/>
        <v>21006</v>
      </c>
      <c r="AE84" s="2">
        <f t="shared" si="36"/>
        <v>21233</v>
      </c>
      <c r="AF84" s="2">
        <f t="shared" si="37"/>
        <v>19888</v>
      </c>
      <c r="AG84" s="2">
        <f t="shared" si="38"/>
        <v>21365</v>
      </c>
      <c r="AH84" s="2">
        <f t="shared" si="41"/>
        <v>15360</v>
      </c>
      <c r="AI84" s="2">
        <f t="shared" si="39"/>
        <v>20767</v>
      </c>
      <c r="AJ84" s="2">
        <f t="shared" si="40"/>
        <v>14924</v>
      </c>
      <c r="AK84" s="406">
        <v>1</v>
      </c>
      <c r="AL84" s="274">
        <f t="shared" ca="1" si="29"/>
        <v>2111338</v>
      </c>
      <c r="AM84" s="311">
        <f t="shared" ca="1" si="30"/>
        <v>2129797</v>
      </c>
      <c r="AN84" s="274">
        <f ca="1">IF(AND(Tabla7[[#This Row],[UltLec]]&lt;&gt;0,Tabla7[[#This Row],[PenLect]]&lt;&gt;0),(AM84-AL84)*Tabla7[[#This Row],[RT]],"N/A")</f>
        <v>18459</v>
      </c>
      <c r="AO84" s="478" t="s">
        <v>1442</v>
      </c>
      <c r="AP84" s="392" t="s">
        <v>1191</v>
      </c>
      <c r="AQ84" s="392" t="s">
        <v>1189</v>
      </c>
      <c r="AR84" s="407">
        <f t="shared" si="31"/>
        <v>0</v>
      </c>
      <c r="AT84" s="2">
        <f t="shared" ca="1" si="32"/>
        <v>1.0195526097763048</v>
      </c>
      <c r="AV84">
        <f>IF(ISBLANK(Tabla7[[#This Row],[31/12/2017]]),0,Tabla7[[#This Row],[31/12/2017]])</f>
        <v>2049816</v>
      </c>
      <c r="AW84">
        <f>IF(ISBLANK(Tabla7[[#This Row],[15/01/2018]]),0,Tabla7[[#This Row],[15/01/2018]])</f>
        <v>2057539</v>
      </c>
      <c r="AX84">
        <f>IF(ISBLANK(Tabla7[[#This Row],[15/02/2018]]),0,Tabla7[[#This Row],[15/02/2018]])</f>
        <v>2076213</v>
      </c>
      <c r="AY84">
        <f>IF(ISBLANK(Tabla7[[#This Row],[15/03/2018]]),0,Tabla7[[#This Row],[15/03/2018]])</f>
        <v>2093233</v>
      </c>
      <c r="AZ84">
        <f>IF(ISBLANK(Tabla7[[#This Row],[15/04/2018]]),0,Tabla7[[#This Row],[15/04/2018]])</f>
        <v>2111338</v>
      </c>
      <c r="BA84">
        <f>IF(ISBLANK(Tabla7[[#This Row],[15/05/2018]]),0,Tabla7[[#This Row],[15/05/2018]])</f>
        <v>2129797</v>
      </c>
      <c r="BB84">
        <f>IF(ISBLANK(Tabla7[[#This Row],[15/06/2018]]),0,Tabla7[[#This Row],[15/06/2018]])</f>
        <v>2150803</v>
      </c>
      <c r="BC84">
        <f>IF(ISBLANK(Tabla7[[#This Row],[15/07/2018]]),0,Tabla7[[#This Row],[15/07/2018]])</f>
        <v>2172036</v>
      </c>
      <c r="BD84">
        <f>IF(ISBLANK(Tabla7[[#This Row],[15/08/2018]]),0,Tabla7[[#This Row],[15/08/2018]])</f>
        <v>2191924</v>
      </c>
      <c r="BE84">
        <f>IF(ISBLANK(Tabla7[[#This Row],[15/09/2018]]),0,Tabla7[[#This Row],[15/09/2018]])</f>
        <v>2213289</v>
      </c>
      <c r="BF84">
        <f>IF(ISBLANK(Tabla7[[#This Row],[15/10/2018]]),0,Tabla7[[#This Row],[15/10/2018]])</f>
        <v>2228649</v>
      </c>
      <c r="BG84">
        <f>IF(ISBLANK(Tabla7[[#This Row],[15/11/2018]]),0,Tabla7[[#This Row],[15/11/2018]])</f>
        <v>2249416</v>
      </c>
      <c r="BH84">
        <f>IF(ISBLANK(Tabla7[[#This Row],[15/12/2018]]),0,Tabla7[[#This Row],[15/12/2018]])</f>
        <v>2264340</v>
      </c>
      <c r="BI84">
        <f>IF(ISBLANK(Tabla7[[#This Row],[28/12/2018]]),0,Tabla7[[#This Row],[28/12/2018]])</f>
        <v>0</v>
      </c>
      <c r="BN8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('95589744','MT-V','MT-V','39000','CEPSA COMERCIAL PETROLEO, S.A.','CEPSA COMERCIAL PETROLEO, S.A.','EN CT-10','8 MEDIA TENSIÓN');</v>
      </c>
      <c r="BO84" t="s">
        <v>243</v>
      </c>
      <c r="BP84" s="632" t="str">
        <f>CONCATENATE("insert into lecturas values ","('",Tabla7[[#This Row],[CONTADOR]],"',STR_TO_DATE('",Tabla7[[#Headers],[31/12/2017]],"','%d/%m/%Y'),",AV84,"),","('",Tabla7[[#This Row],[CONTADOR]],"',STR_TO_DATE('",Tabla7[[#Headers],[15/01/2018]],"','%d/%m/%Y'),",AW84,"),","('",Tabla7[[#This Row],[CONTADOR]],"',STR_TO_DATE('",Tabla7[[#Headers],[15/02/2018]],"','%d/%m/%Y'),",AX84,"),","('",Tabla7[[#This Row],[CONTADOR]],"',STR_TO_DATE('",Tabla7[[#Headers],[15/03/2018]],"','%d/%m/%Y'),",AY84,"),","('",Tabla7[[#This Row],[CONTADOR]],"',STR_TO_DATE('",Tabla7[[#Headers],[15/04/2018]],"','%d/%m/%Y'),",AZ84,"),","('",Tabla7[[#This Row],[CONTADOR]],"',STR_TO_DATE('",Tabla7[[#Headers],[15/05/2018]],"','%d/%m/%Y'),",BA84,"),","('",Tabla7[[#This Row],[CONTADOR]],"',STR_TO_DATE('",Tabla7[[#Headers],[15/06/2018]],"','%d/%m/%Y'),",BB84,"),","('",Tabla7[[#This Row],[CONTADOR]],"',STR_TO_DATE('",Tabla7[[#Headers],[15/07/2018]],"','%d/%m/%Y'),",BC84,"),","('",Tabla7[[#This Row],[CONTADOR]],"',STR_TO_DATE('",Tabla7[[#Headers],[15/08/2018]],"','%d/%m/%Y'),",BD84,"),","('",Tabla7[[#This Row],[CONTADOR]],"',STR_TO_DATE('",Tabla7[[#Headers],[15/09/2018]],"','%d/%m/%Y'),",BE84,"),","('",Tabla7[[#This Row],[CONTADOR]],"',STR_TO_DATE('",Tabla7[[#Headers],[15/10/2018]],"','%d/%m/%Y'),",BF84,"),","('",Tabla7[[#This Row],[CONTADOR]],"',STR_TO_DATE('",Tabla7[[#Headers],[15/11/2018]],"','%d/%m/%Y'),",BG84,"),","('",Tabla7[[#This Row],[CONTADOR]],"',STR_TO_DATE('",Tabla7[[#Headers],[15/12/2018]],"','%d/%m/%Y'),",BH84,");")</f>
        <v>insert into lecturas values ('95589744',STR_TO_DATE('31/12/2017','%d/%m/%Y'),2049816),('95589744',STR_TO_DATE('15/01/2018','%d/%m/%Y'),2057539),('95589744',STR_TO_DATE('15/02/2018','%d/%m/%Y'),2076213),('95589744',STR_TO_DATE('15/03/2018','%d/%m/%Y'),2093233),('95589744',STR_TO_DATE('15/04/2018','%d/%m/%Y'),2111338),('95589744',STR_TO_DATE('15/05/2018','%d/%m/%Y'),2129797),('95589744',STR_TO_DATE('15/06/2018','%d/%m/%Y'),2150803),('95589744',STR_TO_DATE('15/07/2018','%d/%m/%Y'),2172036),('95589744',STR_TO_DATE('15/08/2018','%d/%m/%Y'),2191924),('95589744',STR_TO_DATE('15/09/2018','%d/%m/%Y'),2213289),('95589744',STR_TO_DATE('15/10/2018','%d/%m/%Y'),2228649),('95589744',STR_TO_DATE('15/11/2018','%d/%m/%Y'),2249416),('95589744',STR_TO_DATE('15/12/2018','%d/%m/%Y'),2264340);</v>
      </c>
    </row>
    <row r="85" spans="1:68" ht="18" customHeight="1" x14ac:dyDescent="0.25">
      <c r="A85" s="241" t="s">
        <v>356</v>
      </c>
      <c r="B85" s="60"/>
      <c r="C85" s="342">
        <v>97560644</v>
      </c>
      <c r="D85" s="60" t="s">
        <v>356</v>
      </c>
      <c r="E85" s="258">
        <v>39281</v>
      </c>
      <c r="F85" s="274" t="s">
        <v>385</v>
      </c>
      <c r="G85" s="2" t="s">
        <v>386</v>
      </c>
      <c r="H85" s="2"/>
      <c r="I85" s="2" t="s">
        <v>941</v>
      </c>
      <c r="J85" s="311">
        <v>3721448</v>
      </c>
      <c r="K85" s="311">
        <v>3748557</v>
      </c>
      <c r="L85" s="311">
        <v>3814751</v>
      </c>
      <c r="M85" s="311">
        <v>3877465</v>
      </c>
      <c r="N85" s="311">
        <v>3927214</v>
      </c>
      <c r="O85" s="454">
        <v>3977390</v>
      </c>
      <c r="P85" s="454">
        <v>4020300</v>
      </c>
      <c r="Q85" s="454">
        <v>4058166</v>
      </c>
      <c r="R85" s="311">
        <v>4096724</v>
      </c>
      <c r="S85" s="311">
        <v>4139772</v>
      </c>
      <c r="T85" s="311">
        <v>4196537</v>
      </c>
      <c r="U85" s="311">
        <v>4246201</v>
      </c>
      <c r="V85" s="311">
        <v>4294730</v>
      </c>
      <c r="W85" s="311"/>
      <c r="X85" s="274"/>
      <c r="Y85" s="2">
        <f t="shared" si="28"/>
        <v>27109</v>
      </c>
      <c r="Z85" s="2">
        <f t="shared" si="27"/>
        <v>66194</v>
      </c>
      <c r="AA85" s="2">
        <f t="shared" si="42"/>
        <v>62714</v>
      </c>
      <c r="AB85" s="2">
        <f t="shared" si="43"/>
        <v>49749</v>
      </c>
      <c r="AC85" s="2">
        <f t="shared" si="34"/>
        <v>50176</v>
      </c>
      <c r="AD85" s="2">
        <f t="shared" si="35"/>
        <v>42910</v>
      </c>
      <c r="AE85" s="2">
        <f t="shared" si="36"/>
        <v>37866</v>
      </c>
      <c r="AF85" s="2">
        <f t="shared" si="37"/>
        <v>38558</v>
      </c>
      <c r="AG85" s="2">
        <f t="shared" si="38"/>
        <v>43048</v>
      </c>
      <c r="AH85" s="2">
        <f t="shared" si="41"/>
        <v>56765</v>
      </c>
      <c r="AI85" s="2">
        <f t="shared" si="39"/>
        <v>49664</v>
      </c>
      <c r="AJ85" s="2">
        <f t="shared" si="40"/>
        <v>48529</v>
      </c>
      <c r="AK85" s="406">
        <v>1</v>
      </c>
      <c r="AL85" s="274">
        <f t="shared" ca="1" si="29"/>
        <v>3927214</v>
      </c>
      <c r="AM85" s="311">
        <f t="shared" ca="1" si="30"/>
        <v>3977390</v>
      </c>
      <c r="AN85" s="274">
        <f ca="1">IF(AND(Tabla7[[#This Row],[UltLec]]&lt;&gt;0,Tabla7[[#This Row],[PenLect]]&lt;&gt;0),(AM85-AL85)*Tabla7[[#This Row],[RT]],"N/A")</f>
        <v>50176</v>
      </c>
      <c r="AO85" s="478" t="s">
        <v>1442</v>
      </c>
      <c r="AP85" s="392" t="s">
        <v>1191</v>
      </c>
      <c r="AQ85" s="392" t="s">
        <v>1189</v>
      </c>
      <c r="AR85" s="407">
        <f t="shared" si="31"/>
        <v>0</v>
      </c>
      <c r="AT85" s="2">
        <f t="shared" ca="1" si="32"/>
        <v>1.0085830870972281</v>
      </c>
      <c r="AV85">
        <f>IF(ISBLANK(Tabla7[[#This Row],[31/12/2017]]),0,Tabla7[[#This Row],[31/12/2017]])</f>
        <v>3721448</v>
      </c>
      <c r="AW85">
        <f>IF(ISBLANK(Tabla7[[#This Row],[15/01/2018]]),0,Tabla7[[#This Row],[15/01/2018]])</f>
        <v>3748557</v>
      </c>
      <c r="AX85">
        <f>IF(ISBLANK(Tabla7[[#This Row],[15/02/2018]]),0,Tabla7[[#This Row],[15/02/2018]])</f>
        <v>3814751</v>
      </c>
      <c r="AY85">
        <f>IF(ISBLANK(Tabla7[[#This Row],[15/03/2018]]),0,Tabla7[[#This Row],[15/03/2018]])</f>
        <v>3877465</v>
      </c>
      <c r="AZ85">
        <f>IF(ISBLANK(Tabla7[[#This Row],[15/04/2018]]),0,Tabla7[[#This Row],[15/04/2018]])</f>
        <v>3927214</v>
      </c>
      <c r="BA85">
        <f>IF(ISBLANK(Tabla7[[#This Row],[15/05/2018]]),0,Tabla7[[#This Row],[15/05/2018]])</f>
        <v>3977390</v>
      </c>
      <c r="BB85">
        <f>IF(ISBLANK(Tabla7[[#This Row],[15/06/2018]]),0,Tabla7[[#This Row],[15/06/2018]])</f>
        <v>4020300</v>
      </c>
      <c r="BC85">
        <f>IF(ISBLANK(Tabla7[[#This Row],[15/07/2018]]),0,Tabla7[[#This Row],[15/07/2018]])</f>
        <v>4058166</v>
      </c>
      <c r="BD85">
        <f>IF(ISBLANK(Tabla7[[#This Row],[15/08/2018]]),0,Tabla7[[#This Row],[15/08/2018]])</f>
        <v>4096724</v>
      </c>
      <c r="BE85">
        <f>IF(ISBLANK(Tabla7[[#This Row],[15/09/2018]]),0,Tabla7[[#This Row],[15/09/2018]])</f>
        <v>4139772</v>
      </c>
      <c r="BF85">
        <f>IF(ISBLANK(Tabla7[[#This Row],[15/10/2018]]),0,Tabla7[[#This Row],[15/10/2018]])</f>
        <v>4196537</v>
      </c>
      <c r="BG85">
        <f>IF(ISBLANK(Tabla7[[#This Row],[15/11/2018]]),0,Tabla7[[#This Row],[15/11/2018]])</f>
        <v>4246201</v>
      </c>
      <c r="BH85">
        <f>IF(ISBLANK(Tabla7[[#This Row],[15/12/2018]]),0,Tabla7[[#This Row],[15/12/2018]])</f>
        <v>4294730</v>
      </c>
      <c r="BI85">
        <f>IF(ISBLANK(Tabla7[[#This Row],[28/12/2018]]),0,Tabla7[[#This Row],[28/12/2018]])</f>
        <v>0</v>
      </c>
      <c r="BN8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('97560644','MT-V','MT-V','39281','Terminales Portuarias S.L. (1125)','VCT-16  CT TEPSA 1 y 2.','','16 MEDIA TENSIÓN');</v>
      </c>
      <c r="BO85" t="s">
        <v>243</v>
      </c>
      <c r="BP85" s="632" t="str">
        <f>CONCATENATE("insert into lecturas values ","('",Tabla7[[#This Row],[CONTADOR]],"',STR_TO_DATE('",Tabla7[[#Headers],[31/12/2017]],"','%d/%m/%Y'),",AV85,"),","('",Tabla7[[#This Row],[CONTADOR]],"',STR_TO_DATE('",Tabla7[[#Headers],[15/01/2018]],"','%d/%m/%Y'),",AW85,"),","('",Tabla7[[#This Row],[CONTADOR]],"',STR_TO_DATE('",Tabla7[[#Headers],[15/02/2018]],"','%d/%m/%Y'),",AX85,"),","('",Tabla7[[#This Row],[CONTADOR]],"',STR_TO_DATE('",Tabla7[[#Headers],[15/03/2018]],"','%d/%m/%Y'),",AY85,"),","('",Tabla7[[#This Row],[CONTADOR]],"',STR_TO_DATE('",Tabla7[[#Headers],[15/04/2018]],"','%d/%m/%Y'),",AZ85,"),","('",Tabla7[[#This Row],[CONTADOR]],"',STR_TO_DATE('",Tabla7[[#Headers],[15/05/2018]],"','%d/%m/%Y'),",BA85,"),","('",Tabla7[[#This Row],[CONTADOR]],"',STR_TO_DATE('",Tabla7[[#Headers],[15/06/2018]],"','%d/%m/%Y'),",BB85,"),","('",Tabla7[[#This Row],[CONTADOR]],"',STR_TO_DATE('",Tabla7[[#Headers],[15/07/2018]],"','%d/%m/%Y'),",BC85,"),","('",Tabla7[[#This Row],[CONTADOR]],"',STR_TO_DATE('",Tabla7[[#Headers],[15/08/2018]],"','%d/%m/%Y'),",BD85,"),","('",Tabla7[[#This Row],[CONTADOR]],"',STR_TO_DATE('",Tabla7[[#Headers],[15/09/2018]],"','%d/%m/%Y'),",BE85,"),","('",Tabla7[[#This Row],[CONTADOR]],"',STR_TO_DATE('",Tabla7[[#Headers],[15/10/2018]],"','%d/%m/%Y'),",BF85,"),","('",Tabla7[[#This Row],[CONTADOR]],"',STR_TO_DATE('",Tabla7[[#Headers],[15/11/2018]],"','%d/%m/%Y'),",BG85,"),","('",Tabla7[[#This Row],[CONTADOR]],"',STR_TO_DATE('",Tabla7[[#Headers],[15/12/2018]],"','%d/%m/%Y'),",BH85,");")</f>
        <v>insert into lecturas values ('97560644',STR_TO_DATE('31/12/2017','%d/%m/%Y'),3721448),('97560644',STR_TO_DATE('15/01/2018','%d/%m/%Y'),3748557),('97560644',STR_TO_DATE('15/02/2018','%d/%m/%Y'),3814751),('97560644',STR_TO_DATE('15/03/2018','%d/%m/%Y'),3877465),('97560644',STR_TO_DATE('15/04/2018','%d/%m/%Y'),3927214),('97560644',STR_TO_DATE('15/05/2018','%d/%m/%Y'),3977390),('97560644',STR_TO_DATE('15/06/2018','%d/%m/%Y'),4020300),('97560644',STR_TO_DATE('15/07/2018','%d/%m/%Y'),4058166),('97560644',STR_TO_DATE('15/08/2018','%d/%m/%Y'),4096724),('97560644',STR_TO_DATE('15/09/2018','%d/%m/%Y'),4139772),('97560644',STR_TO_DATE('15/10/2018','%d/%m/%Y'),4196537),('97560644',STR_TO_DATE('15/11/2018','%d/%m/%Y'),4246201),('97560644',STR_TO_DATE('15/12/2018','%d/%m/%Y'),4294730);</v>
      </c>
    </row>
    <row r="86" spans="1:68" ht="18" customHeight="1" x14ac:dyDescent="0.25">
      <c r="A86" s="241" t="s">
        <v>356</v>
      </c>
      <c r="B86" s="60">
        <v>1353</v>
      </c>
      <c r="C86" s="342">
        <v>15051348800</v>
      </c>
      <c r="D86" s="60" t="s">
        <v>356</v>
      </c>
      <c r="E86" s="258">
        <v>39030</v>
      </c>
      <c r="F86" s="2" t="s">
        <v>108</v>
      </c>
      <c r="G86" s="265" t="s">
        <v>469</v>
      </c>
      <c r="H86" s="265" t="s">
        <v>468</v>
      </c>
      <c r="I86" s="308" t="s">
        <v>960</v>
      </c>
      <c r="J86" s="311">
        <v>130839</v>
      </c>
      <c r="K86" s="311">
        <v>131223</v>
      </c>
      <c r="L86" s="311">
        <v>131970</v>
      </c>
      <c r="M86" s="311">
        <v>132630</v>
      </c>
      <c r="N86" s="311">
        <v>133371</v>
      </c>
      <c r="O86" s="454">
        <v>134021</v>
      </c>
      <c r="P86" s="454">
        <v>134707</v>
      </c>
      <c r="Q86" s="454">
        <v>135444</v>
      </c>
      <c r="R86" s="311">
        <v>136121</v>
      </c>
      <c r="S86" s="311">
        <v>136861</v>
      </c>
      <c r="T86" s="307"/>
      <c r="U86" s="353">
        <v>138252</v>
      </c>
      <c r="V86" s="311"/>
      <c r="W86" s="353"/>
      <c r="X86" s="307"/>
      <c r="Y86" s="2">
        <f t="shared" si="28"/>
        <v>384</v>
      </c>
      <c r="Z86" s="2">
        <f t="shared" si="27"/>
        <v>747</v>
      </c>
      <c r="AA86" s="2">
        <f t="shared" si="42"/>
        <v>660</v>
      </c>
      <c r="AB86" s="2">
        <f t="shared" si="43"/>
        <v>741</v>
      </c>
      <c r="AC86" s="2">
        <f t="shared" si="34"/>
        <v>650</v>
      </c>
      <c r="AD86" s="2">
        <f t="shared" si="35"/>
        <v>686</v>
      </c>
      <c r="AE86" s="2">
        <f t="shared" si="36"/>
        <v>737</v>
      </c>
      <c r="AF86" s="2">
        <f t="shared" si="37"/>
        <v>677</v>
      </c>
      <c r="AG86" s="2">
        <f t="shared" si="38"/>
        <v>740</v>
      </c>
      <c r="AH86" s="2" t="str">
        <f t="shared" si="41"/>
        <v/>
      </c>
      <c r="AI86" s="2" t="str">
        <f t="shared" si="39"/>
        <v/>
      </c>
      <c r="AJ86" s="2" t="str">
        <f t="shared" si="40"/>
        <v/>
      </c>
      <c r="AK86" s="406">
        <v>1</v>
      </c>
      <c r="AL86" s="274">
        <f t="shared" ca="1" si="29"/>
        <v>133371</v>
      </c>
      <c r="AM86" s="311">
        <f t="shared" ca="1" si="30"/>
        <v>134021</v>
      </c>
      <c r="AN86" s="274">
        <f ca="1">IF(AND(Tabla7[[#This Row],[UltLec]]&lt;&gt;0,Tabla7[[#This Row],[PenLect]]&lt;&gt;0),(AM86-AL86)*Tabla7[[#This Row],[RT]],"N/A")</f>
        <v>650</v>
      </c>
      <c r="AO86" s="273" t="s">
        <v>1442</v>
      </c>
      <c r="AP86" s="392" t="s">
        <v>1191</v>
      </c>
      <c r="AQ86" s="392" t="s">
        <v>1189</v>
      </c>
      <c r="AR86" s="407">
        <f t="shared" si="31"/>
        <v>0</v>
      </c>
      <c r="AT86" s="2">
        <f t="shared" ca="1" si="32"/>
        <v>0.8771929824561403</v>
      </c>
      <c r="AV86">
        <f>IF(ISBLANK(Tabla7[[#This Row],[31/12/2017]]),0,Tabla7[[#This Row],[31/12/2017]])</f>
        <v>130839</v>
      </c>
      <c r="AW86">
        <f>IF(ISBLANK(Tabla7[[#This Row],[15/01/2018]]),0,Tabla7[[#This Row],[15/01/2018]])</f>
        <v>131223</v>
      </c>
      <c r="AX86">
        <f>IF(ISBLANK(Tabla7[[#This Row],[15/02/2018]]),0,Tabla7[[#This Row],[15/02/2018]])</f>
        <v>131970</v>
      </c>
      <c r="AY86">
        <f>IF(ISBLANK(Tabla7[[#This Row],[15/03/2018]]),0,Tabla7[[#This Row],[15/03/2018]])</f>
        <v>132630</v>
      </c>
      <c r="AZ86">
        <f>IF(ISBLANK(Tabla7[[#This Row],[15/04/2018]]),0,Tabla7[[#This Row],[15/04/2018]])</f>
        <v>133371</v>
      </c>
      <c r="BA86">
        <f>IF(ISBLANK(Tabla7[[#This Row],[15/05/2018]]),0,Tabla7[[#This Row],[15/05/2018]])</f>
        <v>134021</v>
      </c>
      <c r="BB86">
        <f>IF(ISBLANK(Tabla7[[#This Row],[15/06/2018]]),0,Tabla7[[#This Row],[15/06/2018]])</f>
        <v>134707</v>
      </c>
      <c r="BC86">
        <f>IF(ISBLANK(Tabla7[[#This Row],[15/07/2018]]),0,Tabla7[[#This Row],[15/07/2018]])</f>
        <v>135444</v>
      </c>
      <c r="BD86">
        <f>IF(ISBLANK(Tabla7[[#This Row],[15/08/2018]]),0,Tabla7[[#This Row],[15/08/2018]])</f>
        <v>136121</v>
      </c>
      <c r="BE86">
        <f>IF(ISBLANK(Tabla7[[#This Row],[15/09/2018]]),0,Tabla7[[#This Row],[15/09/2018]])</f>
        <v>136861</v>
      </c>
      <c r="BF86">
        <f>IF(ISBLANK(Tabla7[[#This Row],[15/10/2018]]),0,Tabla7[[#This Row],[15/10/2018]])</f>
        <v>0</v>
      </c>
      <c r="BG86">
        <f>IF(ISBLANK(Tabla7[[#This Row],[15/11/2018]]),0,Tabla7[[#This Row],[15/11/2018]])</f>
        <v>138252</v>
      </c>
      <c r="BH86">
        <f>IF(ISBLANK(Tabla7[[#This Row],[15/12/2018]]),0,Tabla7[[#This Row],[15/12/2018]])</f>
        <v>0</v>
      </c>
      <c r="BI86">
        <f>IF(ISBLANK(Tabla7[[#This Row],[28/12/2018]]),0,Tabla7[[#This Row],[28/12/2018]])</f>
        <v>0</v>
      </c>
      <c r="BN8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('15051348800','MT-V','MT-V','39030','TCV STEVEDORING COMPANY, S.A.','CASETA HORMIGÓN MONTAJE GRUA FRENTE CT-17','TCV4','X MEDIA TENSIÓN');</v>
      </c>
      <c r="BO86" t="s">
        <v>243</v>
      </c>
      <c r="BP86" s="632" t="str">
        <f>CONCATENATE("insert into lecturas values ","('",Tabla7[[#This Row],[CONTADOR]],"',STR_TO_DATE('",Tabla7[[#Headers],[31/12/2017]],"','%d/%m/%Y'),",AV86,"),","('",Tabla7[[#This Row],[CONTADOR]],"',STR_TO_DATE('",Tabla7[[#Headers],[15/01/2018]],"','%d/%m/%Y'),",AW86,"),","('",Tabla7[[#This Row],[CONTADOR]],"',STR_TO_DATE('",Tabla7[[#Headers],[15/02/2018]],"','%d/%m/%Y'),",AX86,"),","('",Tabla7[[#This Row],[CONTADOR]],"',STR_TO_DATE('",Tabla7[[#Headers],[15/03/2018]],"','%d/%m/%Y'),",AY86,"),","('",Tabla7[[#This Row],[CONTADOR]],"',STR_TO_DATE('",Tabla7[[#Headers],[15/04/2018]],"','%d/%m/%Y'),",AZ86,"),","('",Tabla7[[#This Row],[CONTADOR]],"',STR_TO_DATE('",Tabla7[[#Headers],[15/05/2018]],"','%d/%m/%Y'),",BA86,"),","('",Tabla7[[#This Row],[CONTADOR]],"',STR_TO_DATE('",Tabla7[[#Headers],[15/06/2018]],"','%d/%m/%Y'),",BB86,"),","('",Tabla7[[#This Row],[CONTADOR]],"',STR_TO_DATE('",Tabla7[[#Headers],[15/07/2018]],"','%d/%m/%Y'),",BC86,"),","('",Tabla7[[#This Row],[CONTADOR]],"',STR_TO_DATE('",Tabla7[[#Headers],[15/08/2018]],"','%d/%m/%Y'),",BD86,"),","('",Tabla7[[#This Row],[CONTADOR]],"',STR_TO_DATE('",Tabla7[[#Headers],[15/09/2018]],"','%d/%m/%Y'),",BE86,"),","('",Tabla7[[#This Row],[CONTADOR]],"',STR_TO_DATE('",Tabla7[[#Headers],[15/10/2018]],"','%d/%m/%Y'),",BF86,"),","('",Tabla7[[#This Row],[CONTADOR]],"',STR_TO_DATE('",Tabla7[[#Headers],[15/11/2018]],"','%d/%m/%Y'),",BG86,"),","('",Tabla7[[#This Row],[CONTADOR]],"',STR_TO_DATE('",Tabla7[[#Headers],[15/12/2018]],"','%d/%m/%Y'),",BH86,");")</f>
        <v>insert into lecturas values ('15051348800',STR_TO_DATE('31/12/2017','%d/%m/%Y'),130839),('15051348800',STR_TO_DATE('15/01/2018','%d/%m/%Y'),131223),('15051348800',STR_TO_DATE('15/02/2018','%d/%m/%Y'),131970),('15051348800',STR_TO_DATE('15/03/2018','%d/%m/%Y'),132630),('15051348800',STR_TO_DATE('15/04/2018','%d/%m/%Y'),133371),('15051348800',STR_TO_DATE('15/05/2018','%d/%m/%Y'),134021),('15051348800',STR_TO_DATE('15/06/2018','%d/%m/%Y'),134707),('15051348800',STR_TO_DATE('15/07/2018','%d/%m/%Y'),135444),('15051348800',STR_TO_DATE('15/08/2018','%d/%m/%Y'),136121),('15051348800',STR_TO_DATE('15/09/2018','%d/%m/%Y'),136861),('15051348800',STR_TO_DATE('15/10/2018','%d/%m/%Y'),0),('15051348800',STR_TO_DATE('15/11/2018','%d/%m/%Y'),138252),('15051348800',STR_TO_DATE('15/12/2018','%d/%m/%Y'),0);</v>
      </c>
    </row>
    <row r="87" spans="1:68" ht="18" customHeight="1" x14ac:dyDescent="0.25">
      <c r="A87" s="241" t="s">
        <v>356</v>
      </c>
      <c r="B87" s="60"/>
      <c r="C87" s="342" t="s">
        <v>1269</v>
      </c>
      <c r="D87" s="60" t="s">
        <v>356</v>
      </c>
      <c r="E87" s="258">
        <v>39413</v>
      </c>
      <c r="F87" s="274" t="s">
        <v>377</v>
      </c>
      <c r="G87" s="274" t="s">
        <v>378</v>
      </c>
      <c r="H87" s="274" t="s">
        <v>378</v>
      </c>
      <c r="I87" s="274" t="s">
        <v>955</v>
      </c>
      <c r="J87" s="311">
        <v>899408</v>
      </c>
      <c r="K87" s="311">
        <v>900665</v>
      </c>
      <c r="L87" s="311">
        <v>902721</v>
      </c>
      <c r="M87" s="311">
        <v>904150</v>
      </c>
      <c r="N87" s="311">
        <v>905765</v>
      </c>
      <c r="O87" s="454">
        <v>907365</v>
      </c>
      <c r="P87" s="454">
        <v>908912</v>
      </c>
      <c r="Q87" s="454">
        <v>910463</v>
      </c>
      <c r="R87" s="311">
        <v>911970</v>
      </c>
      <c r="S87" s="311">
        <v>913706</v>
      </c>
      <c r="T87" s="311">
        <v>915228</v>
      </c>
      <c r="U87" s="311">
        <v>916790</v>
      </c>
      <c r="V87" s="311">
        <v>918113</v>
      </c>
      <c r="W87" s="311"/>
      <c r="X87" s="274"/>
      <c r="Y87" s="274">
        <f t="shared" si="28"/>
        <v>1257</v>
      </c>
      <c r="Z87" s="274">
        <f t="shared" si="27"/>
        <v>2056</v>
      </c>
      <c r="AA87" s="274">
        <f t="shared" si="42"/>
        <v>1429</v>
      </c>
      <c r="AB87" s="274">
        <f t="shared" si="43"/>
        <v>1615</v>
      </c>
      <c r="AC87" s="274">
        <f t="shared" si="34"/>
        <v>1600</v>
      </c>
      <c r="AD87" s="274">
        <f t="shared" si="35"/>
        <v>1547</v>
      </c>
      <c r="AE87" s="274">
        <f t="shared" si="36"/>
        <v>1551</v>
      </c>
      <c r="AF87" s="274">
        <f t="shared" si="37"/>
        <v>1507</v>
      </c>
      <c r="AG87" s="274">
        <f t="shared" si="38"/>
        <v>1736</v>
      </c>
      <c r="AH87" s="274">
        <f t="shared" si="41"/>
        <v>1522</v>
      </c>
      <c r="AI87" s="274">
        <f t="shared" si="39"/>
        <v>1562</v>
      </c>
      <c r="AJ87" s="274">
        <f t="shared" si="40"/>
        <v>1323</v>
      </c>
      <c r="AK87" s="406">
        <v>1</v>
      </c>
      <c r="AL87" s="274">
        <f t="shared" ca="1" si="29"/>
        <v>905765</v>
      </c>
      <c r="AM87" s="311">
        <f t="shared" ca="1" si="30"/>
        <v>907365</v>
      </c>
      <c r="AN87" s="274">
        <f ca="1">IF(AND(Tabla7[[#This Row],[UltLec]]&lt;&gt;0,Tabla7[[#This Row],[PenLect]]&lt;&gt;0),(AM87-AL87)*Tabla7[[#This Row],[RT]],"N/A")</f>
        <v>1600</v>
      </c>
      <c r="AO87" s="478" t="s">
        <v>1442</v>
      </c>
      <c r="AP87" s="392" t="s">
        <v>1191</v>
      </c>
      <c r="AQ87" s="392" t="s">
        <v>1189</v>
      </c>
      <c r="AR87" s="407">
        <f t="shared" si="31"/>
        <v>0</v>
      </c>
      <c r="AT87" s="2">
        <f t="shared" ca="1" si="32"/>
        <v>0.99071207430340558</v>
      </c>
      <c r="AV87">
        <f>IF(ISBLANK(Tabla7[[#This Row],[31/12/2017]]),0,Tabla7[[#This Row],[31/12/2017]])</f>
        <v>899408</v>
      </c>
      <c r="AW87">
        <f>IF(ISBLANK(Tabla7[[#This Row],[15/01/2018]]),0,Tabla7[[#This Row],[15/01/2018]])</f>
        <v>900665</v>
      </c>
      <c r="AX87">
        <f>IF(ISBLANK(Tabla7[[#This Row],[15/02/2018]]),0,Tabla7[[#This Row],[15/02/2018]])</f>
        <v>902721</v>
      </c>
      <c r="AY87">
        <f>IF(ISBLANK(Tabla7[[#This Row],[15/03/2018]]),0,Tabla7[[#This Row],[15/03/2018]])</f>
        <v>904150</v>
      </c>
      <c r="AZ87">
        <f>IF(ISBLANK(Tabla7[[#This Row],[15/04/2018]]),0,Tabla7[[#This Row],[15/04/2018]])</f>
        <v>905765</v>
      </c>
      <c r="BA87">
        <f>IF(ISBLANK(Tabla7[[#This Row],[15/05/2018]]),0,Tabla7[[#This Row],[15/05/2018]])</f>
        <v>907365</v>
      </c>
      <c r="BB87">
        <f>IF(ISBLANK(Tabla7[[#This Row],[15/06/2018]]),0,Tabla7[[#This Row],[15/06/2018]])</f>
        <v>908912</v>
      </c>
      <c r="BC87">
        <f>IF(ISBLANK(Tabla7[[#This Row],[15/07/2018]]),0,Tabla7[[#This Row],[15/07/2018]])</f>
        <v>910463</v>
      </c>
      <c r="BD87">
        <f>IF(ISBLANK(Tabla7[[#This Row],[15/08/2018]]),0,Tabla7[[#This Row],[15/08/2018]])</f>
        <v>911970</v>
      </c>
      <c r="BE87">
        <f>IF(ISBLANK(Tabla7[[#This Row],[15/09/2018]]),0,Tabla7[[#This Row],[15/09/2018]])</f>
        <v>913706</v>
      </c>
      <c r="BF87">
        <f>IF(ISBLANK(Tabla7[[#This Row],[15/10/2018]]),0,Tabla7[[#This Row],[15/10/2018]])</f>
        <v>915228</v>
      </c>
      <c r="BG87">
        <f>IF(ISBLANK(Tabla7[[#This Row],[15/11/2018]]),0,Tabla7[[#This Row],[15/11/2018]])</f>
        <v>916790</v>
      </c>
      <c r="BH87">
        <f>IF(ISBLANK(Tabla7[[#This Row],[15/12/2018]]),0,Tabla7[[#This Row],[15/12/2018]])</f>
        <v>918113</v>
      </c>
      <c r="BI87">
        <f>IF(ISBLANK(Tabla7[[#This Row],[28/12/2018]]),0,Tabla7[[#This Row],[28/12/2018]])</f>
        <v>0</v>
      </c>
      <c r="BN8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('CUCMFGL0895589727','MT-V','MT-V','39413','HOLCIM ESPAÑA, S.A.','HISALVA','HISALVA','11 MEDIA TENSIÓN');</v>
      </c>
      <c r="BO87" t="s">
        <v>243</v>
      </c>
      <c r="BP87" s="632" t="str">
        <f>CONCATENATE("insert into lecturas values ","('",Tabla7[[#This Row],[CONTADOR]],"',STR_TO_DATE('",Tabla7[[#Headers],[31/12/2017]],"','%d/%m/%Y'),",AV87,"),","('",Tabla7[[#This Row],[CONTADOR]],"',STR_TO_DATE('",Tabla7[[#Headers],[15/01/2018]],"','%d/%m/%Y'),",AW87,"),","('",Tabla7[[#This Row],[CONTADOR]],"',STR_TO_DATE('",Tabla7[[#Headers],[15/02/2018]],"','%d/%m/%Y'),",AX87,"),","('",Tabla7[[#This Row],[CONTADOR]],"',STR_TO_DATE('",Tabla7[[#Headers],[15/03/2018]],"','%d/%m/%Y'),",AY87,"),","('",Tabla7[[#This Row],[CONTADOR]],"',STR_TO_DATE('",Tabla7[[#Headers],[15/04/2018]],"','%d/%m/%Y'),",AZ87,"),","('",Tabla7[[#This Row],[CONTADOR]],"',STR_TO_DATE('",Tabla7[[#Headers],[15/05/2018]],"','%d/%m/%Y'),",BA87,"),","('",Tabla7[[#This Row],[CONTADOR]],"',STR_TO_DATE('",Tabla7[[#Headers],[15/06/2018]],"','%d/%m/%Y'),",BB87,"),","('",Tabla7[[#This Row],[CONTADOR]],"',STR_TO_DATE('",Tabla7[[#Headers],[15/07/2018]],"','%d/%m/%Y'),",BC87,"),","('",Tabla7[[#This Row],[CONTADOR]],"',STR_TO_DATE('",Tabla7[[#Headers],[15/08/2018]],"','%d/%m/%Y'),",BD87,"),","('",Tabla7[[#This Row],[CONTADOR]],"',STR_TO_DATE('",Tabla7[[#Headers],[15/09/2018]],"','%d/%m/%Y'),",BE87,"),","('",Tabla7[[#This Row],[CONTADOR]],"',STR_TO_DATE('",Tabla7[[#Headers],[15/10/2018]],"','%d/%m/%Y'),",BF87,"),","('",Tabla7[[#This Row],[CONTADOR]],"',STR_TO_DATE('",Tabla7[[#Headers],[15/11/2018]],"','%d/%m/%Y'),",BG87,"),","('",Tabla7[[#This Row],[CONTADOR]],"',STR_TO_DATE('",Tabla7[[#Headers],[15/12/2018]],"','%d/%m/%Y'),",BH87,");")</f>
        <v>insert into lecturas values ('CUCMFGL0895589727',STR_TO_DATE('31/12/2017','%d/%m/%Y'),899408),('CUCMFGL0895589727',STR_TO_DATE('15/01/2018','%d/%m/%Y'),900665),('CUCMFGL0895589727',STR_TO_DATE('15/02/2018','%d/%m/%Y'),902721),('CUCMFGL0895589727',STR_TO_DATE('15/03/2018','%d/%m/%Y'),904150),('CUCMFGL0895589727',STR_TO_DATE('15/04/2018','%d/%m/%Y'),905765),('CUCMFGL0895589727',STR_TO_DATE('15/05/2018','%d/%m/%Y'),907365),('CUCMFGL0895589727',STR_TO_DATE('15/06/2018','%d/%m/%Y'),908912),('CUCMFGL0895589727',STR_TO_DATE('15/07/2018','%d/%m/%Y'),910463),('CUCMFGL0895589727',STR_TO_DATE('15/08/2018','%d/%m/%Y'),911970),('CUCMFGL0895589727',STR_TO_DATE('15/09/2018','%d/%m/%Y'),913706),('CUCMFGL0895589727',STR_TO_DATE('15/10/2018','%d/%m/%Y'),915228),('CUCMFGL0895589727',STR_TO_DATE('15/11/2018','%d/%m/%Y'),916790),('CUCMFGL0895589727',STR_TO_DATE('15/12/2018','%d/%m/%Y'),918113);</v>
      </c>
    </row>
    <row r="88" spans="1:68" ht="18" customHeight="1" x14ac:dyDescent="0.25">
      <c r="A88" s="241" t="s">
        <v>356</v>
      </c>
      <c r="B88" s="60"/>
      <c r="C88" s="342" t="s">
        <v>1268</v>
      </c>
      <c r="D88" s="60" t="s">
        <v>356</v>
      </c>
      <c r="E88" s="258">
        <v>39053</v>
      </c>
      <c r="F88" s="2" t="s">
        <v>365</v>
      </c>
      <c r="G88" s="2" t="s">
        <v>366</v>
      </c>
      <c r="H88" s="2"/>
      <c r="I88" s="274" t="s">
        <v>957</v>
      </c>
      <c r="J88" s="311">
        <v>15415454</v>
      </c>
      <c r="K88" s="311">
        <v>15508849</v>
      </c>
      <c r="L88" s="311">
        <v>15664868</v>
      </c>
      <c r="M88" s="311">
        <v>15807632</v>
      </c>
      <c r="N88" s="311">
        <v>15973907</v>
      </c>
      <c r="O88" s="454">
        <v>16144008</v>
      </c>
      <c r="P88" s="454">
        <v>16340739</v>
      </c>
      <c r="Q88" s="490">
        <v>16558262</v>
      </c>
      <c r="R88" s="311">
        <v>16801362</v>
      </c>
      <c r="S88" s="311">
        <v>17034214</v>
      </c>
      <c r="T88" s="311">
        <v>17237222</v>
      </c>
      <c r="U88" s="311">
        <v>17414078</v>
      </c>
      <c r="V88" s="311">
        <v>17580209</v>
      </c>
      <c r="W88" s="311"/>
      <c r="X88" s="274"/>
      <c r="Y88" s="2">
        <f t="shared" si="28"/>
        <v>93395</v>
      </c>
      <c r="Z88" s="2">
        <f t="shared" si="27"/>
        <v>156019</v>
      </c>
      <c r="AA88" s="2">
        <f t="shared" si="42"/>
        <v>142764</v>
      </c>
      <c r="AB88" s="2">
        <f t="shared" si="43"/>
        <v>166275</v>
      </c>
      <c r="AC88" s="2">
        <f t="shared" si="34"/>
        <v>170101</v>
      </c>
      <c r="AD88" s="2">
        <f t="shared" si="35"/>
        <v>196731</v>
      </c>
      <c r="AE88" s="2">
        <f t="shared" si="36"/>
        <v>217523</v>
      </c>
      <c r="AF88" s="2">
        <f t="shared" si="37"/>
        <v>243100</v>
      </c>
      <c r="AG88" s="2">
        <f t="shared" si="38"/>
        <v>232852</v>
      </c>
      <c r="AH88" s="2">
        <f t="shared" si="41"/>
        <v>203008</v>
      </c>
      <c r="AI88" s="2">
        <f t="shared" si="39"/>
        <v>176856</v>
      </c>
      <c r="AJ88" s="2">
        <f t="shared" si="40"/>
        <v>166131</v>
      </c>
      <c r="AK88" s="406">
        <v>1</v>
      </c>
      <c r="AL88" s="274">
        <f t="shared" ca="1" si="29"/>
        <v>15973907</v>
      </c>
      <c r="AM88" s="311">
        <f t="shared" ca="1" si="30"/>
        <v>16144008</v>
      </c>
      <c r="AN88" s="274">
        <f ca="1">IF(AND(Tabla7[[#This Row],[UltLec]]&lt;&gt;0,Tabla7[[#This Row],[PenLect]]&lt;&gt;0),(AM88-AL88)*Tabla7[[#This Row],[RT]],"N/A")</f>
        <v>170101</v>
      </c>
      <c r="AO88" s="478" t="s">
        <v>1442</v>
      </c>
      <c r="AP88" s="392" t="s">
        <v>1191</v>
      </c>
      <c r="AQ88" s="392" t="s">
        <v>1189</v>
      </c>
      <c r="AR88" s="407">
        <f t="shared" si="31"/>
        <v>0</v>
      </c>
      <c r="AT88" s="2">
        <f t="shared" ca="1" si="32"/>
        <v>1.0230100736731318</v>
      </c>
      <c r="AV88">
        <f>IF(ISBLANK(Tabla7[[#This Row],[31/12/2017]]),0,Tabla7[[#This Row],[31/12/2017]])</f>
        <v>15415454</v>
      </c>
      <c r="AW88">
        <f>IF(ISBLANK(Tabla7[[#This Row],[15/01/2018]]),0,Tabla7[[#This Row],[15/01/2018]])</f>
        <v>15508849</v>
      </c>
      <c r="AX88">
        <f>IF(ISBLANK(Tabla7[[#This Row],[15/02/2018]]),0,Tabla7[[#This Row],[15/02/2018]])</f>
        <v>15664868</v>
      </c>
      <c r="AY88">
        <f>IF(ISBLANK(Tabla7[[#This Row],[15/03/2018]]),0,Tabla7[[#This Row],[15/03/2018]])</f>
        <v>15807632</v>
      </c>
      <c r="AZ88">
        <f>IF(ISBLANK(Tabla7[[#This Row],[15/04/2018]]),0,Tabla7[[#This Row],[15/04/2018]])</f>
        <v>15973907</v>
      </c>
      <c r="BA88">
        <f>IF(ISBLANK(Tabla7[[#This Row],[15/05/2018]]),0,Tabla7[[#This Row],[15/05/2018]])</f>
        <v>16144008</v>
      </c>
      <c r="BB88">
        <f>IF(ISBLANK(Tabla7[[#This Row],[15/06/2018]]),0,Tabla7[[#This Row],[15/06/2018]])</f>
        <v>16340739</v>
      </c>
      <c r="BC88">
        <f>IF(ISBLANK(Tabla7[[#This Row],[15/07/2018]]),0,Tabla7[[#This Row],[15/07/2018]])</f>
        <v>16558262</v>
      </c>
      <c r="BD88">
        <f>IF(ISBLANK(Tabla7[[#This Row],[15/08/2018]]),0,Tabla7[[#This Row],[15/08/2018]])</f>
        <v>16801362</v>
      </c>
      <c r="BE88">
        <f>IF(ISBLANK(Tabla7[[#This Row],[15/09/2018]]),0,Tabla7[[#This Row],[15/09/2018]])</f>
        <v>17034214</v>
      </c>
      <c r="BF88">
        <f>IF(ISBLANK(Tabla7[[#This Row],[15/10/2018]]),0,Tabla7[[#This Row],[15/10/2018]])</f>
        <v>17237222</v>
      </c>
      <c r="BG88">
        <f>IF(ISBLANK(Tabla7[[#This Row],[15/11/2018]]),0,Tabla7[[#This Row],[15/11/2018]])</f>
        <v>17414078</v>
      </c>
      <c r="BH88">
        <f>IF(ISBLANK(Tabla7[[#This Row],[15/12/2018]]),0,Tabla7[[#This Row],[15/12/2018]])</f>
        <v>17580209</v>
      </c>
      <c r="BI88">
        <f>IF(ISBLANK(Tabla7[[#This Row],[28/12/2018]]),0,Tabla7[[#This Row],[28/12/2018]])</f>
        <v>0</v>
      </c>
      <c r="BN8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('CUCMFGL0895589731','MT-V','MT-V','39053','FRIO PUERTO VALENCIA, S.L.','FRIOPUERTO','','5 MEDIA TENSIÓN');</v>
      </c>
      <c r="BO88" t="s">
        <v>243</v>
      </c>
      <c r="BP88" s="632" t="str">
        <f>CONCATENATE("insert into lecturas values ","('",Tabla7[[#This Row],[CONTADOR]],"',STR_TO_DATE('",Tabla7[[#Headers],[31/12/2017]],"','%d/%m/%Y'),",AV88,"),","('",Tabla7[[#This Row],[CONTADOR]],"',STR_TO_DATE('",Tabla7[[#Headers],[15/01/2018]],"','%d/%m/%Y'),",AW88,"),","('",Tabla7[[#This Row],[CONTADOR]],"',STR_TO_DATE('",Tabla7[[#Headers],[15/02/2018]],"','%d/%m/%Y'),",AX88,"),","('",Tabla7[[#This Row],[CONTADOR]],"',STR_TO_DATE('",Tabla7[[#Headers],[15/03/2018]],"','%d/%m/%Y'),",AY88,"),","('",Tabla7[[#This Row],[CONTADOR]],"',STR_TO_DATE('",Tabla7[[#Headers],[15/04/2018]],"','%d/%m/%Y'),",AZ88,"),","('",Tabla7[[#This Row],[CONTADOR]],"',STR_TO_DATE('",Tabla7[[#Headers],[15/05/2018]],"','%d/%m/%Y'),",BA88,"),","('",Tabla7[[#This Row],[CONTADOR]],"',STR_TO_DATE('",Tabla7[[#Headers],[15/06/2018]],"','%d/%m/%Y'),",BB88,"),","('",Tabla7[[#This Row],[CONTADOR]],"',STR_TO_DATE('",Tabla7[[#Headers],[15/07/2018]],"','%d/%m/%Y'),",BC88,"),","('",Tabla7[[#This Row],[CONTADOR]],"',STR_TO_DATE('",Tabla7[[#Headers],[15/08/2018]],"','%d/%m/%Y'),",BD88,"),","('",Tabla7[[#This Row],[CONTADOR]],"',STR_TO_DATE('",Tabla7[[#Headers],[15/09/2018]],"','%d/%m/%Y'),",BE88,"),","('",Tabla7[[#This Row],[CONTADOR]],"',STR_TO_DATE('",Tabla7[[#Headers],[15/10/2018]],"','%d/%m/%Y'),",BF88,"),","('",Tabla7[[#This Row],[CONTADOR]],"',STR_TO_DATE('",Tabla7[[#Headers],[15/11/2018]],"','%d/%m/%Y'),",BG88,"),","('",Tabla7[[#This Row],[CONTADOR]],"',STR_TO_DATE('",Tabla7[[#Headers],[15/12/2018]],"','%d/%m/%Y'),",BH88,");")</f>
        <v>insert into lecturas values ('CUCMFGL0895589731',STR_TO_DATE('31/12/2017','%d/%m/%Y'),15415454),('CUCMFGL0895589731',STR_TO_DATE('15/01/2018','%d/%m/%Y'),15508849),('CUCMFGL0895589731',STR_TO_DATE('15/02/2018','%d/%m/%Y'),15664868),('CUCMFGL0895589731',STR_TO_DATE('15/03/2018','%d/%m/%Y'),15807632),('CUCMFGL0895589731',STR_TO_DATE('15/04/2018','%d/%m/%Y'),15973907),('CUCMFGL0895589731',STR_TO_DATE('15/05/2018','%d/%m/%Y'),16144008),('CUCMFGL0895589731',STR_TO_DATE('15/06/2018','%d/%m/%Y'),16340739),('CUCMFGL0895589731',STR_TO_DATE('15/07/2018','%d/%m/%Y'),16558262),('CUCMFGL0895589731',STR_TO_DATE('15/08/2018','%d/%m/%Y'),16801362),('CUCMFGL0895589731',STR_TO_DATE('15/09/2018','%d/%m/%Y'),17034214),('CUCMFGL0895589731',STR_TO_DATE('15/10/2018','%d/%m/%Y'),17237222),('CUCMFGL0895589731',STR_TO_DATE('15/11/2018','%d/%m/%Y'),17414078),('CUCMFGL0895589731',STR_TO_DATE('15/12/2018','%d/%m/%Y'),17580209);</v>
      </c>
    </row>
    <row r="89" spans="1:68" ht="18" customHeight="1" x14ac:dyDescent="0.25">
      <c r="A89" s="241" t="s">
        <v>356</v>
      </c>
      <c r="B89" s="60"/>
      <c r="C89" s="342" t="s">
        <v>1270</v>
      </c>
      <c r="D89" s="60" t="s">
        <v>356</v>
      </c>
      <c r="E89" s="258">
        <v>39202</v>
      </c>
      <c r="F89" s="2" t="s">
        <v>383</v>
      </c>
      <c r="G89" s="2" t="s">
        <v>384</v>
      </c>
      <c r="H89" s="2"/>
      <c r="I89" s="2" t="s">
        <v>947</v>
      </c>
      <c r="J89" s="311">
        <v>607923</v>
      </c>
      <c r="K89" s="311">
        <v>608951</v>
      </c>
      <c r="L89" s="311">
        <v>615746</v>
      </c>
      <c r="M89" s="452">
        <f>Tabla7[[#This Row],[15/02/2018]]</f>
        <v>615746</v>
      </c>
      <c r="N89" s="311">
        <v>624005</v>
      </c>
      <c r="O89" s="454">
        <v>625674</v>
      </c>
      <c r="P89" s="454">
        <v>629788</v>
      </c>
      <c r="Q89" s="454">
        <v>632946</v>
      </c>
      <c r="R89" s="311">
        <v>638530</v>
      </c>
      <c r="S89" s="311">
        <v>641782</v>
      </c>
      <c r="T89" s="311">
        <v>645474</v>
      </c>
      <c r="U89" s="311">
        <v>649155</v>
      </c>
      <c r="V89" s="311">
        <v>655795</v>
      </c>
      <c r="W89" s="311"/>
      <c r="X89" s="274"/>
      <c r="Y89" s="2">
        <f t="shared" si="28"/>
        <v>1028</v>
      </c>
      <c r="Z89" s="2">
        <f t="shared" si="27"/>
        <v>6795</v>
      </c>
      <c r="AA89" s="2">
        <f t="shared" si="42"/>
        <v>0</v>
      </c>
      <c r="AB89" s="2">
        <f t="shared" si="43"/>
        <v>8259</v>
      </c>
      <c r="AC89" s="2">
        <f t="shared" si="34"/>
        <v>1669</v>
      </c>
      <c r="AD89" s="2">
        <f t="shared" si="35"/>
        <v>4114</v>
      </c>
      <c r="AE89" s="2">
        <f t="shared" si="36"/>
        <v>3158</v>
      </c>
      <c r="AF89" s="2">
        <f t="shared" si="37"/>
        <v>5584</v>
      </c>
      <c r="AG89" s="2">
        <f t="shared" si="38"/>
        <v>3252</v>
      </c>
      <c r="AH89" s="2">
        <f t="shared" si="41"/>
        <v>3692</v>
      </c>
      <c r="AI89" s="2">
        <f t="shared" si="39"/>
        <v>3681</v>
      </c>
      <c r="AJ89" s="2">
        <f t="shared" si="40"/>
        <v>6640</v>
      </c>
      <c r="AK89" s="406">
        <v>1</v>
      </c>
      <c r="AL89" s="274">
        <f t="shared" ca="1" si="29"/>
        <v>624005</v>
      </c>
      <c r="AM89" s="311">
        <f t="shared" ca="1" si="30"/>
        <v>625674</v>
      </c>
      <c r="AN89" s="274">
        <f ca="1">IF(AND(Tabla7[[#This Row],[UltLec]]&lt;&gt;0,Tabla7[[#This Row],[PenLect]]&lt;&gt;0),(AM89-AL89)*Tabla7[[#This Row],[RT]],"N/A")</f>
        <v>1669</v>
      </c>
      <c r="AO89" s="478" t="s">
        <v>1442</v>
      </c>
      <c r="AP89" s="441" t="s">
        <v>1191</v>
      </c>
      <c r="AQ89" s="441" t="s">
        <v>1189</v>
      </c>
      <c r="AR89" s="407">
        <f t="shared" si="31"/>
        <v>0</v>
      </c>
      <c r="AT89" s="2">
        <f t="shared" ca="1" si="32"/>
        <v>0.20208257658312145</v>
      </c>
      <c r="AV89">
        <f>IF(ISBLANK(Tabla7[[#This Row],[31/12/2017]]),0,Tabla7[[#This Row],[31/12/2017]])</f>
        <v>607923</v>
      </c>
      <c r="AW89">
        <f>IF(ISBLANK(Tabla7[[#This Row],[15/01/2018]]),0,Tabla7[[#This Row],[15/01/2018]])</f>
        <v>608951</v>
      </c>
      <c r="AX89">
        <f>IF(ISBLANK(Tabla7[[#This Row],[15/02/2018]]),0,Tabla7[[#This Row],[15/02/2018]])</f>
        <v>615746</v>
      </c>
      <c r="AY89">
        <f>IF(ISBLANK(Tabla7[[#This Row],[15/03/2018]]),0,Tabla7[[#This Row],[15/03/2018]])</f>
        <v>615746</v>
      </c>
      <c r="AZ89">
        <f>IF(ISBLANK(Tabla7[[#This Row],[15/04/2018]]),0,Tabla7[[#This Row],[15/04/2018]])</f>
        <v>624005</v>
      </c>
      <c r="BA89">
        <f>IF(ISBLANK(Tabla7[[#This Row],[15/05/2018]]),0,Tabla7[[#This Row],[15/05/2018]])</f>
        <v>625674</v>
      </c>
      <c r="BB89">
        <f>IF(ISBLANK(Tabla7[[#This Row],[15/06/2018]]),0,Tabla7[[#This Row],[15/06/2018]])</f>
        <v>629788</v>
      </c>
      <c r="BC89">
        <f>IF(ISBLANK(Tabla7[[#This Row],[15/07/2018]]),0,Tabla7[[#This Row],[15/07/2018]])</f>
        <v>632946</v>
      </c>
      <c r="BD89">
        <f>IF(ISBLANK(Tabla7[[#This Row],[15/08/2018]]),0,Tabla7[[#This Row],[15/08/2018]])</f>
        <v>638530</v>
      </c>
      <c r="BE89">
        <f>IF(ISBLANK(Tabla7[[#This Row],[15/09/2018]]),0,Tabla7[[#This Row],[15/09/2018]])</f>
        <v>641782</v>
      </c>
      <c r="BF89">
        <f>IF(ISBLANK(Tabla7[[#This Row],[15/10/2018]]),0,Tabla7[[#This Row],[15/10/2018]])</f>
        <v>645474</v>
      </c>
      <c r="BG89">
        <f>IF(ISBLANK(Tabla7[[#This Row],[15/11/2018]]),0,Tabla7[[#This Row],[15/11/2018]])</f>
        <v>649155</v>
      </c>
      <c r="BH89">
        <f>IF(ISBLANK(Tabla7[[#This Row],[15/12/2018]]),0,Tabla7[[#This Row],[15/12/2018]])</f>
        <v>655795</v>
      </c>
      <c r="BI89">
        <f>IF(ISBLANK(Tabla7[[#This Row],[28/12/2018]]),0,Tabla7[[#This Row],[28/12/2018]])</f>
        <v>0</v>
      </c>
      <c r="BN8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('CUEMFGL0894811331','MT-V','MT-V','39202','SILOS DE LEVANTE, S.A.','SILESA','','15 MEDIA TENSIÓN');</v>
      </c>
      <c r="BO89" t="s">
        <v>243</v>
      </c>
      <c r="BP89" s="632" t="str">
        <f>CONCATENATE("insert into lecturas values ","('",Tabla7[[#This Row],[CONTADOR]],"',STR_TO_DATE('",Tabla7[[#Headers],[31/12/2017]],"','%d/%m/%Y'),",AV89,"),","('",Tabla7[[#This Row],[CONTADOR]],"',STR_TO_DATE('",Tabla7[[#Headers],[15/01/2018]],"','%d/%m/%Y'),",AW89,"),","('",Tabla7[[#This Row],[CONTADOR]],"',STR_TO_DATE('",Tabla7[[#Headers],[15/02/2018]],"','%d/%m/%Y'),",AX89,"),","('",Tabla7[[#This Row],[CONTADOR]],"',STR_TO_DATE('",Tabla7[[#Headers],[15/03/2018]],"','%d/%m/%Y'),",AY89,"),","('",Tabla7[[#This Row],[CONTADOR]],"',STR_TO_DATE('",Tabla7[[#Headers],[15/04/2018]],"','%d/%m/%Y'),",AZ89,"),","('",Tabla7[[#This Row],[CONTADOR]],"',STR_TO_DATE('",Tabla7[[#Headers],[15/05/2018]],"','%d/%m/%Y'),",BA89,"),","('",Tabla7[[#This Row],[CONTADOR]],"',STR_TO_DATE('",Tabla7[[#Headers],[15/06/2018]],"','%d/%m/%Y'),",BB89,"),","('",Tabla7[[#This Row],[CONTADOR]],"',STR_TO_DATE('",Tabla7[[#Headers],[15/07/2018]],"','%d/%m/%Y'),",BC89,"),","('",Tabla7[[#This Row],[CONTADOR]],"',STR_TO_DATE('",Tabla7[[#Headers],[15/08/2018]],"','%d/%m/%Y'),",BD89,"),","('",Tabla7[[#This Row],[CONTADOR]],"',STR_TO_DATE('",Tabla7[[#Headers],[15/09/2018]],"','%d/%m/%Y'),",BE89,"),","('",Tabla7[[#This Row],[CONTADOR]],"',STR_TO_DATE('",Tabla7[[#Headers],[15/10/2018]],"','%d/%m/%Y'),",BF89,"),","('",Tabla7[[#This Row],[CONTADOR]],"',STR_TO_DATE('",Tabla7[[#Headers],[15/11/2018]],"','%d/%m/%Y'),",BG89,"),","('",Tabla7[[#This Row],[CONTADOR]],"',STR_TO_DATE('",Tabla7[[#Headers],[15/12/2018]],"','%d/%m/%Y'),",BH89,");")</f>
        <v>insert into lecturas values ('CUEMFGL0894811331',STR_TO_DATE('31/12/2017','%d/%m/%Y'),607923),('CUEMFGL0894811331',STR_TO_DATE('15/01/2018','%d/%m/%Y'),608951),('CUEMFGL0894811331',STR_TO_DATE('15/02/2018','%d/%m/%Y'),615746),('CUEMFGL0894811331',STR_TO_DATE('15/03/2018','%d/%m/%Y'),615746),('CUEMFGL0894811331',STR_TO_DATE('15/04/2018','%d/%m/%Y'),624005),('CUEMFGL0894811331',STR_TO_DATE('15/05/2018','%d/%m/%Y'),625674),('CUEMFGL0894811331',STR_TO_DATE('15/06/2018','%d/%m/%Y'),629788),('CUEMFGL0894811331',STR_TO_DATE('15/07/2018','%d/%m/%Y'),632946),('CUEMFGL0894811331',STR_TO_DATE('15/08/2018','%d/%m/%Y'),638530),('CUEMFGL0894811331',STR_TO_DATE('15/09/2018','%d/%m/%Y'),641782),('CUEMFGL0894811331',STR_TO_DATE('15/10/2018','%d/%m/%Y'),645474),('CUEMFGL0894811331',STR_TO_DATE('15/11/2018','%d/%m/%Y'),649155),('CUEMFGL0894811331',STR_TO_DATE('15/12/2018','%d/%m/%Y'),655795);</v>
      </c>
    </row>
    <row r="90" spans="1:68" ht="18" customHeight="1" x14ac:dyDescent="0.25">
      <c r="A90" s="372" t="s">
        <v>1197</v>
      </c>
      <c r="B90" s="60"/>
      <c r="C90" s="373" t="s">
        <v>1271</v>
      </c>
      <c r="D90" s="374" t="s">
        <v>356</v>
      </c>
      <c r="E90" s="375">
        <v>39473</v>
      </c>
      <c r="F90" s="376" t="s">
        <v>367</v>
      </c>
      <c r="G90" s="376" t="s">
        <v>367</v>
      </c>
      <c r="H90" s="376" t="s">
        <v>368</v>
      </c>
      <c r="I90" s="376" t="s">
        <v>948</v>
      </c>
      <c r="J90" s="383">
        <v>2028556</v>
      </c>
      <c r="K90" s="383">
        <v>2040827</v>
      </c>
      <c r="L90" s="383">
        <v>2064138</v>
      </c>
      <c r="M90" s="383">
        <v>2083580</v>
      </c>
      <c r="N90" s="383">
        <v>2101095</v>
      </c>
      <c r="O90" s="383">
        <v>2114151</v>
      </c>
      <c r="P90" s="384"/>
      <c r="Q90" s="494"/>
      <c r="R90" s="384"/>
      <c r="S90" s="489"/>
      <c r="T90" s="377"/>
      <c r="U90" s="383"/>
      <c r="V90" s="383"/>
      <c r="W90" s="383"/>
      <c r="X90" s="377"/>
      <c r="Y90" s="376">
        <f t="shared" si="28"/>
        <v>8589.6999999999989</v>
      </c>
      <c r="Z90" s="376">
        <f t="shared" si="27"/>
        <v>16317.699999999999</v>
      </c>
      <c r="AA90" s="376">
        <f t="shared" si="42"/>
        <v>13609.4</v>
      </c>
      <c r="AB90" s="376">
        <f t="shared" si="43"/>
        <v>12260.5</v>
      </c>
      <c r="AC90" s="376">
        <f t="shared" si="34"/>
        <v>9139.1999999999989</v>
      </c>
      <c r="AD90" s="376" t="str">
        <f t="shared" si="35"/>
        <v/>
      </c>
      <c r="AE90" s="376" t="str">
        <f t="shared" si="36"/>
        <v/>
      </c>
      <c r="AF90" s="376" t="str">
        <f t="shared" si="37"/>
        <v/>
      </c>
      <c r="AG90" s="376" t="str">
        <f t="shared" si="38"/>
        <v/>
      </c>
      <c r="AH90" s="376" t="str">
        <f t="shared" si="41"/>
        <v/>
      </c>
      <c r="AI90" s="376" t="str">
        <f t="shared" si="39"/>
        <v/>
      </c>
      <c r="AJ90" s="376" t="str">
        <f t="shared" si="40"/>
        <v/>
      </c>
      <c r="AK90" s="408">
        <v>0.7</v>
      </c>
      <c r="AL90" s="377">
        <f t="shared" ca="1" si="29"/>
        <v>2101095</v>
      </c>
      <c r="AM90" s="383">
        <f t="shared" ca="1" si="30"/>
        <v>2114151</v>
      </c>
      <c r="AN90" s="377">
        <f ca="1">IF(AND(Tabla7[[#This Row],[UltLec]]&lt;&gt;0,Tabla7[[#This Row],[PenLect]]&lt;&gt;0),(AM90-AL90)*Tabla7[[#This Row],[RT]],"N/A")</f>
        <v>9139.1999999999989</v>
      </c>
      <c r="AO90" s="380" t="s">
        <v>1281</v>
      </c>
      <c r="AP90" s="433" t="s">
        <v>1191</v>
      </c>
      <c r="AQ90" s="433" t="s">
        <v>1189</v>
      </c>
      <c r="AR90" s="409">
        <f t="shared" si="31"/>
        <v>0</v>
      </c>
      <c r="AT90" s="2">
        <f t="shared" ca="1" si="32"/>
        <v>0.74541821296031963</v>
      </c>
      <c r="AV90">
        <f>IF(ISBLANK(Tabla7[[#This Row],[31/12/2017]]),0,Tabla7[[#This Row],[31/12/2017]])</f>
        <v>2028556</v>
      </c>
      <c r="AW90">
        <f>IF(ISBLANK(Tabla7[[#This Row],[15/01/2018]]),0,Tabla7[[#This Row],[15/01/2018]])</f>
        <v>2040827</v>
      </c>
      <c r="AX90">
        <f>IF(ISBLANK(Tabla7[[#This Row],[15/02/2018]]),0,Tabla7[[#This Row],[15/02/2018]])</f>
        <v>2064138</v>
      </c>
      <c r="AY90">
        <f>IF(ISBLANK(Tabla7[[#This Row],[15/03/2018]]),0,Tabla7[[#This Row],[15/03/2018]])</f>
        <v>2083580</v>
      </c>
      <c r="AZ90">
        <f>IF(ISBLANK(Tabla7[[#This Row],[15/04/2018]]),0,Tabla7[[#This Row],[15/04/2018]])</f>
        <v>2101095</v>
      </c>
      <c r="BA90">
        <f>IF(ISBLANK(Tabla7[[#This Row],[15/05/2018]]),0,Tabla7[[#This Row],[15/05/2018]])</f>
        <v>2114151</v>
      </c>
      <c r="BB90">
        <f>IF(ISBLANK(Tabla7[[#This Row],[15/06/2018]]),0,Tabla7[[#This Row],[15/06/2018]])</f>
        <v>0</v>
      </c>
      <c r="BC90">
        <f>IF(ISBLANK(Tabla7[[#This Row],[15/07/2018]]),0,Tabla7[[#This Row],[15/07/2018]])</f>
        <v>0</v>
      </c>
      <c r="BD90">
        <f>IF(ISBLANK(Tabla7[[#This Row],[15/08/2018]]),0,Tabla7[[#This Row],[15/08/2018]])</f>
        <v>0</v>
      </c>
      <c r="BE90">
        <f>IF(ISBLANK(Tabla7[[#This Row],[15/09/2018]]),0,Tabla7[[#This Row],[15/09/2018]])</f>
        <v>0</v>
      </c>
      <c r="BF90">
        <f>IF(ISBLANK(Tabla7[[#This Row],[15/10/2018]]),0,Tabla7[[#This Row],[15/10/2018]])</f>
        <v>0</v>
      </c>
      <c r="BG90">
        <f>IF(ISBLANK(Tabla7[[#This Row],[15/11/2018]]),0,Tabla7[[#This Row],[15/11/2018]])</f>
        <v>0</v>
      </c>
      <c r="BH90">
        <f>IF(ISBLANK(Tabla7[[#This Row],[15/12/2018]]),0,Tabla7[[#This Row],[15/12/2018]])</f>
        <v>0</v>
      </c>
      <c r="BI90">
        <f>IF(ISBLANK(Tabla7[[#This Row],[28/12/2018]]),0,Tabla7[[#This Row],[28/12/2018]])</f>
        <v>0</v>
      </c>
      <c r="BN9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('CUEMFGL0894811333','MT-BAJA','MT-V','39473','CAPITANIA MARITIMA','CAPITANIA MARITIMA','OK MISMO CONTADOR QUE SALVAMENTO','7 MEDIA TENSIÓN Se le asigna el 70%');</v>
      </c>
      <c r="BO90" t="s">
        <v>243</v>
      </c>
      <c r="BP90" s="632" t="str">
        <f>CONCATENATE("insert into lecturas values ","('",Tabla7[[#This Row],[CONTADOR]],"',STR_TO_DATE('",Tabla7[[#Headers],[31/12/2017]],"','%d/%m/%Y'),",AV90,"),","('",Tabla7[[#This Row],[CONTADOR]],"',STR_TO_DATE('",Tabla7[[#Headers],[15/01/2018]],"','%d/%m/%Y'),",AW90,"),","('",Tabla7[[#This Row],[CONTADOR]],"',STR_TO_DATE('",Tabla7[[#Headers],[15/02/2018]],"','%d/%m/%Y'),",AX90,"),","('",Tabla7[[#This Row],[CONTADOR]],"',STR_TO_DATE('",Tabla7[[#Headers],[15/03/2018]],"','%d/%m/%Y'),",AY90,"),","('",Tabla7[[#This Row],[CONTADOR]],"',STR_TO_DATE('",Tabla7[[#Headers],[15/04/2018]],"','%d/%m/%Y'),",AZ90,"),","('",Tabla7[[#This Row],[CONTADOR]],"',STR_TO_DATE('",Tabla7[[#Headers],[15/05/2018]],"','%d/%m/%Y'),",BA90,"),","('",Tabla7[[#This Row],[CONTADOR]],"',STR_TO_DATE('",Tabla7[[#Headers],[15/06/2018]],"','%d/%m/%Y'),",BB90,"),","('",Tabla7[[#This Row],[CONTADOR]],"',STR_TO_DATE('",Tabla7[[#Headers],[15/07/2018]],"','%d/%m/%Y'),",BC90,"),","('",Tabla7[[#This Row],[CONTADOR]],"',STR_TO_DATE('",Tabla7[[#Headers],[15/08/2018]],"','%d/%m/%Y'),",BD90,"),","('",Tabla7[[#This Row],[CONTADOR]],"',STR_TO_DATE('",Tabla7[[#Headers],[15/09/2018]],"','%d/%m/%Y'),",BE90,"),","('",Tabla7[[#This Row],[CONTADOR]],"',STR_TO_DATE('",Tabla7[[#Headers],[15/10/2018]],"','%d/%m/%Y'),",BF90,"),","('",Tabla7[[#This Row],[CONTADOR]],"',STR_TO_DATE('",Tabla7[[#Headers],[15/11/2018]],"','%d/%m/%Y'),",BG90,"),","('",Tabla7[[#This Row],[CONTADOR]],"',STR_TO_DATE('",Tabla7[[#Headers],[15/12/2018]],"','%d/%m/%Y'),",BH90,");")</f>
        <v>insert into lecturas values ('CUEMFGL0894811333',STR_TO_DATE('31/12/2017','%d/%m/%Y'),2028556),('CUEMFGL0894811333',STR_TO_DATE('15/01/2018','%d/%m/%Y'),2040827),('CUEMFGL0894811333',STR_TO_DATE('15/02/2018','%d/%m/%Y'),2064138),('CUEMFGL0894811333',STR_TO_DATE('15/03/2018','%d/%m/%Y'),2083580),('CUEMFGL0894811333',STR_TO_DATE('15/04/2018','%d/%m/%Y'),2101095),('CUEMFGL0894811333',STR_TO_DATE('15/05/2018','%d/%m/%Y'),2114151),('CUEMFGL0894811333',STR_TO_DATE('15/06/2018','%d/%m/%Y'),0),('CUEMFGL0894811333',STR_TO_DATE('15/07/2018','%d/%m/%Y'),0),('CUEMFGL0894811333',STR_TO_DATE('15/08/2018','%d/%m/%Y'),0),('CUEMFGL0894811333',STR_TO_DATE('15/09/2018','%d/%m/%Y'),0),('CUEMFGL0894811333',STR_TO_DATE('15/10/2018','%d/%m/%Y'),0),('CUEMFGL0894811333',STR_TO_DATE('15/11/2018','%d/%m/%Y'),0),('CUEMFGL0894811333',STR_TO_DATE('15/12/2018','%d/%m/%Y'),0);</v>
      </c>
    </row>
    <row r="91" spans="1:68" ht="18" customHeight="1" x14ac:dyDescent="0.25">
      <c r="A91" s="372" t="s">
        <v>1197</v>
      </c>
      <c r="B91" s="60"/>
      <c r="C91" s="373" t="s">
        <v>1271</v>
      </c>
      <c r="D91" s="374" t="s">
        <v>356</v>
      </c>
      <c r="E91" s="375">
        <v>39486</v>
      </c>
      <c r="F91" s="377" t="s">
        <v>369</v>
      </c>
      <c r="G91" s="377" t="s">
        <v>370</v>
      </c>
      <c r="H91" s="376" t="s">
        <v>371</v>
      </c>
      <c r="I91" s="376" t="s">
        <v>949</v>
      </c>
      <c r="J91" s="383">
        <v>2028556</v>
      </c>
      <c r="K91" s="383">
        <v>2040827</v>
      </c>
      <c r="L91" s="383">
        <v>2064138</v>
      </c>
      <c r="M91" s="383">
        <v>2083580</v>
      </c>
      <c r="N91" s="383">
        <v>2101095</v>
      </c>
      <c r="O91" s="383">
        <v>2114151</v>
      </c>
      <c r="P91" s="311"/>
      <c r="Q91" s="489"/>
      <c r="R91" s="494"/>
      <c r="S91" s="489"/>
      <c r="T91" s="377"/>
      <c r="U91" s="383"/>
      <c r="V91" s="383"/>
      <c r="W91" s="383"/>
      <c r="X91" s="377"/>
      <c r="Y91" s="376">
        <f t="shared" si="28"/>
        <v>3681.2999999999997</v>
      </c>
      <c r="Z91" s="376">
        <f t="shared" si="27"/>
        <v>6993.3</v>
      </c>
      <c r="AA91" s="376">
        <f t="shared" si="42"/>
        <v>5832.5999999999995</v>
      </c>
      <c r="AB91" s="376">
        <f t="shared" si="43"/>
        <v>5254.5</v>
      </c>
      <c r="AC91" s="376">
        <f t="shared" si="34"/>
        <v>3916.7999999999997</v>
      </c>
      <c r="AD91" s="376" t="str">
        <f t="shared" si="35"/>
        <v/>
      </c>
      <c r="AE91" s="376" t="str">
        <f t="shared" si="36"/>
        <v/>
      </c>
      <c r="AF91" s="376" t="str">
        <f t="shared" si="37"/>
        <v/>
      </c>
      <c r="AG91" s="376" t="str">
        <f t="shared" si="38"/>
        <v/>
      </c>
      <c r="AH91" s="376" t="str">
        <f t="shared" si="41"/>
        <v/>
      </c>
      <c r="AI91" s="376" t="str">
        <f t="shared" si="39"/>
        <v/>
      </c>
      <c r="AJ91" s="376" t="str">
        <f t="shared" si="40"/>
        <v/>
      </c>
      <c r="AK91" s="408">
        <v>0.3</v>
      </c>
      <c r="AL91" s="377">
        <f t="shared" ca="1" si="29"/>
        <v>2101095</v>
      </c>
      <c r="AM91" s="383">
        <f t="shared" ca="1" si="30"/>
        <v>2114151</v>
      </c>
      <c r="AN91" s="377">
        <f ca="1">IF(AND(Tabla7[[#This Row],[UltLec]]&lt;&gt;0,Tabla7[[#This Row],[PenLect]]&lt;&gt;0),(AM91-AL91)*Tabla7[[#This Row],[RT]],"N/A")</f>
        <v>3916.7999999999997</v>
      </c>
      <c r="AO91" s="380" t="s">
        <v>1281</v>
      </c>
      <c r="AP91" s="433" t="s">
        <v>1191</v>
      </c>
      <c r="AQ91" s="433" t="s">
        <v>1189</v>
      </c>
      <c r="AR91" s="409">
        <f t="shared" si="31"/>
        <v>0</v>
      </c>
      <c r="AT91" s="2">
        <f t="shared" ca="1" si="32"/>
        <v>0.74541821296031963</v>
      </c>
      <c r="AV91">
        <f>IF(ISBLANK(Tabla7[[#This Row],[31/12/2017]]),0,Tabla7[[#This Row],[31/12/2017]])</f>
        <v>2028556</v>
      </c>
      <c r="AW91">
        <f>IF(ISBLANK(Tabla7[[#This Row],[15/01/2018]]),0,Tabla7[[#This Row],[15/01/2018]])</f>
        <v>2040827</v>
      </c>
      <c r="AX91">
        <f>IF(ISBLANK(Tabla7[[#This Row],[15/02/2018]]),0,Tabla7[[#This Row],[15/02/2018]])</f>
        <v>2064138</v>
      </c>
      <c r="AY91">
        <f>IF(ISBLANK(Tabla7[[#This Row],[15/03/2018]]),0,Tabla7[[#This Row],[15/03/2018]])</f>
        <v>2083580</v>
      </c>
      <c r="AZ91">
        <f>IF(ISBLANK(Tabla7[[#This Row],[15/04/2018]]),0,Tabla7[[#This Row],[15/04/2018]])</f>
        <v>2101095</v>
      </c>
      <c r="BA91">
        <f>IF(ISBLANK(Tabla7[[#This Row],[15/05/2018]]),0,Tabla7[[#This Row],[15/05/2018]])</f>
        <v>2114151</v>
      </c>
      <c r="BB91">
        <f>IF(ISBLANK(Tabla7[[#This Row],[15/06/2018]]),0,Tabla7[[#This Row],[15/06/2018]])</f>
        <v>0</v>
      </c>
      <c r="BC91">
        <f>IF(ISBLANK(Tabla7[[#This Row],[15/07/2018]]),0,Tabla7[[#This Row],[15/07/2018]])</f>
        <v>0</v>
      </c>
      <c r="BD91">
        <f>IF(ISBLANK(Tabla7[[#This Row],[15/08/2018]]),0,Tabla7[[#This Row],[15/08/2018]])</f>
        <v>0</v>
      </c>
      <c r="BE91">
        <f>IF(ISBLANK(Tabla7[[#This Row],[15/09/2018]]),0,Tabla7[[#This Row],[15/09/2018]])</f>
        <v>0</v>
      </c>
      <c r="BF91">
        <f>IF(ISBLANK(Tabla7[[#This Row],[15/10/2018]]),0,Tabla7[[#This Row],[15/10/2018]])</f>
        <v>0</v>
      </c>
      <c r="BG91">
        <f>IF(ISBLANK(Tabla7[[#This Row],[15/11/2018]]),0,Tabla7[[#This Row],[15/11/2018]])</f>
        <v>0</v>
      </c>
      <c r="BH91">
        <f>IF(ISBLANK(Tabla7[[#This Row],[15/12/2018]]),0,Tabla7[[#This Row],[15/12/2018]])</f>
        <v>0</v>
      </c>
      <c r="BI91">
        <f>IF(ISBLANK(Tabla7[[#This Row],[28/12/2018]]),0,Tabla7[[#This Row],[28/12/2018]])</f>
        <v>0</v>
      </c>
      <c r="BN9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('CUEMFGL0894811333','MT-BAJA','MT-V','39486','SOCIEDAD EST. SALVAMENTO MTMO.','SALVAMENTO MARITIMO CRCS','OK MISMO CONTADOR QUE CAPITANIA','7 MEDIA TENSIÓN Se le asigna el 30%');</v>
      </c>
      <c r="BO91" t="s">
        <v>243</v>
      </c>
      <c r="BP91" s="632" t="str">
        <f>CONCATENATE("insert into lecturas values ","('",Tabla7[[#This Row],[CONTADOR]],"',STR_TO_DATE('",Tabla7[[#Headers],[31/12/2017]],"','%d/%m/%Y'),",AV91,"),","('",Tabla7[[#This Row],[CONTADOR]],"',STR_TO_DATE('",Tabla7[[#Headers],[15/01/2018]],"','%d/%m/%Y'),",AW91,"),","('",Tabla7[[#This Row],[CONTADOR]],"',STR_TO_DATE('",Tabla7[[#Headers],[15/02/2018]],"','%d/%m/%Y'),",AX91,"),","('",Tabla7[[#This Row],[CONTADOR]],"',STR_TO_DATE('",Tabla7[[#Headers],[15/03/2018]],"','%d/%m/%Y'),",AY91,"),","('",Tabla7[[#This Row],[CONTADOR]],"',STR_TO_DATE('",Tabla7[[#Headers],[15/04/2018]],"','%d/%m/%Y'),",AZ91,"),","('",Tabla7[[#This Row],[CONTADOR]],"',STR_TO_DATE('",Tabla7[[#Headers],[15/05/2018]],"','%d/%m/%Y'),",BA91,"),","('",Tabla7[[#This Row],[CONTADOR]],"',STR_TO_DATE('",Tabla7[[#Headers],[15/06/2018]],"','%d/%m/%Y'),",BB91,"),","('",Tabla7[[#This Row],[CONTADOR]],"',STR_TO_DATE('",Tabla7[[#Headers],[15/07/2018]],"','%d/%m/%Y'),",BC91,"),","('",Tabla7[[#This Row],[CONTADOR]],"',STR_TO_DATE('",Tabla7[[#Headers],[15/08/2018]],"','%d/%m/%Y'),",BD91,"),","('",Tabla7[[#This Row],[CONTADOR]],"',STR_TO_DATE('",Tabla7[[#Headers],[15/09/2018]],"','%d/%m/%Y'),",BE91,"),","('",Tabla7[[#This Row],[CONTADOR]],"',STR_TO_DATE('",Tabla7[[#Headers],[15/10/2018]],"','%d/%m/%Y'),",BF91,"),","('",Tabla7[[#This Row],[CONTADOR]],"',STR_TO_DATE('",Tabla7[[#Headers],[15/11/2018]],"','%d/%m/%Y'),",BG91,"),","('",Tabla7[[#This Row],[CONTADOR]],"',STR_TO_DATE('",Tabla7[[#Headers],[15/12/2018]],"','%d/%m/%Y'),",BH91,");")</f>
        <v>insert into lecturas values ('CUEMFGL0894811333',STR_TO_DATE('31/12/2017','%d/%m/%Y'),2028556),('CUEMFGL0894811333',STR_TO_DATE('15/01/2018','%d/%m/%Y'),2040827),('CUEMFGL0894811333',STR_TO_DATE('15/02/2018','%d/%m/%Y'),2064138),('CUEMFGL0894811333',STR_TO_DATE('15/03/2018','%d/%m/%Y'),2083580),('CUEMFGL0894811333',STR_TO_DATE('15/04/2018','%d/%m/%Y'),2101095),('CUEMFGL0894811333',STR_TO_DATE('15/05/2018','%d/%m/%Y'),2114151),('CUEMFGL0894811333',STR_TO_DATE('15/06/2018','%d/%m/%Y'),0),('CUEMFGL0894811333',STR_TO_DATE('15/07/2018','%d/%m/%Y'),0),('CUEMFGL0894811333',STR_TO_DATE('15/08/2018','%d/%m/%Y'),0),('CUEMFGL0894811333',STR_TO_DATE('15/09/2018','%d/%m/%Y'),0),('CUEMFGL0894811333',STR_TO_DATE('15/10/2018','%d/%m/%Y'),0),('CUEMFGL0894811333',STR_TO_DATE('15/11/2018','%d/%m/%Y'),0),('CUEMFGL0894811333',STR_TO_DATE('15/12/2018','%d/%m/%Y'),0);</v>
      </c>
    </row>
    <row r="92" spans="1:68" ht="18" customHeight="1" x14ac:dyDescent="0.25">
      <c r="A92" s="241" t="s">
        <v>356</v>
      </c>
      <c r="B92" s="60"/>
      <c r="C92" s="342" t="s">
        <v>1271</v>
      </c>
      <c r="D92" s="60" t="s">
        <v>356</v>
      </c>
      <c r="E92" s="258">
        <v>39486</v>
      </c>
      <c r="F92" s="274" t="s">
        <v>369</v>
      </c>
      <c r="G92" s="274" t="s">
        <v>370</v>
      </c>
      <c r="H92" s="2" t="s">
        <v>1353</v>
      </c>
      <c r="I92" s="2" t="s">
        <v>1352</v>
      </c>
      <c r="J92" s="311"/>
      <c r="K92" s="311"/>
      <c r="L92" s="311"/>
      <c r="M92" s="469"/>
      <c r="N92" s="311"/>
      <c r="O92" s="454">
        <v>2114151</v>
      </c>
      <c r="P92" s="454">
        <v>2127503</v>
      </c>
      <c r="Q92" s="490">
        <v>2143371</v>
      </c>
      <c r="R92" s="311">
        <v>2161042</v>
      </c>
      <c r="S92" s="311">
        <v>2177366</v>
      </c>
      <c r="T92" s="311">
        <v>2191290</v>
      </c>
      <c r="U92" s="311">
        <v>2207952</v>
      </c>
      <c r="V92" s="311">
        <v>2227751</v>
      </c>
      <c r="W92" s="311"/>
      <c r="X92" s="274"/>
      <c r="Y92" s="2" t="str">
        <f t="shared" si="28"/>
        <v/>
      </c>
      <c r="Z92" s="2" t="str">
        <f t="shared" si="27"/>
        <v/>
      </c>
      <c r="AA92" s="2" t="str">
        <f>IF(OR(ISBLANK(#REF!),ISBLANK(L92)),"",IF(AND(#REF!&gt;=L92,#REF!-L92&lt;=#REF!),(#REF!-L92)*$AK92,"!!!!"))</f>
        <v/>
      </c>
      <c r="AB92" s="2" t="str">
        <f>IF(OR(ISBLANK(N92),ISBLANK(#REF!)),"",IF(AND(N92&gt;=#REF!,N92-#REF!&lt;=N92),(N92-#REF!)*$AK92,"!!!!"))</f>
        <v/>
      </c>
      <c r="AC92" s="2" t="str">
        <f t="shared" si="34"/>
        <v/>
      </c>
      <c r="AD92" s="2">
        <f t="shared" si="35"/>
        <v>13352</v>
      </c>
      <c r="AE92" s="2">
        <f t="shared" si="36"/>
        <v>15868</v>
      </c>
      <c r="AF92" s="2">
        <f t="shared" si="37"/>
        <v>17671</v>
      </c>
      <c r="AG92" s="2">
        <f t="shared" si="38"/>
        <v>16324</v>
      </c>
      <c r="AH92" s="271">
        <f t="shared" si="41"/>
        <v>13924</v>
      </c>
      <c r="AI92" s="2">
        <f t="shared" si="39"/>
        <v>16662</v>
      </c>
      <c r="AJ92" s="2">
        <f t="shared" si="40"/>
        <v>19799</v>
      </c>
      <c r="AK92" s="406">
        <v>1</v>
      </c>
      <c r="AL92" s="412">
        <f t="shared" ca="1" si="29"/>
        <v>0</v>
      </c>
      <c r="AM92" s="311">
        <f t="shared" ca="1" si="30"/>
        <v>2114151</v>
      </c>
      <c r="AN92" s="412" t="str">
        <f ca="1">IF(AND(Tabla7[[#This Row],[UltLec]]&lt;&gt;0,Tabla7[[#This Row],[PenLect]]&lt;&gt;0),(AM92-AL92)*Tabla7[[#This Row],[RT]],"N/A")</f>
        <v>N/A</v>
      </c>
      <c r="AO92" s="478" t="s">
        <v>1442</v>
      </c>
      <c r="AP92" s="392" t="s">
        <v>1191</v>
      </c>
      <c r="AQ92" s="392" t="s">
        <v>1189</v>
      </c>
      <c r="AR92" s="407">
        <f t="shared" si="31"/>
        <v>0</v>
      </c>
      <c r="AT92" s="2" t="e">
        <f t="shared" ca="1" si="32"/>
        <v>#VALUE!</v>
      </c>
      <c r="AV92">
        <f>IF(ISBLANK(Tabla7[[#This Row],[31/12/2017]]),0,Tabla7[[#This Row],[31/12/2017]])</f>
        <v>0</v>
      </c>
      <c r="AW92">
        <f>IF(ISBLANK(Tabla7[[#This Row],[15/01/2018]]),0,Tabla7[[#This Row],[15/01/2018]])</f>
        <v>0</v>
      </c>
      <c r="AX92">
        <f>IF(ISBLANK(Tabla7[[#This Row],[15/02/2018]]),0,Tabla7[[#This Row],[15/02/2018]])</f>
        <v>0</v>
      </c>
      <c r="AY92">
        <f>IF(ISBLANK(Tabla7[[#This Row],[15/03/2018]]),0,Tabla7[[#This Row],[15/03/2018]])</f>
        <v>0</v>
      </c>
      <c r="AZ92">
        <f>IF(ISBLANK(Tabla7[[#This Row],[15/04/2018]]),0,Tabla7[[#This Row],[15/04/2018]])</f>
        <v>0</v>
      </c>
      <c r="BA92">
        <f>IF(ISBLANK(Tabla7[[#This Row],[15/05/2018]]),0,Tabla7[[#This Row],[15/05/2018]])</f>
        <v>2114151</v>
      </c>
      <c r="BB92">
        <f>IF(ISBLANK(Tabla7[[#This Row],[15/06/2018]]),0,Tabla7[[#This Row],[15/06/2018]])</f>
        <v>2127503</v>
      </c>
      <c r="BC92">
        <f>IF(ISBLANK(Tabla7[[#This Row],[15/07/2018]]),0,Tabla7[[#This Row],[15/07/2018]])</f>
        <v>2143371</v>
      </c>
      <c r="BD92">
        <f>IF(ISBLANK(Tabla7[[#This Row],[15/08/2018]]),0,Tabla7[[#This Row],[15/08/2018]])</f>
        <v>2161042</v>
      </c>
      <c r="BE92">
        <f>IF(ISBLANK(Tabla7[[#This Row],[15/09/2018]]),0,Tabla7[[#This Row],[15/09/2018]])</f>
        <v>2177366</v>
      </c>
      <c r="BF92">
        <f>IF(ISBLANK(Tabla7[[#This Row],[15/10/2018]]),0,Tabla7[[#This Row],[15/10/2018]])</f>
        <v>2191290</v>
      </c>
      <c r="BG92">
        <f>IF(ISBLANK(Tabla7[[#This Row],[15/11/2018]]),0,Tabla7[[#This Row],[15/11/2018]])</f>
        <v>2207952</v>
      </c>
      <c r="BH92">
        <f>IF(ISBLANK(Tabla7[[#This Row],[15/12/2018]]),0,Tabla7[[#This Row],[15/12/2018]])</f>
        <v>2227751</v>
      </c>
      <c r="BI92">
        <f>IF(ISBLANK(Tabla7[[#This Row],[28/12/2018]]),0,Tabla7[[#This Row],[28/12/2018]])</f>
        <v>0</v>
      </c>
      <c r="BN9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('CUEMFGL0894811333','MT-V','MT-V','39486','SOCIEDAD EST. SALVAMENTO MTMO.','SALVAMENTO MARITIMO CRCS','OK MISMO CONTADOR QUE CAPITANIA. ELLOS SE APAÑAN desde el 18/06/2018','7 MEDIA TENSIÓN Se le asigna el 100%');</v>
      </c>
      <c r="BO92" t="s">
        <v>243</v>
      </c>
      <c r="BP92" s="632" t="str">
        <f>CONCATENATE("insert into lecturas values ","('",Tabla7[[#This Row],[CONTADOR]],"',STR_TO_DATE('",Tabla7[[#Headers],[31/12/2017]],"','%d/%m/%Y'),",AV92,"),","('",Tabla7[[#This Row],[CONTADOR]],"',STR_TO_DATE('",Tabla7[[#Headers],[15/01/2018]],"','%d/%m/%Y'),",AW92,"),","('",Tabla7[[#This Row],[CONTADOR]],"',STR_TO_DATE('",Tabla7[[#Headers],[15/02/2018]],"','%d/%m/%Y'),",AX92,"),","('",Tabla7[[#This Row],[CONTADOR]],"',STR_TO_DATE('",Tabla7[[#Headers],[15/03/2018]],"','%d/%m/%Y'),",AY92,"),","('",Tabla7[[#This Row],[CONTADOR]],"',STR_TO_DATE('",Tabla7[[#Headers],[15/04/2018]],"','%d/%m/%Y'),",AZ92,"),","('",Tabla7[[#This Row],[CONTADOR]],"',STR_TO_DATE('",Tabla7[[#Headers],[15/05/2018]],"','%d/%m/%Y'),",BA92,"),","('",Tabla7[[#This Row],[CONTADOR]],"',STR_TO_DATE('",Tabla7[[#Headers],[15/06/2018]],"','%d/%m/%Y'),",BB92,"),","('",Tabla7[[#This Row],[CONTADOR]],"',STR_TO_DATE('",Tabla7[[#Headers],[15/07/2018]],"','%d/%m/%Y'),",BC92,"),","('",Tabla7[[#This Row],[CONTADOR]],"',STR_TO_DATE('",Tabla7[[#Headers],[15/08/2018]],"','%d/%m/%Y'),",BD92,"),","('",Tabla7[[#This Row],[CONTADOR]],"',STR_TO_DATE('",Tabla7[[#Headers],[15/09/2018]],"','%d/%m/%Y'),",BE92,"),","('",Tabla7[[#This Row],[CONTADOR]],"',STR_TO_DATE('",Tabla7[[#Headers],[15/10/2018]],"','%d/%m/%Y'),",BF92,"),","('",Tabla7[[#This Row],[CONTADOR]],"',STR_TO_DATE('",Tabla7[[#Headers],[15/11/2018]],"','%d/%m/%Y'),",BG92,"),","('",Tabla7[[#This Row],[CONTADOR]],"',STR_TO_DATE('",Tabla7[[#Headers],[15/12/2018]],"','%d/%m/%Y'),",BH92,");")</f>
        <v>insert into lecturas values ('CUEMFGL0894811333',STR_TO_DATE('31/12/2017','%d/%m/%Y'),0),('CUEMFGL0894811333',STR_TO_DATE('15/01/2018','%d/%m/%Y'),0),('CUEMFGL0894811333',STR_TO_DATE('15/02/2018','%d/%m/%Y'),0),('CUEMFGL0894811333',STR_TO_DATE('15/03/2018','%d/%m/%Y'),0),('CUEMFGL0894811333',STR_TO_DATE('15/04/2018','%d/%m/%Y'),0),('CUEMFGL0894811333',STR_TO_DATE('15/05/2018','%d/%m/%Y'),2114151),('CUEMFGL0894811333',STR_TO_DATE('15/06/2018','%d/%m/%Y'),2127503),('CUEMFGL0894811333',STR_TO_DATE('15/07/2018','%d/%m/%Y'),2143371),('CUEMFGL0894811333',STR_TO_DATE('15/08/2018','%d/%m/%Y'),2161042),('CUEMFGL0894811333',STR_TO_DATE('15/09/2018','%d/%m/%Y'),2177366),('CUEMFGL0894811333',STR_TO_DATE('15/10/2018','%d/%m/%Y'),2191290),('CUEMFGL0894811333',STR_TO_DATE('15/11/2018','%d/%m/%Y'),2207952),('CUEMFGL0894811333',STR_TO_DATE('15/12/2018','%d/%m/%Y'),2227751);</v>
      </c>
    </row>
    <row r="93" spans="1:68" ht="18" customHeight="1" x14ac:dyDescent="0.25">
      <c r="A93" s="241" t="s">
        <v>741</v>
      </c>
      <c r="B93" s="60"/>
      <c r="C93" s="223" t="s">
        <v>1272</v>
      </c>
      <c r="D93" s="60" t="s">
        <v>356</v>
      </c>
      <c r="E93" s="258">
        <v>0</v>
      </c>
      <c r="F93" s="274" t="s">
        <v>391</v>
      </c>
      <c r="G93" s="2" t="s">
        <v>392</v>
      </c>
      <c r="H93" s="2"/>
      <c r="I93" s="2" t="s">
        <v>960</v>
      </c>
      <c r="J93" s="311">
        <v>185893</v>
      </c>
      <c r="K93" s="311">
        <v>186803</v>
      </c>
      <c r="L93" s="311">
        <v>188456</v>
      </c>
      <c r="M93" s="311">
        <v>189930</v>
      </c>
      <c r="N93" s="311">
        <v>191626</v>
      </c>
      <c r="O93" s="454">
        <v>193091</v>
      </c>
      <c r="P93" s="454">
        <v>194550</v>
      </c>
      <c r="Q93" s="490">
        <v>196354</v>
      </c>
      <c r="R93" s="311">
        <v>197678</v>
      </c>
      <c r="S93" s="311"/>
      <c r="T93" s="311"/>
      <c r="U93" s="531">
        <v>1133879</v>
      </c>
      <c r="V93" s="531">
        <v>1136003</v>
      </c>
      <c r="W93" s="353"/>
      <c r="X93" s="275"/>
      <c r="Y93" s="2">
        <f t="shared" si="28"/>
        <v>910</v>
      </c>
      <c r="Z93" s="2">
        <f t="shared" si="27"/>
        <v>1653</v>
      </c>
      <c r="AA93" s="2">
        <f t="shared" ref="AA93:AA124" si="44">IF(OR(ISBLANK(M93),ISBLANK(L93)),"",IF(AND(M93&gt;=L93,M93-L93&lt;=M93),(M93-L93)*$AK93,"!!!!"))</f>
        <v>1474</v>
      </c>
      <c r="AB93" s="2">
        <f t="shared" ref="AB93:AB124" si="45">IF(OR(ISBLANK(N93),ISBLANK(M93)),"",IF(AND(N93&gt;=M93,N93-M93&lt;=N93),(N93-M93)*$AK93,"!!!!"))</f>
        <v>1696</v>
      </c>
      <c r="AC93" s="2">
        <f t="shared" si="34"/>
        <v>1465</v>
      </c>
      <c r="AD93" s="2">
        <f t="shared" si="35"/>
        <v>1459</v>
      </c>
      <c r="AE93" s="2">
        <f t="shared" si="36"/>
        <v>1804</v>
      </c>
      <c r="AF93" s="2">
        <f t="shared" si="37"/>
        <v>1324</v>
      </c>
      <c r="AG93" s="2" t="str">
        <f t="shared" si="38"/>
        <v/>
      </c>
      <c r="AH93" s="2" t="str">
        <f t="shared" si="41"/>
        <v/>
      </c>
      <c r="AI93" s="2" t="str">
        <f t="shared" si="39"/>
        <v/>
      </c>
      <c r="AJ93" s="2">
        <f t="shared" si="40"/>
        <v>2124</v>
      </c>
      <c r="AK93" s="406">
        <v>1</v>
      </c>
      <c r="AL93" s="274">
        <f t="shared" ca="1" si="29"/>
        <v>191626</v>
      </c>
      <c r="AM93" s="311">
        <f t="shared" ca="1" si="30"/>
        <v>193091</v>
      </c>
      <c r="AN93" s="274">
        <f ca="1">IF(AND(Tabla7[[#This Row],[UltLec]]&lt;&gt;0,Tabla7[[#This Row],[PenLect]]&lt;&gt;0),(AM93-AL93)*Tabla7[[#This Row],[RT]],"N/A")</f>
        <v>1465</v>
      </c>
      <c r="AO93" s="273" t="s">
        <v>862</v>
      </c>
      <c r="AP93" s="392" t="s">
        <v>1190</v>
      </c>
      <c r="AQ93" s="392" t="s">
        <v>1189</v>
      </c>
      <c r="AR93" s="407">
        <f t="shared" si="31"/>
        <v>0</v>
      </c>
      <c r="AT93" s="2">
        <f t="shared" ca="1" si="32"/>
        <v>0.86379716981132071</v>
      </c>
      <c r="AV93">
        <f>IF(ISBLANK(Tabla7[[#This Row],[31/12/2017]]),0,Tabla7[[#This Row],[31/12/2017]])</f>
        <v>185893</v>
      </c>
      <c r="AW93">
        <f>IF(ISBLANK(Tabla7[[#This Row],[15/01/2018]]),0,Tabla7[[#This Row],[15/01/2018]])</f>
        <v>186803</v>
      </c>
      <c r="AX93">
        <f>IF(ISBLANK(Tabla7[[#This Row],[15/02/2018]]),0,Tabla7[[#This Row],[15/02/2018]])</f>
        <v>188456</v>
      </c>
      <c r="AY93">
        <f>IF(ISBLANK(Tabla7[[#This Row],[15/03/2018]]),0,Tabla7[[#This Row],[15/03/2018]])</f>
        <v>189930</v>
      </c>
      <c r="AZ93">
        <f>IF(ISBLANK(Tabla7[[#This Row],[15/04/2018]]),0,Tabla7[[#This Row],[15/04/2018]])</f>
        <v>191626</v>
      </c>
      <c r="BA93">
        <f>IF(ISBLANK(Tabla7[[#This Row],[15/05/2018]]),0,Tabla7[[#This Row],[15/05/2018]])</f>
        <v>193091</v>
      </c>
      <c r="BB93">
        <f>IF(ISBLANK(Tabla7[[#This Row],[15/06/2018]]),0,Tabla7[[#This Row],[15/06/2018]])</f>
        <v>194550</v>
      </c>
      <c r="BC93">
        <f>IF(ISBLANK(Tabla7[[#This Row],[15/07/2018]]),0,Tabla7[[#This Row],[15/07/2018]])</f>
        <v>196354</v>
      </c>
      <c r="BD93">
        <f>IF(ISBLANK(Tabla7[[#This Row],[15/08/2018]]),0,Tabla7[[#This Row],[15/08/2018]])</f>
        <v>197678</v>
      </c>
      <c r="BE93">
        <f>IF(ISBLANK(Tabla7[[#This Row],[15/09/2018]]),0,Tabla7[[#This Row],[15/09/2018]])</f>
        <v>0</v>
      </c>
      <c r="BF93">
        <f>IF(ISBLANK(Tabla7[[#This Row],[15/10/2018]]),0,Tabla7[[#This Row],[15/10/2018]])</f>
        <v>0</v>
      </c>
      <c r="BG93">
        <f>IF(ISBLANK(Tabla7[[#This Row],[15/11/2018]]),0,Tabla7[[#This Row],[15/11/2018]])</f>
        <v>1133879</v>
      </c>
      <c r="BH93">
        <f>IF(ISBLANK(Tabla7[[#This Row],[15/12/2018]]),0,Tabla7[[#This Row],[15/12/2018]])</f>
        <v>1136003</v>
      </c>
      <c r="BI93">
        <f>IF(ISBLANK(Tabla7[[#This Row],[28/12/2018]]),0,Tabla7[[#This Row],[28/12/2018]])</f>
        <v>0</v>
      </c>
      <c r="BN9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('CUEMFGL0894811502','FACT EXT','MT-V','0','MARINA SUR','BAJO PUENTE GIRATORIO SUR','','X MEDIA TENSIÓN');</v>
      </c>
      <c r="BO93" t="s">
        <v>243</v>
      </c>
      <c r="BP93" s="632" t="str">
        <f>CONCATENATE("insert into lecturas values ","('",Tabla7[[#This Row],[CONTADOR]],"',STR_TO_DATE('",Tabla7[[#Headers],[31/12/2017]],"','%d/%m/%Y'),",AV93,"),","('",Tabla7[[#This Row],[CONTADOR]],"',STR_TO_DATE('",Tabla7[[#Headers],[15/01/2018]],"','%d/%m/%Y'),",AW93,"),","('",Tabla7[[#This Row],[CONTADOR]],"',STR_TO_DATE('",Tabla7[[#Headers],[15/02/2018]],"','%d/%m/%Y'),",AX93,"),","('",Tabla7[[#This Row],[CONTADOR]],"',STR_TO_DATE('",Tabla7[[#Headers],[15/03/2018]],"','%d/%m/%Y'),",AY93,"),","('",Tabla7[[#This Row],[CONTADOR]],"',STR_TO_DATE('",Tabla7[[#Headers],[15/04/2018]],"','%d/%m/%Y'),",AZ93,"),","('",Tabla7[[#This Row],[CONTADOR]],"',STR_TO_DATE('",Tabla7[[#Headers],[15/05/2018]],"','%d/%m/%Y'),",BA93,"),","('",Tabla7[[#This Row],[CONTADOR]],"',STR_TO_DATE('",Tabla7[[#Headers],[15/06/2018]],"','%d/%m/%Y'),",BB93,"),","('",Tabla7[[#This Row],[CONTADOR]],"',STR_TO_DATE('",Tabla7[[#Headers],[15/07/2018]],"','%d/%m/%Y'),",BC93,"),","('",Tabla7[[#This Row],[CONTADOR]],"',STR_TO_DATE('",Tabla7[[#Headers],[15/08/2018]],"','%d/%m/%Y'),",BD93,"),","('",Tabla7[[#This Row],[CONTADOR]],"',STR_TO_DATE('",Tabla7[[#Headers],[15/09/2018]],"','%d/%m/%Y'),",BE93,"),","('",Tabla7[[#This Row],[CONTADOR]],"',STR_TO_DATE('",Tabla7[[#Headers],[15/10/2018]],"','%d/%m/%Y'),",BF93,"),","('",Tabla7[[#This Row],[CONTADOR]],"',STR_TO_DATE('",Tabla7[[#Headers],[15/11/2018]],"','%d/%m/%Y'),",BG93,"),","('",Tabla7[[#This Row],[CONTADOR]],"',STR_TO_DATE('",Tabla7[[#Headers],[15/12/2018]],"','%d/%m/%Y'),",BH93,");")</f>
        <v>insert into lecturas values ('CUEMFGL0894811502',STR_TO_DATE('31/12/2017','%d/%m/%Y'),185893),('CUEMFGL0894811502',STR_TO_DATE('15/01/2018','%d/%m/%Y'),186803),('CUEMFGL0894811502',STR_TO_DATE('15/02/2018','%d/%m/%Y'),188456),('CUEMFGL0894811502',STR_TO_DATE('15/03/2018','%d/%m/%Y'),189930),('CUEMFGL0894811502',STR_TO_DATE('15/04/2018','%d/%m/%Y'),191626),('CUEMFGL0894811502',STR_TO_DATE('15/05/2018','%d/%m/%Y'),193091),('CUEMFGL0894811502',STR_TO_DATE('15/06/2018','%d/%m/%Y'),194550),('CUEMFGL0894811502',STR_TO_DATE('15/07/2018','%d/%m/%Y'),196354),('CUEMFGL0894811502',STR_TO_DATE('15/08/2018','%d/%m/%Y'),197678),('CUEMFGL0894811502',STR_TO_DATE('15/09/2018','%d/%m/%Y'),0),('CUEMFGL0894811502',STR_TO_DATE('15/10/2018','%d/%m/%Y'),0),('CUEMFGL0894811502',STR_TO_DATE('15/11/2018','%d/%m/%Y'),1133879),('CUEMFGL0894811502',STR_TO_DATE('15/12/2018','%d/%m/%Y'),1136003);</v>
      </c>
    </row>
    <row r="94" spans="1:68" ht="18" customHeight="1" x14ac:dyDescent="0.25">
      <c r="A94" s="241" t="s">
        <v>741</v>
      </c>
      <c r="B94" s="60"/>
      <c r="C94" s="223" t="s">
        <v>1273</v>
      </c>
      <c r="D94" s="60" t="s">
        <v>356</v>
      </c>
      <c r="E94" s="258">
        <v>0</v>
      </c>
      <c r="F94" s="274" t="s">
        <v>393</v>
      </c>
      <c r="G94" s="2" t="s">
        <v>394</v>
      </c>
      <c r="H94" s="274"/>
      <c r="I94" s="274" t="s">
        <v>960</v>
      </c>
      <c r="J94" s="311">
        <v>353452</v>
      </c>
      <c r="K94" s="311">
        <v>355112</v>
      </c>
      <c r="L94" s="311">
        <v>358868</v>
      </c>
      <c r="M94" s="311">
        <v>361575</v>
      </c>
      <c r="N94" s="311">
        <v>364541</v>
      </c>
      <c r="O94" s="454">
        <v>367292</v>
      </c>
      <c r="P94" s="454">
        <v>370518</v>
      </c>
      <c r="Q94" s="490">
        <v>375675</v>
      </c>
      <c r="R94" s="311">
        <v>380290</v>
      </c>
      <c r="S94" s="311"/>
      <c r="T94" s="311"/>
      <c r="U94" s="492">
        <v>813563</v>
      </c>
      <c r="V94" s="531">
        <v>816897</v>
      </c>
      <c r="W94" s="311"/>
      <c r="X94" s="2"/>
      <c r="Y94" s="2">
        <f t="shared" si="28"/>
        <v>1660</v>
      </c>
      <c r="Z94" s="2">
        <f t="shared" si="27"/>
        <v>3756</v>
      </c>
      <c r="AA94" s="2">
        <f t="shared" si="44"/>
        <v>2707</v>
      </c>
      <c r="AB94" s="2">
        <f t="shared" si="45"/>
        <v>2966</v>
      </c>
      <c r="AC94" s="2">
        <f t="shared" si="34"/>
        <v>2751</v>
      </c>
      <c r="AD94" s="2">
        <f t="shared" si="35"/>
        <v>3226</v>
      </c>
      <c r="AE94" s="2">
        <f t="shared" si="36"/>
        <v>5157</v>
      </c>
      <c r="AF94" s="2">
        <f t="shared" si="37"/>
        <v>4615</v>
      </c>
      <c r="AG94" s="2" t="str">
        <f t="shared" si="38"/>
        <v/>
      </c>
      <c r="AH94" s="2" t="str">
        <f t="shared" si="41"/>
        <v/>
      </c>
      <c r="AI94" s="2" t="str">
        <f t="shared" si="39"/>
        <v/>
      </c>
      <c r="AJ94" s="2">
        <f t="shared" si="40"/>
        <v>3334</v>
      </c>
      <c r="AK94" s="406">
        <v>1</v>
      </c>
      <c r="AL94" s="274">
        <f t="shared" ca="1" si="29"/>
        <v>364541</v>
      </c>
      <c r="AM94" s="311">
        <f t="shared" ca="1" si="30"/>
        <v>367292</v>
      </c>
      <c r="AN94" s="274">
        <f ca="1">IF(AND(Tabla7[[#This Row],[UltLec]]&lt;&gt;0,Tabla7[[#This Row],[PenLect]]&lt;&gt;0),(AM94-AL94)*Tabla7[[#This Row],[RT]],"N/A")</f>
        <v>2751</v>
      </c>
      <c r="AO94" s="273" t="s">
        <v>862</v>
      </c>
      <c r="AP94" s="392" t="s">
        <v>1190</v>
      </c>
      <c r="AQ94" s="392" t="s">
        <v>1189</v>
      </c>
      <c r="AR94" s="407">
        <f t="shared" si="31"/>
        <v>0</v>
      </c>
      <c r="AT94" s="2">
        <f t="shared" ca="1" si="32"/>
        <v>0.92751180040458525</v>
      </c>
      <c r="AV94">
        <f>IF(ISBLANK(Tabla7[[#This Row],[31/12/2017]]),0,Tabla7[[#This Row],[31/12/2017]])</f>
        <v>353452</v>
      </c>
      <c r="AW94">
        <f>IF(ISBLANK(Tabla7[[#This Row],[15/01/2018]]),0,Tabla7[[#This Row],[15/01/2018]])</f>
        <v>355112</v>
      </c>
      <c r="AX94">
        <f>IF(ISBLANK(Tabla7[[#This Row],[15/02/2018]]),0,Tabla7[[#This Row],[15/02/2018]])</f>
        <v>358868</v>
      </c>
      <c r="AY94">
        <f>IF(ISBLANK(Tabla7[[#This Row],[15/03/2018]]),0,Tabla7[[#This Row],[15/03/2018]])</f>
        <v>361575</v>
      </c>
      <c r="AZ94">
        <f>IF(ISBLANK(Tabla7[[#This Row],[15/04/2018]]),0,Tabla7[[#This Row],[15/04/2018]])</f>
        <v>364541</v>
      </c>
      <c r="BA94">
        <f>IF(ISBLANK(Tabla7[[#This Row],[15/05/2018]]),0,Tabla7[[#This Row],[15/05/2018]])</f>
        <v>367292</v>
      </c>
      <c r="BB94">
        <f>IF(ISBLANK(Tabla7[[#This Row],[15/06/2018]]),0,Tabla7[[#This Row],[15/06/2018]])</f>
        <v>370518</v>
      </c>
      <c r="BC94">
        <f>IF(ISBLANK(Tabla7[[#This Row],[15/07/2018]]),0,Tabla7[[#This Row],[15/07/2018]])</f>
        <v>375675</v>
      </c>
      <c r="BD94">
        <f>IF(ISBLANK(Tabla7[[#This Row],[15/08/2018]]),0,Tabla7[[#This Row],[15/08/2018]])</f>
        <v>380290</v>
      </c>
      <c r="BE94">
        <f>IF(ISBLANK(Tabla7[[#This Row],[15/09/2018]]),0,Tabla7[[#This Row],[15/09/2018]])</f>
        <v>0</v>
      </c>
      <c r="BF94">
        <f>IF(ISBLANK(Tabla7[[#This Row],[15/10/2018]]),0,Tabla7[[#This Row],[15/10/2018]])</f>
        <v>0</v>
      </c>
      <c r="BG94">
        <f>IF(ISBLANK(Tabla7[[#This Row],[15/11/2018]]),0,Tabla7[[#This Row],[15/11/2018]])</f>
        <v>813563</v>
      </c>
      <c r="BH94">
        <f>IF(ISBLANK(Tabla7[[#This Row],[15/12/2018]]),0,Tabla7[[#This Row],[15/12/2018]])</f>
        <v>816897</v>
      </c>
      <c r="BI94">
        <f>IF(ISBLANK(Tabla7[[#This Row],[28/12/2018]]),0,Tabla7[[#This Row],[28/12/2018]])</f>
        <v>0</v>
      </c>
      <c r="BN9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('CUEMFGL0894811503','FACT EXT','MT-V','0','MARINA NORTE','BAJO PUENTE GIRATORIO NORTE','','X MEDIA TENSIÓN');</v>
      </c>
      <c r="BO94" t="s">
        <v>243</v>
      </c>
      <c r="BP94" s="632" t="str">
        <f>CONCATENATE("insert into lecturas values ","('",Tabla7[[#This Row],[CONTADOR]],"',STR_TO_DATE('",Tabla7[[#Headers],[31/12/2017]],"','%d/%m/%Y'),",AV94,"),","('",Tabla7[[#This Row],[CONTADOR]],"',STR_TO_DATE('",Tabla7[[#Headers],[15/01/2018]],"','%d/%m/%Y'),",AW94,"),","('",Tabla7[[#This Row],[CONTADOR]],"',STR_TO_DATE('",Tabla7[[#Headers],[15/02/2018]],"','%d/%m/%Y'),",AX94,"),","('",Tabla7[[#This Row],[CONTADOR]],"',STR_TO_DATE('",Tabla7[[#Headers],[15/03/2018]],"','%d/%m/%Y'),",AY94,"),","('",Tabla7[[#This Row],[CONTADOR]],"',STR_TO_DATE('",Tabla7[[#Headers],[15/04/2018]],"','%d/%m/%Y'),",AZ94,"),","('",Tabla7[[#This Row],[CONTADOR]],"',STR_TO_DATE('",Tabla7[[#Headers],[15/05/2018]],"','%d/%m/%Y'),",BA94,"),","('",Tabla7[[#This Row],[CONTADOR]],"',STR_TO_DATE('",Tabla7[[#Headers],[15/06/2018]],"','%d/%m/%Y'),",BB94,"),","('",Tabla7[[#This Row],[CONTADOR]],"',STR_TO_DATE('",Tabla7[[#Headers],[15/07/2018]],"','%d/%m/%Y'),",BC94,"),","('",Tabla7[[#This Row],[CONTADOR]],"',STR_TO_DATE('",Tabla7[[#Headers],[15/08/2018]],"','%d/%m/%Y'),",BD94,"),","('",Tabla7[[#This Row],[CONTADOR]],"',STR_TO_DATE('",Tabla7[[#Headers],[15/09/2018]],"','%d/%m/%Y'),",BE94,"),","('",Tabla7[[#This Row],[CONTADOR]],"',STR_TO_DATE('",Tabla7[[#Headers],[15/10/2018]],"','%d/%m/%Y'),",BF94,"),","('",Tabla7[[#This Row],[CONTADOR]],"',STR_TO_DATE('",Tabla7[[#Headers],[15/11/2018]],"','%d/%m/%Y'),",BG94,"),","('",Tabla7[[#This Row],[CONTADOR]],"',STR_TO_DATE('",Tabla7[[#Headers],[15/12/2018]],"','%d/%m/%Y'),",BH94,");")</f>
        <v>insert into lecturas values ('CUEMFGL0894811503',STR_TO_DATE('31/12/2017','%d/%m/%Y'),353452),('CUEMFGL0894811503',STR_TO_DATE('15/01/2018','%d/%m/%Y'),355112),('CUEMFGL0894811503',STR_TO_DATE('15/02/2018','%d/%m/%Y'),358868),('CUEMFGL0894811503',STR_TO_DATE('15/03/2018','%d/%m/%Y'),361575),('CUEMFGL0894811503',STR_TO_DATE('15/04/2018','%d/%m/%Y'),364541),('CUEMFGL0894811503',STR_TO_DATE('15/05/2018','%d/%m/%Y'),367292),('CUEMFGL0894811503',STR_TO_DATE('15/06/2018','%d/%m/%Y'),370518),('CUEMFGL0894811503',STR_TO_DATE('15/07/2018','%d/%m/%Y'),375675),('CUEMFGL0894811503',STR_TO_DATE('15/08/2018','%d/%m/%Y'),380290),('CUEMFGL0894811503',STR_TO_DATE('15/09/2018','%d/%m/%Y'),0),('CUEMFGL0894811503',STR_TO_DATE('15/10/2018','%d/%m/%Y'),0),('CUEMFGL0894811503',STR_TO_DATE('15/11/2018','%d/%m/%Y'),813563),('CUEMFGL0894811503',STR_TO_DATE('15/12/2018','%d/%m/%Y'),816897);</v>
      </c>
    </row>
    <row r="95" spans="1:68" ht="18" customHeight="1" x14ac:dyDescent="0.25">
      <c r="A95" s="241" t="s">
        <v>356</v>
      </c>
      <c r="B95" s="60"/>
      <c r="C95" s="342" t="s">
        <v>1274</v>
      </c>
      <c r="D95" s="60" t="s">
        <v>356</v>
      </c>
      <c r="E95" s="258">
        <v>39514</v>
      </c>
      <c r="F95" s="2" t="s">
        <v>381</v>
      </c>
      <c r="G95" s="2" t="s">
        <v>876</v>
      </c>
      <c r="H95" s="2"/>
      <c r="I95" s="2" t="s">
        <v>962</v>
      </c>
      <c r="J95" s="311">
        <v>6438581</v>
      </c>
      <c r="K95" s="311">
        <v>6455272</v>
      </c>
      <c r="L95" s="311">
        <v>6568207</v>
      </c>
      <c r="M95" s="311">
        <v>6616408</v>
      </c>
      <c r="N95" s="311">
        <v>6690544</v>
      </c>
      <c r="O95" s="454">
        <v>6732495</v>
      </c>
      <c r="P95" s="311">
        <v>6772714</v>
      </c>
      <c r="Q95" s="489">
        <v>6821943</v>
      </c>
      <c r="R95" s="311">
        <v>6854607</v>
      </c>
      <c r="S95" s="311">
        <v>6902078</v>
      </c>
      <c r="T95" s="311">
        <v>6944235</v>
      </c>
      <c r="U95" s="311">
        <v>6986621</v>
      </c>
      <c r="V95" s="311">
        <v>7021785</v>
      </c>
      <c r="W95" s="311"/>
      <c r="X95" s="274"/>
      <c r="Y95" s="2">
        <f t="shared" si="28"/>
        <v>16691</v>
      </c>
      <c r="Z95" s="2">
        <f t="shared" si="27"/>
        <v>112935</v>
      </c>
      <c r="AA95" s="2">
        <f t="shared" si="44"/>
        <v>48201</v>
      </c>
      <c r="AB95" s="2">
        <f t="shared" si="45"/>
        <v>74136</v>
      </c>
      <c r="AC95" s="2">
        <f t="shared" si="34"/>
        <v>41951</v>
      </c>
      <c r="AD95" s="2">
        <f t="shared" si="35"/>
        <v>40219</v>
      </c>
      <c r="AE95" s="2">
        <f t="shared" si="36"/>
        <v>49229</v>
      </c>
      <c r="AF95" s="2">
        <f t="shared" si="37"/>
        <v>32664</v>
      </c>
      <c r="AG95" s="2">
        <f t="shared" si="38"/>
        <v>47471</v>
      </c>
      <c r="AH95" s="2">
        <f t="shared" si="41"/>
        <v>42157</v>
      </c>
      <c r="AI95" s="2">
        <f t="shared" si="39"/>
        <v>42386</v>
      </c>
      <c r="AJ95" s="2">
        <f t="shared" si="40"/>
        <v>35164</v>
      </c>
      <c r="AK95" s="406">
        <v>1</v>
      </c>
      <c r="AL95" s="274">
        <f t="shared" ca="1" si="29"/>
        <v>6690544</v>
      </c>
      <c r="AM95" s="311">
        <f t="shared" ca="1" si="30"/>
        <v>6732495</v>
      </c>
      <c r="AN95" s="274">
        <f ca="1">IF(AND(Tabla7[[#This Row],[UltLec]]&lt;&gt;0,Tabla7[[#This Row],[PenLect]]&lt;&gt;0),(AM95-AL95)*Tabla7[[#This Row],[RT]],"N/A")</f>
        <v>41951</v>
      </c>
      <c r="AO95" s="478" t="s">
        <v>1442</v>
      </c>
      <c r="AP95" s="392" t="s">
        <v>1191</v>
      </c>
      <c r="AQ95" s="392" t="s">
        <v>1189</v>
      </c>
      <c r="AR95" s="407">
        <f t="shared" si="31"/>
        <v>0</v>
      </c>
      <c r="AT95" s="2">
        <f t="shared" ca="1" si="32"/>
        <v>0.56586543649509013</v>
      </c>
      <c r="AV95">
        <f>IF(ISBLANK(Tabla7[[#This Row],[31/12/2017]]),0,Tabla7[[#This Row],[31/12/2017]])</f>
        <v>6438581</v>
      </c>
      <c r="AW95">
        <f>IF(ISBLANK(Tabla7[[#This Row],[15/01/2018]]),0,Tabla7[[#This Row],[15/01/2018]])</f>
        <v>6455272</v>
      </c>
      <c r="AX95">
        <f>IF(ISBLANK(Tabla7[[#This Row],[15/02/2018]]),0,Tabla7[[#This Row],[15/02/2018]])</f>
        <v>6568207</v>
      </c>
      <c r="AY95">
        <f>IF(ISBLANK(Tabla7[[#This Row],[15/03/2018]]),0,Tabla7[[#This Row],[15/03/2018]])</f>
        <v>6616408</v>
      </c>
      <c r="AZ95">
        <f>IF(ISBLANK(Tabla7[[#This Row],[15/04/2018]]),0,Tabla7[[#This Row],[15/04/2018]])</f>
        <v>6690544</v>
      </c>
      <c r="BA95">
        <f>IF(ISBLANK(Tabla7[[#This Row],[15/05/2018]]),0,Tabla7[[#This Row],[15/05/2018]])</f>
        <v>6732495</v>
      </c>
      <c r="BB95">
        <f>IF(ISBLANK(Tabla7[[#This Row],[15/06/2018]]),0,Tabla7[[#This Row],[15/06/2018]])</f>
        <v>6772714</v>
      </c>
      <c r="BC95">
        <f>IF(ISBLANK(Tabla7[[#This Row],[15/07/2018]]),0,Tabla7[[#This Row],[15/07/2018]])</f>
        <v>6821943</v>
      </c>
      <c r="BD95">
        <f>IF(ISBLANK(Tabla7[[#This Row],[15/08/2018]]),0,Tabla7[[#This Row],[15/08/2018]])</f>
        <v>6854607</v>
      </c>
      <c r="BE95">
        <f>IF(ISBLANK(Tabla7[[#This Row],[15/09/2018]]),0,Tabla7[[#This Row],[15/09/2018]])</f>
        <v>6902078</v>
      </c>
      <c r="BF95">
        <f>IF(ISBLANK(Tabla7[[#This Row],[15/10/2018]]),0,Tabla7[[#This Row],[15/10/2018]])</f>
        <v>6944235</v>
      </c>
      <c r="BG95">
        <f>IF(ISBLANK(Tabla7[[#This Row],[15/11/2018]]),0,Tabla7[[#This Row],[15/11/2018]])</f>
        <v>6986621</v>
      </c>
      <c r="BH95">
        <f>IF(ISBLANK(Tabla7[[#This Row],[15/12/2018]]),0,Tabla7[[#This Row],[15/12/2018]])</f>
        <v>7021785</v>
      </c>
      <c r="BI95">
        <f>IF(ISBLANK(Tabla7[[#This Row],[28/12/2018]]),0,Tabla7[[#This Row],[28/12/2018]])</f>
        <v>0</v>
      </c>
      <c r="BN9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('CUEMFGL0895589692','MT-V','MT-V','39514','TEMAGRA, S.L.','TEMAGRA ¿INFRAPORTVA?','','13 MEDIA TENSIÓN');</v>
      </c>
      <c r="BO95" t="s">
        <v>243</v>
      </c>
      <c r="BP95" s="632" t="str">
        <f>CONCATENATE("insert into lecturas values ","('",Tabla7[[#This Row],[CONTADOR]],"',STR_TO_DATE('",Tabla7[[#Headers],[31/12/2017]],"','%d/%m/%Y'),",AV95,"),","('",Tabla7[[#This Row],[CONTADOR]],"',STR_TO_DATE('",Tabla7[[#Headers],[15/01/2018]],"','%d/%m/%Y'),",AW95,"),","('",Tabla7[[#This Row],[CONTADOR]],"',STR_TO_DATE('",Tabla7[[#Headers],[15/02/2018]],"','%d/%m/%Y'),",AX95,"),","('",Tabla7[[#This Row],[CONTADOR]],"',STR_TO_DATE('",Tabla7[[#Headers],[15/03/2018]],"','%d/%m/%Y'),",AY95,"),","('",Tabla7[[#This Row],[CONTADOR]],"',STR_TO_DATE('",Tabla7[[#Headers],[15/04/2018]],"','%d/%m/%Y'),",AZ95,"),","('",Tabla7[[#This Row],[CONTADOR]],"',STR_TO_DATE('",Tabla7[[#Headers],[15/05/2018]],"','%d/%m/%Y'),",BA95,"),","('",Tabla7[[#This Row],[CONTADOR]],"',STR_TO_DATE('",Tabla7[[#Headers],[15/06/2018]],"','%d/%m/%Y'),",BB95,"),","('",Tabla7[[#This Row],[CONTADOR]],"',STR_TO_DATE('",Tabla7[[#Headers],[15/07/2018]],"','%d/%m/%Y'),",BC95,"),","('",Tabla7[[#This Row],[CONTADOR]],"',STR_TO_DATE('",Tabla7[[#Headers],[15/08/2018]],"','%d/%m/%Y'),",BD95,"),","('",Tabla7[[#This Row],[CONTADOR]],"',STR_TO_DATE('",Tabla7[[#Headers],[15/09/2018]],"','%d/%m/%Y'),",BE95,"),","('",Tabla7[[#This Row],[CONTADOR]],"',STR_TO_DATE('",Tabla7[[#Headers],[15/10/2018]],"','%d/%m/%Y'),",BF95,"),","('",Tabla7[[#This Row],[CONTADOR]],"',STR_TO_DATE('",Tabla7[[#Headers],[15/11/2018]],"','%d/%m/%Y'),",BG95,"),","('",Tabla7[[#This Row],[CONTADOR]],"',STR_TO_DATE('",Tabla7[[#Headers],[15/12/2018]],"','%d/%m/%Y'),",BH95,");")</f>
        <v>insert into lecturas values ('CUEMFGL0895589692',STR_TO_DATE('31/12/2017','%d/%m/%Y'),6438581),('CUEMFGL0895589692',STR_TO_DATE('15/01/2018','%d/%m/%Y'),6455272),('CUEMFGL0895589692',STR_TO_DATE('15/02/2018','%d/%m/%Y'),6568207),('CUEMFGL0895589692',STR_TO_DATE('15/03/2018','%d/%m/%Y'),6616408),('CUEMFGL0895589692',STR_TO_DATE('15/04/2018','%d/%m/%Y'),6690544),('CUEMFGL0895589692',STR_TO_DATE('15/05/2018','%d/%m/%Y'),6732495),('CUEMFGL0895589692',STR_TO_DATE('15/06/2018','%d/%m/%Y'),6772714),('CUEMFGL0895589692',STR_TO_DATE('15/07/2018','%d/%m/%Y'),6821943),('CUEMFGL0895589692',STR_TO_DATE('15/08/2018','%d/%m/%Y'),6854607),('CUEMFGL0895589692',STR_TO_DATE('15/09/2018','%d/%m/%Y'),6902078),('CUEMFGL0895589692',STR_TO_DATE('15/10/2018','%d/%m/%Y'),6944235),('CUEMFGL0895589692',STR_TO_DATE('15/11/2018','%d/%m/%Y'),6986621),('CUEMFGL0895589692',STR_TO_DATE('15/12/2018','%d/%m/%Y'),7021785);</v>
      </c>
    </row>
    <row r="96" spans="1:68" ht="18" customHeight="1" x14ac:dyDescent="0.25">
      <c r="A96" s="241" t="s">
        <v>356</v>
      </c>
      <c r="B96" s="60"/>
      <c r="C96" s="342" t="s">
        <v>1275</v>
      </c>
      <c r="D96" s="60" t="s">
        <v>356</v>
      </c>
      <c r="E96" s="268">
        <v>39100</v>
      </c>
      <c r="F96" s="2" t="s">
        <v>357</v>
      </c>
      <c r="G96" s="265" t="s">
        <v>358</v>
      </c>
      <c r="H96" s="265" t="s">
        <v>866</v>
      </c>
      <c r="I96" s="308" t="s">
        <v>963</v>
      </c>
      <c r="J96" s="354">
        <v>101942261</v>
      </c>
      <c r="K96" s="354">
        <v>102409094</v>
      </c>
      <c r="L96" s="354">
        <v>103295839</v>
      </c>
      <c r="M96" s="355">
        <v>104090702</v>
      </c>
      <c r="N96" s="354">
        <v>105043569</v>
      </c>
      <c r="O96" s="355">
        <v>106019875</v>
      </c>
      <c r="P96" s="473">
        <v>106972646</v>
      </c>
      <c r="Q96" s="535">
        <v>107913204</v>
      </c>
      <c r="R96" s="354">
        <v>108871677</v>
      </c>
      <c r="S96" s="354">
        <v>109864704</v>
      </c>
      <c r="T96" s="354">
        <v>110867273</v>
      </c>
      <c r="U96" s="354">
        <v>111943661</v>
      </c>
      <c r="V96" s="354">
        <v>112887516</v>
      </c>
      <c r="W96" s="354"/>
      <c r="X96" s="308"/>
      <c r="Y96" s="2">
        <f t="shared" si="28"/>
        <v>466833</v>
      </c>
      <c r="Z96" s="2">
        <f t="shared" si="27"/>
        <v>886745</v>
      </c>
      <c r="AA96" s="2">
        <f t="shared" si="44"/>
        <v>794863</v>
      </c>
      <c r="AB96" s="2">
        <f t="shared" si="45"/>
        <v>952867</v>
      </c>
      <c r="AC96" s="2">
        <f t="shared" si="34"/>
        <v>976306</v>
      </c>
      <c r="AD96" s="2">
        <f t="shared" si="35"/>
        <v>952771</v>
      </c>
      <c r="AE96" s="2">
        <f t="shared" si="36"/>
        <v>940558</v>
      </c>
      <c r="AF96" s="2">
        <f t="shared" si="37"/>
        <v>958473</v>
      </c>
      <c r="AG96" s="2">
        <f t="shared" si="38"/>
        <v>993027</v>
      </c>
      <c r="AH96" s="2">
        <f t="shared" si="41"/>
        <v>1002569</v>
      </c>
      <c r="AI96" s="2">
        <f t="shared" si="39"/>
        <v>1076388</v>
      </c>
      <c r="AJ96" s="2">
        <f t="shared" si="40"/>
        <v>943855</v>
      </c>
      <c r="AK96" s="406">
        <v>1</v>
      </c>
      <c r="AL96" s="274">
        <f t="shared" ca="1" si="29"/>
        <v>105043569</v>
      </c>
      <c r="AM96" s="311">
        <f t="shared" ca="1" si="30"/>
        <v>106019875</v>
      </c>
      <c r="AN96" s="274">
        <f ca="1">IF(AND(Tabla7[[#This Row],[UltLec]]&lt;&gt;0,Tabla7[[#This Row],[PenLect]]&lt;&gt;0),(AM96-AL96)*Tabla7[[#This Row],[RT]],"N/A")</f>
        <v>976306</v>
      </c>
      <c r="AO96" s="478" t="s">
        <v>1442</v>
      </c>
      <c r="AP96" s="392" t="s">
        <v>1191</v>
      </c>
      <c r="AQ96" s="392" t="s">
        <v>1189</v>
      </c>
      <c r="AR96" s="407">
        <f t="shared" si="31"/>
        <v>0</v>
      </c>
      <c r="AT96" s="2">
        <f t="shared" ca="1" si="32"/>
        <v>1.024598396208495</v>
      </c>
      <c r="AV96">
        <f>IF(ISBLANK(Tabla7[[#This Row],[31/12/2017]]),0,Tabla7[[#This Row],[31/12/2017]])</f>
        <v>101942261</v>
      </c>
      <c r="AW96">
        <f>IF(ISBLANK(Tabla7[[#This Row],[15/01/2018]]),0,Tabla7[[#This Row],[15/01/2018]])</f>
        <v>102409094</v>
      </c>
      <c r="AX96">
        <f>IF(ISBLANK(Tabla7[[#This Row],[15/02/2018]]),0,Tabla7[[#This Row],[15/02/2018]])</f>
        <v>103295839</v>
      </c>
      <c r="AY96">
        <f>IF(ISBLANK(Tabla7[[#This Row],[15/03/2018]]),0,Tabla7[[#This Row],[15/03/2018]])</f>
        <v>104090702</v>
      </c>
      <c r="AZ96">
        <f>IF(ISBLANK(Tabla7[[#This Row],[15/04/2018]]),0,Tabla7[[#This Row],[15/04/2018]])</f>
        <v>105043569</v>
      </c>
      <c r="BA96">
        <f>IF(ISBLANK(Tabla7[[#This Row],[15/05/2018]]),0,Tabla7[[#This Row],[15/05/2018]])</f>
        <v>106019875</v>
      </c>
      <c r="BB96">
        <f>IF(ISBLANK(Tabla7[[#This Row],[15/06/2018]]),0,Tabla7[[#This Row],[15/06/2018]])</f>
        <v>106972646</v>
      </c>
      <c r="BC96">
        <f>IF(ISBLANK(Tabla7[[#This Row],[15/07/2018]]),0,Tabla7[[#This Row],[15/07/2018]])</f>
        <v>107913204</v>
      </c>
      <c r="BD96">
        <f>IF(ISBLANK(Tabla7[[#This Row],[15/08/2018]]),0,Tabla7[[#This Row],[15/08/2018]])</f>
        <v>108871677</v>
      </c>
      <c r="BE96">
        <f>IF(ISBLANK(Tabla7[[#This Row],[15/09/2018]]),0,Tabla7[[#This Row],[15/09/2018]])</f>
        <v>109864704</v>
      </c>
      <c r="BF96">
        <f>IF(ISBLANK(Tabla7[[#This Row],[15/10/2018]]),0,Tabla7[[#This Row],[15/10/2018]])</f>
        <v>110867273</v>
      </c>
      <c r="BG96">
        <f>IF(ISBLANK(Tabla7[[#This Row],[15/11/2018]]),0,Tabla7[[#This Row],[15/11/2018]])</f>
        <v>111943661</v>
      </c>
      <c r="BH96">
        <f>IF(ISBLANK(Tabla7[[#This Row],[15/12/2018]]),0,Tabla7[[#This Row],[15/12/2018]])</f>
        <v>112887516</v>
      </c>
      <c r="BI96">
        <f>IF(ISBLANK(Tabla7[[#This Row],[28/12/2018]]),0,Tabla7[[#This Row],[28/12/2018]])</f>
        <v>0</v>
      </c>
      <c r="BN9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('CUEMFGL0895589707','MT-V','MT-V','39100','M.S.C. TERMINAL VALENCIA,S.A.U','VCT-28 MSC','Primer digiro indica numero de vueltas','01 MEDIA TENSIÓN');</v>
      </c>
      <c r="BO96" t="s">
        <v>243</v>
      </c>
      <c r="BP96" s="632" t="str">
        <f>CONCATENATE("insert into lecturas values ","('",Tabla7[[#This Row],[CONTADOR]],"',STR_TO_DATE('",Tabla7[[#Headers],[31/12/2017]],"','%d/%m/%Y'),",AV96,"),","('",Tabla7[[#This Row],[CONTADOR]],"',STR_TO_DATE('",Tabla7[[#Headers],[15/01/2018]],"','%d/%m/%Y'),",AW96,"),","('",Tabla7[[#This Row],[CONTADOR]],"',STR_TO_DATE('",Tabla7[[#Headers],[15/02/2018]],"','%d/%m/%Y'),",AX96,"),","('",Tabla7[[#This Row],[CONTADOR]],"',STR_TO_DATE('",Tabla7[[#Headers],[15/03/2018]],"','%d/%m/%Y'),",AY96,"),","('",Tabla7[[#This Row],[CONTADOR]],"',STR_TO_DATE('",Tabla7[[#Headers],[15/04/2018]],"','%d/%m/%Y'),",AZ96,"),","('",Tabla7[[#This Row],[CONTADOR]],"',STR_TO_DATE('",Tabla7[[#Headers],[15/05/2018]],"','%d/%m/%Y'),",BA96,"),","('",Tabla7[[#This Row],[CONTADOR]],"',STR_TO_DATE('",Tabla7[[#Headers],[15/06/2018]],"','%d/%m/%Y'),",BB96,"),","('",Tabla7[[#This Row],[CONTADOR]],"',STR_TO_DATE('",Tabla7[[#Headers],[15/07/2018]],"','%d/%m/%Y'),",BC96,"),","('",Tabla7[[#This Row],[CONTADOR]],"',STR_TO_DATE('",Tabla7[[#Headers],[15/08/2018]],"','%d/%m/%Y'),",BD96,"),","('",Tabla7[[#This Row],[CONTADOR]],"',STR_TO_DATE('",Tabla7[[#Headers],[15/09/2018]],"','%d/%m/%Y'),",BE96,"),","('",Tabla7[[#This Row],[CONTADOR]],"',STR_TO_DATE('",Tabla7[[#Headers],[15/10/2018]],"','%d/%m/%Y'),",BF96,"),","('",Tabla7[[#This Row],[CONTADOR]],"',STR_TO_DATE('",Tabla7[[#Headers],[15/11/2018]],"','%d/%m/%Y'),",BG96,"),","('",Tabla7[[#This Row],[CONTADOR]],"',STR_TO_DATE('",Tabla7[[#Headers],[15/12/2018]],"','%d/%m/%Y'),",BH96,");")</f>
        <v>insert into lecturas values ('CUEMFGL0895589707',STR_TO_DATE('31/12/2017','%d/%m/%Y'),101942261),('CUEMFGL0895589707',STR_TO_DATE('15/01/2018','%d/%m/%Y'),102409094),('CUEMFGL0895589707',STR_TO_DATE('15/02/2018','%d/%m/%Y'),103295839),('CUEMFGL0895589707',STR_TO_DATE('15/03/2018','%d/%m/%Y'),104090702),('CUEMFGL0895589707',STR_TO_DATE('15/04/2018','%d/%m/%Y'),105043569),('CUEMFGL0895589707',STR_TO_DATE('15/05/2018','%d/%m/%Y'),106019875),('CUEMFGL0895589707',STR_TO_DATE('15/06/2018','%d/%m/%Y'),106972646),('CUEMFGL0895589707',STR_TO_DATE('15/07/2018','%d/%m/%Y'),107913204),('CUEMFGL0895589707',STR_TO_DATE('15/08/2018','%d/%m/%Y'),108871677),('CUEMFGL0895589707',STR_TO_DATE('15/09/2018','%d/%m/%Y'),109864704),('CUEMFGL0895589707',STR_TO_DATE('15/10/2018','%d/%m/%Y'),110867273),('CUEMFGL0895589707',STR_TO_DATE('15/11/2018','%d/%m/%Y'),111943661),('CUEMFGL0895589707',STR_TO_DATE('15/12/2018','%d/%m/%Y'),112887516);</v>
      </c>
    </row>
    <row r="97" spans="1:68" ht="18.75" customHeight="1" x14ac:dyDescent="0.25">
      <c r="A97" s="241" t="s">
        <v>356</v>
      </c>
      <c r="B97" s="60"/>
      <c r="C97" s="342" t="s">
        <v>1276</v>
      </c>
      <c r="D97" s="60" t="s">
        <v>356</v>
      </c>
      <c r="E97" s="258">
        <v>39235</v>
      </c>
      <c r="F97" s="2" t="s">
        <v>360</v>
      </c>
      <c r="G97" s="2" t="s">
        <v>361</v>
      </c>
      <c r="H97" s="2"/>
      <c r="I97" s="2" t="s">
        <v>952</v>
      </c>
      <c r="J97" s="311">
        <v>6459464</v>
      </c>
      <c r="K97" s="311">
        <v>6496610</v>
      </c>
      <c r="L97" s="311">
        <v>6562458</v>
      </c>
      <c r="M97" s="311">
        <v>6615471</v>
      </c>
      <c r="N97" s="311">
        <v>6667726</v>
      </c>
      <c r="O97" s="454">
        <v>6711894</v>
      </c>
      <c r="P97" s="454">
        <v>6765189</v>
      </c>
      <c r="Q97" s="490">
        <v>6820701</v>
      </c>
      <c r="R97" s="311">
        <v>6885150</v>
      </c>
      <c r="S97" s="311">
        <v>6952024</v>
      </c>
      <c r="T97" s="311">
        <v>7011695</v>
      </c>
      <c r="U97" s="311">
        <v>7081585</v>
      </c>
      <c r="V97" s="311">
        <v>7153715</v>
      </c>
      <c r="W97" s="311"/>
      <c r="X97" s="274"/>
      <c r="Y97" s="2">
        <f t="shared" si="28"/>
        <v>37146</v>
      </c>
      <c r="Z97" s="2">
        <f t="shared" si="27"/>
        <v>65848</v>
      </c>
      <c r="AA97" s="2">
        <f t="shared" si="44"/>
        <v>53013</v>
      </c>
      <c r="AB97" s="2">
        <f t="shared" si="45"/>
        <v>52255</v>
      </c>
      <c r="AC97" s="2">
        <f t="shared" si="34"/>
        <v>44168</v>
      </c>
      <c r="AD97" s="2">
        <f t="shared" si="35"/>
        <v>53295</v>
      </c>
      <c r="AE97" s="2">
        <f t="shared" si="36"/>
        <v>55512</v>
      </c>
      <c r="AF97" s="2">
        <f t="shared" si="37"/>
        <v>64449</v>
      </c>
      <c r="AG97" s="2">
        <f t="shared" si="38"/>
        <v>66874</v>
      </c>
      <c r="AH97" s="2">
        <f t="shared" si="41"/>
        <v>59671</v>
      </c>
      <c r="AI97" s="2">
        <f t="shared" si="39"/>
        <v>69890</v>
      </c>
      <c r="AJ97" s="2">
        <f t="shared" si="40"/>
        <v>72130</v>
      </c>
      <c r="AK97" s="406">
        <v>1</v>
      </c>
      <c r="AL97" s="274">
        <f t="shared" ca="1" si="29"/>
        <v>6667726</v>
      </c>
      <c r="AM97" s="311">
        <f t="shared" ca="1" si="30"/>
        <v>6711894</v>
      </c>
      <c r="AN97" s="274">
        <f ca="1">IF(AND(Tabla7[[#This Row],[UltLec]]&lt;&gt;0,Tabla7[[#This Row],[PenLect]]&lt;&gt;0),(AM97-AL97)*Tabla7[[#This Row],[RT]],"N/A")</f>
        <v>44168</v>
      </c>
      <c r="AO97" s="478" t="s">
        <v>1442</v>
      </c>
      <c r="AP97" s="392" t="s">
        <v>1191</v>
      </c>
      <c r="AQ97" s="392" t="s">
        <v>1189</v>
      </c>
      <c r="AR97" s="407">
        <f t="shared" si="31"/>
        <v>0</v>
      </c>
      <c r="AT97" s="2">
        <f t="shared" ca="1" si="32"/>
        <v>0.84523968998181997</v>
      </c>
      <c r="AV97">
        <f>IF(ISBLANK(Tabla7[[#This Row],[31/12/2017]]),0,Tabla7[[#This Row],[31/12/2017]])</f>
        <v>6459464</v>
      </c>
      <c r="AW97">
        <f>IF(ISBLANK(Tabla7[[#This Row],[15/01/2018]]),0,Tabla7[[#This Row],[15/01/2018]])</f>
        <v>6496610</v>
      </c>
      <c r="AX97">
        <f>IF(ISBLANK(Tabla7[[#This Row],[15/02/2018]]),0,Tabla7[[#This Row],[15/02/2018]])</f>
        <v>6562458</v>
      </c>
      <c r="AY97">
        <f>IF(ISBLANK(Tabla7[[#This Row],[15/03/2018]]),0,Tabla7[[#This Row],[15/03/2018]])</f>
        <v>6615471</v>
      </c>
      <c r="AZ97">
        <f>IF(ISBLANK(Tabla7[[#This Row],[15/04/2018]]),0,Tabla7[[#This Row],[15/04/2018]])</f>
        <v>6667726</v>
      </c>
      <c r="BA97">
        <f>IF(ISBLANK(Tabla7[[#This Row],[15/05/2018]]),0,Tabla7[[#This Row],[15/05/2018]])</f>
        <v>6711894</v>
      </c>
      <c r="BB97">
        <f>IF(ISBLANK(Tabla7[[#This Row],[15/06/2018]]),0,Tabla7[[#This Row],[15/06/2018]])</f>
        <v>6765189</v>
      </c>
      <c r="BC97">
        <f>IF(ISBLANK(Tabla7[[#This Row],[15/07/2018]]),0,Tabla7[[#This Row],[15/07/2018]])</f>
        <v>6820701</v>
      </c>
      <c r="BD97">
        <f>IF(ISBLANK(Tabla7[[#This Row],[15/08/2018]]),0,Tabla7[[#This Row],[15/08/2018]])</f>
        <v>6885150</v>
      </c>
      <c r="BE97">
        <f>IF(ISBLANK(Tabla7[[#This Row],[15/09/2018]]),0,Tabla7[[#This Row],[15/09/2018]])</f>
        <v>6952024</v>
      </c>
      <c r="BF97">
        <f>IF(ISBLANK(Tabla7[[#This Row],[15/10/2018]]),0,Tabla7[[#This Row],[15/10/2018]])</f>
        <v>7011695</v>
      </c>
      <c r="BG97">
        <f>IF(ISBLANK(Tabla7[[#This Row],[15/11/2018]]),0,Tabla7[[#This Row],[15/11/2018]])</f>
        <v>7081585</v>
      </c>
      <c r="BH97">
        <f>IF(ISBLANK(Tabla7[[#This Row],[15/12/2018]]),0,Tabla7[[#This Row],[15/12/2018]])</f>
        <v>7153715</v>
      </c>
      <c r="BI97">
        <f>IF(ISBLANK(Tabla7[[#This Row],[28/12/2018]]),0,Tabla7[[#This Row],[28/12/2018]])</f>
        <v>0</v>
      </c>
      <c r="BN9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('CUEMFGL0895589708','MT-V','MT-V','39235','Valencia Yacht Port,SL','REAL CLUB NAUTICO DE VALENCIA CT31','','2 MEDIA TENSIÓN');</v>
      </c>
      <c r="BO97" t="s">
        <v>243</v>
      </c>
      <c r="BP97" s="632" t="str">
        <f>CONCATENATE("insert into lecturas values ","('",Tabla7[[#This Row],[CONTADOR]],"',STR_TO_DATE('",Tabla7[[#Headers],[31/12/2017]],"','%d/%m/%Y'),",AV97,"),","('",Tabla7[[#This Row],[CONTADOR]],"',STR_TO_DATE('",Tabla7[[#Headers],[15/01/2018]],"','%d/%m/%Y'),",AW97,"),","('",Tabla7[[#This Row],[CONTADOR]],"',STR_TO_DATE('",Tabla7[[#Headers],[15/02/2018]],"','%d/%m/%Y'),",AX97,"),","('",Tabla7[[#This Row],[CONTADOR]],"',STR_TO_DATE('",Tabla7[[#Headers],[15/03/2018]],"','%d/%m/%Y'),",AY97,"),","('",Tabla7[[#This Row],[CONTADOR]],"',STR_TO_DATE('",Tabla7[[#Headers],[15/04/2018]],"','%d/%m/%Y'),",AZ97,"),","('",Tabla7[[#This Row],[CONTADOR]],"',STR_TO_DATE('",Tabla7[[#Headers],[15/05/2018]],"','%d/%m/%Y'),",BA97,"),","('",Tabla7[[#This Row],[CONTADOR]],"',STR_TO_DATE('",Tabla7[[#Headers],[15/06/2018]],"','%d/%m/%Y'),",BB97,"),","('",Tabla7[[#This Row],[CONTADOR]],"',STR_TO_DATE('",Tabla7[[#Headers],[15/07/2018]],"','%d/%m/%Y'),",BC97,"),","('",Tabla7[[#This Row],[CONTADOR]],"',STR_TO_DATE('",Tabla7[[#Headers],[15/08/2018]],"','%d/%m/%Y'),",BD97,"),","('",Tabla7[[#This Row],[CONTADOR]],"',STR_TO_DATE('",Tabla7[[#Headers],[15/09/2018]],"','%d/%m/%Y'),",BE97,"),","('",Tabla7[[#This Row],[CONTADOR]],"',STR_TO_DATE('",Tabla7[[#Headers],[15/10/2018]],"','%d/%m/%Y'),",BF97,"),","('",Tabla7[[#This Row],[CONTADOR]],"',STR_TO_DATE('",Tabla7[[#Headers],[15/11/2018]],"','%d/%m/%Y'),",BG97,"),","('",Tabla7[[#This Row],[CONTADOR]],"',STR_TO_DATE('",Tabla7[[#Headers],[15/12/2018]],"','%d/%m/%Y'),",BH97,");")</f>
        <v>insert into lecturas values ('CUEMFGL0895589708',STR_TO_DATE('31/12/2017','%d/%m/%Y'),6459464),('CUEMFGL0895589708',STR_TO_DATE('15/01/2018','%d/%m/%Y'),6496610),('CUEMFGL0895589708',STR_TO_DATE('15/02/2018','%d/%m/%Y'),6562458),('CUEMFGL0895589708',STR_TO_DATE('15/03/2018','%d/%m/%Y'),6615471),('CUEMFGL0895589708',STR_TO_DATE('15/04/2018','%d/%m/%Y'),6667726),('CUEMFGL0895589708',STR_TO_DATE('15/05/2018','%d/%m/%Y'),6711894),('CUEMFGL0895589708',STR_TO_DATE('15/06/2018','%d/%m/%Y'),6765189),('CUEMFGL0895589708',STR_TO_DATE('15/07/2018','%d/%m/%Y'),6820701),('CUEMFGL0895589708',STR_TO_DATE('15/08/2018','%d/%m/%Y'),6885150),('CUEMFGL0895589708',STR_TO_DATE('15/09/2018','%d/%m/%Y'),6952024),('CUEMFGL0895589708',STR_TO_DATE('15/10/2018','%d/%m/%Y'),7011695),('CUEMFGL0895589708',STR_TO_DATE('15/11/2018','%d/%m/%Y'),7081585),('CUEMFGL0895589708',STR_TO_DATE('15/12/2018','%d/%m/%Y'),7153715);</v>
      </c>
    </row>
    <row r="98" spans="1:68" ht="18" customHeight="1" x14ac:dyDescent="0.25">
      <c r="A98" s="241" t="s">
        <v>356</v>
      </c>
      <c r="B98" s="60"/>
      <c r="C98" s="342" t="s">
        <v>1277</v>
      </c>
      <c r="D98" s="60" t="s">
        <v>356</v>
      </c>
      <c r="E98" s="258">
        <v>39316</v>
      </c>
      <c r="F98" s="2" t="s">
        <v>373</v>
      </c>
      <c r="G98" s="2" t="s">
        <v>374</v>
      </c>
      <c r="H98" s="2"/>
      <c r="I98" s="2" t="s">
        <v>956</v>
      </c>
      <c r="J98" s="311">
        <v>7186198</v>
      </c>
      <c r="K98" s="311">
        <v>7199078</v>
      </c>
      <c r="L98" s="311">
        <v>7226901</v>
      </c>
      <c r="M98" s="311">
        <v>7261619</v>
      </c>
      <c r="N98" s="311">
        <v>7284951</v>
      </c>
      <c r="O98" s="454">
        <v>7325169</v>
      </c>
      <c r="P98" s="454">
        <v>7361398</v>
      </c>
      <c r="Q98" s="490">
        <v>7378684</v>
      </c>
      <c r="R98" s="311">
        <v>7403380</v>
      </c>
      <c r="S98" s="311">
        <v>7424493</v>
      </c>
      <c r="T98" s="311">
        <v>7441651</v>
      </c>
      <c r="U98" s="311">
        <v>7459701</v>
      </c>
      <c r="V98" s="311">
        <v>7510265</v>
      </c>
      <c r="W98" s="311"/>
      <c r="X98" s="274"/>
      <c r="Y98" s="2">
        <f t="shared" si="28"/>
        <v>12880</v>
      </c>
      <c r="Z98" s="2">
        <f t="shared" si="27"/>
        <v>27823</v>
      </c>
      <c r="AA98" s="2">
        <f t="shared" si="44"/>
        <v>34718</v>
      </c>
      <c r="AB98" s="2">
        <f t="shared" si="45"/>
        <v>23332</v>
      </c>
      <c r="AC98" s="2">
        <f t="shared" si="34"/>
        <v>40218</v>
      </c>
      <c r="AD98" s="2">
        <f t="shared" si="35"/>
        <v>36229</v>
      </c>
      <c r="AE98" s="2">
        <f t="shared" si="36"/>
        <v>17286</v>
      </c>
      <c r="AF98" s="2">
        <f t="shared" si="37"/>
        <v>24696</v>
      </c>
      <c r="AG98" s="2">
        <f t="shared" si="38"/>
        <v>21113</v>
      </c>
      <c r="AH98" s="2">
        <f t="shared" si="41"/>
        <v>17158</v>
      </c>
      <c r="AI98" s="2">
        <f t="shared" si="39"/>
        <v>18050</v>
      </c>
      <c r="AJ98" s="2">
        <f t="shared" si="40"/>
        <v>50564</v>
      </c>
      <c r="AK98" s="406">
        <v>1</v>
      </c>
      <c r="AL98" s="274">
        <f t="shared" ca="1" si="29"/>
        <v>7284951</v>
      </c>
      <c r="AM98" s="311">
        <f t="shared" ca="1" si="30"/>
        <v>7325169</v>
      </c>
      <c r="AN98" s="274">
        <f ca="1">IF(AND(Tabla7[[#This Row],[UltLec]]&lt;&gt;0,Tabla7[[#This Row],[PenLect]]&lt;&gt;0),(AM98-AL98)*Tabla7[[#This Row],[RT]],"N/A")</f>
        <v>40218</v>
      </c>
      <c r="AO98" s="478" t="s">
        <v>1442</v>
      </c>
      <c r="AP98" s="392" t="s">
        <v>1191</v>
      </c>
      <c r="AQ98" s="392" t="s">
        <v>1189</v>
      </c>
      <c r="AR98" s="407">
        <f t="shared" si="31"/>
        <v>0</v>
      </c>
      <c r="AT98" s="2">
        <f t="shared" ca="1" si="32"/>
        <v>1.7237270701182925</v>
      </c>
      <c r="AV98">
        <f>IF(ISBLANK(Tabla7[[#This Row],[31/12/2017]]),0,Tabla7[[#This Row],[31/12/2017]])</f>
        <v>7186198</v>
      </c>
      <c r="AW98">
        <f>IF(ISBLANK(Tabla7[[#This Row],[15/01/2018]]),0,Tabla7[[#This Row],[15/01/2018]])</f>
        <v>7199078</v>
      </c>
      <c r="AX98">
        <f>IF(ISBLANK(Tabla7[[#This Row],[15/02/2018]]),0,Tabla7[[#This Row],[15/02/2018]])</f>
        <v>7226901</v>
      </c>
      <c r="AY98">
        <f>IF(ISBLANK(Tabla7[[#This Row],[15/03/2018]]),0,Tabla7[[#This Row],[15/03/2018]])</f>
        <v>7261619</v>
      </c>
      <c r="AZ98">
        <f>IF(ISBLANK(Tabla7[[#This Row],[15/04/2018]]),0,Tabla7[[#This Row],[15/04/2018]])</f>
        <v>7284951</v>
      </c>
      <c r="BA98">
        <f>IF(ISBLANK(Tabla7[[#This Row],[15/05/2018]]),0,Tabla7[[#This Row],[15/05/2018]])</f>
        <v>7325169</v>
      </c>
      <c r="BB98">
        <f>IF(ISBLANK(Tabla7[[#This Row],[15/06/2018]]),0,Tabla7[[#This Row],[15/06/2018]])</f>
        <v>7361398</v>
      </c>
      <c r="BC98">
        <f>IF(ISBLANK(Tabla7[[#This Row],[15/07/2018]]),0,Tabla7[[#This Row],[15/07/2018]])</f>
        <v>7378684</v>
      </c>
      <c r="BD98">
        <f>IF(ISBLANK(Tabla7[[#This Row],[15/08/2018]]),0,Tabla7[[#This Row],[15/08/2018]])</f>
        <v>7403380</v>
      </c>
      <c r="BE98">
        <f>IF(ISBLANK(Tabla7[[#This Row],[15/09/2018]]),0,Tabla7[[#This Row],[15/09/2018]])</f>
        <v>7424493</v>
      </c>
      <c r="BF98">
        <f>IF(ISBLANK(Tabla7[[#This Row],[15/10/2018]]),0,Tabla7[[#This Row],[15/10/2018]])</f>
        <v>7441651</v>
      </c>
      <c r="BG98">
        <f>IF(ISBLANK(Tabla7[[#This Row],[15/11/2018]]),0,Tabla7[[#This Row],[15/11/2018]])</f>
        <v>7459701</v>
      </c>
      <c r="BH98">
        <f>IF(ISBLANK(Tabla7[[#This Row],[15/12/2018]]),0,Tabla7[[#This Row],[15/12/2018]])</f>
        <v>7510265</v>
      </c>
      <c r="BI98">
        <f>IF(ISBLANK(Tabla7[[#This Row],[28/12/2018]]),0,Tabla7[[#This Row],[28/12/2018]])</f>
        <v>0</v>
      </c>
      <c r="BN9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('CUEMFGL0895589728','MT-V','MT-V','39316','TERMINALES PORTUARIAS, S.L.','TEPSA','','9 MEDIA TENSIÓN');</v>
      </c>
      <c r="BO98" t="s">
        <v>243</v>
      </c>
      <c r="BP98" s="632" t="str">
        <f>CONCATENATE("insert into lecturas values ","('",Tabla7[[#This Row],[CONTADOR]],"',STR_TO_DATE('",Tabla7[[#Headers],[31/12/2017]],"','%d/%m/%Y'),",AV98,"),","('",Tabla7[[#This Row],[CONTADOR]],"',STR_TO_DATE('",Tabla7[[#Headers],[15/01/2018]],"','%d/%m/%Y'),",AW98,"),","('",Tabla7[[#This Row],[CONTADOR]],"',STR_TO_DATE('",Tabla7[[#Headers],[15/02/2018]],"','%d/%m/%Y'),",AX98,"),","('",Tabla7[[#This Row],[CONTADOR]],"',STR_TO_DATE('",Tabla7[[#Headers],[15/03/2018]],"','%d/%m/%Y'),",AY98,"),","('",Tabla7[[#This Row],[CONTADOR]],"',STR_TO_DATE('",Tabla7[[#Headers],[15/04/2018]],"','%d/%m/%Y'),",AZ98,"),","('",Tabla7[[#This Row],[CONTADOR]],"',STR_TO_DATE('",Tabla7[[#Headers],[15/05/2018]],"','%d/%m/%Y'),",BA98,"),","('",Tabla7[[#This Row],[CONTADOR]],"',STR_TO_DATE('",Tabla7[[#Headers],[15/06/2018]],"','%d/%m/%Y'),",BB98,"),","('",Tabla7[[#This Row],[CONTADOR]],"',STR_TO_DATE('",Tabla7[[#Headers],[15/07/2018]],"','%d/%m/%Y'),",BC98,"),","('",Tabla7[[#This Row],[CONTADOR]],"',STR_TO_DATE('",Tabla7[[#Headers],[15/08/2018]],"','%d/%m/%Y'),",BD98,"),","('",Tabla7[[#This Row],[CONTADOR]],"',STR_TO_DATE('",Tabla7[[#Headers],[15/09/2018]],"','%d/%m/%Y'),",BE98,"),","('",Tabla7[[#This Row],[CONTADOR]],"',STR_TO_DATE('",Tabla7[[#Headers],[15/10/2018]],"','%d/%m/%Y'),",BF98,"),","('",Tabla7[[#This Row],[CONTADOR]],"',STR_TO_DATE('",Tabla7[[#Headers],[15/11/2018]],"','%d/%m/%Y'),",BG98,"),","('",Tabla7[[#This Row],[CONTADOR]],"',STR_TO_DATE('",Tabla7[[#Headers],[15/12/2018]],"','%d/%m/%Y'),",BH98,");")</f>
        <v>insert into lecturas values ('CUEMFGL0895589728',STR_TO_DATE('31/12/2017','%d/%m/%Y'),7186198),('CUEMFGL0895589728',STR_TO_DATE('15/01/2018','%d/%m/%Y'),7199078),('CUEMFGL0895589728',STR_TO_DATE('15/02/2018','%d/%m/%Y'),7226901),('CUEMFGL0895589728',STR_TO_DATE('15/03/2018','%d/%m/%Y'),7261619),('CUEMFGL0895589728',STR_TO_DATE('15/04/2018','%d/%m/%Y'),7284951),('CUEMFGL0895589728',STR_TO_DATE('15/05/2018','%d/%m/%Y'),7325169),('CUEMFGL0895589728',STR_TO_DATE('15/06/2018','%d/%m/%Y'),7361398),('CUEMFGL0895589728',STR_TO_DATE('15/07/2018','%d/%m/%Y'),7378684),('CUEMFGL0895589728',STR_TO_DATE('15/08/2018','%d/%m/%Y'),7403380),('CUEMFGL0895589728',STR_TO_DATE('15/09/2018','%d/%m/%Y'),7424493),('CUEMFGL0895589728',STR_TO_DATE('15/10/2018','%d/%m/%Y'),7441651),('CUEMFGL0895589728',STR_TO_DATE('15/11/2018','%d/%m/%Y'),7459701),('CUEMFGL0895589728',STR_TO_DATE('15/12/2018','%d/%m/%Y'),7510265);</v>
      </c>
    </row>
    <row r="99" spans="1:68" ht="18" customHeight="1" x14ac:dyDescent="0.25">
      <c r="A99" s="241" t="s">
        <v>356</v>
      </c>
      <c r="B99" s="60"/>
      <c r="C99" s="342" t="s">
        <v>1278</v>
      </c>
      <c r="D99" s="60" t="s">
        <v>356</v>
      </c>
      <c r="E99" s="258">
        <v>39189</v>
      </c>
      <c r="F99" s="2" t="s">
        <v>363</v>
      </c>
      <c r="G99" s="2" t="s">
        <v>364</v>
      </c>
      <c r="H99" s="2"/>
      <c r="I99" s="274" t="s">
        <v>958</v>
      </c>
      <c r="J99" s="311">
        <v>3221218</v>
      </c>
      <c r="K99" s="311">
        <v>3235609</v>
      </c>
      <c r="L99" s="311">
        <v>3267992</v>
      </c>
      <c r="M99" s="311">
        <v>3293683</v>
      </c>
      <c r="N99" s="311">
        <v>3317971</v>
      </c>
      <c r="O99" s="454">
        <v>3341858</v>
      </c>
      <c r="P99" s="454">
        <v>3370057</v>
      </c>
      <c r="Q99" s="490">
        <v>3403906</v>
      </c>
      <c r="R99" s="311">
        <v>3437946</v>
      </c>
      <c r="S99" s="311">
        <v>3471036</v>
      </c>
      <c r="T99" s="311">
        <v>3494761</v>
      </c>
      <c r="U99" s="311">
        <v>3522625</v>
      </c>
      <c r="V99" s="311">
        <v>3550795</v>
      </c>
      <c r="W99" s="311"/>
      <c r="X99" s="274"/>
      <c r="Y99" s="2">
        <f t="shared" si="28"/>
        <v>14391</v>
      </c>
      <c r="Z99" s="2">
        <f t="shared" si="27"/>
        <v>32383</v>
      </c>
      <c r="AA99" s="2">
        <f t="shared" si="44"/>
        <v>25691</v>
      </c>
      <c r="AB99" s="2">
        <f t="shared" si="45"/>
        <v>24288</v>
      </c>
      <c r="AC99" s="2">
        <f t="shared" si="34"/>
        <v>23887</v>
      </c>
      <c r="AD99" s="2">
        <f t="shared" si="35"/>
        <v>28199</v>
      </c>
      <c r="AE99" s="2">
        <f t="shared" si="36"/>
        <v>33849</v>
      </c>
      <c r="AF99" s="2">
        <f t="shared" si="37"/>
        <v>34040</v>
      </c>
      <c r="AG99" s="2">
        <f t="shared" si="38"/>
        <v>33090</v>
      </c>
      <c r="AH99" s="2">
        <f t="shared" si="41"/>
        <v>23725</v>
      </c>
      <c r="AI99" s="2">
        <f t="shared" si="39"/>
        <v>27864</v>
      </c>
      <c r="AJ99" s="2">
        <f t="shared" si="40"/>
        <v>28170</v>
      </c>
      <c r="AK99" s="406">
        <v>1</v>
      </c>
      <c r="AL99" s="274">
        <f t="shared" ca="1" si="29"/>
        <v>3317971</v>
      </c>
      <c r="AM99" s="311">
        <f t="shared" ca="1" si="30"/>
        <v>3341858</v>
      </c>
      <c r="AN99" s="274">
        <f ca="1">IF(AND(Tabla7[[#This Row],[UltLec]]&lt;&gt;0,Tabla7[[#This Row],[PenLect]]&lt;&gt;0),(AM99-AL99)*Tabla7[[#This Row],[RT]],"N/A")</f>
        <v>23887</v>
      </c>
      <c r="AO99" s="478" t="s">
        <v>1442</v>
      </c>
      <c r="AP99" s="392" t="s">
        <v>1191</v>
      </c>
      <c r="AQ99" s="392" t="s">
        <v>1189</v>
      </c>
      <c r="AR99" s="407">
        <f t="shared" si="31"/>
        <v>0</v>
      </c>
      <c r="AT99" s="2">
        <f t="shared" ca="1" si="32"/>
        <v>0.98348978919631092</v>
      </c>
      <c r="AV99">
        <f>IF(ISBLANK(Tabla7[[#This Row],[31/12/2017]]),0,Tabla7[[#This Row],[31/12/2017]])</f>
        <v>3221218</v>
      </c>
      <c r="AW99">
        <f>IF(ISBLANK(Tabla7[[#This Row],[15/01/2018]]),0,Tabla7[[#This Row],[15/01/2018]])</f>
        <v>3235609</v>
      </c>
      <c r="AX99">
        <f>IF(ISBLANK(Tabla7[[#This Row],[15/02/2018]]),0,Tabla7[[#This Row],[15/02/2018]])</f>
        <v>3267992</v>
      </c>
      <c r="AY99">
        <f>IF(ISBLANK(Tabla7[[#This Row],[15/03/2018]]),0,Tabla7[[#This Row],[15/03/2018]])</f>
        <v>3293683</v>
      </c>
      <c r="AZ99">
        <f>IF(ISBLANK(Tabla7[[#This Row],[15/04/2018]]),0,Tabla7[[#This Row],[15/04/2018]])</f>
        <v>3317971</v>
      </c>
      <c r="BA99">
        <f>IF(ISBLANK(Tabla7[[#This Row],[15/05/2018]]),0,Tabla7[[#This Row],[15/05/2018]])</f>
        <v>3341858</v>
      </c>
      <c r="BB99">
        <f>IF(ISBLANK(Tabla7[[#This Row],[15/06/2018]]),0,Tabla7[[#This Row],[15/06/2018]])</f>
        <v>3370057</v>
      </c>
      <c r="BC99">
        <f>IF(ISBLANK(Tabla7[[#This Row],[15/07/2018]]),0,Tabla7[[#This Row],[15/07/2018]])</f>
        <v>3403906</v>
      </c>
      <c r="BD99">
        <f>IF(ISBLANK(Tabla7[[#This Row],[15/08/2018]]),0,Tabla7[[#This Row],[15/08/2018]])</f>
        <v>3437946</v>
      </c>
      <c r="BE99">
        <f>IF(ISBLANK(Tabla7[[#This Row],[15/09/2018]]),0,Tabla7[[#This Row],[15/09/2018]])</f>
        <v>3471036</v>
      </c>
      <c r="BF99">
        <f>IF(ISBLANK(Tabla7[[#This Row],[15/10/2018]]),0,Tabla7[[#This Row],[15/10/2018]])</f>
        <v>3494761</v>
      </c>
      <c r="BG99">
        <f>IF(ISBLANK(Tabla7[[#This Row],[15/11/2018]]),0,Tabla7[[#This Row],[15/11/2018]])</f>
        <v>3522625</v>
      </c>
      <c r="BH99">
        <f>IF(ISBLANK(Tabla7[[#This Row],[15/12/2018]]),0,Tabla7[[#This Row],[15/12/2018]])</f>
        <v>3550795</v>
      </c>
      <c r="BI99">
        <f>IF(ISBLANK(Tabla7[[#This Row],[28/12/2018]]),0,Tabla7[[#This Row],[28/12/2018]])</f>
        <v>0</v>
      </c>
      <c r="BN9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('CUEMFGL0895589732','MT-V','MT-V','39189','Reeif Logistic Seaport SLU','ALDEASA','','4 MEDIA TENSIÓN');</v>
      </c>
      <c r="BO99" t="s">
        <v>243</v>
      </c>
      <c r="BP99" s="632" t="str">
        <f>CONCATENATE("insert into lecturas values ","('",Tabla7[[#This Row],[CONTADOR]],"',STR_TO_DATE('",Tabla7[[#Headers],[31/12/2017]],"','%d/%m/%Y'),",AV99,"),","('",Tabla7[[#This Row],[CONTADOR]],"',STR_TO_DATE('",Tabla7[[#Headers],[15/01/2018]],"','%d/%m/%Y'),",AW99,"),","('",Tabla7[[#This Row],[CONTADOR]],"',STR_TO_DATE('",Tabla7[[#Headers],[15/02/2018]],"','%d/%m/%Y'),",AX99,"),","('",Tabla7[[#This Row],[CONTADOR]],"',STR_TO_DATE('",Tabla7[[#Headers],[15/03/2018]],"','%d/%m/%Y'),",AY99,"),","('",Tabla7[[#This Row],[CONTADOR]],"',STR_TO_DATE('",Tabla7[[#Headers],[15/04/2018]],"','%d/%m/%Y'),",AZ99,"),","('",Tabla7[[#This Row],[CONTADOR]],"',STR_TO_DATE('",Tabla7[[#Headers],[15/05/2018]],"','%d/%m/%Y'),",BA99,"),","('",Tabla7[[#This Row],[CONTADOR]],"',STR_TO_DATE('",Tabla7[[#Headers],[15/06/2018]],"','%d/%m/%Y'),",BB99,"),","('",Tabla7[[#This Row],[CONTADOR]],"',STR_TO_DATE('",Tabla7[[#Headers],[15/07/2018]],"','%d/%m/%Y'),",BC99,"),","('",Tabla7[[#This Row],[CONTADOR]],"',STR_TO_DATE('",Tabla7[[#Headers],[15/08/2018]],"','%d/%m/%Y'),",BD99,"),","('",Tabla7[[#This Row],[CONTADOR]],"',STR_TO_DATE('",Tabla7[[#Headers],[15/09/2018]],"','%d/%m/%Y'),",BE99,"),","('",Tabla7[[#This Row],[CONTADOR]],"',STR_TO_DATE('",Tabla7[[#Headers],[15/10/2018]],"','%d/%m/%Y'),",BF99,"),","('",Tabla7[[#This Row],[CONTADOR]],"',STR_TO_DATE('",Tabla7[[#Headers],[15/11/2018]],"','%d/%m/%Y'),",BG99,"),","('",Tabla7[[#This Row],[CONTADOR]],"',STR_TO_DATE('",Tabla7[[#Headers],[15/12/2018]],"','%d/%m/%Y'),",BH99,");")</f>
        <v>insert into lecturas values ('CUEMFGL0895589732',STR_TO_DATE('31/12/2017','%d/%m/%Y'),3221218),('CUEMFGL0895589732',STR_TO_DATE('15/01/2018','%d/%m/%Y'),3235609),('CUEMFGL0895589732',STR_TO_DATE('15/02/2018','%d/%m/%Y'),3267992),('CUEMFGL0895589732',STR_TO_DATE('15/03/2018','%d/%m/%Y'),3293683),('CUEMFGL0895589732',STR_TO_DATE('15/04/2018','%d/%m/%Y'),3317971),('CUEMFGL0895589732',STR_TO_DATE('15/05/2018','%d/%m/%Y'),3341858),('CUEMFGL0895589732',STR_TO_DATE('15/06/2018','%d/%m/%Y'),3370057),('CUEMFGL0895589732',STR_TO_DATE('15/07/2018','%d/%m/%Y'),3403906),('CUEMFGL0895589732',STR_TO_DATE('15/08/2018','%d/%m/%Y'),3437946),('CUEMFGL0895589732',STR_TO_DATE('15/09/2018','%d/%m/%Y'),3471036),('CUEMFGL0895589732',STR_TO_DATE('15/10/2018','%d/%m/%Y'),3494761),('CUEMFGL0895589732',STR_TO_DATE('15/11/2018','%d/%m/%Y'),3522625),('CUEMFGL0895589732',STR_TO_DATE('15/12/2018','%d/%m/%Y'),3550795);</v>
      </c>
    </row>
    <row r="100" spans="1:68" ht="18" customHeight="1" x14ac:dyDescent="0.25">
      <c r="A100" s="241" t="s">
        <v>356</v>
      </c>
      <c r="B100" s="60"/>
      <c r="C100" s="342" t="s">
        <v>1279</v>
      </c>
      <c r="D100" s="60" t="s">
        <v>356</v>
      </c>
      <c r="E100" s="258">
        <v>39760</v>
      </c>
      <c r="F100" s="274" t="s">
        <v>192</v>
      </c>
      <c r="G100" s="308" t="s">
        <v>387</v>
      </c>
      <c r="H100" s="265" t="s">
        <v>866</v>
      </c>
      <c r="I100" s="265" t="s">
        <v>939</v>
      </c>
      <c r="J100" s="354">
        <v>138624110</v>
      </c>
      <c r="K100" s="354">
        <v>139522347</v>
      </c>
      <c r="L100" s="354">
        <v>141337526</v>
      </c>
      <c r="M100" s="355">
        <v>143127585</v>
      </c>
      <c r="N100" s="354">
        <v>145163245</v>
      </c>
      <c r="O100" s="355">
        <v>147198774</v>
      </c>
      <c r="P100" s="311">
        <v>149497948</v>
      </c>
      <c r="Q100" s="557">
        <v>151846587</v>
      </c>
      <c r="R100" s="311">
        <v>154247084</v>
      </c>
      <c r="S100" s="354">
        <v>156461091</v>
      </c>
      <c r="T100" s="354">
        <v>158581851</v>
      </c>
      <c r="U100" s="354">
        <v>160751646</v>
      </c>
      <c r="V100" s="354">
        <v>162881335</v>
      </c>
      <c r="W100" s="354"/>
      <c r="X100" s="308"/>
      <c r="Y100" s="2">
        <f t="shared" si="28"/>
        <v>898237</v>
      </c>
      <c r="Z100" s="2">
        <f t="shared" si="27"/>
        <v>1815179</v>
      </c>
      <c r="AA100" s="2">
        <f t="shared" si="44"/>
        <v>1790059</v>
      </c>
      <c r="AB100" s="2">
        <f t="shared" si="45"/>
        <v>2035660</v>
      </c>
      <c r="AC100" s="2">
        <f t="shared" si="34"/>
        <v>2035529</v>
      </c>
      <c r="AD100" s="2">
        <f t="shared" si="35"/>
        <v>2299174</v>
      </c>
      <c r="AE100" s="2">
        <f t="shared" si="36"/>
        <v>2348639</v>
      </c>
      <c r="AF100" s="2">
        <f t="shared" si="37"/>
        <v>2400497</v>
      </c>
      <c r="AG100" s="2">
        <f t="shared" si="38"/>
        <v>2214007</v>
      </c>
      <c r="AH100" s="2">
        <f t="shared" si="41"/>
        <v>2120760</v>
      </c>
      <c r="AI100" s="2">
        <f t="shared" si="39"/>
        <v>2169795</v>
      </c>
      <c r="AJ100" s="2">
        <f t="shared" si="40"/>
        <v>2129689</v>
      </c>
      <c r="AK100" s="406">
        <v>1</v>
      </c>
      <c r="AL100" s="274">
        <f t="shared" ca="1" si="29"/>
        <v>145163245</v>
      </c>
      <c r="AM100" s="311">
        <f t="shared" ca="1" si="30"/>
        <v>147198774</v>
      </c>
      <c r="AN100" s="274">
        <f ca="1">IF(AND(Tabla7[[#This Row],[UltLec]]&lt;&gt;0,Tabla7[[#This Row],[PenLect]]&lt;&gt;0),(AM100-AL100)*Tabla7[[#This Row],[RT]],"N/A")</f>
        <v>2035529</v>
      </c>
      <c r="AO100" s="478" t="s">
        <v>1442</v>
      </c>
      <c r="AP100" s="392" t="s">
        <v>1191</v>
      </c>
      <c r="AQ100" s="392" t="s">
        <v>1189</v>
      </c>
      <c r="AR100" s="407">
        <f t="shared" si="31"/>
        <v>0</v>
      </c>
      <c r="AT100" s="2">
        <f t="shared" ca="1" si="32"/>
        <v>0.9999356474067379</v>
      </c>
      <c r="AV100">
        <f>IF(ISBLANK(Tabla7[[#This Row],[31/12/2017]]),0,Tabla7[[#This Row],[31/12/2017]])</f>
        <v>138624110</v>
      </c>
      <c r="AW100">
        <f>IF(ISBLANK(Tabla7[[#This Row],[15/01/2018]]),0,Tabla7[[#This Row],[15/01/2018]])</f>
        <v>139522347</v>
      </c>
      <c r="AX100">
        <f>IF(ISBLANK(Tabla7[[#This Row],[15/02/2018]]),0,Tabla7[[#This Row],[15/02/2018]])</f>
        <v>141337526</v>
      </c>
      <c r="AY100">
        <f>IF(ISBLANK(Tabla7[[#This Row],[15/03/2018]]),0,Tabla7[[#This Row],[15/03/2018]])</f>
        <v>143127585</v>
      </c>
      <c r="AZ100">
        <f>IF(ISBLANK(Tabla7[[#This Row],[15/04/2018]]),0,Tabla7[[#This Row],[15/04/2018]])</f>
        <v>145163245</v>
      </c>
      <c r="BA100">
        <f>IF(ISBLANK(Tabla7[[#This Row],[15/05/2018]]),0,Tabla7[[#This Row],[15/05/2018]])</f>
        <v>147198774</v>
      </c>
      <c r="BB100">
        <f>IF(ISBLANK(Tabla7[[#This Row],[15/06/2018]]),0,Tabla7[[#This Row],[15/06/2018]])</f>
        <v>149497948</v>
      </c>
      <c r="BC100">
        <f>IF(ISBLANK(Tabla7[[#This Row],[15/07/2018]]),0,Tabla7[[#This Row],[15/07/2018]])</f>
        <v>151846587</v>
      </c>
      <c r="BD100">
        <f>IF(ISBLANK(Tabla7[[#This Row],[15/08/2018]]),0,Tabla7[[#This Row],[15/08/2018]])</f>
        <v>154247084</v>
      </c>
      <c r="BE100">
        <f>IF(ISBLANK(Tabla7[[#This Row],[15/09/2018]]),0,Tabla7[[#This Row],[15/09/2018]])</f>
        <v>156461091</v>
      </c>
      <c r="BF100">
        <f>IF(ISBLANK(Tabla7[[#This Row],[15/10/2018]]),0,Tabla7[[#This Row],[15/10/2018]])</f>
        <v>158581851</v>
      </c>
      <c r="BG100">
        <f>IF(ISBLANK(Tabla7[[#This Row],[15/11/2018]]),0,Tabla7[[#This Row],[15/11/2018]])</f>
        <v>160751646</v>
      </c>
      <c r="BH100">
        <f>IF(ISBLANK(Tabla7[[#This Row],[15/12/2018]]),0,Tabla7[[#This Row],[15/12/2018]])</f>
        <v>162881335</v>
      </c>
      <c r="BI100">
        <f>IF(ISBLANK(Tabla7[[#This Row],[28/12/2018]]),0,Tabla7[[#This Row],[28/12/2018]])</f>
        <v>0</v>
      </c>
      <c r="BN10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('CUEMFGL1197560647','MT-V','MT-V','39760','NOATUM','VCT-27 NOATUM','Primer digiro indica numero de vueltas','17 MEDIA TENSIÓN');</v>
      </c>
      <c r="BO100" t="s">
        <v>243</v>
      </c>
      <c r="BP100" s="632" t="str">
        <f>CONCATENATE("insert into lecturas values ","('",Tabla7[[#This Row],[CONTADOR]],"',STR_TO_DATE('",Tabla7[[#Headers],[31/12/2017]],"','%d/%m/%Y'),",AV100,"),","('",Tabla7[[#This Row],[CONTADOR]],"',STR_TO_DATE('",Tabla7[[#Headers],[15/01/2018]],"','%d/%m/%Y'),",AW100,"),","('",Tabla7[[#This Row],[CONTADOR]],"',STR_TO_DATE('",Tabla7[[#Headers],[15/02/2018]],"','%d/%m/%Y'),",AX100,"),","('",Tabla7[[#This Row],[CONTADOR]],"',STR_TO_DATE('",Tabla7[[#Headers],[15/03/2018]],"','%d/%m/%Y'),",AY100,"),","('",Tabla7[[#This Row],[CONTADOR]],"',STR_TO_DATE('",Tabla7[[#Headers],[15/04/2018]],"','%d/%m/%Y'),",AZ100,"),","('",Tabla7[[#This Row],[CONTADOR]],"',STR_TO_DATE('",Tabla7[[#Headers],[15/05/2018]],"','%d/%m/%Y'),",BA100,"),","('",Tabla7[[#This Row],[CONTADOR]],"',STR_TO_DATE('",Tabla7[[#Headers],[15/06/2018]],"','%d/%m/%Y'),",BB100,"),","('",Tabla7[[#This Row],[CONTADOR]],"',STR_TO_DATE('",Tabla7[[#Headers],[15/07/2018]],"','%d/%m/%Y'),",BC100,"),","('",Tabla7[[#This Row],[CONTADOR]],"',STR_TO_DATE('",Tabla7[[#Headers],[15/08/2018]],"','%d/%m/%Y'),",BD100,"),","('",Tabla7[[#This Row],[CONTADOR]],"',STR_TO_DATE('",Tabla7[[#Headers],[15/09/2018]],"','%d/%m/%Y'),",BE100,"),","('",Tabla7[[#This Row],[CONTADOR]],"',STR_TO_DATE('",Tabla7[[#Headers],[15/10/2018]],"','%d/%m/%Y'),",BF100,"),","('",Tabla7[[#This Row],[CONTADOR]],"',STR_TO_DATE('",Tabla7[[#Headers],[15/11/2018]],"','%d/%m/%Y'),",BG100,"),","('",Tabla7[[#This Row],[CONTADOR]],"',STR_TO_DATE('",Tabla7[[#Headers],[15/12/2018]],"','%d/%m/%Y'),",BH100,");")</f>
        <v>insert into lecturas values ('CUEMFGL1197560647',STR_TO_DATE('31/12/2017','%d/%m/%Y'),138624110),('CUEMFGL1197560647',STR_TO_DATE('15/01/2018','%d/%m/%Y'),139522347),('CUEMFGL1197560647',STR_TO_DATE('15/02/2018','%d/%m/%Y'),141337526),('CUEMFGL1197560647',STR_TO_DATE('15/03/2018','%d/%m/%Y'),143127585),('CUEMFGL1197560647',STR_TO_DATE('15/04/2018','%d/%m/%Y'),145163245),('CUEMFGL1197560647',STR_TO_DATE('15/05/2018','%d/%m/%Y'),147198774),('CUEMFGL1197560647',STR_TO_DATE('15/06/2018','%d/%m/%Y'),149497948),('CUEMFGL1197560647',STR_TO_DATE('15/07/2018','%d/%m/%Y'),151846587),('CUEMFGL1197560647',STR_TO_DATE('15/08/2018','%d/%m/%Y'),154247084),('CUEMFGL1197560647',STR_TO_DATE('15/09/2018','%d/%m/%Y'),156461091),('CUEMFGL1197560647',STR_TO_DATE('15/10/2018','%d/%m/%Y'),158581851),('CUEMFGL1197560647',STR_TO_DATE('15/11/2018','%d/%m/%Y'),160751646),('CUEMFGL1197560647',STR_TO_DATE('15/12/2018','%d/%m/%Y'),162881335);</v>
      </c>
    </row>
    <row r="101" spans="1:68" ht="18" customHeight="1" x14ac:dyDescent="0.25">
      <c r="A101" s="241" t="s">
        <v>356</v>
      </c>
      <c r="B101" s="60"/>
      <c r="C101" s="342" t="s">
        <v>1280</v>
      </c>
      <c r="D101" s="60" t="s">
        <v>356</v>
      </c>
      <c r="E101" s="258">
        <v>39407</v>
      </c>
      <c r="F101" s="2" t="s">
        <v>388</v>
      </c>
      <c r="G101" s="2" t="s">
        <v>389</v>
      </c>
      <c r="H101" s="2" t="s">
        <v>390</v>
      </c>
      <c r="I101" s="2" t="s">
        <v>940</v>
      </c>
      <c r="J101" s="311">
        <v>1509556</v>
      </c>
      <c r="K101" s="311">
        <v>1520182</v>
      </c>
      <c r="L101" s="311">
        <v>1542014</v>
      </c>
      <c r="M101" s="311">
        <v>1560656</v>
      </c>
      <c r="N101" s="311">
        <v>1578470</v>
      </c>
      <c r="O101" s="454">
        <v>1594809</v>
      </c>
      <c r="P101" s="454">
        <v>1613165</v>
      </c>
      <c r="Q101" s="490">
        <v>1637209</v>
      </c>
      <c r="R101" s="311">
        <v>1664712</v>
      </c>
      <c r="S101" s="311">
        <v>1690378</v>
      </c>
      <c r="T101" s="311">
        <v>1710292</v>
      </c>
      <c r="U101" s="311">
        <v>1729200</v>
      </c>
      <c r="V101" s="311">
        <v>1751051</v>
      </c>
      <c r="W101" s="311"/>
      <c r="X101" s="274"/>
      <c r="Y101" s="2">
        <f t="shared" si="28"/>
        <v>10626</v>
      </c>
      <c r="Z101" s="2">
        <f t="shared" si="27"/>
        <v>21832</v>
      </c>
      <c r="AA101" s="2">
        <f t="shared" si="44"/>
        <v>18642</v>
      </c>
      <c r="AB101" s="2">
        <f t="shared" si="45"/>
        <v>17814</v>
      </c>
      <c r="AC101" s="2">
        <f t="shared" si="34"/>
        <v>16339</v>
      </c>
      <c r="AD101" s="2">
        <f t="shared" si="35"/>
        <v>18356</v>
      </c>
      <c r="AE101" s="2">
        <f t="shared" si="36"/>
        <v>24044</v>
      </c>
      <c r="AF101" s="2">
        <f t="shared" si="37"/>
        <v>27503</v>
      </c>
      <c r="AG101" s="2">
        <f t="shared" si="38"/>
        <v>25666</v>
      </c>
      <c r="AH101" s="2">
        <f t="shared" si="41"/>
        <v>19914</v>
      </c>
      <c r="AI101" s="2">
        <f t="shared" si="39"/>
        <v>18908</v>
      </c>
      <c r="AJ101" s="2">
        <f t="shared" si="40"/>
        <v>21851</v>
      </c>
      <c r="AK101" s="406">
        <v>1</v>
      </c>
      <c r="AL101" s="274">
        <f t="shared" ca="1" si="29"/>
        <v>1578470</v>
      </c>
      <c r="AM101" s="311">
        <f t="shared" ca="1" si="30"/>
        <v>1594809</v>
      </c>
      <c r="AN101" s="274">
        <f ca="1">IF(AND(Tabla7[[#This Row],[UltLec]]&lt;&gt;0,Tabla7[[#This Row],[PenLect]]&lt;&gt;0),(AM101-AL101)*Tabla7[[#This Row],[RT]],"N/A")</f>
        <v>16339</v>
      </c>
      <c r="AO101" s="478" t="s">
        <v>1442</v>
      </c>
      <c r="AP101" s="392" t="s">
        <v>1191</v>
      </c>
      <c r="AQ101" s="392" t="s">
        <v>1189</v>
      </c>
      <c r="AR101" s="407">
        <f t="shared" si="31"/>
        <v>0</v>
      </c>
      <c r="AT101" s="2">
        <f t="shared" ca="1" si="32"/>
        <v>0.9171999550915011</v>
      </c>
      <c r="AV101">
        <f>IF(ISBLANK(Tabla7[[#This Row],[31/12/2017]]),0,Tabla7[[#This Row],[31/12/2017]])</f>
        <v>1509556</v>
      </c>
      <c r="AW101">
        <f>IF(ISBLANK(Tabla7[[#This Row],[15/01/2018]]),0,Tabla7[[#This Row],[15/01/2018]])</f>
        <v>1520182</v>
      </c>
      <c r="AX101">
        <f>IF(ISBLANK(Tabla7[[#This Row],[15/02/2018]]),0,Tabla7[[#This Row],[15/02/2018]])</f>
        <v>1542014</v>
      </c>
      <c r="AY101">
        <f>IF(ISBLANK(Tabla7[[#This Row],[15/03/2018]]),0,Tabla7[[#This Row],[15/03/2018]])</f>
        <v>1560656</v>
      </c>
      <c r="AZ101">
        <f>IF(ISBLANK(Tabla7[[#This Row],[15/04/2018]]),0,Tabla7[[#This Row],[15/04/2018]])</f>
        <v>1578470</v>
      </c>
      <c r="BA101">
        <f>IF(ISBLANK(Tabla7[[#This Row],[15/05/2018]]),0,Tabla7[[#This Row],[15/05/2018]])</f>
        <v>1594809</v>
      </c>
      <c r="BB101">
        <f>IF(ISBLANK(Tabla7[[#This Row],[15/06/2018]]),0,Tabla7[[#This Row],[15/06/2018]])</f>
        <v>1613165</v>
      </c>
      <c r="BC101">
        <f>IF(ISBLANK(Tabla7[[#This Row],[15/07/2018]]),0,Tabla7[[#This Row],[15/07/2018]])</f>
        <v>1637209</v>
      </c>
      <c r="BD101">
        <f>IF(ISBLANK(Tabla7[[#This Row],[15/08/2018]]),0,Tabla7[[#This Row],[15/08/2018]])</f>
        <v>1664712</v>
      </c>
      <c r="BE101">
        <f>IF(ISBLANK(Tabla7[[#This Row],[15/09/2018]]),0,Tabla7[[#This Row],[15/09/2018]])</f>
        <v>1690378</v>
      </c>
      <c r="BF101">
        <f>IF(ISBLANK(Tabla7[[#This Row],[15/10/2018]]),0,Tabla7[[#This Row],[15/10/2018]])</f>
        <v>1710292</v>
      </c>
      <c r="BG101">
        <f>IF(ISBLANK(Tabla7[[#This Row],[15/11/2018]]),0,Tabla7[[#This Row],[15/11/2018]])</f>
        <v>1729200</v>
      </c>
      <c r="BH101">
        <f>IF(ISBLANK(Tabla7[[#This Row],[15/12/2018]]),0,Tabla7[[#This Row],[15/12/2018]])</f>
        <v>1751051</v>
      </c>
      <c r="BI101">
        <f>IF(ISBLANK(Tabla7[[#This Row],[28/12/2018]]),0,Tabla7[[#This Row],[28/12/2018]])</f>
        <v>0</v>
      </c>
      <c r="BN10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('CWTMFGL11097734842','MT-V','MT-V','39407','SEVASA','CT SEVASA','18.0','18 MEDIA TENSIÓN');</v>
      </c>
      <c r="BO101" t="s">
        <v>243</v>
      </c>
      <c r="BP101" s="632" t="str">
        <f>CONCATENATE("insert into lecturas values ","('",Tabla7[[#This Row],[CONTADOR]],"',STR_TO_DATE('",Tabla7[[#Headers],[31/12/2017]],"','%d/%m/%Y'),",AV101,"),","('",Tabla7[[#This Row],[CONTADOR]],"',STR_TO_DATE('",Tabla7[[#Headers],[15/01/2018]],"','%d/%m/%Y'),",AW101,"),","('",Tabla7[[#This Row],[CONTADOR]],"',STR_TO_DATE('",Tabla7[[#Headers],[15/02/2018]],"','%d/%m/%Y'),",AX101,"),","('",Tabla7[[#This Row],[CONTADOR]],"',STR_TO_DATE('",Tabla7[[#Headers],[15/03/2018]],"','%d/%m/%Y'),",AY101,"),","('",Tabla7[[#This Row],[CONTADOR]],"',STR_TO_DATE('",Tabla7[[#Headers],[15/04/2018]],"','%d/%m/%Y'),",AZ101,"),","('",Tabla7[[#This Row],[CONTADOR]],"',STR_TO_DATE('",Tabla7[[#Headers],[15/05/2018]],"','%d/%m/%Y'),",BA101,"),","('",Tabla7[[#This Row],[CONTADOR]],"',STR_TO_DATE('",Tabla7[[#Headers],[15/06/2018]],"','%d/%m/%Y'),",BB101,"),","('",Tabla7[[#This Row],[CONTADOR]],"',STR_TO_DATE('",Tabla7[[#Headers],[15/07/2018]],"','%d/%m/%Y'),",BC101,"),","('",Tabla7[[#This Row],[CONTADOR]],"',STR_TO_DATE('",Tabla7[[#Headers],[15/08/2018]],"','%d/%m/%Y'),",BD101,"),","('",Tabla7[[#This Row],[CONTADOR]],"',STR_TO_DATE('",Tabla7[[#Headers],[15/09/2018]],"','%d/%m/%Y'),",BE101,"),","('",Tabla7[[#This Row],[CONTADOR]],"',STR_TO_DATE('",Tabla7[[#Headers],[15/10/2018]],"','%d/%m/%Y'),",BF101,"),","('",Tabla7[[#This Row],[CONTADOR]],"',STR_TO_DATE('",Tabla7[[#Headers],[15/11/2018]],"','%d/%m/%Y'),",BG101,"),","('",Tabla7[[#This Row],[CONTADOR]],"',STR_TO_DATE('",Tabla7[[#Headers],[15/12/2018]],"','%d/%m/%Y'),",BH101,");")</f>
        <v>insert into lecturas values ('CWTMFGL11097734842',STR_TO_DATE('31/12/2017','%d/%m/%Y'),1509556),('CWTMFGL11097734842',STR_TO_DATE('15/01/2018','%d/%m/%Y'),1520182),('CWTMFGL11097734842',STR_TO_DATE('15/02/2018','%d/%m/%Y'),1542014),('CWTMFGL11097734842',STR_TO_DATE('15/03/2018','%d/%m/%Y'),1560656),('CWTMFGL11097734842',STR_TO_DATE('15/04/2018','%d/%m/%Y'),1578470),('CWTMFGL11097734842',STR_TO_DATE('15/05/2018','%d/%m/%Y'),1594809),('CWTMFGL11097734842',STR_TO_DATE('15/06/2018','%d/%m/%Y'),1613165),('CWTMFGL11097734842',STR_TO_DATE('15/07/2018','%d/%m/%Y'),1637209),('CWTMFGL11097734842',STR_TO_DATE('15/08/2018','%d/%m/%Y'),1664712),('CWTMFGL11097734842',STR_TO_DATE('15/09/2018','%d/%m/%Y'),1690378),('CWTMFGL11097734842',STR_TO_DATE('15/10/2018','%d/%m/%Y'),1710292),('CWTMFGL11097734842',STR_TO_DATE('15/11/2018','%d/%m/%Y'),1729200),('CWTMFGL11097734842',STR_TO_DATE('15/12/2018','%d/%m/%Y'),1751051);</v>
      </c>
    </row>
    <row r="102" spans="1:68" ht="18" customHeight="1" x14ac:dyDescent="0.25">
      <c r="A102" s="241" t="s">
        <v>356</v>
      </c>
      <c r="B102" s="60"/>
      <c r="C102" s="342" t="s">
        <v>1266</v>
      </c>
      <c r="D102" s="60" t="s">
        <v>356</v>
      </c>
      <c r="E102" s="258">
        <v>39509</v>
      </c>
      <c r="F102" s="2" t="s">
        <v>1046</v>
      </c>
      <c r="G102" s="2" t="s">
        <v>868</v>
      </c>
      <c r="H102" s="2"/>
      <c r="I102" s="2" t="s">
        <v>1114</v>
      </c>
      <c r="J102" s="311">
        <v>92895</v>
      </c>
      <c r="K102" s="311">
        <v>101478</v>
      </c>
      <c r="L102" s="311">
        <v>110692</v>
      </c>
      <c r="M102" s="311">
        <v>123228</v>
      </c>
      <c r="N102" s="311">
        <v>138325</v>
      </c>
      <c r="O102" s="454">
        <v>151766</v>
      </c>
      <c r="P102" s="311">
        <v>162135</v>
      </c>
      <c r="Q102" s="489">
        <v>173618</v>
      </c>
      <c r="R102" s="311">
        <v>186923</v>
      </c>
      <c r="S102" s="311">
        <v>198624</v>
      </c>
      <c r="T102" s="311">
        <v>206328</v>
      </c>
      <c r="U102" s="311">
        <v>223283</v>
      </c>
      <c r="V102" s="311">
        <v>239649</v>
      </c>
      <c r="W102" s="353"/>
      <c r="X102" s="307"/>
      <c r="Y102" s="2">
        <f t="shared" si="28"/>
        <v>8583</v>
      </c>
      <c r="Z102" s="2">
        <f t="shared" si="27"/>
        <v>9214</v>
      </c>
      <c r="AA102" s="2">
        <f t="shared" si="44"/>
        <v>12536</v>
      </c>
      <c r="AB102" s="2">
        <f t="shared" si="45"/>
        <v>15097</v>
      </c>
      <c r="AC102" s="2">
        <f t="shared" si="34"/>
        <v>13441</v>
      </c>
      <c r="AD102" s="2">
        <f t="shared" si="35"/>
        <v>10369</v>
      </c>
      <c r="AE102" s="2">
        <f t="shared" si="36"/>
        <v>11483</v>
      </c>
      <c r="AF102" s="2">
        <f t="shared" si="37"/>
        <v>13305</v>
      </c>
      <c r="AG102" s="2">
        <f t="shared" si="38"/>
        <v>11701</v>
      </c>
      <c r="AH102" s="2">
        <f t="shared" si="41"/>
        <v>7704</v>
      </c>
      <c r="AI102" s="2">
        <f t="shared" si="39"/>
        <v>16955</v>
      </c>
      <c r="AJ102" s="2">
        <f t="shared" si="40"/>
        <v>16366</v>
      </c>
      <c r="AK102" s="406">
        <v>1</v>
      </c>
      <c r="AL102" s="274">
        <f t="shared" ca="1" si="29"/>
        <v>138325</v>
      </c>
      <c r="AM102" s="311">
        <f t="shared" ca="1" si="30"/>
        <v>151766</v>
      </c>
      <c r="AN102" s="274">
        <f ca="1">IF(AND(Tabla7[[#This Row],[UltLec]]&lt;&gt;0,Tabla7[[#This Row],[PenLect]]&lt;&gt;0),(AM102-AL102)*Tabla7[[#This Row],[RT]],"N/A")</f>
        <v>13441</v>
      </c>
      <c r="AO102" s="273" t="s">
        <v>1442</v>
      </c>
      <c r="AP102" s="392" t="s">
        <v>1191</v>
      </c>
      <c r="AQ102" s="392" t="s">
        <v>1189</v>
      </c>
      <c r="AR102" s="407">
        <f t="shared" si="31"/>
        <v>0</v>
      </c>
      <c r="AT102" s="2">
        <f t="shared" ca="1" si="32"/>
        <v>0.89030933298006232</v>
      </c>
      <c r="AV102">
        <f>IF(ISBLANK(Tabla7[[#This Row],[31/12/2017]]),0,Tabla7[[#This Row],[31/12/2017]])</f>
        <v>92895</v>
      </c>
      <c r="AW102">
        <f>IF(ISBLANK(Tabla7[[#This Row],[15/01/2018]]),0,Tabla7[[#This Row],[15/01/2018]])</f>
        <v>101478</v>
      </c>
      <c r="AX102">
        <f>IF(ISBLANK(Tabla7[[#This Row],[15/02/2018]]),0,Tabla7[[#This Row],[15/02/2018]])</f>
        <v>110692</v>
      </c>
      <c r="AY102">
        <f>IF(ISBLANK(Tabla7[[#This Row],[15/03/2018]]),0,Tabla7[[#This Row],[15/03/2018]])</f>
        <v>123228</v>
      </c>
      <c r="AZ102">
        <f>IF(ISBLANK(Tabla7[[#This Row],[15/04/2018]]),0,Tabla7[[#This Row],[15/04/2018]])</f>
        <v>138325</v>
      </c>
      <c r="BA102">
        <f>IF(ISBLANK(Tabla7[[#This Row],[15/05/2018]]),0,Tabla7[[#This Row],[15/05/2018]])</f>
        <v>151766</v>
      </c>
      <c r="BB102">
        <f>IF(ISBLANK(Tabla7[[#This Row],[15/06/2018]]),0,Tabla7[[#This Row],[15/06/2018]])</f>
        <v>162135</v>
      </c>
      <c r="BC102">
        <f>IF(ISBLANK(Tabla7[[#This Row],[15/07/2018]]),0,Tabla7[[#This Row],[15/07/2018]])</f>
        <v>173618</v>
      </c>
      <c r="BD102">
        <f>IF(ISBLANK(Tabla7[[#This Row],[15/08/2018]]),0,Tabla7[[#This Row],[15/08/2018]])</f>
        <v>186923</v>
      </c>
      <c r="BE102">
        <f>IF(ISBLANK(Tabla7[[#This Row],[15/09/2018]]),0,Tabla7[[#This Row],[15/09/2018]])</f>
        <v>198624</v>
      </c>
      <c r="BF102">
        <f>IF(ISBLANK(Tabla7[[#This Row],[15/10/2018]]),0,Tabla7[[#This Row],[15/10/2018]])</f>
        <v>206328</v>
      </c>
      <c r="BG102">
        <f>IF(ISBLANK(Tabla7[[#This Row],[15/11/2018]]),0,Tabla7[[#This Row],[15/11/2018]])</f>
        <v>223283</v>
      </c>
      <c r="BH102">
        <f>IF(ISBLANK(Tabla7[[#This Row],[15/12/2018]]),0,Tabla7[[#This Row],[15/12/2018]])</f>
        <v>239649</v>
      </c>
      <c r="BI102">
        <f>IF(ISBLANK(Tabla7[[#This Row],[28/12/2018]]),0,Tabla7[[#This Row],[28/12/2018]])</f>
        <v>0</v>
      </c>
      <c r="BN10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('CXZVFER17038278831','MT-V','MT-V','39509','TRANSBASE SOLER','TRANSFORMADOR USUARIO, CUELGA DEL CT.50','','sin telemedida');</v>
      </c>
      <c r="BO102" t="s">
        <v>243</v>
      </c>
      <c r="BP102" s="632" t="str">
        <f>CONCATENATE("insert into lecturas values ","('",Tabla7[[#This Row],[CONTADOR]],"',STR_TO_DATE('",Tabla7[[#Headers],[31/12/2017]],"','%d/%m/%Y'),",AV102,"),","('",Tabla7[[#This Row],[CONTADOR]],"',STR_TO_DATE('",Tabla7[[#Headers],[15/01/2018]],"','%d/%m/%Y'),",AW102,"),","('",Tabla7[[#This Row],[CONTADOR]],"',STR_TO_DATE('",Tabla7[[#Headers],[15/02/2018]],"','%d/%m/%Y'),",AX102,"),","('",Tabla7[[#This Row],[CONTADOR]],"',STR_TO_DATE('",Tabla7[[#Headers],[15/03/2018]],"','%d/%m/%Y'),",AY102,"),","('",Tabla7[[#This Row],[CONTADOR]],"',STR_TO_DATE('",Tabla7[[#Headers],[15/04/2018]],"','%d/%m/%Y'),",AZ102,"),","('",Tabla7[[#This Row],[CONTADOR]],"',STR_TO_DATE('",Tabla7[[#Headers],[15/05/2018]],"','%d/%m/%Y'),",BA102,"),","('",Tabla7[[#This Row],[CONTADOR]],"',STR_TO_DATE('",Tabla7[[#Headers],[15/06/2018]],"','%d/%m/%Y'),",BB102,"),","('",Tabla7[[#This Row],[CONTADOR]],"',STR_TO_DATE('",Tabla7[[#Headers],[15/07/2018]],"','%d/%m/%Y'),",BC102,"),","('",Tabla7[[#This Row],[CONTADOR]],"',STR_TO_DATE('",Tabla7[[#Headers],[15/08/2018]],"','%d/%m/%Y'),",BD102,"),","('",Tabla7[[#This Row],[CONTADOR]],"',STR_TO_DATE('",Tabla7[[#Headers],[15/09/2018]],"','%d/%m/%Y'),",BE102,"),","('",Tabla7[[#This Row],[CONTADOR]],"',STR_TO_DATE('",Tabla7[[#Headers],[15/10/2018]],"','%d/%m/%Y'),",BF102,"),","('",Tabla7[[#This Row],[CONTADOR]],"',STR_TO_DATE('",Tabla7[[#Headers],[15/11/2018]],"','%d/%m/%Y'),",BG102,"),","('",Tabla7[[#This Row],[CONTADOR]],"',STR_TO_DATE('",Tabla7[[#Headers],[15/12/2018]],"','%d/%m/%Y'),",BH102,");")</f>
        <v>insert into lecturas values ('CXZVFER17038278831',STR_TO_DATE('31/12/2017','%d/%m/%Y'),92895),('CXZVFER17038278831',STR_TO_DATE('15/01/2018','%d/%m/%Y'),101478),('CXZVFER17038278831',STR_TO_DATE('15/02/2018','%d/%m/%Y'),110692),('CXZVFER17038278831',STR_TO_DATE('15/03/2018','%d/%m/%Y'),123228),('CXZVFER17038278831',STR_TO_DATE('15/04/2018','%d/%m/%Y'),138325),('CXZVFER17038278831',STR_TO_DATE('15/05/2018','%d/%m/%Y'),151766),('CXZVFER17038278831',STR_TO_DATE('15/06/2018','%d/%m/%Y'),162135),('CXZVFER17038278831',STR_TO_DATE('15/07/2018','%d/%m/%Y'),173618),('CXZVFER17038278831',STR_TO_DATE('15/08/2018','%d/%m/%Y'),186923),('CXZVFER17038278831',STR_TO_DATE('15/09/2018','%d/%m/%Y'),198624),('CXZVFER17038278831',STR_TO_DATE('15/10/2018','%d/%m/%Y'),206328),('CXZVFER17038278831',STR_TO_DATE('15/11/2018','%d/%m/%Y'),223283),('CXZVFER17038278831',STR_TO_DATE('15/12/2018','%d/%m/%Y'),239649);</v>
      </c>
    </row>
    <row r="103" spans="1:68" ht="18" customHeight="1" x14ac:dyDescent="0.25">
      <c r="A103" s="241" t="s">
        <v>534</v>
      </c>
      <c r="B103" s="60"/>
      <c r="C103" s="223">
        <v>5355250</v>
      </c>
      <c r="D103" s="60" t="s">
        <v>535</v>
      </c>
      <c r="E103" s="258">
        <v>2</v>
      </c>
      <c r="F103" s="274" t="s">
        <v>536</v>
      </c>
      <c r="G103" s="2"/>
      <c r="H103" s="2"/>
      <c r="I103" s="274"/>
      <c r="J103" s="311">
        <v>14113</v>
      </c>
      <c r="K103" s="311">
        <v>14113</v>
      </c>
      <c r="L103" s="311">
        <v>14115</v>
      </c>
      <c r="M103" s="311">
        <v>14162</v>
      </c>
      <c r="N103" s="311">
        <v>14209</v>
      </c>
      <c r="O103" s="454">
        <v>14259</v>
      </c>
      <c r="P103" s="311">
        <v>14303</v>
      </c>
      <c r="Q103" s="307">
        <v>14339</v>
      </c>
      <c r="R103" s="311">
        <v>14386</v>
      </c>
      <c r="S103" s="311">
        <v>14398</v>
      </c>
      <c r="T103" s="311">
        <v>14409</v>
      </c>
      <c r="U103" s="311">
        <v>14447</v>
      </c>
      <c r="V103" s="311">
        <v>14518</v>
      </c>
      <c r="W103" s="321"/>
      <c r="X103" s="307"/>
      <c r="Y103" s="2">
        <f t="shared" si="28"/>
        <v>0</v>
      </c>
      <c r="Z103" s="2">
        <f t="shared" si="27"/>
        <v>40</v>
      </c>
      <c r="AA103" s="2">
        <f t="shared" si="44"/>
        <v>940</v>
      </c>
      <c r="AB103" s="2">
        <f t="shared" si="45"/>
        <v>940</v>
      </c>
      <c r="AC103" s="2">
        <f t="shared" si="34"/>
        <v>1000</v>
      </c>
      <c r="AD103" s="2">
        <f t="shared" si="35"/>
        <v>880</v>
      </c>
      <c r="AE103" s="2">
        <f t="shared" si="36"/>
        <v>720</v>
      </c>
      <c r="AF103" s="2">
        <f t="shared" si="37"/>
        <v>940</v>
      </c>
      <c r="AG103" s="2">
        <f t="shared" si="38"/>
        <v>240</v>
      </c>
      <c r="AH103" s="2">
        <f t="shared" si="41"/>
        <v>220</v>
      </c>
      <c r="AI103" s="2">
        <f t="shared" si="39"/>
        <v>760</v>
      </c>
      <c r="AJ103" s="2">
        <f t="shared" si="40"/>
        <v>1420</v>
      </c>
      <c r="AK103" s="416">
        <v>20</v>
      </c>
      <c r="AL103" s="417">
        <f t="shared" ca="1" si="29"/>
        <v>14209</v>
      </c>
      <c r="AM103" s="311">
        <f t="shared" ca="1" si="30"/>
        <v>14259</v>
      </c>
      <c r="AN103" s="274">
        <f ca="1">IF(AND(Tabla7[[#This Row],[UltLec]]&lt;&gt;0,Tabla7[[#This Row],[PenLect]]&lt;&gt;0),(AM103-AL103)*Tabla7[[#This Row],[RT]],"N/A")</f>
        <v>1000</v>
      </c>
      <c r="AO103" s="273" t="s">
        <v>1135</v>
      </c>
      <c r="AP103" s="392" t="s">
        <v>1190</v>
      </c>
      <c r="AQ103" s="392" t="s">
        <v>1189</v>
      </c>
      <c r="AR103" s="407">
        <f t="shared" si="31"/>
        <v>0</v>
      </c>
      <c r="AT103" s="2">
        <f t="shared" ca="1" si="32"/>
        <v>1.0638297872340425</v>
      </c>
      <c r="AV103">
        <f>IF(ISBLANK(Tabla7[[#This Row],[31/12/2017]]),0,Tabla7[[#This Row],[31/12/2017]])</f>
        <v>14113</v>
      </c>
      <c r="AW103">
        <f>IF(ISBLANK(Tabla7[[#This Row],[15/01/2018]]),0,Tabla7[[#This Row],[15/01/2018]])</f>
        <v>14113</v>
      </c>
      <c r="AX103">
        <f>IF(ISBLANK(Tabla7[[#This Row],[15/02/2018]]),0,Tabla7[[#This Row],[15/02/2018]])</f>
        <v>14115</v>
      </c>
      <c r="AY103">
        <f>IF(ISBLANK(Tabla7[[#This Row],[15/03/2018]]),0,Tabla7[[#This Row],[15/03/2018]])</f>
        <v>14162</v>
      </c>
      <c r="AZ103">
        <f>IF(ISBLANK(Tabla7[[#This Row],[15/04/2018]]),0,Tabla7[[#This Row],[15/04/2018]])</f>
        <v>14209</v>
      </c>
      <c r="BA103">
        <f>IF(ISBLANK(Tabla7[[#This Row],[15/05/2018]]),0,Tabla7[[#This Row],[15/05/2018]])</f>
        <v>14259</v>
      </c>
      <c r="BB103">
        <f>IF(ISBLANK(Tabla7[[#This Row],[15/06/2018]]),0,Tabla7[[#This Row],[15/06/2018]])</f>
        <v>14303</v>
      </c>
      <c r="BC103">
        <f>IF(ISBLANK(Tabla7[[#This Row],[15/07/2018]]),0,Tabla7[[#This Row],[15/07/2018]])</f>
        <v>14339</v>
      </c>
      <c r="BD103">
        <f>IF(ISBLANK(Tabla7[[#This Row],[15/08/2018]]),0,Tabla7[[#This Row],[15/08/2018]])</f>
        <v>14386</v>
      </c>
      <c r="BE103">
        <f>IF(ISBLANK(Tabla7[[#This Row],[15/09/2018]]),0,Tabla7[[#This Row],[15/09/2018]])</f>
        <v>14398</v>
      </c>
      <c r="BF103">
        <f>IF(ISBLANK(Tabla7[[#This Row],[15/10/2018]]),0,Tabla7[[#This Row],[15/10/2018]])</f>
        <v>14409</v>
      </c>
      <c r="BG103">
        <f>IF(ISBLANK(Tabla7[[#This Row],[15/11/2018]]),0,Tabla7[[#This Row],[15/11/2018]])</f>
        <v>14447</v>
      </c>
      <c r="BH103">
        <f>IF(ISBLANK(Tabla7[[#This Row],[15/12/2018]]),0,Tabla7[[#This Row],[15/12/2018]])</f>
        <v>14518</v>
      </c>
      <c r="BI103">
        <f>IF(ISBLANK(Tabla7[[#This Row],[28/12/2018]]),0,Tabla7[[#This Row],[28/12/2018]])</f>
        <v>0</v>
      </c>
      <c r="BN10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('5355250','S','SCT01','2','Alumbrado viales Dique Este Ct nº1','','','');</v>
      </c>
      <c r="BO103" t="s">
        <v>243</v>
      </c>
      <c r="BP103" s="632" t="str">
        <f>CONCATENATE("insert into lecturas values ","('",Tabla7[[#This Row],[CONTADOR]],"',STR_TO_DATE('",Tabla7[[#Headers],[31/12/2017]],"','%d/%m/%Y'),",AV103,"),","('",Tabla7[[#This Row],[CONTADOR]],"',STR_TO_DATE('",Tabla7[[#Headers],[15/01/2018]],"','%d/%m/%Y'),",AW103,"),","('",Tabla7[[#This Row],[CONTADOR]],"',STR_TO_DATE('",Tabla7[[#Headers],[15/02/2018]],"','%d/%m/%Y'),",AX103,"),","('",Tabla7[[#This Row],[CONTADOR]],"',STR_TO_DATE('",Tabla7[[#Headers],[15/03/2018]],"','%d/%m/%Y'),",AY103,"),","('",Tabla7[[#This Row],[CONTADOR]],"',STR_TO_DATE('",Tabla7[[#Headers],[15/04/2018]],"','%d/%m/%Y'),",AZ103,"),","('",Tabla7[[#This Row],[CONTADOR]],"',STR_TO_DATE('",Tabla7[[#Headers],[15/05/2018]],"','%d/%m/%Y'),",BA103,"),","('",Tabla7[[#This Row],[CONTADOR]],"',STR_TO_DATE('",Tabla7[[#Headers],[15/06/2018]],"','%d/%m/%Y'),",BB103,"),","('",Tabla7[[#This Row],[CONTADOR]],"',STR_TO_DATE('",Tabla7[[#Headers],[15/07/2018]],"','%d/%m/%Y'),",BC103,"),","('",Tabla7[[#This Row],[CONTADOR]],"',STR_TO_DATE('",Tabla7[[#Headers],[15/08/2018]],"','%d/%m/%Y'),",BD103,"),","('",Tabla7[[#This Row],[CONTADOR]],"',STR_TO_DATE('",Tabla7[[#Headers],[15/09/2018]],"','%d/%m/%Y'),",BE103,"),","('",Tabla7[[#This Row],[CONTADOR]],"',STR_TO_DATE('",Tabla7[[#Headers],[15/10/2018]],"','%d/%m/%Y'),",BF103,"),","('",Tabla7[[#This Row],[CONTADOR]],"',STR_TO_DATE('",Tabla7[[#Headers],[15/11/2018]],"','%d/%m/%Y'),",BG103,"),","('",Tabla7[[#This Row],[CONTADOR]],"',STR_TO_DATE('",Tabla7[[#Headers],[15/12/2018]],"','%d/%m/%Y'),",BH103,");")</f>
        <v>insert into lecturas values ('5355250',STR_TO_DATE('31/12/2017','%d/%m/%Y'),14113),('5355250',STR_TO_DATE('15/01/2018','%d/%m/%Y'),14113),('5355250',STR_TO_DATE('15/02/2018','%d/%m/%Y'),14115),('5355250',STR_TO_DATE('15/03/2018','%d/%m/%Y'),14162),('5355250',STR_TO_DATE('15/04/2018','%d/%m/%Y'),14209),('5355250',STR_TO_DATE('15/05/2018','%d/%m/%Y'),14259),('5355250',STR_TO_DATE('15/06/2018','%d/%m/%Y'),14303),('5355250',STR_TO_DATE('15/07/2018','%d/%m/%Y'),14339),('5355250',STR_TO_DATE('15/08/2018','%d/%m/%Y'),14386),('5355250',STR_TO_DATE('15/09/2018','%d/%m/%Y'),14398),('5355250',STR_TO_DATE('15/10/2018','%d/%m/%Y'),14409),('5355250',STR_TO_DATE('15/11/2018','%d/%m/%Y'),14447),('5355250',STR_TO_DATE('15/12/2018','%d/%m/%Y'),14518);</v>
      </c>
    </row>
    <row r="104" spans="1:68" ht="18" customHeight="1" x14ac:dyDescent="0.25">
      <c r="A104" s="241" t="s">
        <v>534</v>
      </c>
      <c r="B104" s="60"/>
      <c r="C104" s="223">
        <v>5355251</v>
      </c>
      <c r="D104" s="60" t="s">
        <v>537</v>
      </c>
      <c r="E104" s="258">
        <v>2</v>
      </c>
      <c r="F104" s="2" t="s">
        <v>538</v>
      </c>
      <c r="G104" s="2"/>
      <c r="H104" s="2"/>
      <c r="I104" s="274"/>
      <c r="J104" s="311">
        <v>17089</v>
      </c>
      <c r="K104" s="311">
        <v>17089</v>
      </c>
      <c r="L104" s="311">
        <v>17089</v>
      </c>
      <c r="M104" s="311">
        <v>17089</v>
      </c>
      <c r="N104" s="311">
        <v>17089</v>
      </c>
      <c r="O104" s="454">
        <v>17089</v>
      </c>
      <c r="P104" s="311">
        <v>17089</v>
      </c>
      <c r="Q104" s="307">
        <v>17089</v>
      </c>
      <c r="R104" s="311">
        <v>17089</v>
      </c>
      <c r="S104" s="311">
        <v>17089</v>
      </c>
      <c r="T104" s="311">
        <v>17089</v>
      </c>
      <c r="U104" s="311">
        <v>17089</v>
      </c>
      <c r="V104" s="311">
        <v>17089</v>
      </c>
      <c r="W104" s="321"/>
      <c r="X104" s="307"/>
      <c r="Y104" s="2">
        <f t="shared" si="28"/>
        <v>0</v>
      </c>
      <c r="Z104" s="2">
        <f t="shared" si="27"/>
        <v>0</v>
      </c>
      <c r="AA104" s="2">
        <f t="shared" si="44"/>
        <v>0</v>
      </c>
      <c r="AB104" s="2">
        <f t="shared" si="45"/>
        <v>0</v>
      </c>
      <c r="AC104" s="2">
        <f t="shared" si="34"/>
        <v>0</v>
      </c>
      <c r="AD104" s="2">
        <f t="shared" si="35"/>
        <v>0</v>
      </c>
      <c r="AE104" s="2">
        <f t="shared" si="36"/>
        <v>0</v>
      </c>
      <c r="AF104" s="2">
        <f t="shared" si="37"/>
        <v>0</v>
      </c>
      <c r="AG104" s="2">
        <f t="shared" si="38"/>
        <v>0</v>
      </c>
      <c r="AH104" s="2">
        <f t="shared" si="41"/>
        <v>0</v>
      </c>
      <c r="AI104" s="2">
        <f t="shared" si="39"/>
        <v>0</v>
      </c>
      <c r="AJ104" s="2">
        <f t="shared" si="40"/>
        <v>0</v>
      </c>
      <c r="AK104" s="416">
        <v>20</v>
      </c>
      <c r="AL104" s="417">
        <f t="shared" ca="1" si="29"/>
        <v>17089</v>
      </c>
      <c r="AM104" s="311">
        <f t="shared" ca="1" si="30"/>
        <v>17089</v>
      </c>
      <c r="AN104" s="274">
        <f ca="1">IF(AND(Tabla7[[#This Row],[UltLec]]&lt;&gt;0,Tabla7[[#This Row],[PenLect]]&lt;&gt;0),(AM104-AL104)*Tabla7[[#This Row],[RT]],"N/A")</f>
        <v>0</v>
      </c>
      <c r="AO104" s="273" t="s">
        <v>1135</v>
      </c>
      <c r="AP104" s="392" t="s">
        <v>1190</v>
      </c>
      <c r="AQ104" s="392" t="s">
        <v>1189</v>
      </c>
      <c r="AR104" s="407">
        <f t="shared" si="31"/>
        <v>0</v>
      </c>
      <c r="AT104" s="2" t="str">
        <f t="shared" ca="1" si="32"/>
        <v>0</v>
      </c>
      <c r="AV104">
        <f>IF(ISBLANK(Tabla7[[#This Row],[31/12/2017]]),0,Tabla7[[#This Row],[31/12/2017]])</f>
        <v>17089</v>
      </c>
      <c r="AW104">
        <f>IF(ISBLANK(Tabla7[[#This Row],[15/01/2018]]),0,Tabla7[[#This Row],[15/01/2018]])</f>
        <v>17089</v>
      </c>
      <c r="AX104">
        <f>IF(ISBLANK(Tabla7[[#This Row],[15/02/2018]]),0,Tabla7[[#This Row],[15/02/2018]])</f>
        <v>17089</v>
      </c>
      <c r="AY104">
        <f>IF(ISBLANK(Tabla7[[#This Row],[15/03/2018]]),0,Tabla7[[#This Row],[15/03/2018]])</f>
        <v>17089</v>
      </c>
      <c r="AZ104">
        <f>IF(ISBLANK(Tabla7[[#This Row],[15/04/2018]]),0,Tabla7[[#This Row],[15/04/2018]])</f>
        <v>17089</v>
      </c>
      <c r="BA104">
        <f>IF(ISBLANK(Tabla7[[#This Row],[15/05/2018]]),0,Tabla7[[#This Row],[15/05/2018]])</f>
        <v>17089</v>
      </c>
      <c r="BB104">
        <f>IF(ISBLANK(Tabla7[[#This Row],[15/06/2018]]),0,Tabla7[[#This Row],[15/06/2018]])</f>
        <v>17089</v>
      </c>
      <c r="BC104">
        <f>IF(ISBLANK(Tabla7[[#This Row],[15/07/2018]]),0,Tabla7[[#This Row],[15/07/2018]])</f>
        <v>17089</v>
      </c>
      <c r="BD104">
        <f>IF(ISBLANK(Tabla7[[#This Row],[15/08/2018]]),0,Tabla7[[#This Row],[15/08/2018]])</f>
        <v>17089</v>
      </c>
      <c r="BE104">
        <f>IF(ISBLANK(Tabla7[[#This Row],[15/09/2018]]),0,Tabla7[[#This Row],[15/09/2018]])</f>
        <v>17089</v>
      </c>
      <c r="BF104">
        <f>IF(ISBLANK(Tabla7[[#This Row],[15/10/2018]]),0,Tabla7[[#This Row],[15/10/2018]])</f>
        <v>17089</v>
      </c>
      <c r="BG104">
        <f>IF(ISBLANK(Tabla7[[#This Row],[15/11/2018]]),0,Tabla7[[#This Row],[15/11/2018]])</f>
        <v>17089</v>
      </c>
      <c r="BH104">
        <f>IF(ISBLANK(Tabla7[[#This Row],[15/12/2018]]),0,Tabla7[[#This Row],[15/12/2018]])</f>
        <v>17089</v>
      </c>
      <c r="BI104">
        <f>IF(ISBLANK(Tabla7[[#This Row],[28/12/2018]]),0,Tabla7[[#This Row],[28/12/2018]])</f>
        <v>0</v>
      </c>
      <c r="BN10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('5355251','S','SCT02','2','Alumbrado viales Dique Este Ct nº2','','','');</v>
      </c>
      <c r="BO104" t="s">
        <v>243</v>
      </c>
      <c r="BP104" s="632" t="str">
        <f>CONCATENATE("insert into lecturas values ","('",Tabla7[[#This Row],[CONTADOR]],"',STR_TO_DATE('",Tabla7[[#Headers],[31/12/2017]],"','%d/%m/%Y'),",AV104,"),","('",Tabla7[[#This Row],[CONTADOR]],"',STR_TO_DATE('",Tabla7[[#Headers],[15/01/2018]],"','%d/%m/%Y'),",AW104,"),","('",Tabla7[[#This Row],[CONTADOR]],"',STR_TO_DATE('",Tabla7[[#Headers],[15/02/2018]],"','%d/%m/%Y'),",AX104,"),","('",Tabla7[[#This Row],[CONTADOR]],"',STR_TO_DATE('",Tabla7[[#Headers],[15/03/2018]],"','%d/%m/%Y'),",AY104,"),","('",Tabla7[[#This Row],[CONTADOR]],"',STR_TO_DATE('",Tabla7[[#Headers],[15/04/2018]],"','%d/%m/%Y'),",AZ104,"),","('",Tabla7[[#This Row],[CONTADOR]],"',STR_TO_DATE('",Tabla7[[#Headers],[15/05/2018]],"','%d/%m/%Y'),",BA104,"),","('",Tabla7[[#This Row],[CONTADOR]],"',STR_TO_DATE('",Tabla7[[#Headers],[15/06/2018]],"','%d/%m/%Y'),",BB104,"),","('",Tabla7[[#This Row],[CONTADOR]],"',STR_TO_DATE('",Tabla7[[#Headers],[15/07/2018]],"','%d/%m/%Y'),",BC104,"),","('",Tabla7[[#This Row],[CONTADOR]],"',STR_TO_DATE('",Tabla7[[#Headers],[15/08/2018]],"','%d/%m/%Y'),",BD104,"),","('",Tabla7[[#This Row],[CONTADOR]],"',STR_TO_DATE('",Tabla7[[#Headers],[15/09/2018]],"','%d/%m/%Y'),",BE104,"),","('",Tabla7[[#This Row],[CONTADOR]],"',STR_TO_DATE('",Tabla7[[#Headers],[15/10/2018]],"','%d/%m/%Y'),",BF104,"),","('",Tabla7[[#This Row],[CONTADOR]],"',STR_TO_DATE('",Tabla7[[#Headers],[15/11/2018]],"','%d/%m/%Y'),",BG104,"),","('",Tabla7[[#This Row],[CONTADOR]],"',STR_TO_DATE('",Tabla7[[#Headers],[15/12/2018]],"','%d/%m/%Y'),",BH104,");")</f>
        <v>insert into lecturas values ('5355251',STR_TO_DATE('31/12/2017','%d/%m/%Y'),17089),('5355251',STR_TO_DATE('15/01/2018','%d/%m/%Y'),17089),('5355251',STR_TO_DATE('15/02/2018','%d/%m/%Y'),17089),('5355251',STR_TO_DATE('15/03/2018','%d/%m/%Y'),17089),('5355251',STR_TO_DATE('15/04/2018','%d/%m/%Y'),17089),('5355251',STR_TO_DATE('15/05/2018','%d/%m/%Y'),17089),('5355251',STR_TO_DATE('15/06/2018','%d/%m/%Y'),17089),('5355251',STR_TO_DATE('15/07/2018','%d/%m/%Y'),17089),('5355251',STR_TO_DATE('15/08/2018','%d/%m/%Y'),17089),('5355251',STR_TO_DATE('15/09/2018','%d/%m/%Y'),17089),('5355251',STR_TO_DATE('15/10/2018','%d/%m/%Y'),17089),('5355251',STR_TO_DATE('15/11/2018','%d/%m/%Y'),17089),('5355251',STR_TO_DATE('15/12/2018','%d/%m/%Y'),17089);</v>
      </c>
    </row>
    <row r="105" spans="1:68" ht="18" customHeight="1" x14ac:dyDescent="0.25">
      <c r="A105" s="372" t="s">
        <v>1175</v>
      </c>
      <c r="B105" s="372"/>
      <c r="C105" s="372">
        <v>5356223</v>
      </c>
      <c r="D105" s="372" t="s">
        <v>539</v>
      </c>
      <c r="E105" s="372">
        <v>2</v>
      </c>
      <c r="F105" s="377" t="s">
        <v>540</v>
      </c>
      <c r="G105" s="377"/>
      <c r="H105" s="376"/>
      <c r="I105" s="377"/>
      <c r="J105" s="383">
        <v>6411</v>
      </c>
      <c r="K105" s="383">
        <v>6411</v>
      </c>
      <c r="L105" s="383">
        <v>6411</v>
      </c>
      <c r="M105" s="383">
        <v>6411</v>
      </c>
      <c r="N105" s="383">
        <v>6411</v>
      </c>
      <c r="O105" s="383">
        <v>6411</v>
      </c>
      <c r="P105" s="383">
        <v>6411</v>
      </c>
      <c r="Q105" s="377">
        <v>6411</v>
      </c>
      <c r="R105" s="383">
        <v>6411</v>
      </c>
      <c r="S105" s="383">
        <v>6411</v>
      </c>
      <c r="T105" s="383">
        <v>6411</v>
      </c>
      <c r="U105" s="383"/>
      <c r="V105" s="379"/>
      <c r="W105" s="379"/>
      <c r="X105" s="377"/>
      <c r="Y105" s="376">
        <f t="shared" si="28"/>
        <v>0</v>
      </c>
      <c r="Z105" s="376">
        <f t="shared" si="27"/>
        <v>0</v>
      </c>
      <c r="AA105" s="376">
        <f t="shared" si="44"/>
        <v>0</v>
      </c>
      <c r="AB105" s="376">
        <f t="shared" si="45"/>
        <v>0</v>
      </c>
      <c r="AC105" s="376">
        <f t="shared" si="34"/>
        <v>0</v>
      </c>
      <c r="AD105" s="376">
        <f t="shared" si="35"/>
        <v>0</v>
      </c>
      <c r="AE105" s="376">
        <f t="shared" si="36"/>
        <v>0</v>
      </c>
      <c r="AF105" s="376">
        <f t="shared" si="37"/>
        <v>0</v>
      </c>
      <c r="AG105" s="376">
        <f t="shared" si="38"/>
        <v>0</v>
      </c>
      <c r="AH105" s="376">
        <f t="shared" si="41"/>
        <v>0</v>
      </c>
      <c r="AI105" s="376" t="str">
        <f t="shared" si="39"/>
        <v/>
      </c>
      <c r="AJ105" s="376" t="str">
        <f t="shared" si="40"/>
        <v/>
      </c>
      <c r="AK105" s="408">
        <v>20</v>
      </c>
      <c r="AL105" s="377">
        <f t="shared" ca="1" si="29"/>
        <v>6411</v>
      </c>
      <c r="AM105" s="383">
        <f t="shared" ca="1" si="30"/>
        <v>6411</v>
      </c>
      <c r="AN105" s="377">
        <f ca="1">IF(AND(Tabla7[[#This Row],[UltLec]]&lt;&gt;0,Tabla7[[#This Row],[PenLect]]&lt;&gt;0),(AM105-AL105)*Tabla7[[#This Row],[RT]],"N/A")</f>
        <v>0</v>
      </c>
      <c r="AO105" s="380" t="s">
        <v>1281</v>
      </c>
      <c r="AP105" s="433" t="s">
        <v>1190</v>
      </c>
      <c r="AQ105" s="433" t="s">
        <v>1189</v>
      </c>
      <c r="AR105" s="409">
        <f t="shared" si="31"/>
        <v>0</v>
      </c>
      <c r="AT105" s="2" t="str">
        <f t="shared" ca="1" si="32"/>
        <v>0</v>
      </c>
      <c r="AV105">
        <f>IF(ISBLANK(Tabla7[[#This Row],[31/12/2017]]),0,Tabla7[[#This Row],[31/12/2017]])</f>
        <v>6411</v>
      </c>
      <c r="AW105">
        <f>IF(ISBLANK(Tabla7[[#This Row],[15/01/2018]]),0,Tabla7[[#This Row],[15/01/2018]])</f>
        <v>6411</v>
      </c>
      <c r="AX105">
        <f>IF(ISBLANK(Tabla7[[#This Row],[15/02/2018]]),0,Tabla7[[#This Row],[15/02/2018]])</f>
        <v>6411</v>
      </c>
      <c r="AY105">
        <f>IF(ISBLANK(Tabla7[[#This Row],[15/03/2018]]),0,Tabla7[[#This Row],[15/03/2018]])</f>
        <v>6411</v>
      </c>
      <c r="AZ105">
        <f>IF(ISBLANK(Tabla7[[#This Row],[15/04/2018]]),0,Tabla7[[#This Row],[15/04/2018]])</f>
        <v>6411</v>
      </c>
      <c r="BA105">
        <f>IF(ISBLANK(Tabla7[[#This Row],[15/05/2018]]),0,Tabla7[[#This Row],[15/05/2018]])</f>
        <v>6411</v>
      </c>
      <c r="BB105">
        <f>IF(ISBLANK(Tabla7[[#This Row],[15/06/2018]]),0,Tabla7[[#This Row],[15/06/2018]])</f>
        <v>6411</v>
      </c>
      <c r="BC105">
        <f>IF(ISBLANK(Tabla7[[#This Row],[15/07/2018]]),0,Tabla7[[#This Row],[15/07/2018]])</f>
        <v>6411</v>
      </c>
      <c r="BD105">
        <f>IF(ISBLANK(Tabla7[[#This Row],[15/08/2018]]),0,Tabla7[[#This Row],[15/08/2018]])</f>
        <v>6411</v>
      </c>
      <c r="BE105">
        <f>IF(ISBLANK(Tabla7[[#This Row],[15/09/2018]]),0,Tabla7[[#This Row],[15/09/2018]])</f>
        <v>6411</v>
      </c>
      <c r="BF105">
        <f>IF(ISBLANK(Tabla7[[#This Row],[15/10/2018]]),0,Tabla7[[#This Row],[15/10/2018]])</f>
        <v>6411</v>
      </c>
      <c r="BG105">
        <f>IF(ISBLANK(Tabla7[[#This Row],[15/11/2018]]),0,Tabla7[[#This Row],[15/11/2018]])</f>
        <v>0</v>
      </c>
      <c r="BH105">
        <f>IF(ISBLANK(Tabla7[[#This Row],[15/12/2018]]),0,Tabla7[[#This Row],[15/12/2018]])</f>
        <v>0</v>
      </c>
      <c r="BI105">
        <f>IF(ISBLANK(Tabla7[[#This Row],[28/12/2018]]),0,Tabla7[[#This Row],[28/12/2018]])</f>
        <v>0</v>
      </c>
      <c r="BN10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('5356223','SBAJA','SCT03','2','Alumbrado viales Dique Este Ct nº3','','','');</v>
      </c>
      <c r="BO105" t="s">
        <v>243</v>
      </c>
      <c r="BP105" s="632" t="str">
        <f>CONCATENATE("insert into lecturas values ","('",Tabla7[[#This Row],[CONTADOR]],"',STR_TO_DATE('",Tabla7[[#Headers],[31/12/2017]],"','%d/%m/%Y'),",AV105,"),","('",Tabla7[[#This Row],[CONTADOR]],"',STR_TO_DATE('",Tabla7[[#Headers],[15/01/2018]],"','%d/%m/%Y'),",AW105,"),","('",Tabla7[[#This Row],[CONTADOR]],"',STR_TO_DATE('",Tabla7[[#Headers],[15/02/2018]],"','%d/%m/%Y'),",AX105,"),","('",Tabla7[[#This Row],[CONTADOR]],"',STR_TO_DATE('",Tabla7[[#Headers],[15/03/2018]],"','%d/%m/%Y'),",AY105,"),","('",Tabla7[[#This Row],[CONTADOR]],"',STR_TO_DATE('",Tabla7[[#Headers],[15/04/2018]],"','%d/%m/%Y'),",AZ105,"),","('",Tabla7[[#This Row],[CONTADOR]],"',STR_TO_DATE('",Tabla7[[#Headers],[15/05/2018]],"','%d/%m/%Y'),",BA105,"),","('",Tabla7[[#This Row],[CONTADOR]],"',STR_TO_DATE('",Tabla7[[#Headers],[15/06/2018]],"','%d/%m/%Y'),",BB105,"),","('",Tabla7[[#This Row],[CONTADOR]],"',STR_TO_DATE('",Tabla7[[#Headers],[15/07/2018]],"','%d/%m/%Y'),",BC105,"),","('",Tabla7[[#This Row],[CONTADOR]],"',STR_TO_DATE('",Tabla7[[#Headers],[15/08/2018]],"','%d/%m/%Y'),",BD105,"),","('",Tabla7[[#This Row],[CONTADOR]],"',STR_TO_DATE('",Tabla7[[#Headers],[15/09/2018]],"','%d/%m/%Y'),",BE105,"),","('",Tabla7[[#This Row],[CONTADOR]],"',STR_TO_DATE('",Tabla7[[#Headers],[15/10/2018]],"','%d/%m/%Y'),",BF105,"),","('",Tabla7[[#This Row],[CONTADOR]],"',STR_TO_DATE('",Tabla7[[#Headers],[15/11/2018]],"','%d/%m/%Y'),",BG105,"),","('",Tabla7[[#This Row],[CONTADOR]],"',STR_TO_DATE('",Tabla7[[#Headers],[15/12/2018]],"','%d/%m/%Y'),",BH105,");")</f>
        <v>insert into lecturas values ('5356223',STR_TO_DATE('31/12/2017','%d/%m/%Y'),6411),('5356223',STR_TO_DATE('15/01/2018','%d/%m/%Y'),6411),('5356223',STR_TO_DATE('15/02/2018','%d/%m/%Y'),6411),('5356223',STR_TO_DATE('15/03/2018','%d/%m/%Y'),6411),('5356223',STR_TO_DATE('15/04/2018','%d/%m/%Y'),6411),('5356223',STR_TO_DATE('15/05/2018','%d/%m/%Y'),6411),('5356223',STR_TO_DATE('15/06/2018','%d/%m/%Y'),6411),('5356223',STR_TO_DATE('15/07/2018','%d/%m/%Y'),6411),('5356223',STR_TO_DATE('15/08/2018','%d/%m/%Y'),6411),('5356223',STR_TO_DATE('15/09/2018','%d/%m/%Y'),6411),('5356223',STR_TO_DATE('15/10/2018','%d/%m/%Y'),6411),('5356223',STR_TO_DATE('15/11/2018','%d/%m/%Y'),0),('5356223',STR_TO_DATE('15/12/2018','%d/%m/%Y'),0);</v>
      </c>
    </row>
    <row r="106" spans="1:68" ht="18" customHeight="1" x14ac:dyDescent="0.25">
      <c r="A106" s="241" t="s">
        <v>534</v>
      </c>
      <c r="B106" s="60"/>
      <c r="C106" s="223">
        <v>17070</v>
      </c>
      <c r="D106" s="60" t="s">
        <v>541</v>
      </c>
      <c r="E106" s="258">
        <v>2</v>
      </c>
      <c r="F106" s="2" t="s">
        <v>557</v>
      </c>
      <c r="G106" s="2"/>
      <c r="H106" s="2" t="s">
        <v>65</v>
      </c>
      <c r="I106" s="274" t="s">
        <v>869</v>
      </c>
      <c r="J106" s="311"/>
      <c r="K106" s="311"/>
      <c r="L106" s="311"/>
      <c r="M106" s="311"/>
      <c r="N106" s="311"/>
      <c r="O106" s="454"/>
      <c r="P106" s="311"/>
      <c r="Q106" s="307">
        <v>0</v>
      </c>
      <c r="R106" s="311"/>
      <c r="S106" s="311">
        <v>139</v>
      </c>
      <c r="T106" s="311">
        <v>139</v>
      </c>
      <c r="U106" s="353">
        <v>140</v>
      </c>
      <c r="V106" s="311">
        <v>140</v>
      </c>
      <c r="W106" s="307"/>
      <c r="X106" s="307"/>
      <c r="Y106" s="2" t="str">
        <f t="shared" si="28"/>
        <v/>
      </c>
      <c r="Z106" s="2" t="str">
        <f t="shared" si="27"/>
        <v/>
      </c>
      <c r="AA106" s="2" t="str">
        <f t="shared" si="44"/>
        <v/>
      </c>
      <c r="AB106" s="2" t="str">
        <f t="shared" si="45"/>
        <v/>
      </c>
      <c r="AC106" s="2" t="str">
        <f t="shared" si="34"/>
        <v/>
      </c>
      <c r="AD106" s="2" t="str">
        <f t="shared" si="35"/>
        <v/>
      </c>
      <c r="AE106" s="2" t="str">
        <f t="shared" si="36"/>
        <v/>
      </c>
      <c r="AF106" s="2" t="str">
        <f t="shared" si="37"/>
        <v/>
      </c>
      <c r="AG106" s="2" t="str">
        <f t="shared" si="38"/>
        <v/>
      </c>
      <c r="AH106" s="2">
        <f t="shared" si="41"/>
        <v>0</v>
      </c>
      <c r="AI106" s="2">
        <f t="shared" si="39"/>
        <v>1</v>
      </c>
      <c r="AJ106" s="2">
        <f t="shared" si="40"/>
        <v>0</v>
      </c>
      <c r="AK106" s="406">
        <v>1</v>
      </c>
      <c r="AL106" s="274">
        <f t="shared" ca="1" si="29"/>
        <v>0</v>
      </c>
      <c r="AM106" s="311">
        <f t="shared" ca="1" si="30"/>
        <v>0</v>
      </c>
      <c r="AN106" s="274" t="str">
        <f ca="1">IF(AND(Tabla7[[#This Row],[UltLec]]&lt;&gt;0,Tabla7[[#This Row],[PenLect]]&lt;&gt;0),(AM106-AL106)*Tabla7[[#This Row],[RT]],"N/A")</f>
        <v>N/A</v>
      </c>
      <c r="AO106" s="273" t="s">
        <v>1135</v>
      </c>
      <c r="AP106" s="392" t="s">
        <v>1190</v>
      </c>
      <c r="AQ106" s="392" t="s">
        <v>1189</v>
      </c>
      <c r="AR106" s="407">
        <f t="shared" si="31"/>
        <v>0</v>
      </c>
      <c r="AT106" s="2" t="e">
        <f t="shared" ca="1" si="32"/>
        <v>#VALUE!</v>
      </c>
      <c r="AV106">
        <f>IF(ISBLANK(Tabla7[[#This Row],[31/12/2017]]),0,Tabla7[[#This Row],[31/12/2017]])</f>
        <v>0</v>
      </c>
      <c r="AW106">
        <f>IF(ISBLANK(Tabla7[[#This Row],[15/01/2018]]),0,Tabla7[[#This Row],[15/01/2018]])</f>
        <v>0</v>
      </c>
      <c r="AX106">
        <f>IF(ISBLANK(Tabla7[[#This Row],[15/02/2018]]),0,Tabla7[[#This Row],[15/02/2018]])</f>
        <v>0</v>
      </c>
      <c r="AY106">
        <f>IF(ISBLANK(Tabla7[[#This Row],[15/03/2018]]),0,Tabla7[[#This Row],[15/03/2018]])</f>
        <v>0</v>
      </c>
      <c r="AZ106">
        <f>IF(ISBLANK(Tabla7[[#This Row],[15/04/2018]]),0,Tabla7[[#This Row],[15/04/2018]])</f>
        <v>0</v>
      </c>
      <c r="BA106">
        <f>IF(ISBLANK(Tabla7[[#This Row],[15/05/2018]]),0,Tabla7[[#This Row],[15/05/2018]])</f>
        <v>0</v>
      </c>
      <c r="BB106">
        <f>IF(ISBLANK(Tabla7[[#This Row],[15/06/2018]]),0,Tabla7[[#This Row],[15/06/2018]])</f>
        <v>0</v>
      </c>
      <c r="BC106">
        <f>IF(ISBLANK(Tabla7[[#This Row],[15/07/2018]]),0,Tabla7[[#This Row],[15/07/2018]])</f>
        <v>0</v>
      </c>
      <c r="BD106">
        <f>IF(ISBLANK(Tabla7[[#This Row],[15/08/2018]]),0,Tabla7[[#This Row],[15/08/2018]])</f>
        <v>0</v>
      </c>
      <c r="BE106">
        <f>IF(ISBLANK(Tabla7[[#This Row],[15/09/2018]]),0,Tabla7[[#This Row],[15/09/2018]])</f>
        <v>139</v>
      </c>
      <c r="BF106">
        <f>IF(ISBLANK(Tabla7[[#This Row],[15/10/2018]]),0,Tabla7[[#This Row],[15/10/2018]])</f>
        <v>139</v>
      </c>
      <c r="BG106">
        <f>IF(ISBLANK(Tabla7[[#This Row],[15/11/2018]]),0,Tabla7[[#This Row],[15/11/2018]])</f>
        <v>140</v>
      </c>
      <c r="BH106">
        <f>IF(ISBLANK(Tabla7[[#This Row],[15/12/2018]]),0,Tabla7[[#This Row],[15/12/2018]])</f>
        <v>140</v>
      </c>
      <c r="BI106">
        <f>IF(ISBLANK(Tabla7[[#This Row],[28/12/2018]]),0,Tabla7[[#This Row],[28/12/2018]])</f>
        <v>0</v>
      </c>
      <c r="BN10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('17070','S','SCT04','2','Alumbrado viales focos en nave logistica CT4','','Ha dado la vuelta','AÑADIR  111');</v>
      </c>
      <c r="BO106" t="s">
        <v>243</v>
      </c>
      <c r="BP106" s="632" t="str">
        <f>CONCATENATE("insert into lecturas values ","('",Tabla7[[#This Row],[CONTADOR]],"',STR_TO_DATE('",Tabla7[[#Headers],[31/12/2017]],"','%d/%m/%Y'),",AV106,"),","('",Tabla7[[#This Row],[CONTADOR]],"',STR_TO_DATE('",Tabla7[[#Headers],[15/01/2018]],"','%d/%m/%Y'),",AW106,"),","('",Tabla7[[#This Row],[CONTADOR]],"',STR_TO_DATE('",Tabla7[[#Headers],[15/02/2018]],"','%d/%m/%Y'),",AX106,"),","('",Tabla7[[#This Row],[CONTADOR]],"',STR_TO_DATE('",Tabla7[[#Headers],[15/03/2018]],"','%d/%m/%Y'),",AY106,"),","('",Tabla7[[#This Row],[CONTADOR]],"',STR_TO_DATE('",Tabla7[[#Headers],[15/04/2018]],"','%d/%m/%Y'),",AZ106,"),","('",Tabla7[[#This Row],[CONTADOR]],"',STR_TO_DATE('",Tabla7[[#Headers],[15/05/2018]],"','%d/%m/%Y'),",BA106,"),","('",Tabla7[[#This Row],[CONTADOR]],"',STR_TO_DATE('",Tabla7[[#Headers],[15/06/2018]],"','%d/%m/%Y'),",BB106,"),","('",Tabla7[[#This Row],[CONTADOR]],"',STR_TO_DATE('",Tabla7[[#Headers],[15/07/2018]],"','%d/%m/%Y'),",BC106,"),","('",Tabla7[[#This Row],[CONTADOR]],"',STR_TO_DATE('",Tabla7[[#Headers],[15/08/2018]],"','%d/%m/%Y'),",BD106,"),","('",Tabla7[[#This Row],[CONTADOR]],"',STR_TO_DATE('",Tabla7[[#Headers],[15/09/2018]],"','%d/%m/%Y'),",BE106,"),","('",Tabla7[[#This Row],[CONTADOR]],"',STR_TO_DATE('",Tabla7[[#Headers],[15/10/2018]],"','%d/%m/%Y'),",BF106,"),","('",Tabla7[[#This Row],[CONTADOR]],"',STR_TO_DATE('",Tabla7[[#Headers],[15/11/2018]],"','%d/%m/%Y'),",BG106,"),","('",Tabla7[[#This Row],[CONTADOR]],"',STR_TO_DATE('",Tabla7[[#Headers],[15/12/2018]],"','%d/%m/%Y'),",BH106,");")</f>
        <v>insert into lecturas values ('17070',STR_TO_DATE('31/12/2017','%d/%m/%Y'),0),('17070',STR_TO_DATE('15/01/2018','%d/%m/%Y'),0),('17070',STR_TO_DATE('15/02/2018','%d/%m/%Y'),0),('17070',STR_TO_DATE('15/03/2018','%d/%m/%Y'),0),('17070',STR_TO_DATE('15/04/2018','%d/%m/%Y'),0),('17070',STR_TO_DATE('15/05/2018','%d/%m/%Y'),0),('17070',STR_TO_DATE('15/06/2018','%d/%m/%Y'),0),('17070',STR_TO_DATE('15/07/2018','%d/%m/%Y'),0),('17070',STR_TO_DATE('15/08/2018','%d/%m/%Y'),0),('17070',STR_TO_DATE('15/09/2018','%d/%m/%Y'),139),('17070',STR_TO_DATE('15/10/2018','%d/%m/%Y'),139),('17070',STR_TO_DATE('15/11/2018','%d/%m/%Y'),140),('17070',STR_TO_DATE('15/12/2018','%d/%m/%Y'),140);</v>
      </c>
    </row>
    <row r="107" spans="1:68" ht="18" customHeight="1" x14ac:dyDescent="0.25">
      <c r="A107" s="241" t="s">
        <v>534</v>
      </c>
      <c r="B107" s="60"/>
      <c r="C107" s="223">
        <v>61560</v>
      </c>
      <c r="D107" s="60" t="s">
        <v>541</v>
      </c>
      <c r="E107" s="258">
        <v>39945</v>
      </c>
      <c r="F107" s="274" t="s">
        <v>550</v>
      </c>
      <c r="G107" s="274" t="s">
        <v>551</v>
      </c>
      <c r="H107" s="2"/>
      <c r="I107" s="274"/>
      <c r="J107" s="311">
        <v>1135</v>
      </c>
      <c r="K107" s="311">
        <v>1135</v>
      </c>
      <c r="L107" s="311">
        <v>1135</v>
      </c>
      <c r="M107" s="311">
        <v>1135</v>
      </c>
      <c r="N107" s="311">
        <v>1135</v>
      </c>
      <c r="O107" s="311">
        <v>1135</v>
      </c>
      <c r="P107" s="311">
        <v>1135</v>
      </c>
      <c r="Q107" s="307">
        <v>1135</v>
      </c>
      <c r="R107" s="311">
        <v>1135</v>
      </c>
      <c r="S107" s="311">
        <v>1135</v>
      </c>
      <c r="T107" s="311">
        <v>1135</v>
      </c>
      <c r="U107" s="353">
        <v>1135</v>
      </c>
      <c r="V107" s="311">
        <v>1135</v>
      </c>
      <c r="W107" s="321"/>
      <c r="X107" s="307"/>
      <c r="Y107" s="2">
        <f t="shared" si="28"/>
        <v>0</v>
      </c>
      <c r="Z107" s="2">
        <f t="shared" si="27"/>
        <v>0</v>
      </c>
      <c r="AA107" s="2">
        <f t="shared" si="44"/>
        <v>0</v>
      </c>
      <c r="AB107" s="2">
        <f t="shared" si="45"/>
        <v>0</v>
      </c>
      <c r="AC107" s="2">
        <f t="shared" si="34"/>
        <v>0</v>
      </c>
      <c r="AD107" s="2">
        <f t="shared" si="35"/>
        <v>0</v>
      </c>
      <c r="AE107" s="2">
        <f t="shared" si="36"/>
        <v>0</v>
      </c>
      <c r="AF107" s="2">
        <f t="shared" si="37"/>
        <v>0</v>
      </c>
      <c r="AG107" s="2">
        <f t="shared" si="38"/>
        <v>0</v>
      </c>
      <c r="AH107" s="2">
        <f t="shared" si="41"/>
        <v>0</v>
      </c>
      <c r="AI107" s="2">
        <f t="shared" si="39"/>
        <v>0</v>
      </c>
      <c r="AJ107" s="2">
        <f t="shared" si="40"/>
        <v>0</v>
      </c>
      <c r="AK107" s="406">
        <v>1</v>
      </c>
      <c r="AL107" s="274">
        <f t="shared" ca="1" si="29"/>
        <v>1135</v>
      </c>
      <c r="AM107" s="311">
        <f t="shared" ca="1" si="30"/>
        <v>1135</v>
      </c>
      <c r="AN107" s="274">
        <f ca="1">IF(AND(Tabla7[[#This Row],[UltLec]]&lt;&gt;0,Tabla7[[#This Row],[PenLect]]&lt;&gt;0),(AM107-AL107)*Tabla7[[#This Row],[RT]],"N/A")</f>
        <v>0</v>
      </c>
      <c r="AO107" s="273" t="s">
        <v>1135</v>
      </c>
      <c r="AP107" s="392" t="s">
        <v>1190</v>
      </c>
      <c r="AQ107" s="392" t="s">
        <v>1189</v>
      </c>
      <c r="AR107" s="407">
        <f t="shared" si="31"/>
        <v>0</v>
      </c>
      <c r="AT107" s="2" t="str">
        <f t="shared" ca="1" si="32"/>
        <v>0</v>
      </c>
      <c r="AV107">
        <f>IF(ISBLANK(Tabla7[[#This Row],[31/12/2017]]),0,Tabla7[[#This Row],[31/12/2017]])</f>
        <v>1135</v>
      </c>
      <c r="AW107">
        <f>IF(ISBLANK(Tabla7[[#This Row],[15/01/2018]]),0,Tabla7[[#This Row],[15/01/2018]])</f>
        <v>1135</v>
      </c>
      <c r="AX107">
        <f>IF(ISBLANK(Tabla7[[#This Row],[15/02/2018]]),0,Tabla7[[#This Row],[15/02/2018]])</f>
        <v>1135</v>
      </c>
      <c r="AY107">
        <f>IF(ISBLANK(Tabla7[[#This Row],[15/03/2018]]),0,Tabla7[[#This Row],[15/03/2018]])</f>
        <v>1135</v>
      </c>
      <c r="AZ107">
        <f>IF(ISBLANK(Tabla7[[#This Row],[15/04/2018]]),0,Tabla7[[#This Row],[15/04/2018]])</f>
        <v>1135</v>
      </c>
      <c r="BA107">
        <f>IF(ISBLANK(Tabla7[[#This Row],[15/05/2018]]),0,Tabla7[[#This Row],[15/05/2018]])</f>
        <v>1135</v>
      </c>
      <c r="BB107">
        <f>IF(ISBLANK(Tabla7[[#This Row],[15/06/2018]]),0,Tabla7[[#This Row],[15/06/2018]])</f>
        <v>1135</v>
      </c>
      <c r="BC107">
        <f>IF(ISBLANK(Tabla7[[#This Row],[15/07/2018]]),0,Tabla7[[#This Row],[15/07/2018]])</f>
        <v>1135</v>
      </c>
      <c r="BD107">
        <f>IF(ISBLANK(Tabla7[[#This Row],[15/08/2018]]),0,Tabla7[[#This Row],[15/08/2018]])</f>
        <v>1135</v>
      </c>
      <c r="BE107">
        <f>IF(ISBLANK(Tabla7[[#This Row],[15/09/2018]]),0,Tabla7[[#This Row],[15/09/2018]])</f>
        <v>1135</v>
      </c>
      <c r="BF107">
        <f>IF(ISBLANK(Tabla7[[#This Row],[15/10/2018]]),0,Tabla7[[#This Row],[15/10/2018]])</f>
        <v>1135</v>
      </c>
      <c r="BG107">
        <f>IF(ISBLANK(Tabla7[[#This Row],[15/11/2018]]),0,Tabla7[[#This Row],[15/11/2018]])</f>
        <v>1135</v>
      </c>
      <c r="BH107">
        <f>IF(ISBLANK(Tabla7[[#This Row],[15/12/2018]]),0,Tabla7[[#This Row],[15/12/2018]])</f>
        <v>1135</v>
      </c>
      <c r="BI107">
        <f>IF(ISBLANK(Tabla7[[#This Row],[28/12/2018]]),0,Tabla7[[#This Row],[28/12/2018]])</f>
        <v>0</v>
      </c>
      <c r="BN10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('61560','S','SCT04','39945','REMOLQUES DEL MEDITERRANEO S.A','M PESQUERO 18       ','','');</v>
      </c>
      <c r="BO107" t="s">
        <v>243</v>
      </c>
      <c r="BP107" s="632" t="str">
        <f>CONCATENATE("insert into lecturas values ","('",Tabla7[[#This Row],[CONTADOR]],"',STR_TO_DATE('",Tabla7[[#Headers],[31/12/2017]],"','%d/%m/%Y'),",AV107,"),","('",Tabla7[[#This Row],[CONTADOR]],"',STR_TO_DATE('",Tabla7[[#Headers],[15/01/2018]],"','%d/%m/%Y'),",AW107,"),","('",Tabla7[[#This Row],[CONTADOR]],"',STR_TO_DATE('",Tabla7[[#Headers],[15/02/2018]],"','%d/%m/%Y'),",AX107,"),","('",Tabla7[[#This Row],[CONTADOR]],"',STR_TO_DATE('",Tabla7[[#Headers],[15/03/2018]],"','%d/%m/%Y'),",AY107,"),","('",Tabla7[[#This Row],[CONTADOR]],"',STR_TO_DATE('",Tabla7[[#Headers],[15/04/2018]],"','%d/%m/%Y'),",AZ107,"),","('",Tabla7[[#This Row],[CONTADOR]],"',STR_TO_DATE('",Tabla7[[#Headers],[15/05/2018]],"','%d/%m/%Y'),",BA107,"),","('",Tabla7[[#This Row],[CONTADOR]],"',STR_TO_DATE('",Tabla7[[#Headers],[15/06/2018]],"','%d/%m/%Y'),",BB107,"),","('",Tabla7[[#This Row],[CONTADOR]],"',STR_TO_DATE('",Tabla7[[#Headers],[15/07/2018]],"','%d/%m/%Y'),",BC107,"),","('",Tabla7[[#This Row],[CONTADOR]],"',STR_TO_DATE('",Tabla7[[#Headers],[15/08/2018]],"','%d/%m/%Y'),",BD107,"),","('",Tabla7[[#This Row],[CONTADOR]],"',STR_TO_DATE('",Tabla7[[#Headers],[15/09/2018]],"','%d/%m/%Y'),",BE107,"),","('",Tabla7[[#This Row],[CONTADOR]],"',STR_TO_DATE('",Tabla7[[#Headers],[15/10/2018]],"','%d/%m/%Y'),",BF107,"),","('",Tabla7[[#This Row],[CONTADOR]],"',STR_TO_DATE('",Tabla7[[#Headers],[15/11/2018]],"','%d/%m/%Y'),",BG107,"),","('",Tabla7[[#This Row],[CONTADOR]],"',STR_TO_DATE('",Tabla7[[#Headers],[15/12/2018]],"','%d/%m/%Y'),",BH107,");")</f>
        <v>insert into lecturas values ('61560',STR_TO_DATE('31/12/2017','%d/%m/%Y'),1135),('61560',STR_TO_DATE('15/01/2018','%d/%m/%Y'),1135),('61560',STR_TO_DATE('15/02/2018','%d/%m/%Y'),1135),('61560',STR_TO_DATE('15/03/2018','%d/%m/%Y'),1135),('61560',STR_TO_DATE('15/04/2018','%d/%m/%Y'),1135),('61560',STR_TO_DATE('15/05/2018','%d/%m/%Y'),1135),('61560',STR_TO_DATE('15/06/2018','%d/%m/%Y'),1135),('61560',STR_TO_DATE('15/07/2018','%d/%m/%Y'),1135),('61560',STR_TO_DATE('15/08/2018','%d/%m/%Y'),1135),('61560',STR_TO_DATE('15/09/2018','%d/%m/%Y'),1135),('61560',STR_TO_DATE('15/10/2018','%d/%m/%Y'),1135),('61560',STR_TO_DATE('15/11/2018','%d/%m/%Y'),1135),('61560',STR_TO_DATE('15/12/2018','%d/%m/%Y'),1135);</v>
      </c>
    </row>
    <row r="108" spans="1:68" ht="18" customHeight="1" x14ac:dyDescent="0.25">
      <c r="A108" s="241" t="s">
        <v>534</v>
      </c>
      <c r="B108" s="60"/>
      <c r="C108" s="223">
        <v>57868732</v>
      </c>
      <c r="D108" s="60" t="s">
        <v>541</v>
      </c>
      <c r="E108" s="258">
        <v>39939</v>
      </c>
      <c r="F108" s="274" t="s">
        <v>548</v>
      </c>
      <c r="G108" s="274" t="s">
        <v>549</v>
      </c>
      <c r="H108" s="2"/>
      <c r="I108" s="274"/>
      <c r="J108" s="311">
        <v>10456</v>
      </c>
      <c r="K108" s="311">
        <v>10489</v>
      </c>
      <c r="L108" s="311">
        <v>10573</v>
      </c>
      <c r="M108" s="311">
        <v>10644</v>
      </c>
      <c r="N108" s="311">
        <v>10682</v>
      </c>
      <c r="O108" s="311">
        <v>10748</v>
      </c>
      <c r="P108" s="311">
        <v>10818</v>
      </c>
      <c r="Q108" s="307">
        <v>10972</v>
      </c>
      <c r="R108" s="311">
        <v>11165</v>
      </c>
      <c r="S108" s="311">
        <v>11329</v>
      </c>
      <c r="T108" s="311">
        <v>11388</v>
      </c>
      <c r="U108" s="353">
        <v>11467</v>
      </c>
      <c r="V108" s="311">
        <v>11540</v>
      </c>
      <c r="W108" s="321"/>
      <c r="X108" s="307"/>
      <c r="Y108" s="2">
        <f t="shared" si="28"/>
        <v>33</v>
      </c>
      <c r="Z108" s="2">
        <f t="shared" si="27"/>
        <v>84</v>
      </c>
      <c r="AA108" s="2">
        <f t="shared" si="44"/>
        <v>71</v>
      </c>
      <c r="AB108" s="2">
        <f t="shared" si="45"/>
        <v>38</v>
      </c>
      <c r="AC108" s="2">
        <f t="shared" si="34"/>
        <v>66</v>
      </c>
      <c r="AD108" s="2">
        <f t="shared" si="35"/>
        <v>70</v>
      </c>
      <c r="AE108" s="2">
        <f t="shared" si="36"/>
        <v>154</v>
      </c>
      <c r="AF108" s="2">
        <f t="shared" si="37"/>
        <v>193</v>
      </c>
      <c r="AG108" s="2">
        <f t="shared" si="38"/>
        <v>164</v>
      </c>
      <c r="AH108" s="2">
        <f t="shared" si="41"/>
        <v>59</v>
      </c>
      <c r="AI108" s="2">
        <f t="shared" si="39"/>
        <v>79</v>
      </c>
      <c r="AJ108" s="2">
        <f t="shared" si="40"/>
        <v>73</v>
      </c>
      <c r="AK108" s="406">
        <v>1</v>
      </c>
      <c r="AL108" s="274">
        <f t="shared" ca="1" si="29"/>
        <v>10682</v>
      </c>
      <c r="AM108" s="311">
        <f t="shared" ca="1" si="30"/>
        <v>10748</v>
      </c>
      <c r="AN108" s="274">
        <f ca="1">IF(AND(Tabla7[[#This Row],[UltLec]]&lt;&gt;0,Tabla7[[#This Row],[PenLect]]&lt;&gt;0),(AM108-AL108)*Tabla7[[#This Row],[RT]],"N/A")</f>
        <v>66</v>
      </c>
      <c r="AO108" s="273" t="s">
        <v>1135</v>
      </c>
      <c r="AP108" s="392" t="s">
        <v>1190</v>
      </c>
      <c r="AQ108" s="392" t="s">
        <v>1189</v>
      </c>
      <c r="AR108" s="407">
        <f t="shared" si="31"/>
        <v>0</v>
      </c>
      <c r="AT108" s="2">
        <f t="shared" ca="1" si="32"/>
        <v>1.736842105263158</v>
      </c>
      <c r="AV108">
        <f>IF(ISBLANK(Tabla7[[#This Row],[31/12/2017]]),0,Tabla7[[#This Row],[31/12/2017]])</f>
        <v>10456</v>
      </c>
      <c r="AW108">
        <f>IF(ISBLANK(Tabla7[[#This Row],[15/01/2018]]),0,Tabla7[[#This Row],[15/01/2018]])</f>
        <v>10489</v>
      </c>
      <c r="AX108">
        <f>IF(ISBLANK(Tabla7[[#This Row],[15/02/2018]]),0,Tabla7[[#This Row],[15/02/2018]])</f>
        <v>10573</v>
      </c>
      <c r="AY108">
        <f>IF(ISBLANK(Tabla7[[#This Row],[15/03/2018]]),0,Tabla7[[#This Row],[15/03/2018]])</f>
        <v>10644</v>
      </c>
      <c r="AZ108">
        <f>IF(ISBLANK(Tabla7[[#This Row],[15/04/2018]]),0,Tabla7[[#This Row],[15/04/2018]])</f>
        <v>10682</v>
      </c>
      <c r="BA108">
        <f>IF(ISBLANK(Tabla7[[#This Row],[15/05/2018]]),0,Tabla7[[#This Row],[15/05/2018]])</f>
        <v>10748</v>
      </c>
      <c r="BB108">
        <f>IF(ISBLANK(Tabla7[[#This Row],[15/06/2018]]),0,Tabla7[[#This Row],[15/06/2018]])</f>
        <v>10818</v>
      </c>
      <c r="BC108">
        <f>IF(ISBLANK(Tabla7[[#This Row],[15/07/2018]]),0,Tabla7[[#This Row],[15/07/2018]])</f>
        <v>10972</v>
      </c>
      <c r="BD108">
        <f>IF(ISBLANK(Tabla7[[#This Row],[15/08/2018]]),0,Tabla7[[#This Row],[15/08/2018]])</f>
        <v>11165</v>
      </c>
      <c r="BE108">
        <f>IF(ISBLANK(Tabla7[[#This Row],[15/09/2018]]),0,Tabla7[[#This Row],[15/09/2018]])</f>
        <v>11329</v>
      </c>
      <c r="BF108">
        <f>IF(ISBLANK(Tabla7[[#This Row],[15/10/2018]]),0,Tabla7[[#This Row],[15/10/2018]])</f>
        <v>11388</v>
      </c>
      <c r="BG108">
        <f>IF(ISBLANK(Tabla7[[#This Row],[15/11/2018]]),0,Tabla7[[#This Row],[15/11/2018]])</f>
        <v>11467</v>
      </c>
      <c r="BH108">
        <f>IF(ISBLANK(Tabla7[[#This Row],[15/12/2018]]),0,Tabla7[[#This Row],[15/12/2018]])</f>
        <v>11540</v>
      </c>
      <c r="BI108">
        <f>IF(ISBLANK(Tabla7[[#This Row],[28/12/2018]]),0,Tabla7[[#This Row],[28/12/2018]])</f>
        <v>0</v>
      </c>
      <c r="BN10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('57868732','S','SCT04','39939','PETROPESCA, S.L.              ','M PESQUERO          ','','');</v>
      </c>
      <c r="BO108" t="s">
        <v>243</v>
      </c>
      <c r="BP108" s="632" t="str">
        <f>CONCATENATE("insert into lecturas values ","('",Tabla7[[#This Row],[CONTADOR]],"',STR_TO_DATE('",Tabla7[[#Headers],[31/12/2017]],"','%d/%m/%Y'),",AV108,"),","('",Tabla7[[#This Row],[CONTADOR]],"',STR_TO_DATE('",Tabla7[[#Headers],[15/01/2018]],"','%d/%m/%Y'),",AW108,"),","('",Tabla7[[#This Row],[CONTADOR]],"',STR_TO_DATE('",Tabla7[[#Headers],[15/02/2018]],"','%d/%m/%Y'),",AX108,"),","('",Tabla7[[#This Row],[CONTADOR]],"',STR_TO_DATE('",Tabla7[[#Headers],[15/03/2018]],"','%d/%m/%Y'),",AY108,"),","('",Tabla7[[#This Row],[CONTADOR]],"',STR_TO_DATE('",Tabla7[[#Headers],[15/04/2018]],"','%d/%m/%Y'),",AZ108,"),","('",Tabla7[[#This Row],[CONTADOR]],"',STR_TO_DATE('",Tabla7[[#Headers],[15/05/2018]],"','%d/%m/%Y'),",BA108,"),","('",Tabla7[[#This Row],[CONTADOR]],"',STR_TO_DATE('",Tabla7[[#Headers],[15/06/2018]],"','%d/%m/%Y'),",BB108,"),","('",Tabla7[[#This Row],[CONTADOR]],"',STR_TO_DATE('",Tabla7[[#Headers],[15/07/2018]],"','%d/%m/%Y'),",BC108,"),","('",Tabla7[[#This Row],[CONTADOR]],"',STR_TO_DATE('",Tabla7[[#Headers],[15/08/2018]],"','%d/%m/%Y'),",BD108,"),","('",Tabla7[[#This Row],[CONTADOR]],"',STR_TO_DATE('",Tabla7[[#Headers],[15/09/2018]],"','%d/%m/%Y'),",BE108,"),","('",Tabla7[[#This Row],[CONTADOR]],"',STR_TO_DATE('",Tabla7[[#Headers],[15/10/2018]],"','%d/%m/%Y'),",BF108,"),","('",Tabla7[[#This Row],[CONTADOR]],"',STR_TO_DATE('",Tabla7[[#Headers],[15/11/2018]],"','%d/%m/%Y'),",BG108,"),","('",Tabla7[[#This Row],[CONTADOR]],"',STR_TO_DATE('",Tabla7[[#Headers],[15/12/2018]],"','%d/%m/%Y'),",BH108,");")</f>
        <v>insert into lecturas values ('57868732',STR_TO_DATE('31/12/2017','%d/%m/%Y'),10456),('57868732',STR_TO_DATE('15/01/2018','%d/%m/%Y'),10489),('57868732',STR_TO_DATE('15/02/2018','%d/%m/%Y'),10573),('57868732',STR_TO_DATE('15/03/2018','%d/%m/%Y'),10644),('57868732',STR_TO_DATE('15/04/2018','%d/%m/%Y'),10682),('57868732',STR_TO_DATE('15/05/2018','%d/%m/%Y'),10748),('57868732',STR_TO_DATE('15/06/2018','%d/%m/%Y'),10818),('57868732',STR_TO_DATE('15/07/2018','%d/%m/%Y'),10972),('57868732',STR_TO_DATE('15/08/2018','%d/%m/%Y'),11165),('57868732',STR_TO_DATE('15/09/2018','%d/%m/%Y'),11329),('57868732',STR_TO_DATE('15/10/2018','%d/%m/%Y'),11388),('57868732',STR_TO_DATE('15/11/2018','%d/%m/%Y'),11467),('57868732',STR_TO_DATE('15/12/2018','%d/%m/%Y'),11540);</v>
      </c>
    </row>
    <row r="109" spans="1:68" ht="18" customHeight="1" x14ac:dyDescent="0.3">
      <c r="A109" s="241" t="s">
        <v>534</v>
      </c>
      <c r="B109" s="60"/>
      <c r="C109" s="223">
        <v>62079903</v>
      </c>
      <c r="D109" s="60" t="s">
        <v>541</v>
      </c>
      <c r="E109" s="258">
        <v>2</v>
      </c>
      <c r="F109" s="274" t="s">
        <v>1174</v>
      </c>
      <c r="G109" s="274" t="s">
        <v>1173</v>
      </c>
      <c r="H109" s="274"/>
      <c r="I109" s="274"/>
      <c r="J109" s="311"/>
      <c r="K109" s="311"/>
      <c r="L109" s="311">
        <v>54</v>
      </c>
      <c r="M109" s="311"/>
      <c r="N109" s="311"/>
      <c r="O109" s="454"/>
      <c r="P109" s="311"/>
      <c r="Q109" s="307">
        <v>0</v>
      </c>
      <c r="R109" s="311"/>
      <c r="S109" s="311"/>
      <c r="T109" s="311">
        <v>0</v>
      </c>
      <c r="U109" s="353">
        <v>0</v>
      </c>
      <c r="V109" s="311">
        <v>0</v>
      </c>
      <c r="W109" s="344"/>
      <c r="X109" s="307"/>
      <c r="Y109" s="2" t="str">
        <f t="shared" si="28"/>
        <v/>
      </c>
      <c r="Z109" s="2" t="str">
        <f t="shared" si="27"/>
        <v/>
      </c>
      <c r="AA109" s="2" t="str">
        <f t="shared" si="44"/>
        <v/>
      </c>
      <c r="AB109" s="2" t="str">
        <f t="shared" si="45"/>
        <v/>
      </c>
      <c r="AC109" s="2" t="str">
        <f t="shared" si="34"/>
        <v/>
      </c>
      <c r="AD109" s="2" t="str">
        <f t="shared" si="35"/>
        <v/>
      </c>
      <c r="AE109" s="2" t="str">
        <f t="shared" si="36"/>
        <v/>
      </c>
      <c r="AF109" s="2" t="str">
        <f t="shared" si="37"/>
        <v/>
      </c>
      <c r="AG109" s="2" t="str">
        <f t="shared" si="38"/>
        <v/>
      </c>
      <c r="AH109" s="271" t="str">
        <f t="shared" si="41"/>
        <v/>
      </c>
      <c r="AI109" s="2">
        <f t="shared" si="39"/>
        <v>0</v>
      </c>
      <c r="AJ109" s="2">
        <f t="shared" si="40"/>
        <v>0</v>
      </c>
      <c r="AK109" s="420">
        <v>1</v>
      </c>
      <c r="AL109" s="429">
        <f t="shared" ca="1" si="29"/>
        <v>0</v>
      </c>
      <c r="AM109" s="311">
        <f t="shared" ca="1" si="30"/>
        <v>0</v>
      </c>
      <c r="AN109" s="412" t="str">
        <f ca="1">IF(AND(Tabla7[[#This Row],[UltLec]]&lt;&gt;0,Tabla7[[#This Row],[PenLect]]&lt;&gt;0),(AM109-AL109)*Tabla7[[#This Row],[RT]],"N/A")</f>
        <v>N/A</v>
      </c>
      <c r="AO109" s="273" t="s">
        <v>1135</v>
      </c>
      <c r="AP109" s="392" t="s">
        <v>1190</v>
      </c>
      <c r="AQ109" s="392" t="s">
        <v>1189</v>
      </c>
      <c r="AR109" s="407">
        <f t="shared" si="31"/>
        <v>0</v>
      </c>
      <c r="AT109" s="2" t="e">
        <f t="shared" ca="1" si="32"/>
        <v>#VALUE!</v>
      </c>
      <c r="AV109">
        <f>IF(ISBLANK(Tabla7[[#This Row],[31/12/2017]]),0,Tabla7[[#This Row],[31/12/2017]])</f>
        <v>0</v>
      </c>
      <c r="AW109">
        <f>IF(ISBLANK(Tabla7[[#This Row],[15/01/2018]]),0,Tabla7[[#This Row],[15/01/2018]])</f>
        <v>0</v>
      </c>
      <c r="AX109">
        <f>IF(ISBLANK(Tabla7[[#This Row],[15/02/2018]]),0,Tabla7[[#This Row],[15/02/2018]])</f>
        <v>54</v>
      </c>
      <c r="AY109">
        <f>IF(ISBLANK(Tabla7[[#This Row],[15/03/2018]]),0,Tabla7[[#This Row],[15/03/2018]])</f>
        <v>0</v>
      </c>
      <c r="AZ109">
        <f>IF(ISBLANK(Tabla7[[#This Row],[15/04/2018]]),0,Tabla7[[#This Row],[15/04/2018]])</f>
        <v>0</v>
      </c>
      <c r="BA109">
        <f>IF(ISBLANK(Tabla7[[#This Row],[15/05/2018]]),0,Tabla7[[#This Row],[15/05/2018]])</f>
        <v>0</v>
      </c>
      <c r="BB109">
        <f>IF(ISBLANK(Tabla7[[#This Row],[15/06/2018]]),0,Tabla7[[#This Row],[15/06/2018]])</f>
        <v>0</v>
      </c>
      <c r="BC109">
        <f>IF(ISBLANK(Tabla7[[#This Row],[15/07/2018]]),0,Tabla7[[#This Row],[15/07/2018]])</f>
        <v>0</v>
      </c>
      <c r="BD109">
        <f>IF(ISBLANK(Tabla7[[#This Row],[15/08/2018]]),0,Tabla7[[#This Row],[15/08/2018]])</f>
        <v>0</v>
      </c>
      <c r="BE109">
        <f>IF(ISBLANK(Tabla7[[#This Row],[15/09/2018]]),0,Tabla7[[#This Row],[15/09/2018]])</f>
        <v>0</v>
      </c>
      <c r="BF109">
        <f>IF(ISBLANK(Tabla7[[#This Row],[15/10/2018]]),0,Tabla7[[#This Row],[15/10/2018]])</f>
        <v>0</v>
      </c>
      <c r="BG109">
        <f>IF(ISBLANK(Tabla7[[#This Row],[15/11/2018]]),0,Tabla7[[#This Row],[15/11/2018]])</f>
        <v>0</v>
      </c>
      <c r="BH109">
        <f>IF(ISBLANK(Tabla7[[#This Row],[15/12/2018]]),0,Tabla7[[#This Row],[15/12/2018]])</f>
        <v>0</v>
      </c>
      <c r="BI109">
        <f>IF(ISBLANK(Tabla7[[#This Row],[28/12/2018]]),0,Tabla7[[#This Row],[28/12/2018]])</f>
        <v>0</v>
      </c>
      <c r="BN10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('62079903','S','SCT04','2','CASETA19/20','CASETA 19/20','','');</v>
      </c>
      <c r="BO109" t="s">
        <v>243</v>
      </c>
      <c r="BP109" s="632" t="str">
        <f>CONCATENATE("insert into lecturas values ","('",Tabla7[[#This Row],[CONTADOR]],"',STR_TO_DATE('",Tabla7[[#Headers],[31/12/2017]],"','%d/%m/%Y'),",AV109,"),","('",Tabla7[[#This Row],[CONTADOR]],"',STR_TO_DATE('",Tabla7[[#Headers],[15/01/2018]],"','%d/%m/%Y'),",AW109,"),","('",Tabla7[[#This Row],[CONTADOR]],"',STR_TO_DATE('",Tabla7[[#Headers],[15/02/2018]],"','%d/%m/%Y'),",AX109,"),","('",Tabla7[[#This Row],[CONTADOR]],"',STR_TO_DATE('",Tabla7[[#Headers],[15/03/2018]],"','%d/%m/%Y'),",AY109,"),","('",Tabla7[[#This Row],[CONTADOR]],"',STR_TO_DATE('",Tabla7[[#Headers],[15/04/2018]],"','%d/%m/%Y'),",AZ109,"),","('",Tabla7[[#This Row],[CONTADOR]],"',STR_TO_DATE('",Tabla7[[#Headers],[15/05/2018]],"','%d/%m/%Y'),",BA109,"),","('",Tabla7[[#This Row],[CONTADOR]],"',STR_TO_DATE('",Tabla7[[#Headers],[15/06/2018]],"','%d/%m/%Y'),",BB109,"),","('",Tabla7[[#This Row],[CONTADOR]],"',STR_TO_DATE('",Tabla7[[#Headers],[15/07/2018]],"','%d/%m/%Y'),",BC109,"),","('",Tabla7[[#This Row],[CONTADOR]],"',STR_TO_DATE('",Tabla7[[#Headers],[15/08/2018]],"','%d/%m/%Y'),",BD109,"),","('",Tabla7[[#This Row],[CONTADOR]],"',STR_TO_DATE('",Tabla7[[#Headers],[15/09/2018]],"','%d/%m/%Y'),",BE109,"),","('",Tabla7[[#This Row],[CONTADOR]],"',STR_TO_DATE('",Tabla7[[#Headers],[15/10/2018]],"','%d/%m/%Y'),",BF109,"),","('",Tabla7[[#This Row],[CONTADOR]],"',STR_TO_DATE('",Tabla7[[#Headers],[15/11/2018]],"','%d/%m/%Y'),",BG109,"),","('",Tabla7[[#This Row],[CONTADOR]],"',STR_TO_DATE('",Tabla7[[#Headers],[15/12/2018]],"','%d/%m/%Y'),",BH109,");")</f>
        <v>insert into lecturas values ('62079903',STR_TO_DATE('31/12/2017','%d/%m/%Y'),0),('62079903',STR_TO_DATE('15/01/2018','%d/%m/%Y'),0),('62079903',STR_TO_DATE('15/02/2018','%d/%m/%Y'),54),('62079903',STR_TO_DATE('15/03/2018','%d/%m/%Y'),0),('62079903',STR_TO_DATE('15/04/2018','%d/%m/%Y'),0),('62079903',STR_TO_DATE('15/05/2018','%d/%m/%Y'),0),('62079903',STR_TO_DATE('15/06/2018','%d/%m/%Y'),0),('62079903',STR_TO_DATE('15/07/2018','%d/%m/%Y'),0),('62079903',STR_TO_DATE('15/08/2018','%d/%m/%Y'),0),('62079903',STR_TO_DATE('15/09/2018','%d/%m/%Y'),0),('62079903',STR_TO_DATE('15/10/2018','%d/%m/%Y'),0),('62079903',STR_TO_DATE('15/11/2018','%d/%m/%Y'),0),('62079903',STR_TO_DATE('15/12/2018','%d/%m/%Y'),0);</v>
      </c>
    </row>
    <row r="110" spans="1:68" ht="18" customHeight="1" x14ac:dyDescent="0.3">
      <c r="A110" s="241" t="s">
        <v>534</v>
      </c>
      <c r="B110" s="60"/>
      <c r="C110" s="223">
        <v>78126109</v>
      </c>
      <c r="D110" s="60" t="s">
        <v>541</v>
      </c>
      <c r="E110" s="258">
        <v>39582</v>
      </c>
      <c r="F110" s="442" t="s">
        <v>1198</v>
      </c>
      <c r="G110" s="274" t="s">
        <v>561</v>
      </c>
      <c r="H110" s="307"/>
      <c r="I110" s="307" t="s">
        <v>1199</v>
      </c>
      <c r="J110" s="353"/>
      <c r="K110" s="353"/>
      <c r="L110" s="311">
        <v>402294</v>
      </c>
      <c r="M110" s="353">
        <v>404117</v>
      </c>
      <c r="N110" s="311">
        <v>408558</v>
      </c>
      <c r="O110" s="311">
        <v>411457</v>
      </c>
      <c r="P110" s="311">
        <v>414779</v>
      </c>
      <c r="Q110" s="307">
        <v>417686</v>
      </c>
      <c r="R110" s="311">
        <v>420738</v>
      </c>
      <c r="S110" s="311">
        <v>424838</v>
      </c>
      <c r="T110" s="311">
        <v>426393</v>
      </c>
      <c r="U110" s="353">
        <v>431922</v>
      </c>
      <c r="V110" s="311">
        <v>440013</v>
      </c>
      <c r="W110" s="344"/>
      <c r="X110" s="307"/>
      <c r="Y110" s="275" t="str">
        <f t="shared" si="28"/>
        <v/>
      </c>
      <c r="Z110" s="275" t="str">
        <f t="shared" si="27"/>
        <v/>
      </c>
      <c r="AA110" s="2">
        <f t="shared" si="44"/>
        <v>1823</v>
      </c>
      <c r="AB110" s="2">
        <f t="shared" si="45"/>
        <v>4441</v>
      </c>
      <c r="AC110" s="275">
        <f t="shared" si="34"/>
        <v>2899</v>
      </c>
      <c r="AD110" s="275">
        <f t="shared" si="35"/>
        <v>3322</v>
      </c>
      <c r="AE110" s="275">
        <f t="shared" si="36"/>
        <v>2907</v>
      </c>
      <c r="AF110" s="275">
        <f t="shared" si="37"/>
        <v>3052</v>
      </c>
      <c r="AG110" s="275">
        <f t="shared" si="38"/>
        <v>4100</v>
      </c>
      <c r="AH110" s="439">
        <f t="shared" si="41"/>
        <v>1555</v>
      </c>
      <c r="AI110" s="275">
        <f t="shared" si="39"/>
        <v>5529</v>
      </c>
      <c r="AJ110" s="275">
        <f t="shared" si="40"/>
        <v>8091</v>
      </c>
      <c r="AK110" s="420">
        <v>1</v>
      </c>
      <c r="AL110" s="429">
        <f t="shared" ca="1" si="29"/>
        <v>408558</v>
      </c>
      <c r="AM110" s="353">
        <f t="shared" ca="1" si="30"/>
        <v>411457</v>
      </c>
      <c r="AN110" s="429">
        <f ca="1">IF(AND(Tabla7[[#This Row],[UltLec]]&lt;&gt;0,Tabla7[[#This Row],[PenLect]]&lt;&gt;0),(AM110-AL110)*Tabla7[[#This Row],[RT]],"N/A")</f>
        <v>2899</v>
      </c>
      <c r="AO110" s="273" t="s">
        <v>1135</v>
      </c>
      <c r="AP110" s="392" t="s">
        <v>1190</v>
      </c>
      <c r="AQ110" s="392" t="s">
        <v>1189</v>
      </c>
      <c r="AR110" s="422">
        <f t="shared" si="31"/>
        <v>0</v>
      </c>
      <c r="AT110" s="2">
        <f t="shared" ca="1" si="32"/>
        <v>0.6527809052015312</v>
      </c>
      <c r="AV110">
        <f>IF(ISBLANK(Tabla7[[#This Row],[31/12/2017]]),0,Tabla7[[#This Row],[31/12/2017]])</f>
        <v>0</v>
      </c>
      <c r="AW110">
        <f>IF(ISBLANK(Tabla7[[#This Row],[15/01/2018]]),0,Tabla7[[#This Row],[15/01/2018]])</f>
        <v>0</v>
      </c>
      <c r="AX110">
        <f>IF(ISBLANK(Tabla7[[#This Row],[15/02/2018]]),0,Tabla7[[#This Row],[15/02/2018]])</f>
        <v>402294</v>
      </c>
      <c r="AY110">
        <f>IF(ISBLANK(Tabla7[[#This Row],[15/03/2018]]),0,Tabla7[[#This Row],[15/03/2018]])</f>
        <v>404117</v>
      </c>
      <c r="AZ110">
        <f>IF(ISBLANK(Tabla7[[#This Row],[15/04/2018]]),0,Tabla7[[#This Row],[15/04/2018]])</f>
        <v>408558</v>
      </c>
      <c r="BA110">
        <f>IF(ISBLANK(Tabla7[[#This Row],[15/05/2018]]),0,Tabla7[[#This Row],[15/05/2018]])</f>
        <v>411457</v>
      </c>
      <c r="BB110">
        <f>IF(ISBLANK(Tabla7[[#This Row],[15/06/2018]]),0,Tabla7[[#This Row],[15/06/2018]])</f>
        <v>414779</v>
      </c>
      <c r="BC110">
        <f>IF(ISBLANK(Tabla7[[#This Row],[15/07/2018]]),0,Tabla7[[#This Row],[15/07/2018]])</f>
        <v>417686</v>
      </c>
      <c r="BD110">
        <f>IF(ISBLANK(Tabla7[[#This Row],[15/08/2018]]),0,Tabla7[[#This Row],[15/08/2018]])</f>
        <v>420738</v>
      </c>
      <c r="BE110">
        <f>IF(ISBLANK(Tabla7[[#This Row],[15/09/2018]]),0,Tabla7[[#This Row],[15/09/2018]])</f>
        <v>424838</v>
      </c>
      <c r="BF110">
        <f>IF(ISBLANK(Tabla7[[#This Row],[15/10/2018]]),0,Tabla7[[#This Row],[15/10/2018]])</f>
        <v>426393</v>
      </c>
      <c r="BG110">
        <f>IF(ISBLANK(Tabla7[[#This Row],[15/11/2018]]),0,Tabla7[[#This Row],[15/11/2018]])</f>
        <v>431922</v>
      </c>
      <c r="BH110">
        <f>IF(ISBLANK(Tabla7[[#This Row],[15/12/2018]]),0,Tabla7[[#This Row],[15/12/2018]])</f>
        <v>440013</v>
      </c>
      <c r="BI110">
        <f>IF(ISBLANK(Tabla7[[#This Row],[28/12/2018]]),0,Tabla7[[#This Row],[28/12/2018]])</f>
        <v>0</v>
      </c>
      <c r="BN11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('78126109','S','SCT04','39582','NOATUM T SAGUNTO S.L.U.','MUELLE NORTE','','Alta en Marzo');</v>
      </c>
      <c r="BO110" t="s">
        <v>243</v>
      </c>
      <c r="BP110" s="632" t="str">
        <f>CONCATENATE("insert into lecturas values ","('",Tabla7[[#This Row],[CONTADOR]],"',STR_TO_DATE('",Tabla7[[#Headers],[31/12/2017]],"','%d/%m/%Y'),",AV110,"),","('",Tabla7[[#This Row],[CONTADOR]],"',STR_TO_DATE('",Tabla7[[#Headers],[15/01/2018]],"','%d/%m/%Y'),",AW110,"),","('",Tabla7[[#This Row],[CONTADOR]],"',STR_TO_DATE('",Tabla7[[#Headers],[15/02/2018]],"','%d/%m/%Y'),",AX110,"),","('",Tabla7[[#This Row],[CONTADOR]],"',STR_TO_DATE('",Tabla7[[#Headers],[15/03/2018]],"','%d/%m/%Y'),",AY110,"),","('",Tabla7[[#This Row],[CONTADOR]],"',STR_TO_DATE('",Tabla7[[#Headers],[15/04/2018]],"','%d/%m/%Y'),",AZ110,"),","('",Tabla7[[#This Row],[CONTADOR]],"',STR_TO_DATE('",Tabla7[[#Headers],[15/05/2018]],"','%d/%m/%Y'),",BA110,"),","('",Tabla7[[#This Row],[CONTADOR]],"',STR_TO_DATE('",Tabla7[[#Headers],[15/06/2018]],"','%d/%m/%Y'),",BB110,"),","('",Tabla7[[#This Row],[CONTADOR]],"',STR_TO_DATE('",Tabla7[[#Headers],[15/07/2018]],"','%d/%m/%Y'),",BC110,"),","('",Tabla7[[#This Row],[CONTADOR]],"',STR_TO_DATE('",Tabla7[[#Headers],[15/08/2018]],"','%d/%m/%Y'),",BD110,"),","('",Tabla7[[#This Row],[CONTADOR]],"',STR_TO_DATE('",Tabla7[[#Headers],[15/09/2018]],"','%d/%m/%Y'),",BE110,"),","('",Tabla7[[#This Row],[CONTADOR]],"',STR_TO_DATE('",Tabla7[[#Headers],[15/10/2018]],"','%d/%m/%Y'),",BF110,"),","('",Tabla7[[#This Row],[CONTADOR]],"',STR_TO_DATE('",Tabla7[[#Headers],[15/11/2018]],"','%d/%m/%Y'),",BG110,"),","('",Tabla7[[#This Row],[CONTADOR]],"',STR_TO_DATE('",Tabla7[[#Headers],[15/12/2018]],"','%d/%m/%Y'),",BH110,");")</f>
        <v>insert into lecturas values ('78126109',STR_TO_DATE('31/12/2017','%d/%m/%Y'),0),('78126109',STR_TO_DATE('15/01/2018','%d/%m/%Y'),0),('78126109',STR_TO_DATE('15/02/2018','%d/%m/%Y'),402294),('78126109',STR_TO_DATE('15/03/2018','%d/%m/%Y'),404117),('78126109',STR_TO_DATE('15/04/2018','%d/%m/%Y'),408558),('78126109',STR_TO_DATE('15/05/2018','%d/%m/%Y'),411457),('78126109',STR_TO_DATE('15/06/2018','%d/%m/%Y'),414779),('78126109',STR_TO_DATE('15/07/2018','%d/%m/%Y'),417686),('78126109',STR_TO_DATE('15/08/2018','%d/%m/%Y'),420738),('78126109',STR_TO_DATE('15/09/2018','%d/%m/%Y'),424838),('78126109',STR_TO_DATE('15/10/2018','%d/%m/%Y'),426393),('78126109',STR_TO_DATE('15/11/2018','%d/%m/%Y'),431922),('78126109',STR_TO_DATE('15/12/2018','%d/%m/%Y'),440013);</v>
      </c>
    </row>
    <row r="111" spans="1:68" ht="18" customHeight="1" x14ac:dyDescent="0.25">
      <c r="A111" s="395" t="s">
        <v>1175</v>
      </c>
      <c r="B111" s="60"/>
      <c r="C111" s="396">
        <v>78126109</v>
      </c>
      <c r="D111" s="397" t="s">
        <v>541</v>
      </c>
      <c r="E111" s="461">
        <v>39919</v>
      </c>
      <c r="F111" s="399" t="s">
        <v>546</v>
      </c>
      <c r="G111" s="398" t="s">
        <v>547</v>
      </c>
      <c r="H111" s="398"/>
      <c r="I111" s="399" t="s">
        <v>1140</v>
      </c>
      <c r="J111" s="400">
        <v>398851</v>
      </c>
      <c r="K111" s="400">
        <v>399459</v>
      </c>
      <c r="L111" s="400">
        <v>402294</v>
      </c>
      <c r="M111" s="400"/>
      <c r="N111" s="400"/>
      <c r="O111" s="400"/>
      <c r="P111" s="311"/>
      <c r="Q111" s="399"/>
      <c r="R111" s="399"/>
      <c r="S111" s="399"/>
      <c r="T111" s="399"/>
      <c r="U111" s="400"/>
      <c r="V111" s="401"/>
      <c r="W111" s="401"/>
      <c r="X111" s="399"/>
      <c r="Y111" s="398">
        <f t="shared" si="28"/>
        <v>608</v>
      </c>
      <c r="Z111" s="398">
        <f t="shared" si="27"/>
        <v>2835</v>
      </c>
      <c r="AA111" s="398" t="str">
        <f t="shared" si="44"/>
        <v/>
      </c>
      <c r="AB111" s="398" t="str">
        <f t="shared" si="45"/>
        <v/>
      </c>
      <c r="AC111" s="398" t="str">
        <f t="shared" si="34"/>
        <v/>
      </c>
      <c r="AD111" s="398" t="str">
        <f t="shared" si="35"/>
        <v/>
      </c>
      <c r="AE111" s="398" t="str">
        <f t="shared" si="36"/>
        <v/>
      </c>
      <c r="AF111" s="398" t="str">
        <f t="shared" si="37"/>
        <v/>
      </c>
      <c r="AG111" s="398" t="str">
        <f t="shared" si="38"/>
        <v/>
      </c>
      <c r="AH111" s="398" t="str">
        <f t="shared" si="41"/>
        <v/>
      </c>
      <c r="AI111" s="398" t="str">
        <f t="shared" si="39"/>
        <v/>
      </c>
      <c r="AJ111" s="398" t="str">
        <f t="shared" si="40"/>
        <v/>
      </c>
      <c r="AK111" s="419">
        <v>1</v>
      </c>
      <c r="AL111" s="399">
        <f t="shared" ca="1" si="29"/>
        <v>0</v>
      </c>
      <c r="AM111" s="400">
        <f t="shared" ca="1" si="30"/>
        <v>0</v>
      </c>
      <c r="AN111" s="399" t="str">
        <f ca="1">IF(AND(Tabla7[[#This Row],[UltLec]]&lt;&gt;0,Tabla7[[#This Row],[PenLect]]&lt;&gt;0),(AM111-AL111)*Tabla7[[#This Row],[RT]],"N/A")</f>
        <v>N/A</v>
      </c>
      <c r="AO111" s="402"/>
      <c r="AP111" s="399" t="s">
        <v>1190</v>
      </c>
      <c r="AQ111" s="399" t="s">
        <v>1189</v>
      </c>
      <c r="AR111" s="426">
        <f t="shared" si="31"/>
        <v>0</v>
      </c>
      <c r="AT111" s="2" t="e">
        <f t="shared" ca="1" si="32"/>
        <v>#VALUE!</v>
      </c>
      <c r="AV111">
        <f>IF(ISBLANK(Tabla7[[#This Row],[31/12/2017]]),0,Tabla7[[#This Row],[31/12/2017]])</f>
        <v>398851</v>
      </c>
      <c r="AW111">
        <f>IF(ISBLANK(Tabla7[[#This Row],[15/01/2018]]),0,Tabla7[[#This Row],[15/01/2018]])</f>
        <v>399459</v>
      </c>
      <c r="AX111">
        <f>IF(ISBLANK(Tabla7[[#This Row],[15/02/2018]]),0,Tabla7[[#This Row],[15/02/2018]])</f>
        <v>402294</v>
      </c>
      <c r="AY111">
        <f>IF(ISBLANK(Tabla7[[#This Row],[15/03/2018]]),0,Tabla7[[#This Row],[15/03/2018]])</f>
        <v>0</v>
      </c>
      <c r="AZ111">
        <f>IF(ISBLANK(Tabla7[[#This Row],[15/04/2018]]),0,Tabla7[[#This Row],[15/04/2018]])</f>
        <v>0</v>
      </c>
      <c r="BA111">
        <f>IF(ISBLANK(Tabla7[[#This Row],[15/05/2018]]),0,Tabla7[[#This Row],[15/05/2018]])</f>
        <v>0</v>
      </c>
      <c r="BB111">
        <f>IF(ISBLANK(Tabla7[[#This Row],[15/06/2018]]),0,Tabla7[[#This Row],[15/06/2018]])</f>
        <v>0</v>
      </c>
      <c r="BC111">
        <f>IF(ISBLANK(Tabla7[[#This Row],[15/07/2018]]),0,Tabla7[[#This Row],[15/07/2018]])</f>
        <v>0</v>
      </c>
      <c r="BD111">
        <f>IF(ISBLANK(Tabla7[[#This Row],[15/08/2018]]),0,Tabla7[[#This Row],[15/08/2018]])</f>
        <v>0</v>
      </c>
      <c r="BE111">
        <f>IF(ISBLANK(Tabla7[[#This Row],[15/09/2018]]),0,Tabla7[[#This Row],[15/09/2018]])</f>
        <v>0</v>
      </c>
      <c r="BF111">
        <f>IF(ISBLANK(Tabla7[[#This Row],[15/10/2018]]),0,Tabla7[[#This Row],[15/10/2018]])</f>
        <v>0</v>
      </c>
      <c r="BG111">
        <f>IF(ISBLANK(Tabla7[[#This Row],[15/11/2018]]),0,Tabla7[[#This Row],[15/11/2018]])</f>
        <v>0</v>
      </c>
      <c r="BH111">
        <f>IF(ISBLANK(Tabla7[[#This Row],[15/12/2018]]),0,Tabla7[[#This Row],[15/12/2018]])</f>
        <v>0</v>
      </c>
      <c r="BI111">
        <f>IF(ISBLANK(Tabla7[[#This Row],[28/12/2018]]),0,Tabla7[[#This Row],[28/12/2018]])</f>
        <v>0</v>
      </c>
      <c r="BN11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('78126109','SBAJA','SCT04','39919','LOGISTICA PUERTO DE SAGUNTO SL','MUELLE NORTE        ','','BAJA SEGÚN MANOLO');</v>
      </c>
      <c r="BO111" t="s">
        <v>243</v>
      </c>
      <c r="BP111" s="632" t="str">
        <f>CONCATENATE("insert into lecturas values ","('",Tabla7[[#This Row],[CONTADOR]],"',STR_TO_DATE('",Tabla7[[#Headers],[31/12/2017]],"','%d/%m/%Y'),",AV111,"),","('",Tabla7[[#This Row],[CONTADOR]],"',STR_TO_DATE('",Tabla7[[#Headers],[15/01/2018]],"','%d/%m/%Y'),",AW111,"),","('",Tabla7[[#This Row],[CONTADOR]],"',STR_TO_DATE('",Tabla7[[#Headers],[15/02/2018]],"','%d/%m/%Y'),",AX111,"),","('",Tabla7[[#This Row],[CONTADOR]],"',STR_TO_DATE('",Tabla7[[#Headers],[15/03/2018]],"','%d/%m/%Y'),",AY111,"),","('",Tabla7[[#This Row],[CONTADOR]],"',STR_TO_DATE('",Tabla7[[#Headers],[15/04/2018]],"','%d/%m/%Y'),",AZ111,"),","('",Tabla7[[#This Row],[CONTADOR]],"',STR_TO_DATE('",Tabla7[[#Headers],[15/05/2018]],"','%d/%m/%Y'),",BA111,"),","('",Tabla7[[#This Row],[CONTADOR]],"',STR_TO_DATE('",Tabla7[[#Headers],[15/06/2018]],"','%d/%m/%Y'),",BB111,"),","('",Tabla7[[#This Row],[CONTADOR]],"',STR_TO_DATE('",Tabla7[[#Headers],[15/07/2018]],"','%d/%m/%Y'),",BC111,"),","('",Tabla7[[#This Row],[CONTADOR]],"',STR_TO_DATE('",Tabla7[[#Headers],[15/08/2018]],"','%d/%m/%Y'),",BD111,"),","('",Tabla7[[#This Row],[CONTADOR]],"',STR_TO_DATE('",Tabla7[[#Headers],[15/09/2018]],"','%d/%m/%Y'),",BE111,"),","('",Tabla7[[#This Row],[CONTADOR]],"',STR_TO_DATE('",Tabla7[[#Headers],[15/10/2018]],"','%d/%m/%Y'),",BF111,"),","('",Tabla7[[#This Row],[CONTADOR]],"',STR_TO_DATE('",Tabla7[[#Headers],[15/11/2018]],"','%d/%m/%Y'),",BG111,"),","('",Tabla7[[#This Row],[CONTADOR]],"',STR_TO_DATE('",Tabla7[[#Headers],[15/12/2018]],"','%d/%m/%Y'),",BH111,");")</f>
        <v>insert into lecturas values ('78126109',STR_TO_DATE('31/12/2017','%d/%m/%Y'),398851),('78126109',STR_TO_DATE('15/01/2018','%d/%m/%Y'),399459),('78126109',STR_TO_DATE('15/02/2018','%d/%m/%Y'),402294),('78126109',STR_TO_DATE('15/03/2018','%d/%m/%Y'),0),('78126109',STR_TO_DATE('15/04/2018','%d/%m/%Y'),0),('78126109',STR_TO_DATE('15/05/2018','%d/%m/%Y'),0),('78126109',STR_TO_DATE('15/06/2018','%d/%m/%Y'),0),('78126109',STR_TO_DATE('15/07/2018','%d/%m/%Y'),0),('78126109',STR_TO_DATE('15/08/2018','%d/%m/%Y'),0),('78126109',STR_TO_DATE('15/09/2018','%d/%m/%Y'),0),('78126109',STR_TO_DATE('15/10/2018','%d/%m/%Y'),0),('78126109',STR_TO_DATE('15/11/2018','%d/%m/%Y'),0),('78126109',STR_TO_DATE('15/12/2018','%d/%m/%Y'),0);</v>
      </c>
    </row>
    <row r="112" spans="1:68" ht="18" customHeight="1" x14ac:dyDescent="0.25">
      <c r="A112" s="241" t="s">
        <v>534</v>
      </c>
      <c r="B112" s="60"/>
      <c r="C112" s="223">
        <v>99561366</v>
      </c>
      <c r="D112" s="60" t="s">
        <v>541</v>
      </c>
      <c r="E112" s="258">
        <v>39966</v>
      </c>
      <c r="F112" s="274" t="s">
        <v>518</v>
      </c>
      <c r="G112" s="274" t="s">
        <v>547</v>
      </c>
      <c r="H112" s="274" t="s">
        <v>552</v>
      </c>
      <c r="I112" s="274" t="s">
        <v>867</v>
      </c>
      <c r="J112" s="311">
        <v>49335</v>
      </c>
      <c r="K112" s="311">
        <v>49335</v>
      </c>
      <c r="L112" s="311">
        <v>49335</v>
      </c>
      <c r="M112" s="311">
        <v>49335</v>
      </c>
      <c r="N112" s="311">
        <v>49335</v>
      </c>
      <c r="O112" s="311">
        <v>49335</v>
      </c>
      <c r="P112" s="311">
        <v>49335</v>
      </c>
      <c r="Q112" s="307">
        <v>49335</v>
      </c>
      <c r="R112" s="311">
        <v>49335</v>
      </c>
      <c r="S112" s="311">
        <v>49335</v>
      </c>
      <c r="T112" s="311">
        <v>49335</v>
      </c>
      <c r="U112" s="353">
        <v>49335</v>
      </c>
      <c r="V112" s="311">
        <v>49335</v>
      </c>
      <c r="W112" s="321"/>
      <c r="X112" s="307"/>
      <c r="Y112" s="274">
        <f t="shared" si="28"/>
        <v>0</v>
      </c>
      <c r="Z112" s="274">
        <f t="shared" si="27"/>
        <v>0</v>
      </c>
      <c r="AA112" s="274">
        <f t="shared" si="44"/>
        <v>0</v>
      </c>
      <c r="AB112" s="274">
        <f t="shared" si="45"/>
        <v>0</v>
      </c>
      <c r="AC112" s="274">
        <f t="shared" si="34"/>
        <v>0</v>
      </c>
      <c r="AD112" s="274">
        <f t="shared" si="35"/>
        <v>0</v>
      </c>
      <c r="AE112" s="274">
        <f t="shared" si="36"/>
        <v>0</v>
      </c>
      <c r="AF112" s="274">
        <f t="shared" si="37"/>
        <v>0</v>
      </c>
      <c r="AG112" s="274">
        <f t="shared" si="38"/>
        <v>0</v>
      </c>
      <c r="AH112" s="274">
        <f t="shared" si="41"/>
        <v>0</v>
      </c>
      <c r="AI112" s="274">
        <f t="shared" si="39"/>
        <v>0</v>
      </c>
      <c r="AJ112" s="274">
        <f t="shared" si="40"/>
        <v>0</v>
      </c>
      <c r="AK112" s="406">
        <v>1</v>
      </c>
      <c r="AL112" s="274">
        <f t="shared" ca="1" si="29"/>
        <v>49335</v>
      </c>
      <c r="AM112" s="311">
        <f t="shared" ca="1" si="30"/>
        <v>49335</v>
      </c>
      <c r="AN112" s="274">
        <f ca="1">IF(AND(Tabla7[[#This Row],[UltLec]]&lt;&gt;0,Tabla7[[#This Row],[PenLect]]&lt;&gt;0),(AM112-AL112)*Tabla7[[#This Row],[RT]],"N/A")</f>
        <v>0</v>
      </c>
      <c r="AO112" s="273" t="s">
        <v>1135</v>
      </c>
      <c r="AP112" s="392" t="s">
        <v>1190</v>
      </c>
      <c r="AQ112" s="392" t="s">
        <v>1189</v>
      </c>
      <c r="AR112" s="407">
        <f t="shared" si="31"/>
        <v>0</v>
      </c>
      <c r="AT112" s="2" t="str">
        <f t="shared" ca="1" si="32"/>
        <v>0</v>
      </c>
      <c r="AV112">
        <f>IF(ISBLANK(Tabla7[[#This Row],[31/12/2017]]),0,Tabla7[[#This Row],[31/12/2017]])</f>
        <v>49335</v>
      </c>
      <c r="AW112">
        <f>IF(ISBLANK(Tabla7[[#This Row],[15/01/2018]]),0,Tabla7[[#This Row],[15/01/2018]])</f>
        <v>49335</v>
      </c>
      <c r="AX112">
        <f>IF(ISBLANK(Tabla7[[#This Row],[15/02/2018]]),0,Tabla7[[#This Row],[15/02/2018]])</f>
        <v>49335</v>
      </c>
      <c r="AY112">
        <f>IF(ISBLANK(Tabla7[[#This Row],[15/03/2018]]),0,Tabla7[[#This Row],[15/03/2018]])</f>
        <v>49335</v>
      </c>
      <c r="AZ112">
        <f>IF(ISBLANK(Tabla7[[#This Row],[15/04/2018]]),0,Tabla7[[#This Row],[15/04/2018]])</f>
        <v>49335</v>
      </c>
      <c r="BA112">
        <f>IF(ISBLANK(Tabla7[[#This Row],[15/05/2018]]),0,Tabla7[[#This Row],[15/05/2018]])</f>
        <v>49335</v>
      </c>
      <c r="BB112">
        <f>IF(ISBLANK(Tabla7[[#This Row],[15/06/2018]]),0,Tabla7[[#This Row],[15/06/2018]])</f>
        <v>49335</v>
      </c>
      <c r="BC112">
        <f>IF(ISBLANK(Tabla7[[#This Row],[15/07/2018]]),0,Tabla7[[#This Row],[15/07/2018]])</f>
        <v>49335</v>
      </c>
      <c r="BD112">
        <f>IF(ISBLANK(Tabla7[[#This Row],[15/08/2018]]),0,Tabla7[[#This Row],[15/08/2018]])</f>
        <v>49335</v>
      </c>
      <c r="BE112">
        <f>IF(ISBLANK(Tabla7[[#This Row],[15/09/2018]]),0,Tabla7[[#This Row],[15/09/2018]])</f>
        <v>49335</v>
      </c>
      <c r="BF112">
        <f>IF(ISBLANK(Tabla7[[#This Row],[15/10/2018]]),0,Tabla7[[#This Row],[15/10/2018]])</f>
        <v>49335</v>
      </c>
      <c r="BG112">
        <f>IF(ISBLANK(Tabla7[[#This Row],[15/11/2018]]),0,Tabla7[[#This Row],[15/11/2018]])</f>
        <v>49335</v>
      </c>
      <c r="BH112">
        <f>IF(ISBLANK(Tabla7[[#This Row],[15/12/2018]]),0,Tabla7[[#This Row],[15/12/2018]])</f>
        <v>49335</v>
      </c>
      <c r="BI112">
        <f>IF(ISBLANK(Tabla7[[#This Row],[28/12/2018]]),0,Tabla7[[#This Row],[28/12/2018]])</f>
        <v>0</v>
      </c>
      <c r="BN11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('99561366','S','SCT04','39966','VULKAN SHIPYARD, S.L.         ','MUELLE NORTE        ','Torre averiada','Primer digito indica numero vueltas contador');</v>
      </c>
      <c r="BO112" t="s">
        <v>243</v>
      </c>
      <c r="BP112" s="632" t="str">
        <f>CONCATENATE("insert into lecturas values ","('",Tabla7[[#This Row],[CONTADOR]],"',STR_TO_DATE('",Tabla7[[#Headers],[31/12/2017]],"','%d/%m/%Y'),",AV112,"),","('",Tabla7[[#This Row],[CONTADOR]],"',STR_TO_DATE('",Tabla7[[#Headers],[15/01/2018]],"','%d/%m/%Y'),",AW112,"),","('",Tabla7[[#This Row],[CONTADOR]],"',STR_TO_DATE('",Tabla7[[#Headers],[15/02/2018]],"','%d/%m/%Y'),",AX112,"),","('",Tabla7[[#This Row],[CONTADOR]],"',STR_TO_DATE('",Tabla7[[#Headers],[15/03/2018]],"','%d/%m/%Y'),",AY112,"),","('",Tabla7[[#This Row],[CONTADOR]],"',STR_TO_DATE('",Tabla7[[#Headers],[15/04/2018]],"','%d/%m/%Y'),",AZ112,"),","('",Tabla7[[#This Row],[CONTADOR]],"',STR_TO_DATE('",Tabla7[[#Headers],[15/05/2018]],"','%d/%m/%Y'),",BA112,"),","('",Tabla7[[#This Row],[CONTADOR]],"',STR_TO_DATE('",Tabla7[[#Headers],[15/06/2018]],"','%d/%m/%Y'),",BB112,"),","('",Tabla7[[#This Row],[CONTADOR]],"',STR_TO_DATE('",Tabla7[[#Headers],[15/07/2018]],"','%d/%m/%Y'),",BC112,"),","('",Tabla7[[#This Row],[CONTADOR]],"',STR_TO_DATE('",Tabla7[[#Headers],[15/08/2018]],"','%d/%m/%Y'),",BD112,"),","('",Tabla7[[#This Row],[CONTADOR]],"',STR_TO_DATE('",Tabla7[[#Headers],[15/09/2018]],"','%d/%m/%Y'),",BE112,"),","('",Tabla7[[#This Row],[CONTADOR]],"',STR_TO_DATE('",Tabla7[[#Headers],[15/10/2018]],"','%d/%m/%Y'),",BF112,"),","('",Tabla7[[#This Row],[CONTADOR]],"',STR_TO_DATE('",Tabla7[[#Headers],[15/11/2018]],"','%d/%m/%Y'),",BG112,"),","('",Tabla7[[#This Row],[CONTADOR]],"',STR_TO_DATE('",Tabla7[[#Headers],[15/12/2018]],"','%d/%m/%Y'),",BH112,");")</f>
        <v>insert into lecturas values ('99561366',STR_TO_DATE('31/12/2017','%d/%m/%Y'),49335),('99561366',STR_TO_DATE('15/01/2018','%d/%m/%Y'),49335),('99561366',STR_TO_DATE('15/02/2018','%d/%m/%Y'),49335),('99561366',STR_TO_DATE('15/03/2018','%d/%m/%Y'),49335),('99561366',STR_TO_DATE('15/04/2018','%d/%m/%Y'),49335),('99561366',STR_TO_DATE('15/05/2018','%d/%m/%Y'),49335),('99561366',STR_TO_DATE('15/06/2018','%d/%m/%Y'),49335),('99561366',STR_TO_DATE('15/07/2018','%d/%m/%Y'),49335),('99561366',STR_TO_DATE('15/08/2018','%d/%m/%Y'),49335),('99561366',STR_TO_DATE('15/09/2018','%d/%m/%Y'),49335),('99561366',STR_TO_DATE('15/10/2018','%d/%m/%Y'),49335),('99561366',STR_TO_DATE('15/11/2018','%d/%m/%Y'),49335),('99561366',STR_TO_DATE('15/12/2018','%d/%m/%Y'),49335);</v>
      </c>
    </row>
    <row r="113" spans="1:68" ht="18" customHeight="1" x14ac:dyDescent="0.3">
      <c r="A113" s="241" t="s">
        <v>534</v>
      </c>
      <c r="B113" s="60"/>
      <c r="C113" s="223">
        <v>99561370</v>
      </c>
      <c r="D113" s="60" t="s">
        <v>541</v>
      </c>
      <c r="E113" s="60">
        <v>39376</v>
      </c>
      <c r="F113" s="442" t="s">
        <v>1198</v>
      </c>
      <c r="G113" s="307"/>
      <c r="H113" s="275" t="s">
        <v>1282</v>
      </c>
      <c r="I113" s="307" t="s">
        <v>1199</v>
      </c>
      <c r="J113" s="440"/>
      <c r="K113" s="353"/>
      <c r="L113" s="311">
        <v>179765</v>
      </c>
      <c r="M113" s="353">
        <v>181624</v>
      </c>
      <c r="N113" s="311">
        <v>183545</v>
      </c>
      <c r="O113" s="311">
        <v>185230</v>
      </c>
      <c r="P113" s="311">
        <v>186996</v>
      </c>
      <c r="Q113" s="307">
        <v>188150</v>
      </c>
      <c r="R113" s="311">
        <v>189740</v>
      </c>
      <c r="S113" s="311">
        <v>189740</v>
      </c>
      <c r="T113" s="311">
        <v>190478</v>
      </c>
      <c r="U113" s="353">
        <v>191737</v>
      </c>
      <c r="V113" s="311">
        <v>193291</v>
      </c>
      <c r="W113" s="344"/>
      <c r="X113" s="307"/>
      <c r="Y113" s="275" t="str">
        <f t="shared" si="28"/>
        <v/>
      </c>
      <c r="Z113" s="275" t="str">
        <f t="shared" si="27"/>
        <v/>
      </c>
      <c r="AA113" s="2">
        <f t="shared" si="44"/>
        <v>1859</v>
      </c>
      <c r="AB113" s="2">
        <f t="shared" si="45"/>
        <v>1921</v>
      </c>
      <c r="AC113" s="275">
        <f t="shared" si="34"/>
        <v>1685</v>
      </c>
      <c r="AD113" s="275">
        <f t="shared" si="35"/>
        <v>1766</v>
      </c>
      <c r="AE113" s="275">
        <f t="shared" si="36"/>
        <v>1154</v>
      </c>
      <c r="AF113" s="275">
        <f t="shared" si="37"/>
        <v>1590</v>
      </c>
      <c r="AG113" s="275">
        <f t="shared" si="38"/>
        <v>0</v>
      </c>
      <c r="AH113" s="439">
        <f t="shared" si="41"/>
        <v>738</v>
      </c>
      <c r="AI113" s="275">
        <f t="shared" si="39"/>
        <v>1259</v>
      </c>
      <c r="AJ113" s="275">
        <f t="shared" si="40"/>
        <v>1554</v>
      </c>
      <c r="AK113" s="420">
        <v>1</v>
      </c>
      <c r="AL113" s="429">
        <f t="shared" ca="1" si="29"/>
        <v>183545</v>
      </c>
      <c r="AM113" s="353">
        <f t="shared" ca="1" si="30"/>
        <v>185230</v>
      </c>
      <c r="AN113" s="429">
        <f ca="1">IF(AND(Tabla7[[#This Row],[UltLec]]&lt;&gt;0,Tabla7[[#This Row],[PenLect]]&lt;&gt;0),(AM113-AL113)*Tabla7[[#This Row],[RT]],"N/A")</f>
        <v>1685</v>
      </c>
      <c r="AO113" s="273" t="s">
        <v>1135</v>
      </c>
      <c r="AP113" s="392" t="s">
        <v>1190</v>
      </c>
      <c r="AQ113" s="392" t="s">
        <v>1189</v>
      </c>
      <c r="AR113" s="422">
        <f t="shared" si="31"/>
        <v>0</v>
      </c>
      <c r="AT113" s="2">
        <f t="shared" ca="1" si="32"/>
        <v>0.87714731910463295</v>
      </c>
      <c r="AV113">
        <f>IF(ISBLANK(Tabla7[[#This Row],[31/12/2017]]),0,Tabla7[[#This Row],[31/12/2017]])</f>
        <v>0</v>
      </c>
      <c r="AW113">
        <f>IF(ISBLANK(Tabla7[[#This Row],[15/01/2018]]),0,Tabla7[[#This Row],[15/01/2018]])</f>
        <v>0</v>
      </c>
      <c r="AX113">
        <f>IF(ISBLANK(Tabla7[[#This Row],[15/02/2018]]),0,Tabla7[[#This Row],[15/02/2018]])</f>
        <v>179765</v>
      </c>
      <c r="AY113">
        <f>IF(ISBLANK(Tabla7[[#This Row],[15/03/2018]]),0,Tabla7[[#This Row],[15/03/2018]])</f>
        <v>181624</v>
      </c>
      <c r="AZ113">
        <f>IF(ISBLANK(Tabla7[[#This Row],[15/04/2018]]),0,Tabla7[[#This Row],[15/04/2018]])</f>
        <v>183545</v>
      </c>
      <c r="BA113">
        <f>IF(ISBLANK(Tabla7[[#This Row],[15/05/2018]]),0,Tabla7[[#This Row],[15/05/2018]])</f>
        <v>185230</v>
      </c>
      <c r="BB113">
        <f>IF(ISBLANK(Tabla7[[#This Row],[15/06/2018]]),0,Tabla7[[#This Row],[15/06/2018]])</f>
        <v>186996</v>
      </c>
      <c r="BC113">
        <f>IF(ISBLANK(Tabla7[[#This Row],[15/07/2018]]),0,Tabla7[[#This Row],[15/07/2018]])</f>
        <v>188150</v>
      </c>
      <c r="BD113">
        <f>IF(ISBLANK(Tabla7[[#This Row],[15/08/2018]]),0,Tabla7[[#This Row],[15/08/2018]])</f>
        <v>189740</v>
      </c>
      <c r="BE113">
        <f>IF(ISBLANK(Tabla7[[#This Row],[15/09/2018]]),0,Tabla7[[#This Row],[15/09/2018]])</f>
        <v>189740</v>
      </c>
      <c r="BF113">
        <f>IF(ISBLANK(Tabla7[[#This Row],[15/10/2018]]),0,Tabla7[[#This Row],[15/10/2018]])</f>
        <v>190478</v>
      </c>
      <c r="BG113">
        <f>IF(ISBLANK(Tabla7[[#This Row],[15/11/2018]]),0,Tabla7[[#This Row],[15/11/2018]])</f>
        <v>191737</v>
      </c>
      <c r="BH113">
        <f>IF(ISBLANK(Tabla7[[#This Row],[15/12/2018]]),0,Tabla7[[#This Row],[15/12/2018]])</f>
        <v>193291</v>
      </c>
      <c r="BI113">
        <f>IF(ISBLANK(Tabla7[[#This Row],[28/12/2018]]),0,Tabla7[[#This Row],[28/12/2018]])</f>
        <v>0</v>
      </c>
      <c r="BN11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('99561370','S','SCT04','39376','NOATUM T SAGUNTO S.L.U.','','TORRE NOATUM (ANTES LOGISTICA)','Alta en Marzo');</v>
      </c>
      <c r="BO113" t="s">
        <v>243</v>
      </c>
      <c r="BP113" s="632" t="str">
        <f>CONCATENATE("insert into lecturas values ","('",Tabla7[[#This Row],[CONTADOR]],"',STR_TO_DATE('",Tabla7[[#Headers],[31/12/2017]],"','%d/%m/%Y'),",AV113,"),","('",Tabla7[[#This Row],[CONTADOR]],"',STR_TO_DATE('",Tabla7[[#Headers],[15/01/2018]],"','%d/%m/%Y'),",AW113,"),","('",Tabla7[[#This Row],[CONTADOR]],"',STR_TO_DATE('",Tabla7[[#Headers],[15/02/2018]],"','%d/%m/%Y'),",AX113,"),","('",Tabla7[[#This Row],[CONTADOR]],"',STR_TO_DATE('",Tabla7[[#Headers],[15/03/2018]],"','%d/%m/%Y'),",AY113,"),","('",Tabla7[[#This Row],[CONTADOR]],"',STR_TO_DATE('",Tabla7[[#Headers],[15/04/2018]],"','%d/%m/%Y'),",AZ113,"),","('",Tabla7[[#This Row],[CONTADOR]],"',STR_TO_DATE('",Tabla7[[#Headers],[15/05/2018]],"','%d/%m/%Y'),",BA113,"),","('",Tabla7[[#This Row],[CONTADOR]],"',STR_TO_DATE('",Tabla7[[#Headers],[15/06/2018]],"','%d/%m/%Y'),",BB113,"),","('",Tabla7[[#This Row],[CONTADOR]],"',STR_TO_DATE('",Tabla7[[#Headers],[15/07/2018]],"','%d/%m/%Y'),",BC113,"),","('",Tabla7[[#This Row],[CONTADOR]],"',STR_TO_DATE('",Tabla7[[#Headers],[15/08/2018]],"','%d/%m/%Y'),",BD113,"),","('",Tabla7[[#This Row],[CONTADOR]],"',STR_TO_DATE('",Tabla7[[#Headers],[15/09/2018]],"','%d/%m/%Y'),",BE113,"),","('",Tabla7[[#This Row],[CONTADOR]],"',STR_TO_DATE('",Tabla7[[#Headers],[15/10/2018]],"','%d/%m/%Y'),",BF113,"),","('",Tabla7[[#This Row],[CONTADOR]],"',STR_TO_DATE('",Tabla7[[#Headers],[15/11/2018]],"','%d/%m/%Y'),",BG113,"),","('",Tabla7[[#This Row],[CONTADOR]],"',STR_TO_DATE('",Tabla7[[#Headers],[15/12/2018]],"','%d/%m/%Y'),",BH113,");")</f>
        <v>insert into lecturas values ('99561370',STR_TO_DATE('31/12/2017','%d/%m/%Y'),0),('99561370',STR_TO_DATE('15/01/2018','%d/%m/%Y'),0),('99561370',STR_TO_DATE('15/02/2018','%d/%m/%Y'),179765),('99561370',STR_TO_DATE('15/03/2018','%d/%m/%Y'),181624),('99561370',STR_TO_DATE('15/04/2018','%d/%m/%Y'),183545),('99561370',STR_TO_DATE('15/05/2018','%d/%m/%Y'),185230),('99561370',STR_TO_DATE('15/06/2018','%d/%m/%Y'),186996),('99561370',STR_TO_DATE('15/07/2018','%d/%m/%Y'),188150),('99561370',STR_TO_DATE('15/08/2018','%d/%m/%Y'),189740),('99561370',STR_TO_DATE('15/09/2018','%d/%m/%Y'),189740),('99561370',STR_TO_DATE('15/10/2018','%d/%m/%Y'),190478),('99561370',STR_TO_DATE('15/11/2018','%d/%m/%Y'),191737),('99561370',STR_TO_DATE('15/12/2018','%d/%m/%Y'),193291);</v>
      </c>
    </row>
    <row r="114" spans="1:68" ht="18" customHeight="1" x14ac:dyDescent="0.25">
      <c r="A114" s="395" t="s">
        <v>1175</v>
      </c>
      <c r="B114" s="60"/>
      <c r="C114" s="396">
        <v>99561370</v>
      </c>
      <c r="D114" s="397" t="s">
        <v>541</v>
      </c>
      <c r="E114" s="397">
        <v>39967</v>
      </c>
      <c r="F114" s="399" t="s">
        <v>546</v>
      </c>
      <c r="G114" s="399" t="s">
        <v>553</v>
      </c>
      <c r="H114" s="398"/>
      <c r="I114" s="399" t="s">
        <v>1140</v>
      </c>
      <c r="J114" s="400">
        <v>176392</v>
      </c>
      <c r="K114" s="400">
        <v>177688</v>
      </c>
      <c r="L114" s="400">
        <v>179765</v>
      </c>
      <c r="M114" s="400"/>
      <c r="N114" s="400"/>
      <c r="O114" s="400"/>
      <c r="P114" s="311"/>
      <c r="Q114" s="399"/>
      <c r="R114" s="399"/>
      <c r="S114" s="399"/>
      <c r="T114" s="399"/>
      <c r="U114" s="400"/>
      <c r="V114" s="401"/>
      <c r="W114" s="401"/>
      <c r="X114" s="399"/>
      <c r="Y114" s="398">
        <f t="shared" si="28"/>
        <v>1296</v>
      </c>
      <c r="Z114" s="398">
        <f t="shared" si="27"/>
        <v>2077</v>
      </c>
      <c r="AA114" s="398" t="str">
        <f t="shared" si="44"/>
        <v/>
      </c>
      <c r="AB114" s="398" t="str">
        <f t="shared" si="45"/>
        <v/>
      </c>
      <c r="AC114" s="398" t="str">
        <f t="shared" si="34"/>
        <v/>
      </c>
      <c r="AD114" s="398" t="str">
        <f t="shared" si="35"/>
        <v/>
      </c>
      <c r="AE114" s="398" t="str">
        <f t="shared" si="36"/>
        <v/>
      </c>
      <c r="AF114" s="398" t="str">
        <f t="shared" si="37"/>
        <v/>
      </c>
      <c r="AG114" s="398" t="str">
        <f t="shared" si="38"/>
        <v/>
      </c>
      <c r="AH114" s="398" t="str">
        <f t="shared" si="41"/>
        <v/>
      </c>
      <c r="AI114" s="398" t="str">
        <f t="shared" si="39"/>
        <v/>
      </c>
      <c r="AJ114" s="398" t="str">
        <f t="shared" si="40"/>
        <v/>
      </c>
      <c r="AK114" s="419">
        <v>1</v>
      </c>
      <c r="AL114" s="399">
        <f t="shared" ca="1" si="29"/>
        <v>0</v>
      </c>
      <c r="AM114" s="400">
        <f t="shared" ca="1" si="30"/>
        <v>0</v>
      </c>
      <c r="AN114" s="399" t="str">
        <f ca="1">IF(AND(Tabla7[[#This Row],[UltLec]]&lt;&gt;0,Tabla7[[#This Row],[PenLect]]&lt;&gt;0),(AM114-AL114)*Tabla7[[#This Row],[RT]],"N/A")</f>
        <v>N/A</v>
      </c>
      <c r="AO114" s="402"/>
      <c r="AP114" s="399" t="s">
        <v>1190</v>
      </c>
      <c r="AQ114" s="399" t="s">
        <v>1189</v>
      </c>
      <c r="AR114" s="426">
        <f t="shared" si="31"/>
        <v>0</v>
      </c>
      <c r="AT114" s="2" t="e">
        <f t="shared" ca="1" si="32"/>
        <v>#VALUE!</v>
      </c>
      <c r="AV114">
        <f>IF(ISBLANK(Tabla7[[#This Row],[31/12/2017]]),0,Tabla7[[#This Row],[31/12/2017]])</f>
        <v>176392</v>
      </c>
      <c r="AW114">
        <f>IF(ISBLANK(Tabla7[[#This Row],[15/01/2018]]),0,Tabla7[[#This Row],[15/01/2018]])</f>
        <v>177688</v>
      </c>
      <c r="AX114">
        <f>IF(ISBLANK(Tabla7[[#This Row],[15/02/2018]]),0,Tabla7[[#This Row],[15/02/2018]])</f>
        <v>179765</v>
      </c>
      <c r="AY114">
        <f>IF(ISBLANK(Tabla7[[#This Row],[15/03/2018]]),0,Tabla7[[#This Row],[15/03/2018]])</f>
        <v>0</v>
      </c>
      <c r="AZ114">
        <f>IF(ISBLANK(Tabla7[[#This Row],[15/04/2018]]),0,Tabla7[[#This Row],[15/04/2018]])</f>
        <v>0</v>
      </c>
      <c r="BA114">
        <f>IF(ISBLANK(Tabla7[[#This Row],[15/05/2018]]),0,Tabla7[[#This Row],[15/05/2018]])</f>
        <v>0</v>
      </c>
      <c r="BB114">
        <f>IF(ISBLANK(Tabla7[[#This Row],[15/06/2018]]),0,Tabla7[[#This Row],[15/06/2018]])</f>
        <v>0</v>
      </c>
      <c r="BC114">
        <f>IF(ISBLANK(Tabla7[[#This Row],[15/07/2018]]),0,Tabla7[[#This Row],[15/07/2018]])</f>
        <v>0</v>
      </c>
      <c r="BD114">
        <f>IF(ISBLANK(Tabla7[[#This Row],[15/08/2018]]),0,Tabla7[[#This Row],[15/08/2018]])</f>
        <v>0</v>
      </c>
      <c r="BE114">
        <f>IF(ISBLANK(Tabla7[[#This Row],[15/09/2018]]),0,Tabla7[[#This Row],[15/09/2018]])</f>
        <v>0</v>
      </c>
      <c r="BF114">
        <f>IF(ISBLANK(Tabla7[[#This Row],[15/10/2018]]),0,Tabla7[[#This Row],[15/10/2018]])</f>
        <v>0</v>
      </c>
      <c r="BG114">
        <f>IF(ISBLANK(Tabla7[[#This Row],[15/11/2018]]),0,Tabla7[[#This Row],[15/11/2018]])</f>
        <v>0</v>
      </c>
      <c r="BH114">
        <f>IF(ISBLANK(Tabla7[[#This Row],[15/12/2018]]),0,Tabla7[[#This Row],[15/12/2018]])</f>
        <v>0</v>
      </c>
      <c r="BI114">
        <f>IF(ISBLANK(Tabla7[[#This Row],[28/12/2018]]),0,Tabla7[[#This Row],[28/12/2018]])</f>
        <v>0</v>
      </c>
      <c r="BN11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('99561370','SBAJA','SCT04','39967','LOGISTICA PUERTO DE SAGUNTO SL','MUELLE NORTE Torre 7       ','','BAJA SEGÚN MANOLO');</v>
      </c>
      <c r="BO114" t="s">
        <v>243</v>
      </c>
      <c r="BP114" s="632" t="str">
        <f>CONCATENATE("insert into lecturas values ","('",Tabla7[[#This Row],[CONTADOR]],"',STR_TO_DATE('",Tabla7[[#Headers],[31/12/2017]],"','%d/%m/%Y'),",AV114,"),","('",Tabla7[[#This Row],[CONTADOR]],"',STR_TO_DATE('",Tabla7[[#Headers],[15/01/2018]],"','%d/%m/%Y'),",AW114,"),","('",Tabla7[[#This Row],[CONTADOR]],"',STR_TO_DATE('",Tabla7[[#Headers],[15/02/2018]],"','%d/%m/%Y'),",AX114,"),","('",Tabla7[[#This Row],[CONTADOR]],"',STR_TO_DATE('",Tabla7[[#Headers],[15/03/2018]],"','%d/%m/%Y'),",AY114,"),","('",Tabla7[[#This Row],[CONTADOR]],"',STR_TO_DATE('",Tabla7[[#Headers],[15/04/2018]],"','%d/%m/%Y'),",AZ114,"),","('",Tabla7[[#This Row],[CONTADOR]],"',STR_TO_DATE('",Tabla7[[#Headers],[15/05/2018]],"','%d/%m/%Y'),",BA114,"),","('",Tabla7[[#This Row],[CONTADOR]],"',STR_TO_DATE('",Tabla7[[#Headers],[15/06/2018]],"','%d/%m/%Y'),",BB114,"),","('",Tabla7[[#This Row],[CONTADOR]],"',STR_TO_DATE('",Tabla7[[#Headers],[15/07/2018]],"','%d/%m/%Y'),",BC114,"),","('",Tabla7[[#This Row],[CONTADOR]],"',STR_TO_DATE('",Tabla7[[#Headers],[15/08/2018]],"','%d/%m/%Y'),",BD114,"),","('",Tabla7[[#This Row],[CONTADOR]],"',STR_TO_DATE('",Tabla7[[#Headers],[15/09/2018]],"','%d/%m/%Y'),",BE114,"),","('",Tabla7[[#This Row],[CONTADOR]],"',STR_TO_DATE('",Tabla7[[#Headers],[15/10/2018]],"','%d/%m/%Y'),",BF114,"),","('",Tabla7[[#This Row],[CONTADOR]],"',STR_TO_DATE('",Tabla7[[#Headers],[15/11/2018]],"','%d/%m/%Y'),",BG114,"),","('",Tabla7[[#This Row],[CONTADOR]],"',STR_TO_DATE('",Tabla7[[#Headers],[15/12/2018]],"','%d/%m/%Y'),",BH114,");")</f>
        <v>insert into lecturas values ('99561370',STR_TO_DATE('31/12/2017','%d/%m/%Y'),176392),('99561370',STR_TO_DATE('15/01/2018','%d/%m/%Y'),177688),('99561370',STR_TO_DATE('15/02/2018','%d/%m/%Y'),179765),('99561370',STR_TO_DATE('15/03/2018','%d/%m/%Y'),0),('99561370',STR_TO_DATE('15/04/2018','%d/%m/%Y'),0),('99561370',STR_TO_DATE('15/05/2018','%d/%m/%Y'),0),('99561370',STR_TO_DATE('15/06/2018','%d/%m/%Y'),0),('99561370',STR_TO_DATE('15/07/2018','%d/%m/%Y'),0),('99561370',STR_TO_DATE('15/08/2018','%d/%m/%Y'),0),('99561370',STR_TO_DATE('15/09/2018','%d/%m/%Y'),0),('99561370',STR_TO_DATE('15/10/2018','%d/%m/%Y'),0),('99561370',STR_TO_DATE('15/11/2018','%d/%m/%Y'),0),('99561370',STR_TO_DATE('15/12/2018','%d/%m/%Y'),0);</v>
      </c>
    </row>
    <row r="115" spans="1:68" ht="18" customHeight="1" x14ac:dyDescent="0.25">
      <c r="A115" s="241" t="s">
        <v>534</v>
      </c>
      <c r="B115" s="60"/>
      <c r="C115" s="309">
        <v>106230738</v>
      </c>
      <c r="D115" s="315" t="s">
        <v>541</v>
      </c>
      <c r="E115" s="316">
        <v>39354</v>
      </c>
      <c r="F115" s="313" t="s">
        <v>542</v>
      </c>
      <c r="G115" s="313" t="s">
        <v>543</v>
      </c>
      <c r="H115" s="264"/>
      <c r="I115" s="313"/>
      <c r="J115" s="356">
        <v>84043</v>
      </c>
      <c r="K115" s="356">
        <v>84043</v>
      </c>
      <c r="L115" s="356">
        <v>84043</v>
      </c>
      <c r="M115" s="356">
        <v>84043</v>
      </c>
      <c r="N115" s="356">
        <v>84043</v>
      </c>
      <c r="O115" s="356">
        <v>84043</v>
      </c>
      <c r="P115" s="356">
        <v>84043</v>
      </c>
      <c r="Q115" s="313">
        <v>84043</v>
      </c>
      <c r="R115" s="311">
        <v>84043</v>
      </c>
      <c r="S115" s="311">
        <v>84043</v>
      </c>
      <c r="T115" s="311">
        <v>84043</v>
      </c>
      <c r="U115" s="356">
        <v>84043</v>
      </c>
      <c r="V115" s="356">
        <v>84043</v>
      </c>
      <c r="W115" s="358"/>
      <c r="X115" s="313"/>
      <c r="Y115" s="264">
        <f t="shared" si="28"/>
        <v>0</v>
      </c>
      <c r="Z115" s="264">
        <f t="shared" si="27"/>
        <v>0</v>
      </c>
      <c r="AA115" s="264">
        <f t="shared" si="44"/>
        <v>0</v>
      </c>
      <c r="AB115" s="264">
        <f t="shared" si="45"/>
        <v>0</v>
      </c>
      <c r="AC115" s="264">
        <f t="shared" si="34"/>
        <v>0</v>
      </c>
      <c r="AD115" s="264">
        <f t="shared" si="35"/>
        <v>0</v>
      </c>
      <c r="AE115" s="264">
        <f t="shared" si="36"/>
        <v>0</v>
      </c>
      <c r="AF115" s="264">
        <f t="shared" si="37"/>
        <v>0</v>
      </c>
      <c r="AG115" s="264">
        <f t="shared" si="38"/>
        <v>0</v>
      </c>
      <c r="AH115" s="264">
        <f t="shared" si="41"/>
        <v>0</v>
      </c>
      <c r="AI115" s="264">
        <f t="shared" si="39"/>
        <v>0</v>
      </c>
      <c r="AJ115" s="264">
        <f t="shared" si="40"/>
        <v>0</v>
      </c>
      <c r="AK115" s="413">
        <v>1</v>
      </c>
      <c r="AL115" s="313">
        <f t="shared" ca="1" si="29"/>
        <v>84043</v>
      </c>
      <c r="AM115" s="356">
        <f t="shared" ca="1" si="30"/>
        <v>84043</v>
      </c>
      <c r="AN115" s="313">
        <f ca="1">IF(AND(Tabla7[[#This Row],[UltLec]]&lt;&gt;0,Tabla7[[#This Row],[PenLect]]&lt;&gt;0),(AM115-AL115)*Tabla7[[#This Row],[RT]],"N/A")</f>
        <v>0</v>
      </c>
      <c r="AO115" s="437" t="s">
        <v>1135</v>
      </c>
      <c r="AP115" s="313" t="s">
        <v>1190</v>
      </c>
      <c r="AQ115" s="313" t="s">
        <v>1189</v>
      </c>
      <c r="AR115" s="421">
        <f t="shared" si="31"/>
        <v>0</v>
      </c>
      <c r="AT115" s="2" t="str">
        <f t="shared" ca="1" si="32"/>
        <v>0</v>
      </c>
      <c r="AV115">
        <f>IF(ISBLANK(Tabla7[[#This Row],[31/12/2017]]),0,Tabla7[[#This Row],[31/12/2017]])</f>
        <v>84043</v>
      </c>
      <c r="AW115">
        <f>IF(ISBLANK(Tabla7[[#This Row],[15/01/2018]]),0,Tabla7[[#This Row],[15/01/2018]])</f>
        <v>84043</v>
      </c>
      <c r="AX115">
        <f>IF(ISBLANK(Tabla7[[#This Row],[15/02/2018]]),0,Tabla7[[#This Row],[15/02/2018]])</f>
        <v>84043</v>
      </c>
      <c r="AY115">
        <f>IF(ISBLANK(Tabla7[[#This Row],[15/03/2018]]),0,Tabla7[[#This Row],[15/03/2018]])</f>
        <v>84043</v>
      </c>
      <c r="AZ115">
        <f>IF(ISBLANK(Tabla7[[#This Row],[15/04/2018]]),0,Tabla7[[#This Row],[15/04/2018]])</f>
        <v>84043</v>
      </c>
      <c r="BA115">
        <f>IF(ISBLANK(Tabla7[[#This Row],[15/05/2018]]),0,Tabla7[[#This Row],[15/05/2018]])</f>
        <v>84043</v>
      </c>
      <c r="BB115">
        <f>IF(ISBLANK(Tabla7[[#This Row],[15/06/2018]]),0,Tabla7[[#This Row],[15/06/2018]])</f>
        <v>84043</v>
      </c>
      <c r="BC115">
        <f>IF(ISBLANK(Tabla7[[#This Row],[15/07/2018]]),0,Tabla7[[#This Row],[15/07/2018]])</f>
        <v>84043</v>
      </c>
      <c r="BD115">
        <f>IF(ISBLANK(Tabla7[[#This Row],[15/08/2018]]),0,Tabla7[[#This Row],[15/08/2018]])</f>
        <v>84043</v>
      </c>
      <c r="BE115">
        <f>IF(ISBLANK(Tabla7[[#This Row],[15/09/2018]]),0,Tabla7[[#This Row],[15/09/2018]])</f>
        <v>84043</v>
      </c>
      <c r="BF115">
        <f>IF(ISBLANK(Tabla7[[#This Row],[15/10/2018]]),0,Tabla7[[#This Row],[15/10/2018]])</f>
        <v>84043</v>
      </c>
      <c r="BG115">
        <f>IF(ISBLANK(Tabla7[[#This Row],[15/11/2018]]),0,Tabla7[[#This Row],[15/11/2018]])</f>
        <v>84043</v>
      </c>
      <c r="BH115">
        <f>IF(ISBLANK(Tabla7[[#This Row],[15/12/2018]]),0,Tabla7[[#This Row],[15/12/2018]])</f>
        <v>84043</v>
      </c>
      <c r="BI115">
        <f>IF(ISBLANK(Tabla7[[#This Row],[28/12/2018]]),0,Tabla7[[#This Row],[28/12/2018]])</f>
        <v>0</v>
      </c>
      <c r="BN11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('106230738','S','SCT04','39354','CEMESA AMARRES BARCELONA','CASETA Nº 4 PESQUERO','','');</v>
      </c>
      <c r="BO115" t="s">
        <v>243</v>
      </c>
      <c r="BP115" s="632" t="str">
        <f>CONCATENATE("insert into lecturas values ","('",Tabla7[[#This Row],[CONTADOR]],"',STR_TO_DATE('",Tabla7[[#Headers],[31/12/2017]],"','%d/%m/%Y'),",AV115,"),","('",Tabla7[[#This Row],[CONTADOR]],"',STR_TO_DATE('",Tabla7[[#Headers],[15/01/2018]],"','%d/%m/%Y'),",AW115,"),","('",Tabla7[[#This Row],[CONTADOR]],"',STR_TO_DATE('",Tabla7[[#Headers],[15/02/2018]],"','%d/%m/%Y'),",AX115,"),","('",Tabla7[[#This Row],[CONTADOR]],"',STR_TO_DATE('",Tabla7[[#Headers],[15/03/2018]],"','%d/%m/%Y'),",AY115,"),","('",Tabla7[[#This Row],[CONTADOR]],"',STR_TO_DATE('",Tabla7[[#Headers],[15/04/2018]],"','%d/%m/%Y'),",AZ115,"),","('",Tabla7[[#This Row],[CONTADOR]],"',STR_TO_DATE('",Tabla7[[#Headers],[15/05/2018]],"','%d/%m/%Y'),",BA115,"),","('",Tabla7[[#This Row],[CONTADOR]],"',STR_TO_DATE('",Tabla7[[#Headers],[15/06/2018]],"','%d/%m/%Y'),",BB115,"),","('",Tabla7[[#This Row],[CONTADOR]],"',STR_TO_DATE('",Tabla7[[#Headers],[15/07/2018]],"','%d/%m/%Y'),",BC115,"),","('",Tabla7[[#This Row],[CONTADOR]],"',STR_TO_DATE('",Tabla7[[#Headers],[15/08/2018]],"','%d/%m/%Y'),",BD115,"),","('",Tabla7[[#This Row],[CONTADOR]],"',STR_TO_DATE('",Tabla7[[#Headers],[15/09/2018]],"','%d/%m/%Y'),",BE115,"),","('",Tabla7[[#This Row],[CONTADOR]],"',STR_TO_DATE('",Tabla7[[#Headers],[15/10/2018]],"','%d/%m/%Y'),",BF115,"),","('",Tabla7[[#This Row],[CONTADOR]],"',STR_TO_DATE('",Tabla7[[#Headers],[15/11/2018]],"','%d/%m/%Y'),",BG115,"),","('",Tabla7[[#This Row],[CONTADOR]],"',STR_TO_DATE('",Tabla7[[#Headers],[15/12/2018]],"','%d/%m/%Y'),",BH115,");")</f>
        <v>insert into lecturas values ('106230738',STR_TO_DATE('31/12/2017','%d/%m/%Y'),84043),('106230738',STR_TO_DATE('15/01/2018','%d/%m/%Y'),84043),('106230738',STR_TO_DATE('15/02/2018','%d/%m/%Y'),84043),('106230738',STR_TO_DATE('15/03/2018','%d/%m/%Y'),84043),('106230738',STR_TO_DATE('15/04/2018','%d/%m/%Y'),84043),('106230738',STR_TO_DATE('15/05/2018','%d/%m/%Y'),84043),('106230738',STR_TO_DATE('15/06/2018','%d/%m/%Y'),84043),('106230738',STR_TO_DATE('15/07/2018','%d/%m/%Y'),84043),('106230738',STR_TO_DATE('15/08/2018','%d/%m/%Y'),84043),('106230738',STR_TO_DATE('15/09/2018','%d/%m/%Y'),84043),('106230738',STR_TO_DATE('15/10/2018','%d/%m/%Y'),84043),('106230738',STR_TO_DATE('15/11/2018','%d/%m/%Y'),84043),('106230738',STR_TO_DATE('15/12/2018','%d/%m/%Y'),84043);</v>
      </c>
    </row>
    <row r="116" spans="1:68" s="3" customFormat="1" ht="18" customHeight="1" thickBot="1" x14ac:dyDescent="0.3">
      <c r="A116" s="241" t="s">
        <v>534</v>
      </c>
      <c r="B116" s="60"/>
      <c r="C116" s="223" t="s">
        <v>1377</v>
      </c>
      <c r="D116" s="60" t="s">
        <v>541</v>
      </c>
      <c r="E116" s="258">
        <v>39510</v>
      </c>
      <c r="F116" s="431" t="s">
        <v>1198</v>
      </c>
      <c r="G116" s="274" t="s">
        <v>1379</v>
      </c>
      <c r="H116" s="274"/>
      <c r="I116" s="2"/>
      <c r="J116" s="2"/>
      <c r="K116" s="274"/>
      <c r="L116" s="2"/>
      <c r="M116" s="2"/>
      <c r="N116" s="2"/>
      <c r="O116" s="2"/>
      <c r="P116" s="1">
        <v>239</v>
      </c>
      <c r="Q116" s="2">
        <v>263</v>
      </c>
      <c r="R116" s="311">
        <v>263</v>
      </c>
      <c r="S116" s="311">
        <v>263</v>
      </c>
      <c r="T116" s="311">
        <v>263</v>
      </c>
      <c r="U116" s="492">
        <v>263</v>
      </c>
      <c r="V116" s="311">
        <v>263</v>
      </c>
      <c r="W116" s="2"/>
      <c r="X116" s="2"/>
      <c r="Y116" s="2" t="str">
        <f t="shared" si="28"/>
        <v/>
      </c>
      <c r="Z116" s="2" t="str">
        <f t="shared" si="27"/>
        <v/>
      </c>
      <c r="AA116" s="2" t="str">
        <f t="shared" si="44"/>
        <v/>
      </c>
      <c r="AB116" s="2" t="str">
        <f t="shared" si="45"/>
        <v/>
      </c>
      <c r="AC116" s="2" t="str">
        <f t="shared" si="34"/>
        <v/>
      </c>
      <c r="AD116" s="2" t="str">
        <f t="shared" si="35"/>
        <v/>
      </c>
      <c r="AE116" s="2">
        <f t="shared" si="36"/>
        <v>24</v>
      </c>
      <c r="AF116" s="2">
        <f t="shared" si="37"/>
        <v>0</v>
      </c>
      <c r="AG116" s="2">
        <f t="shared" si="38"/>
        <v>0</v>
      </c>
      <c r="AH116" s="2">
        <f t="shared" si="41"/>
        <v>0</v>
      </c>
      <c r="AI116" s="2">
        <f t="shared" si="39"/>
        <v>0</v>
      </c>
      <c r="AJ116" s="2">
        <f t="shared" si="40"/>
        <v>0</v>
      </c>
      <c r="AK116" s="406">
        <v>1</v>
      </c>
      <c r="AL116" s="2">
        <f t="shared" ca="1" si="29"/>
        <v>0</v>
      </c>
      <c r="AM116" s="492">
        <f t="shared" ca="1" si="30"/>
        <v>0</v>
      </c>
      <c r="AN116" s="2" t="str">
        <f ca="1">IF(AND(Tabla7[[#This Row],[UltLec]]&lt;&gt;0,Tabla7[[#This Row],[PenLect]]&lt;&gt;0),(AM116-AL116)*Tabla7[[#This Row],[RT]],"N/A")</f>
        <v>N/A</v>
      </c>
      <c r="AO116" s="273" t="s">
        <v>1135</v>
      </c>
      <c r="AP116" s="441" t="s">
        <v>1190</v>
      </c>
      <c r="AQ116" s="441"/>
      <c r="AR116" s="407">
        <f t="shared" si="31"/>
        <v>0</v>
      </c>
      <c r="AT116" s="2" t="e">
        <f t="shared" ca="1" si="32"/>
        <v>#VALUE!</v>
      </c>
      <c r="AV116">
        <f>IF(ISBLANK(Tabla7[[#This Row],[31/12/2017]]),0,Tabla7[[#This Row],[31/12/2017]])</f>
        <v>0</v>
      </c>
      <c r="AW116">
        <f>IF(ISBLANK(Tabla7[[#This Row],[15/01/2018]]),0,Tabla7[[#This Row],[15/01/2018]])</f>
        <v>0</v>
      </c>
      <c r="AX116">
        <f>IF(ISBLANK(Tabla7[[#This Row],[15/02/2018]]),0,Tabla7[[#This Row],[15/02/2018]])</f>
        <v>0</v>
      </c>
      <c r="AY116">
        <f>IF(ISBLANK(Tabla7[[#This Row],[15/03/2018]]),0,Tabla7[[#This Row],[15/03/2018]])</f>
        <v>0</v>
      </c>
      <c r="AZ116">
        <f>IF(ISBLANK(Tabla7[[#This Row],[15/04/2018]]),0,Tabla7[[#This Row],[15/04/2018]])</f>
        <v>0</v>
      </c>
      <c r="BA116">
        <f>IF(ISBLANK(Tabla7[[#This Row],[15/05/2018]]),0,Tabla7[[#This Row],[15/05/2018]])</f>
        <v>0</v>
      </c>
      <c r="BB116">
        <f>IF(ISBLANK(Tabla7[[#This Row],[15/06/2018]]),0,Tabla7[[#This Row],[15/06/2018]])</f>
        <v>239</v>
      </c>
      <c r="BC116">
        <f>IF(ISBLANK(Tabla7[[#This Row],[15/07/2018]]),0,Tabla7[[#This Row],[15/07/2018]])</f>
        <v>263</v>
      </c>
      <c r="BD116">
        <f>IF(ISBLANK(Tabla7[[#This Row],[15/08/2018]]),0,Tabla7[[#This Row],[15/08/2018]])</f>
        <v>263</v>
      </c>
      <c r="BE116">
        <f>IF(ISBLANK(Tabla7[[#This Row],[15/09/2018]]),0,Tabla7[[#This Row],[15/09/2018]])</f>
        <v>263</v>
      </c>
      <c r="BF116">
        <f>IF(ISBLANK(Tabla7[[#This Row],[15/10/2018]]),0,Tabla7[[#This Row],[15/10/2018]])</f>
        <v>263</v>
      </c>
      <c r="BG116">
        <f>IF(ISBLANK(Tabla7[[#This Row],[15/11/2018]]),0,Tabla7[[#This Row],[15/11/2018]])</f>
        <v>263</v>
      </c>
      <c r="BH116">
        <f>IF(ISBLANK(Tabla7[[#This Row],[15/12/2018]]),0,Tabla7[[#This Row],[15/12/2018]])</f>
        <v>263</v>
      </c>
      <c r="BI116">
        <f>IF(ISBLANK(Tabla7[[#This Row],[28/12/2018]]),0,Tabla7[[#This Row],[28/12/2018]])</f>
        <v>0</v>
      </c>
      <c r="BN11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('0217463155','S','SCT04','39510','NOATUM T SAGUNTO S.L.U.','HORNACINA DARSENA VIAL','','');</v>
      </c>
      <c r="BO116" t="s">
        <v>243</v>
      </c>
      <c r="BP116" s="632" t="str">
        <f>CONCATENATE("insert into lecturas values ","('",Tabla7[[#This Row],[CONTADOR]],"',STR_TO_DATE('",Tabla7[[#Headers],[31/12/2017]],"','%d/%m/%Y'),",AV116,"),","('",Tabla7[[#This Row],[CONTADOR]],"',STR_TO_DATE('",Tabla7[[#Headers],[15/01/2018]],"','%d/%m/%Y'),",AW116,"),","('",Tabla7[[#This Row],[CONTADOR]],"',STR_TO_DATE('",Tabla7[[#Headers],[15/02/2018]],"','%d/%m/%Y'),",AX116,"),","('",Tabla7[[#This Row],[CONTADOR]],"',STR_TO_DATE('",Tabla7[[#Headers],[15/03/2018]],"','%d/%m/%Y'),",AY116,"),","('",Tabla7[[#This Row],[CONTADOR]],"',STR_TO_DATE('",Tabla7[[#Headers],[15/04/2018]],"','%d/%m/%Y'),",AZ116,"),","('",Tabla7[[#This Row],[CONTADOR]],"',STR_TO_DATE('",Tabla7[[#Headers],[15/05/2018]],"','%d/%m/%Y'),",BA116,"),","('",Tabla7[[#This Row],[CONTADOR]],"',STR_TO_DATE('",Tabla7[[#Headers],[15/06/2018]],"','%d/%m/%Y'),",BB116,"),","('",Tabla7[[#This Row],[CONTADOR]],"',STR_TO_DATE('",Tabla7[[#Headers],[15/07/2018]],"','%d/%m/%Y'),",BC116,"),","('",Tabla7[[#This Row],[CONTADOR]],"',STR_TO_DATE('",Tabla7[[#Headers],[15/08/2018]],"','%d/%m/%Y'),",BD116,"),","('",Tabla7[[#This Row],[CONTADOR]],"',STR_TO_DATE('",Tabla7[[#Headers],[15/09/2018]],"','%d/%m/%Y'),",BE116,"),","('",Tabla7[[#This Row],[CONTADOR]],"',STR_TO_DATE('",Tabla7[[#Headers],[15/10/2018]],"','%d/%m/%Y'),",BF116,"),","('",Tabla7[[#This Row],[CONTADOR]],"',STR_TO_DATE('",Tabla7[[#Headers],[15/11/2018]],"','%d/%m/%Y'),",BG116,"),","('",Tabla7[[#This Row],[CONTADOR]],"',STR_TO_DATE('",Tabla7[[#Headers],[15/12/2018]],"','%d/%m/%Y'),",BH116,");")</f>
        <v>insert into lecturas values ('0217463155',STR_TO_DATE('31/12/2017','%d/%m/%Y'),0),('0217463155',STR_TO_DATE('15/01/2018','%d/%m/%Y'),0),('0217463155',STR_TO_DATE('15/02/2018','%d/%m/%Y'),0),('0217463155',STR_TO_DATE('15/03/2018','%d/%m/%Y'),0),('0217463155',STR_TO_DATE('15/04/2018','%d/%m/%Y'),0),('0217463155',STR_TO_DATE('15/05/2018','%d/%m/%Y'),0),('0217463155',STR_TO_DATE('15/06/2018','%d/%m/%Y'),239),('0217463155',STR_TO_DATE('15/07/2018','%d/%m/%Y'),263),('0217463155',STR_TO_DATE('15/08/2018','%d/%m/%Y'),263),('0217463155',STR_TO_DATE('15/09/2018','%d/%m/%Y'),263),('0217463155',STR_TO_DATE('15/10/2018','%d/%m/%Y'),263),('0217463155',STR_TO_DATE('15/11/2018','%d/%m/%Y'),263),('0217463155',STR_TO_DATE('15/12/2018','%d/%m/%Y'),263);</v>
      </c>
    </row>
    <row r="117" spans="1:68" ht="18" customHeight="1" x14ac:dyDescent="0.25">
      <c r="A117" s="372" t="s">
        <v>1175</v>
      </c>
      <c r="B117" s="372"/>
      <c r="C117" s="372" t="s">
        <v>1141</v>
      </c>
      <c r="D117" s="372" t="s">
        <v>541</v>
      </c>
      <c r="E117" s="372">
        <v>2</v>
      </c>
      <c r="F117" s="372" t="s">
        <v>554</v>
      </c>
      <c r="G117" s="372" t="s">
        <v>555</v>
      </c>
      <c r="H117" s="372" t="s">
        <v>1142</v>
      </c>
      <c r="I117" s="372"/>
      <c r="J117" s="372">
        <v>79</v>
      </c>
      <c r="K117" s="372">
        <v>79</v>
      </c>
      <c r="L117" s="372">
        <v>79</v>
      </c>
      <c r="M117" s="372">
        <v>79</v>
      </c>
      <c r="N117" s="372">
        <v>79</v>
      </c>
      <c r="O117" s="372">
        <v>79</v>
      </c>
      <c r="P117" s="372">
        <v>79</v>
      </c>
      <c r="Q117" s="372">
        <v>79</v>
      </c>
      <c r="R117" s="372">
        <v>79</v>
      </c>
      <c r="S117" s="372">
        <v>79</v>
      </c>
      <c r="T117" s="372">
        <v>79</v>
      </c>
      <c r="U117" s="611"/>
      <c r="V117" s="611"/>
      <c r="W117" s="372"/>
      <c r="X117" s="372"/>
      <c r="Y117" s="372">
        <f t="shared" si="28"/>
        <v>0</v>
      </c>
      <c r="Z117" s="372">
        <f t="shared" si="27"/>
        <v>0</v>
      </c>
      <c r="AA117" s="372">
        <f t="shared" si="44"/>
        <v>0</v>
      </c>
      <c r="AB117" s="372">
        <f t="shared" si="45"/>
        <v>0</v>
      </c>
      <c r="AC117" s="372">
        <f t="shared" si="34"/>
        <v>0</v>
      </c>
      <c r="AD117" s="372">
        <f t="shared" si="35"/>
        <v>0</v>
      </c>
      <c r="AE117" s="372">
        <f t="shared" si="36"/>
        <v>0</v>
      </c>
      <c r="AF117" s="372">
        <f t="shared" si="37"/>
        <v>0</v>
      </c>
      <c r="AG117" s="372">
        <f t="shared" si="38"/>
        <v>0</v>
      </c>
      <c r="AH117" s="372">
        <f t="shared" si="41"/>
        <v>0</v>
      </c>
      <c r="AI117" s="372" t="str">
        <f t="shared" si="39"/>
        <v/>
      </c>
      <c r="AJ117" s="372" t="str">
        <f t="shared" si="40"/>
        <v/>
      </c>
      <c r="AK117" s="372">
        <v>1</v>
      </c>
      <c r="AL117" s="372">
        <f t="shared" ca="1" si="29"/>
        <v>79</v>
      </c>
      <c r="AM117" s="372">
        <f t="shared" ca="1" si="30"/>
        <v>79</v>
      </c>
      <c r="AN117" s="372">
        <f ca="1">IF(AND(Tabla7[[#This Row],[UltLec]]&lt;&gt;0,Tabla7[[#This Row],[PenLect]]&lt;&gt;0),(AM117-AL117)*Tabla7[[#This Row],[RT]],"N/A")</f>
        <v>0</v>
      </c>
      <c r="AO117" s="372" t="s">
        <v>1281</v>
      </c>
      <c r="AP117" s="372" t="s">
        <v>1190</v>
      </c>
      <c r="AQ117" s="372" t="s">
        <v>1189</v>
      </c>
      <c r="AR117" s="372">
        <f t="shared" si="31"/>
        <v>0</v>
      </c>
      <c r="AT117" s="2" t="str">
        <f t="shared" ca="1" si="32"/>
        <v>0</v>
      </c>
      <c r="AV117">
        <f>IF(ISBLANK(Tabla7[[#This Row],[31/12/2017]]),0,Tabla7[[#This Row],[31/12/2017]])</f>
        <v>79</v>
      </c>
      <c r="AW117">
        <f>IF(ISBLANK(Tabla7[[#This Row],[15/01/2018]]),0,Tabla7[[#This Row],[15/01/2018]])</f>
        <v>79</v>
      </c>
      <c r="AX117">
        <f>IF(ISBLANK(Tabla7[[#This Row],[15/02/2018]]),0,Tabla7[[#This Row],[15/02/2018]])</f>
        <v>79</v>
      </c>
      <c r="AY117">
        <f>IF(ISBLANK(Tabla7[[#This Row],[15/03/2018]]),0,Tabla7[[#This Row],[15/03/2018]])</f>
        <v>79</v>
      </c>
      <c r="AZ117">
        <f>IF(ISBLANK(Tabla7[[#This Row],[15/04/2018]]),0,Tabla7[[#This Row],[15/04/2018]])</f>
        <v>79</v>
      </c>
      <c r="BA117">
        <f>IF(ISBLANK(Tabla7[[#This Row],[15/05/2018]]),0,Tabla7[[#This Row],[15/05/2018]])</f>
        <v>79</v>
      </c>
      <c r="BB117">
        <f>IF(ISBLANK(Tabla7[[#This Row],[15/06/2018]]),0,Tabla7[[#This Row],[15/06/2018]])</f>
        <v>79</v>
      </c>
      <c r="BC117">
        <f>IF(ISBLANK(Tabla7[[#This Row],[15/07/2018]]),0,Tabla7[[#This Row],[15/07/2018]])</f>
        <v>79</v>
      </c>
      <c r="BD117">
        <f>IF(ISBLANK(Tabla7[[#This Row],[15/08/2018]]),0,Tabla7[[#This Row],[15/08/2018]])</f>
        <v>79</v>
      </c>
      <c r="BE117">
        <f>IF(ISBLANK(Tabla7[[#This Row],[15/09/2018]]),0,Tabla7[[#This Row],[15/09/2018]])</f>
        <v>79</v>
      </c>
      <c r="BF117">
        <f>IF(ISBLANK(Tabla7[[#This Row],[15/10/2018]]),0,Tabla7[[#This Row],[15/10/2018]])</f>
        <v>79</v>
      </c>
      <c r="BG117">
        <f>IF(ISBLANK(Tabla7[[#This Row],[15/11/2018]]),0,Tabla7[[#This Row],[15/11/2018]])</f>
        <v>0</v>
      </c>
      <c r="BH117">
        <f>IF(ISBLANK(Tabla7[[#This Row],[15/12/2018]]),0,Tabla7[[#This Row],[15/12/2018]])</f>
        <v>0</v>
      </c>
      <c r="BI117">
        <f>IF(ISBLANK(Tabla7[[#This Row],[28/12/2018]]),0,Tabla7[[#This Row],[28/12/2018]])</f>
        <v>0</v>
      </c>
      <c r="BN11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('037207-0707','SBAJA','SCT04','2','CASETA Nº11 ALGIBES BLASCO ','DARSENA PESQUERA','Un orbis','');</v>
      </c>
      <c r="BO117" t="s">
        <v>243</v>
      </c>
      <c r="BP117" s="632" t="str">
        <f>CONCATENATE("insert into lecturas values ","('",Tabla7[[#This Row],[CONTADOR]],"',STR_TO_DATE('",Tabla7[[#Headers],[31/12/2017]],"','%d/%m/%Y'),",AV117,"),","('",Tabla7[[#This Row],[CONTADOR]],"',STR_TO_DATE('",Tabla7[[#Headers],[15/01/2018]],"','%d/%m/%Y'),",AW117,"),","('",Tabla7[[#This Row],[CONTADOR]],"',STR_TO_DATE('",Tabla7[[#Headers],[15/02/2018]],"','%d/%m/%Y'),",AX117,"),","('",Tabla7[[#This Row],[CONTADOR]],"',STR_TO_DATE('",Tabla7[[#Headers],[15/03/2018]],"','%d/%m/%Y'),",AY117,"),","('",Tabla7[[#This Row],[CONTADOR]],"',STR_TO_DATE('",Tabla7[[#Headers],[15/04/2018]],"','%d/%m/%Y'),",AZ117,"),","('",Tabla7[[#This Row],[CONTADOR]],"',STR_TO_DATE('",Tabla7[[#Headers],[15/05/2018]],"','%d/%m/%Y'),",BA117,"),","('",Tabla7[[#This Row],[CONTADOR]],"',STR_TO_DATE('",Tabla7[[#Headers],[15/06/2018]],"','%d/%m/%Y'),",BB117,"),","('",Tabla7[[#This Row],[CONTADOR]],"',STR_TO_DATE('",Tabla7[[#Headers],[15/07/2018]],"','%d/%m/%Y'),",BC117,"),","('",Tabla7[[#This Row],[CONTADOR]],"',STR_TO_DATE('",Tabla7[[#Headers],[15/08/2018]],"','%d/%m/%Y'),",BD117,"),","('",Tabla7[[#This Row],[CONTADOR]],"',STR_TO_DATE('",Tabla7[[#Headers],[15/09/2018]],"','%d/%m/%Y'),",BE117,"),","('",Tabla7[[#This Row],[CONTADOR]],"',STR_TO_DATE('",Tabla7[[#Headers],[15/10/2018]],"','%d/%m/%Y'),",BF117,"),","('",Tabla7[[#This Row],[CONTADOR]],"',STR_TO_DATE('",Tabla7[[#Headers],[15/11/2018]],"','%d/%m/%Y'),",BG117,"),","('",Tabla7[[#This Row],[CONTADOR]],"',STR_TO_DATE('",Tabla7[[#Headers],[15/12/2018]],"','%d/%m/%Y'),",BH117,");")</f>
        <v>insert into lecturas values ('037207-0707',STR_TO_DATE('31/12/2017','%d/%m/%Y'),79),('037207-0707',STR_TO_DATE('15/01/2018','%d/%m/%Y'),79),('037207-0707',STR_TO_DATE('15/02/2018','%d/%m/%Y'),79),('037207-0707',STR_TO_DATE('15/03/2018','%d/%m/%Y'),79),('037207-0707',STR_TO_DATE('15/04/2018','%d/%m/%Y'),79),('037207-0707',STR_TO_DATE('15/05/2018','%d/%m/%Y'),79),('037207-0707',STR_TO_DATE('15/06/2018','%d/%m/%Y'),79),('037207-0707',STR_TO_DATE('15/07/2018','%d/%m/%Y'),79),('037207-0707',STR_TO_DATE('15/08/2018','%d/%m/%Y'),79),('037207-0707',STR_TO_DATE('15/09/2018','%d/%m/%Y'),79),('037207-0707',STR_TO_DATE('15/10/2018','%d/%m/%Y'),79),('037207-0707',STR_TO_DATE('15/11/2018','%d/%m/%Y'),0),('037207-0707',STR_TO_DATE('15/12/2018','%d/%m/%Y'),0);</v>
      </c>
    </row>
    <row r="118" spans="1:68" ht="18" customHeight="1" x14ac:dyDescent="0.25">
      <c r="A118" s="241" t="s">
        <v>534</v>
      </c>
      <c r="B118" s="60"/>
      <c r="C118" s="315" t="s">
        <v>395</v>
      </c>
      <c r="D118" s="315" t="s">
        <v>541</v>
      </c>
      <c r="E118" s="316">
        <v>39901</v>
      </c>
      <c r="F118" s="313" t="s">
        <v>544</v>
      </c>
      <c r="G118" s="313" t="s">
        <v>545</v>
      </c>
      <c r="H118" s="264"/>
      <c r="I118" s="313"/>
      <c r="J118" s="356">
        <v>978230</v>
      </c>
      <c r="K118" s="356">
        <v>998050</v>
      </c>
      <c r="L118" s="356">
        <v>998050</v>
      </c>
      <c r="M118" s="356">
        <v>998050</v>
      </c>
      <c r="N118" s="356">
        <v>989137</v>
      </c>
      <c r="O118" s="356">
        <v>992679</v>
      </c>
      <c r="P118" s="356"/>
      <c r="Q118" s="313"/>
      <c r="R118" s="313"/>
      <c r="S118" s="311"/>
      <c r="T118" s="311"/>
      <c r="U118" s="356">
        <v>992679</v>
      </c>
      <c r="V118" s="356">
        <v>1022303</v>
      </c>
      <c r="W118" s="358"/>
      <c r="X118" s="313"/>
      <c r="Y118" s="264">
        <f t="shared" si="28"/>
        <v>19820</v>
      </c>
      <c r="Z118" s="264">
        <f t="shared" si="27"/>
        <v>0</v>
      </c>
      <c r="AA118" s="264">
        <f t="shared" si="44"/>
        <v>0</v>
      </c>
      <c r="AB118" s="264" t="str">
        <f t="shared" si="45"/>
        <v>!!!!</v>
      </c>
      <c r="AC118" s="264">
        <f t="shared" si="34"/>
        <v>3542</v>
      </c>
      <c r="AD118" s="264" t="str">
        <f t="shared" si="35"/>
        <v/>
      </c>
      <c r="AE118" s="264" t="str">
        <f t="shared" si="36"/>
        <v/>
      </c>
      <c r="AF118" s="264" t="str">
        <f t="shared" si="37"/>
        <v/>
      </c>
      <c r="AG118" s="264" t="str">
        <f t="shared" si="38"/>
        <v/>
      </c>
      <c r="AH118" s="264" t="str">
        <f t="shared" si="41"/>
        <v/>
      </c>
      <c r="AI118" s="264" t="str">
        <f t="shared" si="39"/>
        <v/>
      </c>
      <c r="AJ118" s="623">
        <f t="shared" si="40"/>
        <v>29624</v>
      </c>
      <c r="AK118" s="413">
        <v>1</v>
      </c>
      <c r="AL118" s="313">
        <f t="shared" ca="1" si="29"/>
        <v>989137</v>
      </c>
      <c r="AM118" s="356">
        <f t="shared" ca="1" si="30"/>
        <v>992679</v>
      </c>
      <c r="AN118" s="313">
        <f ca="1">IF(AND(Tabla7[[#This Row],[UltLec]]&lt;&gt;0,Tabla7[[#This Row],[PenLect]]&lt;&gt;0),(AM118-AL118)*Tabla7[[#This Row],[RT]],"N/A")</f>
        <v>3542</v>
      </c>
      <c r="AO118" s="427" t="s">
        <v>1135</v>
      </c>
      <c r="AP118" s="313" t="s">
        <v>1190</v>
      </c>
      <c r="AQ118" s="313" t="s">
        <v>1189</v>
      </c>
      <c r="AR118" s="421">
        <f t="shared" si="31"/>
        <v>1</v>
      </c>
      <c r="AT118" s="2" t="e">
        <f t="shared" ca="1" si="32"/>
        <v>#VALUE!</v>
      </c>
      <c r="AV118">
        <f>IF(ISBLANK(Tabla7[[#This Row],[31/12/2017]]),0,Tabla7[[#This Row],[31/12/2017]])</f>
        <v>978230</v>
      </c>
      <c r="AW118">
        <f>IF(ISBLANK(Tabla7[[#This Row],[15/01/2018]]),0,Tabla7[[#This Row],[15/01/2018]])</f>
        <v>998050</v>
      </c>
      <c r="AX118">
        <f>IF(ISBLANK(Tabla7[[#This Row],[15/02/2018]]),0,Tabla7[[#This Row],[15/02/2018]])</f>
        <v>998050</v>
      </c>
      <c r="AY118">
        <f>IF(ISBLANK(Tabla7[[#This Row],[15/03/2018]]),0,Tabla7[[#This Row],[15/03/2018]])</f>
        <v>998050</v>
      </c>
      <c r="AZ118">
        <f>IF(ISBLANK(Tabla7[[#This Row],[15/04/2018]]),0,Tabla7[[#This Row],[15/04/2018]])</f>
        <v>989137</v>
      </c>
      <c r="BA118">
        <f>IF(ISBLANK(Tabla7[[#This Row],[15/05/2018]]),0,Tabla7[[#This Row],[15/05/2018]])</f>
        <v>992679</v>
      </c>
      <c r="BB118">
        <f>IF(ISBLANK(Tabla7[[#This Row],[15/06/2018]]),0,Tabla7[[#This Row],[15/06/2018]])</f>
        <v>0</v>
      </c>
      <c r="BC118">
        <f>IF(ISBLANK(Tabla7[[#This Row],[15/07/2018]]),0,Tabla7[[#This Row],[15/07/2018]])</f>
        <v>0</v>
      </c>
      <c r="BD118">
        <f>IF(ISBLANK(Tabla7[[#This Row],[15/08/2018]]),0,Tabla7[[#This Row],[15/08/2018]])</f>
        <v>0</v>
      </c>
      <c r="BE118">
        <f>IF(ISBLANK(Tabla7[[#This Row],[15/09/2018]]),0,Tabla7[[#This Row],[15/09/2018]])</f>
        <v>0</v>
      </c>
      <c r="BF118">
        <f>IF(ISBLANK(Tabla7[[#This Row],[15/10/2018]]),0,Tabla7[[#This Row],[15/10/2018]])</f>
        <v>0</v>
      </c>
      <c r="BG118">
        <f>IF(ISBLANK(Tabla7[[#This Row],[15/11/2018]]),0,Tabla7[[#This Row],[15/11/2018]])</f>
        <v>992679</v>
      </c>
      <c r="BH118">
        <f>IF(ISBLANK(Tabla7[[#This Row],[15/12/2018]]),0,Tabla7[[#This Row],[15/12/2018]])</f>
        <v>1022303</v>
      </c>
      <c r="BI118">
        <f>IF(ISBLANK(Tabla7[[#This Row],[28/12/2018]]),0,Tabla7[[#This Row],[28/12/2018]])</f>
        <v>0</v>
      </c>
      <c r="BN11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('C113801731','S','SCT04','39901','COFRADIA PESCADORES PTO SGTO. ','LONJA PESCADO       ','','');</v>
      </c>
      <c r="BO118" t="s">
        <v>243</v>
      </c>
      <c r="BP118" s="632" t="str">
        <f>CONCATENATE("insert into lecturas values ","('",Tabla7[[#This Row],[CONTADOR]],"',STR_TO_DATE('",Tabla7[[#Headers],[31/12/2017]],"','%d/%m/%Y'),",AV118,"),","('",Tabla7[[#This Row],[CONTADOR]],"',STR_TO_DATE('",Tabla7[[#Headers],[15/01/2018]],"','%d/%m/%Y'),",AW118,"),","('",Tabla7[[#This Row],[CONTADOR]],"',STR_TO_DATE('",Tabla7[[#Headers],[15/02/2018]],"','%d/%m/%Y'),",AX118,"),","('",Tabla7[[#This Row],[CONTADOR]],"',STR_TO_DATE('",Tabla7[[#Headers],[15/03/2018]],"','%d/%m/%Y'),",AY118,"),","('",Tabla7[[#This Row],[CONTADOR]],"',STR_TO_DATE('",Tabla7[[#Headers],[15/04/2018]],"','%d/%m/%Y'),",AZ118,"),","('",Tabla7[[#This Row],[CONTADOR]],"',STR_TO_DATE('",Tabla7[[#Headers],[15/05/2018]],"','%d/%m/%Y'),",BA118,"),","('",Tabla7[[#This Row],[CONTADOR]],"',STR_TO_DATE('",Tabla7[[#Headers],[15/06/2018]],"','%d/%m/%Y'),",BB118,"),","('",Tabla7[[#This Row],[CONTADOR]],"',STR_TO_DATE('",Tabla7[[#Headers],[15/07/2018]],"','%d/%m/%Y'),",BC118,"),","('",Tabla7[[#This Row],[CONTADOR]],"',STR_TO_DATE('",Tabla7[[#Headers],[15/08/2018]],"','%d/%m/%Y'),",BD118,"),","('",Tabla7[[#This Row],[CONTADOR]],"',STR_TO_DATE('",Tabla7[[#Headers],[15/09/2018]],"','%d/%m/%Y'),",BE118,"),","('",Tabla7[[#This Row],[CONTADOR]],"',STR_TO_DATE('",Tabla7[[#Headers],[15/10/2018]],"','%d/%m/%Y'),",BF118,"),","('",Tabla7[[#This Row],[CONTADOR]],"',STR_TO_DATE('",Tabla7[[#Headers],[15/11/2018]],"','%d/%m/%Y'),",BG118,"),","('",Tabla7[[#This Row],[CONTADOR]],"',STR_TO_DATE('",Tabla7[[#Headers],[15/12/2018]],"','%d/%m/%Y'),",BH118,");")</f>
        <v>insert into lecturas values ('C113801731',STR_TO_DATE('31/12/2017','%d/%m/%Y'),978230),('C113801731',STR_TO_DATE('15/01/2018','%d/%m/%Y'),998050),('C113801731',STR_TO_DATE('15/02/2018','%d/%m/%Y'),998050),('C113801731',STR_TO_DATE('15/03/2018','%d/%m/%Y'),998050),('C113801731',STR_TO_DATE('15/04/2018','%d/%m/%Y'),989137),('C113801731',STR_TO_DATE('15/05/2018','%d/%m/%Y'),992679),('C113801731',STR_TO_DATE('15/06/2018','%d/%m/%Y'),0),('C113801731',STR_TO_DATE('15/07/2018','%d/%m/%Y'),0),('C113801731',STR_TO_DATE('15/08/2018','%d/%m/%Y'),0),('C113801731',STR_TO_DATE('15/09/2018','%d/%m/%Y'),0),('C113801731',STR_TO_DATE('15/10/2018','%d/%m/%Y'),0),('C113801731',STR_TO_DATE('15/11/2018','%d/%m/%Y'),992679),('C113801731',STR_TO_DATE('15/12/2018','%d/%m/%Y'),1022303);</v>
      </c>
    </row>
    <row r="119" spans="1:68" ht="18" customHeight="1" x14ac:dyDescent="0.25">
      <c r="A119" s="241" t="s">
        <v>534</v>
      </c>
      <c r="B119" s="60"/>
      <c r="C119" s="223" t="s">
        <v>1143</v>
      </c>
      <c r="D119" s="60" t="s">
        <v>541</v>
      </c>
      <c r="E119" s="258">
        <v>2</v>
      </c>
      <c r="F119" s="274" t="s">
        <v>558</v>
      </c>
      <c r="G119" s="274" t="s">
        <v>559</v>
      </c>
      <c r="H119" s="2"/>
      <c r="I119" s="274"/>
      <c r="J119" s="311"/>
      <c r="K119" s="311"/>
      <c r="L119" s="311"/>
      <c r="M119" s="311"/>
      <c r="N119" s="311"/>
      <c r="O119" s="311"/>
      <c r="P119" s="311"/>
      <c r="Q119" s="307">
        <v>3744</v>
      </c>
      <c r="R119" s="505">
        <v>3766</v>
      </c>
      <c r="S119" s="307">
        <v>3795</v>
      </c>
      <c r="T119" s="307">
        <v>3816</v>
      </c>
      <c r="U119" s="353">
        <v>3852</v>
      </c>
      <c r="V119" s="353">
        <v>3896</v>
      </c>
      <c r="W119" s="307"/>
      <c r="X119" s="307"/>
      <c r="Y119" s="2" t="str">
        <f t="shared" si="28"/>
        <v/>
      </c>
      <c r="Z119" s="2" t="str">
        <f t="shared" si="27"/>
        <v/>
      </c>
      <c r="AA119" s="2" t="str">
        <f t="shared" si="44"/>
        <v/>
      </c>
      <c r="AB119" s="2" t="str">
        <f t="shared" si="45"/>
        <v/>
      </c>
      <c r="AC119" s="2" t="str">
        <f t="shared" si="34"/>
        <v/>
      </c>
      <c r="AD119" s="2" t="str">
        <f t="shared" si="35"/>
        <v/>
      </c>
      <c r="AE119" s="2" t="str">
        <f t="shared" si="36"/>
        <v/>
      </c>
      <c r="AF119" s="2">
        <f t="shared" si="37"/>
        <v>440</v>
      </c>
      <c r="AG119" s="2">
        <f t="shared" si="38"/>
        <v>580</v>
      </c>
      <c r="AH119" s="2">
        <f t="shared" si="41"/>
        <v>420</v>
      </c>
      <c r="AI119" s="2">
        <f t="shared" si="39"/>
        <v>720</v>
      </c>
      <c r="AJ119" s="2">
        <f t="shared" si="40"/>
        <v>880</v>
      </c>
      <c r="AK119" s="406">
        <v>20</v>
      </c>
      <c r="AL119" s="274">
        <f t="shared" ca="1" si="29"/>
        <v>0</v>
      </c>
      <c r="AM119" s="311">
        <f t="shared" ca="1" si="30"/>
        <v>0</v>
      </c>
      <c r="AN119" s="274" t="str">
        <f ca="1">IF(AND(Tabla7[[#This Row],[UltLec]]&lt;&gt;0,Tabla7[[#This Row],[PenLect]]&lt;&gt;0),(AM119-AL119)*Tabla7[[#This Row],[RT]],"N/A")</f>
        <v>N/A</v>
      </c>
      <c r="AO119" s="273" t="s">
        <v>1135</v>
      </c>
      <c r="AP119" s="392" t="s">
        <v>1190</v>
      </c>
      <c r="AQ119" s="392" t="s">
        <v>1189</v>
      </c>
      <c r="AR119" s="407">
        <f t="shared" si="31"/>
        <v>0</v>
      </c>
      <c r="AT119" s="2" t="e">
        <f t="shared" ca="1" si="32"/>
        <v>#VALUE!</v>
      </c>
      <c r="AV119">
        <f>IF(ISBLANK(Tabla7[[#This Row],[31/12/2017]]),0,Tabla7[[#This Row],[31/12/2017]])</f>
        <v>0</v>
      </c>
      <c r="AW119">
        <f>IF(ISBLANK(Tabla7[[#This Row],[15/01/2018]]),0,Tabla7[[#This Row],[15/01/2018]])</f>
        <v>0</v>
      </c>
      <c r="AX119">
        <f>IF(ISBLANK(Tabla7[[#This Row],[15/02/2018]]),0,Tabla7[[#This Row],[15/02/2018]])</f>
        <v>0</v>
      </c>
      <c r="AY119">
        <f>IF(ISBLANK(Tabla7[[#This Row],[15/03/2018]]),0,Tabla7[[#This Row],[15/03/2018]])</f>
        <v>0</v>
      </c>
      <c r="AZ119">
        <f>IF(ISBLANK(Tabla7[[#This Row],[15/04/2018]]),0,Tabla7[[#This Row],[15/04/2018]])</f>
        <v>0</v>
      </c>
      <c r="BA119">
        <f>IF(ISBLANK(Tabla7[[#This Row],[15/05/2018]]),0,Tabla7[[#This Row],[15/05/2018]])</f>
        <v>0</v>
      </c>
      <c r="BB119">
        <f>IF(ISBLANK(Tabla7[[#This Row],[15/06/2018]]),0,Tabla7[[#This Row],[15/06/2018]])</f>
        <v>0</v>
      </c>
      <c r="BC119">
        <f>IF(ISBLANK(Tabla7[[#This Row],[15/07/2018]]),0,Tabla7[[#This Row],[15/07/2018]])</f>
        <v>3744</v>
      </c>
      <c r="BD119">
        <f>IF(ISBLANK(Tabla7[[#This Row],[15/08/2018]]),0,Tabla7[[#This Row],[15/08/2018]])</f>
        <v>3766</v>
      </c>
      <c r="BE119">
        <f>IF(ISBLANK(Tabla7[[#This Row],[15/09/2018]]),0,Tabla7[[#This Row],[15/09/2018]])</f>
        <v>3795</v>
      </c>
      <c r="BF119">
        <f>IF(ISBLANK(Tabla7[[#This Row],[15/10/2018]]),0,Tabla7[[#This Row],[15/10/2018]])</f>
        <v>3816</v>
      </c>
      <c r="BG119">
        <f>IF(ISBLANK(Tabla7[[#This Row],[15/11/2018]]),0,Tabla7[[#This Row],[15/11/2018]])</f>
        <v>3852</v>
      </c>
      <c r="BH119">
        <f>IF(ISBLANK(Tabla7[[#This Row],[15/12/2018]]),0,Tabla7[[#This Row],[15/12/2018]])</f>
        <v>3896</v>
      </c>
      <c r="BI119">
        <f>IF(ISBLANK(Tabla7[[#This Row],[28/12/2018]]),0,Tabla7[[#This Row],[28/12/2018]])</f>
        <v>0</v>
      </c>
      <c r="BN11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('DAMQCBH08005356226','S','SCT04','2','Sala contraincendios nº 1 ','Dársena pesquera','','');</v>
      </c>
      <c r="BO119" t="s">
        <v>243</v>
      </c>
      <c r="BP119" s="632" t="str">
        <f>CONCATENATE("insert into lecturas values ","('",Tabla7[[#This Row],[CONTADOR]],"',STR_TO_DATE('",Tabla7[[#Headers],[31/12/2017]],"','%d/%m/%Y'),",AV119,"),","('",Tabla7[[#This Row],[CONTADOR]],"',STR_TO_DATE('",Tabla7[[#Headers],[15/01/2018]],"','%d/%m/%Y'),",AW119,"),","('",Tabla7[[#This Row],[CONTADOR]],"',STR_TO_DATE('",Tabla7[[#Headers],[15/02/2018]],"','%d/%m/%Y'),",AX119,"),","('",Tabla7[[#This Row],[CONTADOR]],"',STR_TO_DATE('",Tabla7[[#Headers],[15/03/2018]],"','%d/%m/%Y'),",AY119,"),","('",Tabla7[[#This Row],[CONTADOR]],"',STR_TO_DATE('",Tabla7[[#Headers],[15/04/2018]],"','%d/%m/%Y'),",AZ119,"),","('",Tabla7[[#This Row],[CONTADOR]],"',STR_TO_DATE('",Tabla7[[#Headers],[15/05/2018]],"','%d/%m/%Y'),",BA119,"),","('",Tabla7[[#This Row],[CONTADOR]],"',STR_TO_DATE('",Tabla7[[#Headers],[15/06/2018]],"','%d/%m/%Y'),",BB119,"),","('",Tabla7[[#This Row],[CONTADOR]],"',STR_TO_DATE('",Tabla7[[#Headers],[15/07/2018]],"','%d/%m/%Y'),",BC119,"),","('",Tabla7[[#This Row],[CONTADOR]],"',STR_TO_DATE('",Tabla7[[#Headers],[15/08/2018]],"','%d/%m/%Y'),",BD119,"),","('",Tabla7[[#This Row],[CONTADOR]],"',STR_TO_DATE('",Tabla7[[#Headers],[15/09/2018]],"','%d/%m/%Y'),",BE119,"),","('",Tabla7[[#This Row],[CONTADOR]],"',STR_TO_DATE('",Tabla7[[#Headers],[15/10/2018]],"','%d/%m/%Y'),",BF119,"),","('",Tabla7[[#This Row],[CONTADOR]],"',STR_TO_DATE('",Tabla7[[#Headers],[15/11/2018]],"','%d/%m/%Y'),",BG119,"),","('",Tabla7[[#This Row],[CONTADOR]],"',STR_TO_DATE('",Tabla7[[#Headers],[15/12/2018]],"','%d/%m/%Y'),",BH119,");")</f>
        <v>insert into lecturas values ('DAMQCBH08005356226',STR_TO_DATE('31/12/2017','%d/%m/%Y'),0),('DAMQCBH08005356226',STR_TO_DATE('15/01/2018','%d/%m/%Y'),0),('DAMQCBH08005356226',STR_TO_DATE('15/02/2018','%d/%m/%Y'),0),('DAMQCBH08005356226',STR_TO_DATE('15/03/2018','%d/%m/%Y'),0),('DAMQCBH08005356226',STR_TO_DATE('15/04/2018','%d/%m/%Y'),0),('DAMQCBH08005356226',STR_TO_DATE('15/05/2018','%d/%m/%Y'),0),('DAMQCBH08005356226',STR_TO_DATE('15/06/2018','%d/%m/%Y'),0),('DAMQCBH08005356226',STR_TO_DATE('15/07/2018','%d/%m/%Y'),3744),('DAMQCBH08005356226',STR_TO_DATE('15/08/2018','%d/%m/%Y'),3766),('DAMQCBH08005356226',STR_TO_DATE('15/09/2018','%d/%m/%Y'),3795),('DAMQCBH08005356226',STR_TO_DATE('15/10/2018','%d/%m/%Y'),3816),('DAMQCBH08005356226',STR_TO_DATE('15/11/2018','%d/%m/%Y'),3852),('DAMQCBH08005356226',STR_TO_DATE('15/12/2018','%d/%m/%Y'),3896);</v>
      </c>
    </row>
    <row r="120" spans="1:68" ht="18" customHeight="1" x14ac:dyDescent="0.3">
      <c r="A120" s="241" t="s">
        <v>534</v>
      </c>
      <c r="B120" s="60"/>
      <c r="C120" s="223" t="s">
        <v>1171</v>
      </c>
      <c r="D120" s="60" t="s">
        <v>541</v>
      </c>
      <c r="E120" s="258">
        <v>2</v>
      </c>
      <c r="F120" s="274" t="s">
        <v>1172</v>
      </c>
      <c r="G120" s="274"/>
      <c r="H120" s="2"/>
      <c r="I120" s="274"/>
      <c r="J120" s="311"/>
      <c r="K120" s="311"/>
      <c r="L120" s="311">
        <v>21982</v>
      </c>
      <c r="M120" s="311"/>
      <c r="N120" s="311"/>
      <c r="O120" s="311"/>
      <c r="P120" s="311"/>
      <c r="Q120" s="307">
        <v>26670</v>
      </c>
      <c r="R120" s="307"/>
      <c r="S120" s="307"/>
      <c r="T120" s="307"/>
      <c r="U120" s="353">
        <v>28135</v>
      </c>
      <c r="V120" s="353"/>
      <c r="W120" s="344"/>
      <c r="X120" s="307"/>
      <c r="Y120" s="2" t="str">
        <f t="shared" si="28"/>
        <v/>
      </c>
      <c r="Z120" s="2" t="str">
        <f t="shared" si="27"/>
        <v/>
      </c>
      <c r="AA120" s="2" t="str">
        <f t="shared" si="44"/>
        <v/>
      </c>
      <c r="AB120" s="2" t="str">
        <f t="shared" si="45"/>
        <v/>
      </c>
      <c r="AC120" s="2" t="str">
        <f t="shared" si="34"/>
        <v/>
      </c>
      <c r="AD120" s="2" t="str">
        <f t="shared" si="35"/>
        <v/>
      </c>
      <c r="AE120" s="2" t="str">
        <f t="shared" si="36"/>
        <v/>
      </c>
      <c r="AF120" s="2" t="str">
        <f t="shared" si="37"/>
        <v/>
      </c>
      <c r="AG120" s="2" t="str">
        <f t="shared" si="38"/>
        <v/>
      </c>
      <c r="AH120" s="271" t="str">
        <f t="shared" si="41"/>
        <v/>
      </c>
      <c r="AI120" s="2" t="str">
        <f t="shared" si="39"/>
        <v/>
      </c>
      <c r="AJ120" s="2" t="str">
        <f t="shared" si="40"/>
        <v/>
      </c>
      <c r="AK120" s="420">
        <v>1</v>
      </c>
      <c r="AL120" s="429">
        <f t="shared" ca="1" si="29"/>
        <v>0</v>
      </c>
      <c r="AM120" s="311">
        <f t="shared" ca="1" si="30"/>
        <v>0</v>
      </c>
      <c r="AN120" s="412" t="str">
        <f ca="1">IF(AND(Tabla7[[#This Row],[UltLec]]&lt;&gt;0,Tabla7[[#This Row],[PenLect]]&lt;&gt;0),(AM120-AL120)*Tabla7[[#This Row],[RT]],"N/A")</f>
        <v>N/A</v>
      </c>
      <c r="AO120" s="273" t="s">
        <v>1135</v>
      </c>
      <c r="AP120" s="392" t="s">
        <v>1190</v>
      </c>
      <c r="AQ120" s="392" t="s">
        <v>1189</v>
      </c>
      <c r="AR120" s="407">
        <f t="shared" si="31"/>
        <v>0</v>
      </c>
      <c r="AT120" s="2" t="e">
        <f t="shared" ca="1" si="32"/>
        <v>#VALUE!</v>
      </c>
      <c r="AV120">
        <f>IF(ISBLANK(Tabla7[[#This Row],[31/12/2017]]),0,Tabla7[[#This Row],[31/12/2017]])</f>
        <v>0</v>
      </c>
      <c r="AW120">
        <f>IF(ISBLANK(Tabla7[[#This Row],[15/01/2018]]),0,Tabla7[[#This Row],[15/01/2018]])</f>
        <v>0</v>
      </c>
      <c r="AX120">
        <f>IF(ISBLANK(Tabla7[[#This Row],[15/02/2018]]),0,Tabla7[[#This Row],[15/02/2018]])</f>
        <v>21982</v>
      </c>
      <c r="AY120">
        <f>IF(ISBLANK(Tabla7[[#This Row],[15/03/2018]]),0,Tabla7[[#This Row],[15/03/2018]])</f>
        <v>0</v>
      </c>
      <c r="AZ120">
        <f>IF(ISBLANK(Tabla7[[#This Row],[15/04/2018]]),0,Tabla7[[#This Row],[15/04/2018]])</f>
        <v>0</v>
      </c>
      <c r="BA120">
        <f>IF(ISBLANK(Tabla7[[#This Row],[15/05/2018]]),0,Tabla7[[#This Row],[15/05/2018]])</f>
        <v>0</v>
      </c>
      <c r="BB120">
        <f>IF(ISBLANK(Tabla7[[#This Row],[15/06/2018]]),0,Tabla7[[#This Row],[15/06/2018]])</f>
        <v>0</v>
      </c>
      <c r="BC120">
        <f>IF(ISBLANK(Tabla7[[#This Row],[15/07/2018]]),0,Tabla7[[#This Row],[15/07/2018]])</f>
        <v>26670</v>
      </c>
      <c r="BD120">
        <f>IF(ISBLANK(Tabla7[[#This Row],[15/08/2018]]),0,Tabla7[[#This Row],[15/08/2018]])</f>
        <v>0</v>
      </c>
      <c r="BE120">
        <f>IF(ISBLANK(Tabla7[[#This Row],[15/09/2018]]),0,Tabla7[[#This Row],[15/09/2018]])</f>
        <v>0</v>
      </c>
      <c r="BF120">
        <f>IF(ISBLANK(Tabla7[[#This Row],[15/10/2018]]),0,Tabla7[[#This Row],[15/10/2018]])</f>
        <v>0</v>
      </c>
      <c r="BG120">
        <f>IF(ISBLANK(Tabla7[[#This Row],[15/11/2018]]),0,Tabla7[[#This Row],[15/11/2018]])</f>
        <v>28135</v>
      </c>
      <c r="BH120">
        <f>IF(ISBLANK(Tabla7[[#This Row],[15/12/2018]]),0,Tabla7[[#This Row],[15/12/2018]])</f>
        <v>0</v>
      </c>
      <c r="BI120">
        <f>IF(ISBLANK(Tabla7[[#This Row],[28/12/2018]]),0,Tabla7[[#This Row],[28/12/2018]])</f>
        <v>0</v>
      </c>
      <c r="BN12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('LW1300','S','SCT04','2','TOMAS CORRIENTE MUELLE NORTE','','','');</v>
      </c>
      <c r="BO120" t="s">
        <v>243</v>
      </c>
      <c r="BP120" s="632" t="str">
        <f>CONCATENATE("insert into lecturas values ","('",Tabla7[[#This Row],[CONTADOR]],"',STR_TO_DATE('",Tabla7[[#Headers],[31/12/2017]],"','%d/%m/%Y'),",AV120,"),","('",Tabla7[[#This Row],[CONTADOR]],"',STR_TO_DATE('",Tabla7[[#Headers],[15/01/2018]],"','%d/%m/%Y'),",AW120,"),","('",Tabla7[[#This Row],[CONTADOR]],"',STR_TO_DATE('",Tabla7[[#Headers],[15/02/2018]],"','%d/%m/%Y'),",AX120,"),","('",Tabla7[[#This Row],[CONTADOR]],"',STR_TO_DATE('",Tabla7[[#Headers],[15/03/2018]],"','%d/%m/%Y'),",AY120,"),","('",Tabla7[[#This Row],[CONTADOR]],"',STR_TO_DATE('",Tabla7[[#Headers],[15/04/2018]],"','%d/%m/%Y'),",AZ120,"),","('",Tabla7[[#This Row],[CONTADOR]],"',STR_TO_DATE('",Tabla7[[#Headers],[15/05/2018]],"','%d/%m/%Y'),",BA120,"),","('",Tabla7[[#This Row],[CONTADOR]],"',STR_TO_DATE('",Tabla7[[#Headers],[15/06/2018]],"','%d/%m/%Y'),",BB120,"),","('",Tabla7[[#This Row],[CONTADOR]],"',STR_TO_DATE('",Tabla7[[#Headers],[15/07/2018]],"','%d/%m/%Y'),",BC120,"),","('",Tabla7[[#This Row],[CONTADOR]],"',STR_TO_DATE('",Tabla7[[#Headers],[15/08/2018]],"','%d/%m/%Y'),",BD120,"),","('",Tabla7[[#This Row],[CONTADOR]],"',STR_TO_DATE('",Tabla7[[#Headers],[15/09/2018]],"','%d/%m/%Y'),",BE120,"),","('",Tabla7[[#This Row],[CONTADOR]],"',STR_TO_DATE('",Tabla7[[#Headers],[15/10/2018]],"','%d/%m/%Y'),",BF120,"),","('",Tabla7[[#This Row],[CONTADOR]],"',STR_TO_DATE('",Tabla7[[#Headers],[15/11/2018]],"','%d/%m/%Y'),",BG120,"),","('",Tabla7[[#This Row],[CONTADOR]],"',STR_TO_DATE('",Tabla7[[#Headers],[15/12/2018]],"','%d/%m/%Y'),",BH120,");")</f>
        <v>insert into lecturas values ('LW1300',STR_TO_DATE('31/12/2017','%d/%m/%Y'),0),('LW1300',STR_TO_DATE('15/01/2018','%d/%m/%Y'),0),('LW1300',STR_TO_DATE('15/02/2018','%d/%m/%Y'),21982),('LW1300',STR_TO_DATE('15/03/2018','%d/%m/%Y'),0),('LW1300',STR_TO_DATE('15/04/2018','%d/%m/%Y'),0),('LW1300',STR_TO_DATE('15/05/2018','%d/%m/%Y'),0),('LW1300',STR_TO_DATE('15/06/2018','%d/%m/%Y'),0),('LW1300',STR_TO_DATE('15/07/2018','%d/%m/%Y'),26670),('LW1300',STR_TO_DATE('15/08/2018','%d/%m/%Y'),0),('LW1300',STR_TO_DATE('15/09/2018','%d/%m/%Y'),0),('LW1300',STR_TO_DATE('15/10/2018','%d/%m/%Y'),0),('LW1300',STR_TO_DATE('15/11/2018','%d/%m/%Y'),28135),('LW1300',STR_TO_DATE('15/12/2018','%d/%m/%Y'),0);</v>
      </c>
    </row>
    <row r="121" spans="1:68" s="3" customFormat="1" ht="18" customHeight="1" x14ac:dyDescent="0.25">
      <c r="A121" s="372" t="s">
        <v>1175</v>
      </c>
      <c r="B121" s="372"/>
      <c r="C121" s="372"/>
      <c r="D121" s="372" t="s">
        <v>541</v>
      </c>
      <c r="E121" s="372">
        <v>2</v>
      </c>
      <c r="F121" s="372" t="s">
        <v>556</v>
      </c>
      <c r="G121" s="372"/>
      <c r="H121" s="372"/>
      <c r="I121" s="372"/>
      <c r="J121" s="372">
        <v>135</v>
      </c>
      <c r="K121" s="372">
        <v>135</v>
      </c>
      <c r="L121" s="372">
        <v>136</v>
      </c>
      <c r="M121" s="372">
        <v>137</v>
      </c>
      <c r="N121" s="372">
        <v>137</v>
      </c>
      <c r="O121" s="372">
        <v>138</v>
      </c>
      <c r="P121" s="372">
        <v>138</v>
      </c>
      <c r="Q121" s="372">
        <v>139</v>
      </c>
      <c r="R121" s="372"/>
      <c r="S121" s="372"/>
      <c r="T121" s="372"/>
      <c r="U121" s="372">
        <v>0</v>
      </c>
      <c r="V121" s="372"/>
      <c r="W121" s="372"/>
      <c r="X121" s="372"/>
      <c r="Y121" s="372">
        <f t="shared" si="28"/>
        <v>0</v>
      </c>
      <c r="Z121" s="372">
        <f t="shared" ref="Z121:Z184" si="46">IF(OR(ISBLANK(L121),ISBLANK(K121)),"",IF(AND(L121&gt;=K121,L121-K121&lt;=L121),(L121-K121)*$AK121,"!!!!"))</f>
        <v>1</v>
      </c>
      <c r="AA121" s="372">
        <f t="shared" si="44"/>
        <v>1</v>
      </c>
      <c r="AB121" s="372">
        <f t="shared" si="45"/>
        <v>0</v>
      </c>
      <c r="AC121" s="372">
        <f t="shared" si="34"/>
        <v>1</v>
      </c>
      <c r="AD121" s="372">
        <f t="shared" si="35"/>
        <v>0</v>
      </c>
      <c r="AE121" s="372">
        <f t="shared" si="36"/>
        <v>1</v>
      </c>
      <c r="AF121" s="372" t="str">
        <f t="shared" si="37"/>
        <v/>
      </c>
      <c r="AG121" s="372" t="str">
        <f t="shared" si="38"/>
        <v/>
      </c>
      <c r="AH121" s="372" t="str">
        <f t="shared" si="41"/>
        <v/>
      </c>
      <c r="AI121" s="372" t="str">
        <f t="shared" si="39"/>
        <v/>
      </c>
      <c r="AJ121" s="372" t="str">
        <f t="shared" si="40"/>
        <v/>
      </c>
      <c r="AK121" s="372">
        <v>1</v>
      </c>
      <c r="AL121" s="372">
        <f t="shared" ca="1" si="29"/>
        <v>137</v>
      </c>
      <c r="AM121" s="372">
        <f t="shared" ca="1" si="30"/>
        <v>138</v>
      </c>
      <c r="AN121" s="372">
        <f ca="1">IF(AND(Tabla7[[#This Row],[UltLec]]&lt;&gt;0,Tabla7[[#This Row],[PenLect]]&lt;&gt;0),(AM121-AL121)*Tabla7[[#This Row],[RT]],"N/A")</f>
        <v>1</v>
      </c>
      <c r="AO121" s="372" t="s">
        <v>1281</v>
      </c>
      <c r="AP121" s="372" t="s">
        <v>1190</v>
      </c>
      <c r="AQ121" s="372" t="s">
        <v>1189</v>
      </c>
      <c r="AR121" s="372">
        <f t="shared" si="31"/>
        <v>0</v>
      </c>
      <c r="AT121" s="2" t="str">
        <f t="shared" ca="1" si="32"/>
        <v>0</v>
      </c>
      <c r="AV121">
        <f>IF(ISBLANK(Tabla7[[#This Row],[31/12/2017]]),0,Tabla7[[#This Row],[31/12/2017]])</f>
        <v>135</v>
      </c>
      <c r="AW121">
        <f>IF(ISBLANK(Tabla7[[#This Row],[15/01/2018]]),0,Tabla7[[#This Row],[15/01/2018]])</f>
        <v>135</v>
      </c>
      <c r="AX121">
        <f>IF(ISBLANK(Tabla7[[#This Row],[15/02/2018]]),0,Tabla7[[#This Row],[15/02/2018]])</f>
        <v>136</v>
      </c>
      <c r="AY121">
        <f>IF(ISBLANK(Tabla7[[#This Row],[15/03/2018]]),0,Tabla7[[#This Row],[15/03/2018]])</f>
        <v>137</v>
      </c>
      <c r="AZ121">
        <f>IF(ISBLANK(Tabla7[[#This Row],[15/04/2018]]),0,Tabla7[[#This Row],[15/04/2018]])</f>
        <v>137</v>
      </c>
      <c r="BA121">
        <f>IF(ISBLANK(Tabla7[[#This Row],[15/05/2018]]),0,Tabla7[[#This Row],[15/05/2018]])</f>
        <v>138</v>
      </c>
      <c r="BB121">
        <f>IF(ISBLANK(Tabla7[[#This Row],[15/06/2018]]),0,Tabla7[[#This Row],[15/06/2018]])</f>
        <v>138</v>
      </c>
      <c r="BC121">
        <f>IF(ISBLANK(Tabla7[[#This Row],[15/07/2018]]),0,Tabla7[[#This Row],[15/07/2018]])</f>
        <v>139</v>
      </c>
      <c r="BD121">
        <f>IF(ISBLANK(Tabla7[[#This Row],[15/08/2018]]),0,Tabla7[[#This Row],[15/08/2018]])</f>
        <v>0</v>
      </c>
      <c r="BE121">
        <f>IF(ISBLANK(Tabla7[[#This Row],[15/09/2018]]),0,Tabla7[[#This Row],[15/09/2018]])</f>
        <v>0</v>
      </c>
      <c r="BF121">
        <f>IF(ISBLANK(Tabla7[[#This Row],[15/10/2018]]),0,Tabla7[[#This Row],[15/10/2018]])</f>
        <v>0</v>
      </c>
      <c r="BG121">
        <f>IF(ISBLANK(Tabla7[[#This Row],[15/11/2018]]),0,Tabla7[[#This Row],[15/11/2018]])</f>
        <v>0</v>
      </c>
      <c r="BH121">
        <f>IF(ISBLANK(Tabla7[[#This Row],[15/12/2018]]),0,Tabla7[[#This Row],[15/12/2018]])</f>
        <v>0</v>
      </c>
      <c r="BI121">
        <f>IF(ISBLANK(Tabla7[[#This Row],[28/12/2018]]),0,Tabla7[[#This Row],[28/12/2018]])</f>
        <v>0</v>
      </c>
      <c r="BN12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('','SBAJA','SCT04','2','Alumbrado viales darsena pesquera CT nº4','','','');</v>
      </c>
      <c r="BO121" t="s">
        <v>243</v>
      </c>
      <c r="BP121" s="632" t="str">
        <f>CONCATENATE("insert into lecturas values ","('",Tabla7[[#This Row],[CONTADOR]],"',STR_TO_DATE('",Tabla7[[#Headers],[31/12/2017]],"','%d/%m/%Y'),",AV121,"),","('",Tabla7[[#This Row],[CONTADOR]],"',STR_TO_DATE('",Tabla7[[#Headers],[15/01/2018]],"','%d/%m/%Y'),",AW121,"),","('",Tabla7[[#This Row],[CONTADOR]],"',STR_TO_DATE('",Tabla7[[#Headers],[15/02/2018]],"','%d/%m/%Y'),",AX121,"),","('",Tabla7[[#This Row],[CONTADOR]],"',STR_TO_DATE('",Tabla7[[#Headers],[15/03/2018]],"','%d/%m/%Y'),",AY121,"),","('",Tabla7[[#This Row],[CONTADOR]],"',STR_TO_DATE('",Tabla7[[#Headers],[15/04/2018]],"','%d/%m/%Y'),",AZ121,"),","('",Tabla7[[#This Row],[CONTADOR]],"',STR_TO_DATE('",Tabla7[[#Headers],[15/05/2018]],"','%d/%m/%Y'),",BA121,"),","('",Tabla7[[#This Row],[CONTADOR]],"',STR_TO_DATE('",Tabla7[[#Headers],[15/06/2018]],"','%d/%m/%Y'),",BB121,"),","('",Tabla7[[#This Row],[CONTADOR]],"',STR_TO_DATE('",Tabla7[[#Headers],[15/07/2018]],"','%d/%m/%Y'),",BC121,"),","('",Tabla7[[#This Row],[CONTADOR]],"',STR_TO_DATE('",Tabla7[[#Headers],[15/08/2018]],"','%d/%m/%Y'),",BD121,"),","('",Tabla7[[#This Row],[CONTADOR]],"',STR_TO_DATE('",Tabla7[[#Headers],[15/09/2018]],"','%d/%m/%Y'),",BE121,"),","('",Tabla7[[#This Row],[CONTADOR]],"',STR_TO_DATE('",Tabla7[[#Headers],[15/10/2018]],"','%d/%m/%Y'),",BF121,"),","('",Tabla7[[#This Row],[CONTADOR]],"',STR_TO_DATE('",Tabla7[[#Headers],[15/11/2018]],"','%d/%m/%Y'),",BG121,"),","('",Tabla7[[#This Row],[CONTADOR]],"',STR_TO_DATE('",Tabla7[[#Headers],[15/12/2018]],"','%d/%m/%Y'),",BH121,");")</f>
        <v>insert into lecturas values ('',STR_TO_DATE('31/12/2017','%d/%m/%Y'),135),('',STR_TO_DATE('15/01/2018','%d/%m/%Y'),135),('',STR_TO_DATE('15/02/2018','%d/%m/%Y'),136),('',STR_TO_DATE('15/03/2018','%d/%m/%Y'),137),('',STR_TO_DATE('15/04/2018','%d/%m/%Y'),137),('',STR_TO_DATE('15/05/2018','%d/%m/%Y'),138),('',STR_TO_DATE('15/06/2018','%d/%m/%Y'),138),('',STR_TO_DATE('15/07/2018','%d/%m/%Y'),139),('',STR_TO_DATE('15/08/2018','%d/%m/%Y'),0),('',STR_TO_DATE('15/09/2018','%d/%m/%Y'),0),('',STR_TO_DATE('15/10/2018','%d/%m/%Y'),0),('',STR_TO_DATE('15/11/2018','%d/%m/%Y'),0),('',STR_TO_DATE('15/12/2018','%d/%m/%Y'),0);</v>
      </c>
    </row>
    <row r="122" spans="1:68" ht="18" customHeight="1" x14ac:dyDescent="0.25">
      <c r="A122" s="314" t="s">
        <v>1175</v>
      </c>
      <c r="B122" s="315"/>
      <c r="C122" s="309"/>
      <c r="D122" s="315" t="s">
        <v>541</v>
      </c>
      <c r="E122" s="316">
        <v>2</v>
      </c>
      <c r="F122" s="313" t="s">
        <v>172</v>
      </c>
      <c r="G122" s="264"/>
      <c r="H122" s="264"/>
      <c r="I122" s="313"/>
      <c r="J122" s="356">
        <v>3531</v>
      </c>
      <c r="K122" s="356">
        <v>3549</v>
      </c>
      <c r="L122" s="356">
        <v>3581</v>
      </c>
      <c r="M122" s="356">
        <v>3612</v>
      </c>
      <c r="N122" s="356">
        <v>3650</v>
      </c>
      <c r="O122" s="540"/>
      <c r="P122" s="356"/>
      <c r="Q122" s="313"/>
      <c r="R122" s="313"/>
      <c r="S122" s="313"/>
      <c r="T122" s="313"/>
      <c r="U122" s="356"/>
      <c r="V122" s="358"/>
      <c r="W122" s="358"/>
      <c r="X122" s="313"/>
      <c r="Y122" s="264">
        <f t="shared" ref="Y122:Y185" si="47">IF(OR(ISBLANK(K122),ISBLANK(J122)),"",IF(AND(K122&gt;=J122,K122-J122&lt;=K122),(K122-J122)*$AK122,"!!!!"))</f>
        <v>18</v>
      </c>
      <c r="Z122" s="264">
        <f t="shared" si="46"/>
        <v>32</v>
      </c>
      <c r="AA122" s="264">
        <f t="shared" si="44"/>
        <v>31</v>
      </c>
      <c r="AB122" s="264">
        <f t="shared" si="45"/>
        <v>38</v>
      </c>
      <c r="AC122" s="264" t="str">
        <f t="shared" si="34"/>
        <v/>
      </c>
      <c r="AD122" s="264" t="str">
        <f t="shared" si="35"/>
        <v/>
      </c>
      <c r="AE122" s="264" t="str">
        <f t="shared" si="36"/>
        <v/>
      </c>
      <c r="AF122" s="264" t="str">
        <f t="shared" si="37"/>
        <v/>
      </c>
      <c r="AG122" s="264" t="str">
        <f t="shared" si="38"/>
        <v/>
      </c>
      <c r="AH122" s="264" t="str">
        <f t="shared" si="41"/>
        <v/>
      </c>
      <c r="AI122" s="264" t="str">
        <f t="shared" si="39"/>
        <v/>
      </c>
      <c r="AJ122" s="264" t="str">
        <f t="shared" si="40"/>
        <v/>
      </c>
      <c r="AK122" s="413">
        <v>1</v>
      </c>
      <c r="AL122" s="313">
        <f t="shared" ca="1" si="29"/>
        <v>3650</v>
      </c>
      <c r="AM122" s="356">
        <f t="shared" ca="1" si="30"/>
        <v>0</v>
      </c>
      <c r="AN122" s="313" t="str">
        <f ca="1">IF(AND(Tabla7[[#This Row],[UltLec]]&lt;&gt;0,Tabla7[[#This Row],[PenLect]]&lt;&gt;0),(AM122-AL122)*Tabla7[[#This Row],[RT]],"N/A")</f>
        <v>N/A</v>
      </c>
      <c r="AO122" s="437"/>
      <c r="AP122" s="438" t="s">
        <v>1190</v>
      </c>
      <c r="AQ122" s="438" t="s">
        <v>1189</v>
      </c>
      <c r="AR122" s="421">
        <f t="shared" si="31"/>
        <v>0</v>
      </c>
      <c r="AT122" s="2" t="e">
        <f t="shared" ca="1" si="32"/>
        <v>#VALUE!</v>
      </c>
      <c r="AV122">
        <f>IF(ISBLANK(Tabla7[[#This Row],[31/12/2017]]),0,Tabla7[[#This Row],[31/12/2017]])</f>
        <v>3531</v>
      </c>
      <c r="AW122">
        <f>IF(ISBLANK(Tabla7[[#This Row],[15/01/2018]]),0,Tabla7[[#This Row],[15/01/2018]])</f>
        <v>3549</v>
      </c>
      <c r="AX122">
        <f>IF(ISBLANK(Tabla7[[#This Row],[15/02/2018]]),0,Tabla7[[#This Row],[15/02/2018]])</f>
        <v>3581</v>
      </c>
      <c r="AY122">
        <f>IF(ISBLANK(Tabla7[[#This Row],[15/03/2018]]),0,Tabla7[[#This Row],[15/03/2018]])</f>
        <v>3612</v>
      </c>
      <c r="AZ122">
        <f>IF(ISBLANK(Tabla7[[#This Row],[15/04/2018]]),0,Tabla7[[#This Row],[15/04/2018]])</f>
        <v>3650</v>
      </c>
      <c r="BA122">
        <f>IF(ISBLANK(Tabla7[[#This Row],[15/05/2018]]),0,Tabla7[[#This Row],[15/05/2018]])</f>
        <v>0</v>
      </c>
      <c r="BB122">
        <f>IF(ISBLANK(Tabla7[[#This Row],[15/06/2018]]),0,Tabla7[[#This Row],[15/06/2018]])</f>
        <v>0</v>
      </c>
      <c r="BC122">
        <f>IF(ISBLANK(Tabla7[[#This Row],[15/07/2018]]),0,Tabla7[[#This Row],[15/07/2018]])</f>
        <v>0</v>
      </c>
      <c r="BD122">
        <f>IF(ISBLANK(Tabla7[[#This Row],[15/08/2018]]),0,Tabla7[[#This Row],[15/08/2018]])</f>
        <v>0</v>
      </c>
      <c r="BE122">
        <f>IF(ISBLANK(Tabla7[[#This Row],[15/09/2018]]),0,Tabla7[[#This Row],[15/09/2018]])</f>
        <v>0</v>
      </c>
      <c r="BF122">
        <f>IF(ISBLANK(Tabla7[[#This Row],[15/10/2018]]),0,Tabla7[[#This Row],[15/10/2018]])</f>
        <v>0</v>
      </c>
      <c r="BG122">
        <f>IF(ISBLANK(Tabla7[[#This Row],[15/11/2018]]),0,Tabla7[[#This Row],[15/11/2018]])</f>
        <v>0</v>
      </c>
      <c r="BH122">
        <f>IF(ISBLANK(Tabla7[[#This Row],[15/12/2018]]),0,Tabla7[[#This Row],[15/12/2018]])</f>
        <v>0</v>
      </c>
      <c r="BI122">
        <f>IF(ISBLANK(Tabla7[[#This Row],[28/12/2018]]),0,Tabla7[[#This Row],[28/12/2018]])</f>
        <v>0</v>
      </c>
      <c r="BN12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('','SBAJA','SCT04','2','BURRIEL-NAVARRO','','','');</v>
      </c>
      <c r="BO122" t="s">
        <v>243</v>
      </c>
      <c r="BP122" s="632" t="str">
        <f>CONCATENATE("insert into lecturas values ","('",Tabla7[[#This Row],[CONTADOR]],"',STR_TO_DATE('",Tabla7[[#Headers],[31/12/2017]],"','%d/%m/%Y'),",AV122,"),","('",Tabla7[[#This Row],[CONTADOR]],"',STR_TO_DATE('",Tabla7[[#Headers],[15/01/2018]],"','%d/%m/%Y'),",AW122,"),","('",Tabla7[[#This Row],[CONTADOR]],"',STR_TO_DATE('",Tabla7[[#Headers],[15/02/2018]],"','%d/%m/%Y'),",AX122,"),","('",Tabla7[[#This Row],[CONTADOR]],"',STR_TO_DATE('",Tabla7[[#Headers],[15/03/2018]],"','%d/%m/%Y'),",AY122,"),","('",Tabla7[[#This Row],[CONTADOR]],"',STR_TO_DATE('",Tabla7[[#Headers],[15/04/2018]],"','%d/%m/%Y'),",AZ122,"),","('",Tabla7[[#This Row],[CONTADOR]],"',STR_TO_DATE('",Tabla7[[#Headers],[15/05/2018]],"','%d/%m/%Y'),",BA122,"),","('",Tabla7[[#This Row],[CONTADOR]],"',STR_TO_DATE('",Tabla7[[#Headers],[15/06/2018]],"','%d/%m/%Y'),",BB122,"),","('",Tabla7[[#This Row],[CONTADOR]],"',STR_TO_DATE('",Tabla7[[#Headers],[15/07/2018]],"','%d/%m/%Y'),",BC122,"),","('",Tabla7[[#This Row],[CONTADOR]],"',STR_TO_DATE('",Tabla7[[#Headers],[15/08/2018]],"','%d/%m/%Y'),",BD122,"),","('",Tabla7[[#This Row],[CONTADOR]],"',STR_TO_DATE('",Tabla7[[#Headers],[15/09/2018]],"','%d/%m/%Y'),",BE122,"),","('",Tabla7[[#This Row],[CONTADOR]],"',STR_TO_DATE('",Tabla7[[#Headers],[15/10/2018]],"','%d/%m/%Y'),",BF122,"),","('",Tabla7[[#This Row],[CONTADOR]],"',STR_TO_DATE('",Tabla7[[#Headers],[15/11/2018]],"','%d/%m/%Y'),",BG122,"),","('",Tabla7[[#This Row],[CONTADOR]],"',STR_TO_DATE('",Tabla7[[#Headers],[15/12/2018]],"','%d/%m/%Y'),",BH122,");")</f>
        <v>insert into lecturas values ('',STR_TO_DATE('31/12/2017','%d/%m/%Y'),3531),('',STR_TO_DATE('15/01/2018','%d/%m/%Y'),3549),('',STR_TO_DATE('15/02/2018','%d/%m/%Y'),3581),('',STR_TO_DATE('15/03/2018','%d/%m/%Y'),3612),('',STR_TO_DATE('15/04/2018','%d/%m/%Y'),3650),('',STR_TO_DATE('15/05/2018','%d/%m/%Y'),0),('',STR_TO_DATE('15/06/2018','%d/%m/%Y'),0),('',STR_TO_DATE('15/07/2018','%d/%m/%Y'),0),('',STR_TO_DATE('15/08/2018','%d/%m/%Y'),0),('',STR_TO_DATE('15/09/2018','%d/%m/%Y'),0),('',STR_TO_DATE('15/10/2018','%d/%m/%Y'),0),('',STR_TO_DATE('15/11/2018','%d/%m/%Y'),0),('',STR_TO_DATE('15/12/2018','%d/%m/%Y'),0);</v>
      </c>
    </row>
    <row r="123" spans="1:68" ht="18" customHeight="1" x14ac:dyDescent="0.25">
      <c r="A123" s="241" t="s">
        <v>534</v>
      </c>
      <c r="B123" s="60"/>
      <c r="C123" s="346">
        <v>5669713</v>
      </c>
      <c r="D123" s="60" t="s">
        <v>560</v>
      </c>
      <c r="E123" s="258">
        <v>2</v>
      </c>
      <c r="F123" s="282" t="s">
        <v>569</v>
      </c>
      <c r="G123" s="2" t="s">
        <v>124</v>
      </c>
      <c r="H123" s="2"/>
      <c r="I123" s="274"/>
      <c r="J123" s="311">
        <v>14920</v>
      </c>
      <c r="K123" s="311">
        <v>15086</v>
      </c>
      <c r="L123" s="311">
        <v>15339</v>
      </c>
      <c r="M123" s="311">
        <v>15553</v>
      </c>
      <c r="N123" s="311">
        <v>15771</v>
      </c>
      <c r="O123" s="311">
        <v>15966</v>
      </c>
      <c r="P123" s="311">
        <v>16134</v>
      </c>
      <c r="Q123" s="307">
        <v>16265</v>
      </c>
      <c r="R123" s="505">
        <v>16393</v>
      </c>
      <c r="S123" s="311">
        <v>16513</v>
      </c>
      <c r="T123" s="311">
        <v>16660</v>
      </c>
      <c r="U123" s="353">
        <v>16891</v>
      </c>
      <c r="V123" s="353">
        <v>17179</v>
      </c>
      <c r="W123" s="321"/>
      <c r="X123" s="307"/>
      <c r="Y123" s="2">
        <f t="shared" si="47"/>
        <v>8300</v>
      </c>
      <c r="Z123" s="2">
        <f t="shared" si="46"/>
        <v>12650</v>
      </c>
      <c r="AA123" s="2">
        <f t="shared" si="44"/>
        <v>10700</v>
      </c>
      <c r="AB123" s="2">
        <f t="shared" si="45"/>
        <v>10900</v>
      </c>
      <c r="AC123" s="2">
        <f t="shared" si="34"/>
        <v>9750</v>
      </c>
      <c r="AD123" s="2">
        <f t="shared" si="35"/>
        <v>8400</v>
      </c>
      <c r="AE123" s="2">
        <f t="shared" si="36"/>
        <v>6550</v>
      </c>
      <c r="AF123" s="2">
        <f t="shared" si="37"/>
        <v>6400</v>
      </c>
      <c r="AG123" s="2">
        <f t="shared" si="38"/>
        <v>6000</v>
      </c>
      <c r="AH123" s="2">
        <f t="shared" si="41"/>
        <v>7350</v>
      </c>
      <c r="AI123" s="2">
        <f t="shared" si="39"/>
        <v>11550</v>
      </c>
      <c r="AJ123" s="2">
        <f t="shared" si="40"/>
        <v>14400</v>
      </c>
      <c r="AK123" s="410">
        <v>50</v>
      </c>
      <c r="AL123" s="308">
        <f t="shared" ca="1" si="29"/>
        <v>15771</v>
      </c>
      <c r="AM123" s="311">
        <f t="shared" ca="1" si="30"/>
        <v>15966</v>
      </c>
      <c r="AN123" s="274">
        <f ca="1">IF(AND(Tabla7[[#This Row],[UltLec]]&lt;&gt;0,Tabla7[[#This Row],[PenLect]]&lt;&gt;0),(AM123-AL123)*Tabla7[[#This Row],[RT]],"N/A")</f>
        <v>9750</v>
      </c>
      <c r="AO123" s="273" t="s">
        <v>1135</v>
      </c>
      <c r="AP123" s="392" t="s">
        <v>1190</v>
      </c>
      <c r="AQ123" s="392" t="s">
        <v>1189</v>
      </c>
      <c r="AR123" s="407">
        <f t="shared" si="31"/>
        <v>0</v>
      </c>
      <c r="AT123" s="2">
        <f t="shared" ca="1" si="32"/>
        <v>0.89449541284403666</v>
      </c>
      <c r="AV123">
        <f>IF(ISBLANK(Tabla7[[#This Row],[31/12/2017]]),0,Tabla7[[#This Row],[31/12/2017]])</f>
        <v>14920</v>
      </c>
      <c r="AW123">
        <f>IF(ISBLANK(Tabla7[[#This Row],[15/01/2018]]),0,Tabla7[[#This Row],[15/01/2018]])</f>
        <v>15086</v>
      </c>
      <c r="AX123">
        <f>IF(ISBLANK(Tabla7[[#This Row],[15/02/2018]]),0,Tabla7[[#This Row],[15/02/2018]])</f>
        <v>15339</v>
      </c>
      <c r="AY123">
        <f>IF(ISBLANK(Tabla7[[#This Row],[15/03/2018]]),0,Tabla7[[#This Row],[15/03/2018]])</f>
        <v>15553</v>
      </c>
      <c r="AZ123">
        <f>IF(ISBLANK(Tabla7[[#This Row],[15/04/2018]]),0,Tabla7[[#This Row],[15/04/2018]])</f>
        <v>15771</v>
      </c>
      <c r="BA123">
        <f>IF(ISBLANK(Tabla7[[#This Row],[15/05/2018]]),0,Tabla7[[#This Row],[15/05/2018]])</f>
        <v>15966</v>
      </c>
      <c r="BB123">
        <f>IF(ISBLANK(Tabla7[[#This Row],[15/06/2018]]),0,Tabla7[[#This Row],[15/06/2018]])</f>
        <v>16134</v>
      </c>
      <c r="BC123">
        <f>IF(ISBLANK(Tabla7[[#This Row],[15/07/2018]]),0,Tabla7[[#This Row],[15/07/2018]])</f>
        <v>16265</v>
      </c>
      <c r="BD123">
        <f>IF(ISBLANK(Tabla7[[#This Row],[15/08/2018]]),0,Tabla7[[#This Row],[15/08/2018]])</f>
        <v>16393</v>
      </c>
      <c r="BE123">
        <f>IF(ISBLANK(Tabla7[[#This Row],[15/09/2018]]),0,Tabla7[[#This Row],[15/09/2018]])</f>
        <v>16513</v>
      </c>
      <c r="BF123">
        <f>IF(ISBLANK(Tabla7[[#This Row],[15/10/2018]]),0,Tabla7[[#This Row],[15/10/2018]])</f>
        <v>16660</v>
      </c>
      <c r="BG123">
        <f>IF(ISBLANK(Tabla7[[#This Row],[15/11/2018]]),0,Tabla7[[#This Row],[15/11/2018]])</f>
        <v>16891</v>
      </c>
      <c r="BH123">
        <f>IF(ISBLANK(Tabla7[[#This Row],[15/12/2018]]),0,Tabla7[[#This Row],[15/12/2018]])</f>
        <v>17179</v>
      </c>
      <c r="BI123">
        <f>IF(ISBLANK(Tabla7[[#This Row],[28/12/2018]]),0,Tabla7[[#This Row],[28/12/2018]])</f>
        <v>0</v>
      </c>
      <c r="BN12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('5669713','S','SCT05','2','TORRES ALUMBRADO M. NORTE','CENTRALIZACION','','');</v>
      </c>
      <c r="BO123" t="s">
        <v>243</v>
      </c>
      <c r="BP123" s="632" t="str">
        <f>CONCATENATE("insert into lecturas values ","('",Tabla7[[#This Row],[CONTADOR]],"',STR_TO_DATE('",Tabla7[[#Headers],[31/12/2017]],"','%d/%m/%Y'),",AV123,"),","('",Tabla7[[#This Row],[CONTADOR]],"',STR_TO_DATE('",Tabla7[[#Headers],[15/01/2018]],"','%d/%m/%Y'),",AW123,"),","('",Tabla7[[#This Row],[CONTADOR]],"',STR_TO_DATE('",Tabla7[[#Headers],[15/02/2018]],"','%d/%m/%Y'),",AX123,"),","('",Tabla7[[#This Row],[CONTADOR]],"',STR_TO_DATE('",Tabla7[[#Headers],[15/03/2018]],"','%d/%m/%Y'),",AY123,"),","('",Tabla7[[#This Row],[CONTADOR]],"',STR_TO_DATE('",Tabla7[[#Headers],[15/04/2018]],"','%d/%m/%Y'),",AZ123,"),","('",Tabla7[[#This Row],[CONTADOR]],"',STR_TO_DATE('",Tabla7[[#Headers],[15/05/2018]],"','%d/%m/%Y'),",BA123,"),","('",Tabla7[[#This Row],[CONTADOR]],"',STR_TO_DATE('",Tabla7[[#Headers],[15/06/2018]],"','%d/%m/%Y'),",BB123,"),","('",Tabla7[[#This Row],[CONTADOR]],"',STR_TO_DATE('",Tabla7[[#Headers],[15/07/2018]],"','%d/%m/%Y'),",BC123,"),","('",Tabla7[[#This Row],[CONTADOR]],"',STR_TO_DATE('",Tabla7[[#Headers],[15/08/2018]],"','%d/%m/%Y'),",BD123,"),","('",Tabla7[[#This Row],[CONTADOR]],"',STR_TO_DATE('",Tabla7[[#Headers],[15/09/2018]],"','%d/%m/%Y'),",BE123,"),","('",Tabla7[[#This Row],[CONTADOR]],"',STR_TO_DATE('",Tabla7[[#Headers],[15/10/2018]],"','%d/%m/%Y'),",BF123,"),","('",Tabla7[[#This Row],[CONTADOR]],"',STR_TO_DATE('",Tabla7[[#Headers],[15/11/2018]],"','%d/%m/%Y'),",BG123,"),","('",Tabla7[[#This Row],[CONTADOR]],"',STR_TO_DATE('",Tabla7[[#Headers],[15/12/2018]],"','%d/%m/%Y'),",BH123,");")</f>
        <v>insert into lecturas values ('5669713',STR_TO_DATE('31/12/2017','%d/%m/%Y'),14920),('5669713',STR_TO_DATE('15/01/2018','%d/%m/%Y'),15086),('5669713',STR_TO_DATE('15/02/2018','%d/%m/%Y'),15339),('5669713',STR_TO_DATE('15/03/2018','%d/%m/%Y'),15553),('5669713',STR_TO_DATE('15/04/2018','%d/%m/%Y'),15771),('5669713',STR_TO_DATE('15/05/2018','%d/%m/%Y'),15966),('5669713',STR_TO_DATE('15/06/2018','%d/%m/%Y'),16134),('5669713',STR_TO_DATE('15/07/2018','%d/%m/%Y'),16265),('5669713',STR_TO_DATE('15/08/2018','%d/%m/%Y'),16393),('5669713',STR_TO_DATE('15/09/2018','%d/%m/%Y'),16513),('5669713',STR_TO_DATE('15/10/2018','%d/%m/%Y'),16660),('5669713',STR_TO_DATE('15/11/2018','%d/%m/%Y'),16891),('5669713',STR_TO_DATE('15/12/2018','%d/%m/%Y'),17179);</v>
      </c>
    </row>
    <row r="124" spans="1:68" ht="18" customHeight="1" x14ac:dyDescent="0.25">
      <c r="A124" s="241" t="s">
        <v>534</v>
      </c>
      <c r="B124" s="60"/>
      <c r="C124" s="223">
        <v>20583312</v>
      </c>
      <c r="D124" s="60" t="s">
        <v>560</v>
      </c>
      <c r="E124" s="258">
        <v>39978</v>
      </c>
      <c r="F124" s="274" t="s">
        <v>565</v>
      </c>
      <c r="G124" s="274" t="s">
        <v>124</v>
      </c>
      <c r="H124" s="2" t="s">
        <v>567</v>
      </c>
      <c r="I124" s="274"/>
      <c r="J124" s="311">
        <v>4199</v>
      </c>
      <c r="K124" s="311">
        <v>4240</v>
      </c>
      <c r="L124" s="311">
        <v>4304</v>
      </c>
      <c r="M124" s="311">
        <v>4315</v>
      </c>
      <c r="N124" s="311">
        <v>4315</v>
      </c>
      <c r="O124" s="311">
        <v>4320</v>
      </c>
      <c r="P124" s="311">
        <v>4334</v>
      </c>
      <c r="Q124" s="307">
        <v>4340</v>
      </c>
      <c r="R124" s="505">
        <v>4350</v>
      </c>
      <c r="S124" s="311">
        <v>4350</v>
      </c>
      <c r="T124" s="311">
        <v>4404</v>
      </c>
      <c r="U124" s="353">
        <v>4457</v>
      </c>
      <c r="V124" s="353">
        <v>4550</v>
      </c>
      <c r="W124" s="321"/>
      <c r="X124" s="307"/>
      <c r="Y124" s="2">
        <f t="shared" si="47"/>
        <v>820</v>
      </c>
      <c r="Z124" s="2">
        <f t="shared" si="46"/>
        <v>1280</v>
      </c>
      <c r="AA124" s="2">
        <f t="shared" si="44"/>
        <v>220</v>
      </c>
      <c r="AB124" s="2">
        <f t="shared" si="45"/>
        <v>0</v>
      </c>
      <c r="AC124" s="2">
        <f t="shared" si="34"/>
        <v>100</v>
      </c>
      <c r="AD124" s="2">
        <f t="shared" si="35"/>
        <v>280</v>
      </c>
      <c r="AE124" s="2">
        <f t="shared" si="36"/>
        <v>120</v>
      </c>
      <c r="AF124" s="2">
        <f t="shared" si="37"/>
        <v>200</v>
      </c>
      <c r="AG124" s="2">
        <f t="shared" si="38"/>
        <v>0</v>
      </c>
      <c r="AH124" s="2">
        <f t="shared" si="41"/>
        <v>1080</v>
      </c>
      <c r="AI124" s="2">
        <f t="shared" si="39"/>
        <v>1060</v>
      </c>
      <c r="AJ124" s="2">
        <f t="shared" si="40"/>
        <v>1860</v>
      </c>
      <c r="AK124" s="416">
        <v>20</v>
      </c>
      <c r="AL124" s="417">
        <f t="shared" ca="1" si="29"/>
        <v>4315</v>
      </c>
      <c r="AM124" s="311">
        <f t="shared" ca="1" si="30"/>
        <v>4320</v>
      </c>
      <c r="AN124" s="274">
        <f ca="1">IF(AND(Tabla7[[#This Row],[UltLec]]&lt;&gt;0,Tabla7[[#This Row],[PenLect]]&lt;&gt;0),(AM124-AL124)*Tabla7[[#This Row],[RT]],"N/A")</f>
        <v>100</v>
      </c>
      <c r="AO124" s="273" t="s">
        <v>1135</v>
      </c>
      <c r="AP124" s="392" t="s">
        <v>1190</v>
      </c>
      <c r="AQ124" s="392" t="s">
        <v>1189</v>
      </c>
      <c r="AR124" s="407">
        <f t="shared" si="31"/>
        <v>0</v>
      </c>
      <c r="AT124" s="2" t="str">
        <f t="shared" ca="1" si="32"/>
        <v>0</v>
      </c>
      <c r="AV124">
        <f>IF(ISBLANK(Tabla7[[#This Row],[31/12/2017]]),0,Tabla7[[#This Row],[31/12/2017]])</f>
        <v>4199</v>
      </c>
      <c r="AW124">
        <f>IF(ISBLANK(Tabla7[[#This Row],[15/01/2018]]),0,Tabla7[[#This Row],[15/01/2018]])</f>
        <v>4240</v>
      </c>
      <c r="AX124">
        <f>IF(ISBLANK(Tabla7[[#This Row],[15/02/2018]]),0,Tabla7[[#This Row],[15/02/2018]])</f>
        <v>4304</v>
      </c>
      <c r="AY124">
        <f>IF(ISBLANK(Tabla7[[#This Row],[15/03/2018]]),0,Tabla7[[#This Row],[15/03/2018]])</f>
        <v>4315</v>
      </c>
      <c r="AZ124">
        <f>IF(ISBLANK(Tabla7[[#This Row],[15/04/2018]]),0,Tabla7[[#This Row],[15/04/2018]])</f>
        <v>4315</v>
      </c>
      <c r="BA124">
        <f>IF(ISBLANK(Tabla7[[#This Row],[15/05/2018]]),0,Tabla7[[#This Row],[15/05/2018]])</f>
        <v>4320</v>
      </c>
      <c r="BB124">
        <f>IF(ISBLANK(Tabla7[[#This Row],[15/06/2018]]),0,Tabla7[[#This Row],[15/06/2018]])</f>
        <v>4334</v>
      </c>
      <c r="BC124">
        <f>IF(ISBLANK(Tabla7[[#This Row],[15/07/2018]]),0,Tabla7[[#This Row],[15/07/2018]])</f>
        <v>4340</v>
      </c>
      <c r="BD124">
        <f>IF(ISBLANK(Tabla7[[#This Row],[15/08/2018]]),0,Tabla7[[#This Row],[15/08/2018]])</f>
        <v>4350</v>
      </c>
      <c r="BE124">
        <f>IF(ISBLANK(Tabla7[[#This Row],[15/09/2018]]),0,Tabla7[[#This Row],[15/09/2018]])</f>
        <v>4350</v>
      </c>
      <c r="BF124">
        <f>IF(ISBLANK(Tabla7[[#This Row],[15/10/2018]]),0,Tabla7[[#This Row],[15/10/2018]])</f>
        <v>4404</v>
      </c>
      <c r="BG124">
        <f>IF(ISBLANK(Tabla7[[#This Row],[15/11/2018]]),0,Tabla7[[#This Row],[15/11/2018]])</f>
        <v>4457</v>
      </c>
      <c r="BH124">
        <f>IF(ISBLANK(Tabla7[[#This Row],[15/12/2018]]),0,Tabla7[[#This Row],[15/12/2018]])</f>
        <v>4550</v>
      </c>
      <c r="BI124">
        <f>IF(ISBLANK(Tabla7[[#This Row],[28/12/2018]]),0,Tabla7[[#This Row],[28/12/2018]])</f>
        <v>0</v>
      </c>
      <c r="BN12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('20583312','S','SCT05','39978','PORTUARIA LEVANTINA, S.A.     ','CENTRALIZACION','MUELLE NORTE  NAVE ROJA','');</v>
      </c>
      <c r="BO124" t="s">
        <v>243</v>
      </c>
      <c r="BP124" s="632" t="str">
        <f>CONCATENATE("insert into lecturas values ","('",Tabla7[[#This Row],[CONTADOR]],"',STR_TO_DATE('",Tabla7[[#Headers],[31/12/2017]],"','%d/%m/%Y'),",AV124,"),","('",Tabla7[[#This Row],[CONTADOR]],"',STR_TO_DATE('",Tabla7[[#Headers],[15/01/2018]],"','%d/%m/%Y'),",AW124,"),","('",Tabla7[[#This Row],[CONTADOR]],"',STR_TO_DATE('",Tabla7[[#Headers],[15/02/2018]],"','%d/%m/%Y'),",AX124,"),","('",Tabla7[[#This Row],[CONTADOR]],"',STR_TO_DATE('",Tabla7[[#Headers],[15/03/2018]],"','%d/%m/%Y'),",AY124,"),","('",Tabla7[[#This Row],[CONTADOR]],"',STR_TO_DATE('",Tabla7[[#Headers],[15/04/2018]],"','%d/%m/%Y'),",AZ124,"),","('",Tabla7[[#This Row],[CONTADOR]],"',STR_TO_DATE('",Tabla7[[#Headers],[15/05/2018]],"','%d/%m/%Y'),",BA124,"),","('",Tabla7[[#This Row],[CONTADOR]],"',STR_TO_DATE('",Tabla7[[#Headers],[15/06/2018]],"','%d/%m/%Y'),",BB124,"),","('",Tabla7[[#This Row],[CONTADOR]],"',STR_TO_DATE('",Tabla7[[#Headers],[15/07/2018]],"','%d/%m/%Y'),",BC124,"),","('",Tabla7[[#This Row],[CONTADOR]],"',STR_TO_DATE('",Tabla7[[#Headers],[15/08/2018]],"','%d/%m/%Y'),",BD124,"),","('",Tabla7[[#This Row],[CONTADOR]],"',STR_TO_DATE('",Tabla7[[#Headers],[15/09/2018]],"','%d/%m/%Y'),",BE124,"),","('",Tabla7[[#This Row],[CONTADOR]],"',STR_TO_DATE('",Tabla7[[#Headers],[15/10/2018]],"','%d/%m/%Y'),",BF124,"),","('",Tabla7[[#This Row],[CONTADOR]],"',STR_TO_DATE('",Tabla7[[#Headers],[15/11/2018]],"','%d/%m/%Y'),",BG124,"),","('",Tabla7[[#This Row],[CONTADOR]],"',STR_TO_DATE('",Tabla7[[#Headers],[15/12/2018]],"','%d/%m/%Y'),",BH124,");")</f>
        <v>insert into lecturas values ('20583312',STR_TO_DATE('31/12/2017','%d/%m/%Y'),4199),('20583312',STR_TO_DATE('15/01/2018','%d/%m/%Y'),4240),('20583312',STR_TO_DATE('15/02/2018','%d/%m/%Y'),4304),('20583312',STR_TO_DATE('15/03/2018','%d/%m/%Y'),4315),('20583312',STR_TO_DATE('15/04/2018','%d/%m/%Y'),4315),('20583312',STR_TO_DATE('15/05/2018','%d/%m/%Y'),4320),('20583312',STR_TO_DATE('15/06/2018','%d/%m/%Y'),4334),('20583312',STR_TO_DATE('15/07/2018','%d/%m/%Y'),4340),('20583312',STR_TO_DATE('15/08/2018','%d/%m/%Y'),4350),('20583312',STR_TO_DATE('15/09/2018','%d/%m/%Y'),4350),('20583312',STR_TO_DATE('15/10/2018','%d/%m/%Y'),4404),('20583312',STR_TO_DATE('15/11/2018','%d/%m/%Y'),4457),('20583312',STR_TO_DATE('15/12/2018','%d/%m/%Y'),4550);</v>
      </c>
    </row>
    <row r="125" spans="1:68" ht="18" customHeight="1" x14ac:dyDescent="0.25">
      <c r="A125" s="241" t="s">
        <v>534</v>
      </c>
      <c r="B125" s="60"/>
      <c r="C125" s="223">
        <v>20583455</v>
      </c>
      <c r="D125" s="60" t="s">
        <v>560</v>
      </c>
      <c r="E125" s="258">
        <v>2</v>
      </c>
      <c r="F125" s="274" t="s">
        <v>568</v>
      </c>
      <c r="G125" s="274" t="s">
        <v>47</v>
      </c>
      <c r="H125" s="2" t="s">
        <v>1144</v>
      </c>
      <c r="I125" s="274"/>
      <c r="J125" s="311">
        <v>160490</v>
      </c>
      <c r="K125" s="311">
        <v>161093</v>
      </c>
      <c r="L125" s="311">
        <v>162035</v>
      </c>
      <c r="M125" s="311">
        <v>162791</v>
      </c>
      <c r="N125" s="311">
        <v>163510</v>
      </c>
      <c r="O125" s="454">
        <v>164078</v>
      </c>
      <c r="P125" s="311">
        <v>164604</v>
      </c>
      <c r="Q125" s="307">
        <v>164938</v>
      </c>
      <c r="R125" s="505">
        <v>165461</v>
      </c>
      <c r="S125" s="311">
        <v>166136</v>
      </c>
      <c r="T125" s="311">
        <v>166803</v>
      </c>
      <c r="U125" s="353">
        <v>167428</v>
      </c>
      <c r="V125" s="353">
        <v>168420</v>
      </c>
      <c r="W125" s="321"/>
      <c r="X125" s="307"/>
      <c r="Y125" s="2">
        <f t="shared" si="47"/>
        <v>603</v>
      </c>
      <c r="Z125" s="2">
        <f t="shared" si="46"/>
        <v>942</v>
      </c>
      <c r="AA125" s="2">
        <f t="shared" ref="AA125:AA145" si="48">IF(OR(ISBLANK(M125),ISBLANK(L125)),"",IF(AND(M125&gt;=L125,M125-L125&lt;=M125),(M125-L125)*$AK125,"!!!!"))</f>
        <v>756</v>
      </c>
      <c r="AB125" s="2">
        <f t="shared" ref="AB125:AB145" si="49">IF(OR(ISBLANK(N125),ISBLANK(M125)),"",IF(AND(N125&gt;=M125,N125-M125&lt;=N125),(N125-M125)*$AK125,"!!!!"))</f>
        <v>719</v>
      </c>
      <c r="AC125" s="2">
        <f t="shared" si="34"/>
        <v>568</v>
      </c>
      <c r="AD125" s="2">
        <f t="shared" si="35"/>
        <v>526</v>
      </c>
      <c r="AE125" s="2">
        <f t="shared" si="36"/>
        <v>334</v>
      </c>
      <c r="AF125" s="2">
        <f t="shared" si="37"/>
        <v>523</v>
      </c>
      <c r="AG125" s="2">
        <f t="shared" si="38"/>
        <v>675</v>
      </c>
      <c r="AH125" s="2">
        <f t="shared" si="41"/>
        <v>667</v>
      </c>
      <c r="AI125" s="2">
        <f t="shared" si="39"/>
        <v>625</v>
      </c>
      <c r="AJ125" s="2">
        <f t="shared" si="40"/>
        <v>992</v>
      </c>
      <c r="AK125" s="410">
        <v>1</v>
      </c>
      <c r="AL125" s="308">
        <f t="shared" ca="1" si="29"/>
        <v>163510</v>
      </c>
      <c r="AM125" s="311">
        <f t="shared" ca="1" si="30"/>
        <v>164078</v>
      </c>
      <c r="AN125" s="274">
        <f ca="1">IF(AND(Tabla7[[#This Row],[UltLec]]&lt;&gt;0,Tabla7[[#This Row],[PenLect]]&lt;&gt;0),(AM125-AL125)*Tabla7[[#This Row],[RT]],"N/A")</f>
        <v>568</v>
      </c>
      <c r="AO125" s="273" t="s">
        <v>1135</v>
      </c>
      <c r="AP125" s="392" t="s">
        <v>1190</v>
      </c>
      <c r="AQ125" s="392" t="s">
        <v>1189</v>
      </c>
      <c r="AR125" s="407">
        <f t="shared" si="31"/>
        <v>0</v>
      </c>
      <c r="AT125" s="2">
        <f t="shared" ca="1" si="32"/>
        <v>0.78998609179415857</v>
      </c>
      <c r="AV125">
        <f>IF(ISBLANK(Tabla7[[#This Row],[31/12/2017]]),0,Tabla7[[#This Row],[31/12/2017]])</f>
        <v>160490</v>
      </c>
      <c r="AW125">
        <f>IF(ISBLANK(Tabla7[[#This Row],[15/01/2018]]),0,Tabla7[[#This Row],[15/01/2018]])</f>
        <v>161093</v>
      </c>
      <c r="AX125">
        <f>IF(ISBLANK(Tabla7[[#This Row],[15/02/2018]]),0,Tabla7[[#This Row],[15/02/2018]])</f>
        <v>162035</v>
      </c>
      <c r="AY125">
        <f>IF(ISBLANK(Tabla7[[#This Row],[15/03/2018]]),0,Tabla7[[#This Row],[15/03/2018]])</f>
        <v>162791</v>
      </c>
      <c r="AZ125">
        <f>IF(ISBLANK(Tabla7[[#This Row],[15/04/2018]]),0,Tabla7[[#This Row],[15/04/2018]])</f>
        <v>163510</v>
      </c>
      <c r="BA125">
        <f>IF(ISBLANK(Tabla7[[#This Row],[15/05/2018]]),0,Tabla7[[#This Row],[15/05/2018]])</f>
        <v>164078</v>
      </c>
      <c r="BB125">
        <f>IF(ISBLANK(Tabla7[[#This Row],[15/06/2018]]),0,Tabla7[[#This Row],[15/06/2018]])</f>
        <v>164604</v>
      </c>
      <c r="BC125">
        <f>IF(ISBLANK(Tabla7[[#This Row],[15/07/2018]]),0,Tabla7[[#This Row],[15/07/2018]])</f>
        <v>164938</v>
      </c>
      <c r="BD125">
        <f>IF(ISBLANK(Tabla7[[#This Row],[15/08/2018]]),0,Tabla7[[#This Row],[15/08/2018]])</f>
        <v>165461</v>
      </c>
      <c r="BE125">
        <f>IF(ISBLANK(Tabla7[[#This Row],[15/09/2018]]),0,Tabla7[[#This Row],[15/09/2018]])</f>
        <v>166136</v>
      </c>
      <c r="BF125">
        <f>IF(ISBLANK(Tabla7[[#This Row],[15/10/2018]]),0,Tabla7[[#This Row],[15/10/2018]])</f>
        <v>166803</v>
      </c>
      <c r="BG125">
        <f>IF(ISBLANK(Tabla7[[#This Row],[15/11/2018]]),0,Tabla7[[#This Row],[15/11/2018]])</f>
        <v>167428</v>
      </c>
      <c r="BH125">
        <f>IF(ISBLANK(Tabla7[[#This Row],[15/12/2018]]),0,Tabla7[[#This Row],[15/12/2018]])</f>
        <v>168420</v>
      </c>
      <c r="BI125">
        <f>IF(ISBLANK(Tabla7[[#This Row],[28/12/2018]]),0,Tabla7[[#This Row],[28/12/2018]])</f>
        <v>0</v>
      </c>
      <c r="BN12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('20583455','S','SCT05','2',' Alumbrado viales CT5','INTERIOR CT','LECTURA DIRECTA CT5 (VISTO 20-2-18)','');</v>
      </c>
      <c r="BO125" t="s">
        <v>243</v>
      </c>
      <c r="BP125" s="632" t="str">
        <f>CONCATENATE("insert into lecturas values ","('",Tabla7[[#This Row],[CONTADOR]],"',STR_TO_DATE('",Tabla7[[#Headers],[31/12/2017]],"','%d/%m/%Y'),",AV125,"),","('",Tabla7[[#This Row],[CONTADOR]],"',STR_TO_DATE('",Tabla7[[#Headers],[15/01/2018]],"','%d/%m/%Y'),",AW125,"),","('",Tabla7[[#This Row],[CONTADOR]],"',STR_TO_DATE('",Tabla7[[#Headers],[15/02/2018]],"','%d/%m/%Y'),",AX125,"),","('",Tabla7[[#This Row],[CONTADOR]],"',STR_TO_DATE('",Tabla7[[#Headers],[15/03/2018]],"','%d/%m/%Y'),",AY125,"),","('",Tabla7[[#This Row],[CONTADOR]],"',STR_TO_DATE('",Tabla7[[#Headers],[15/04/2018]],"','%d/%m/%Y'),",AZ125,"),","('",Tabla7[[#This Row],[CONTADOR]],"',STR_TO_DATE('",Tabla7[[#Headers],[15/05/2018]],"','%d/%m/%Y'),",BA125,"),","('",Tabla7[[#This Row],[CONTADOR]],"',STR_TO_DATE('",Tabla7[[#Headers],[15/06/2018]],"','%d/%m/%Y'),",BB125,"),","('",Tabla7[[#This Row],[CONTADOR]],"',STR_TO_DATE('",Tabla7[[#Headers],[15/07/2018]],"','%d/%m/%Y'),",BC125,"),","('",Tabla7[[#This Row],[CONTADOR]],"',STR_TO_DATE('",Tabla7[[#Headers],[15/08/2018]],"','%d/%m/%Y'),",BD125,"),","('",Tabla7[[#This Row],[CONTADOR]],"',STR_TO_DATE('",Tabla7[[#Headers],[15/09/2018]],"','%d/%m/%Y'),",BE125,"),","('",Tabla7[[#This Row],[CONTADOR]],"',STR_TO_DATE('",Tabla7[[#Headers],[15/10/2018]],"','%d/%m/%Y'),",BF125,"),","('",Tabla7[[#This Row],[CONTADOR]],"',STR_TO_DATE('",Tabla7[[#Headers],[15/11/2018]],"','%d/%m/%Y'),",BG125,"),","('",Tabla7[[#This Row],[CONTADOR]],"',STR_TO_DATE('",Tabla7[[#Headers],[15/12/2018]],"','%d/%m/%Y'),",BH125,");")</f>
        <v>insert into lecturas values ('20583455',STR_TO_DATE('31/12/2017','%d/%m/%Y'),160490),('20583455',STR_TO_DATE('15/01/2018','%d/%m/%Y'),161093),('20583455',STR_TO_DATE('15/02/2018','%d/%m/%Y'),162035),('20583455',STR_TO_DATE('15/03/2018','%d/%m/%Y'),162791),('20583455',STR_TO_DATE('15/04/2018','%d/%m/%Y'),163510),('20583455',STR_TO_DATE('15/05/2018','%d/%m/%Y'),164078),('20583455',STR_TO_DATE('15/06/2018','%d/%m/%Y'),164604),('20583455',STR_TO_DATE('15/07/2018','%d/%m/%Y'),164938),('20583455',STR_TO_DATE('15/08/2018','%d/%m/%Y'),165461),('20583455',STR_TO_DATE('15/09/2018','%d/%m/%Y'),166136),('20583455',STR_TO_DATE('15/10/2018','%d/%m/%Y'),166803),('20583455',STR_TO_DATE('15/11/2018','%d/%m/%Y'),167428),('20583455',STR_TO_DATE('15/12/2018','%d/%m/%Y'),168420);</v>
      </c>
    </row>
    <row r="126" spans="1:68" ht="18" customHeight="1" x14ac:dyDescent="0.25">
      <c r="A126" s="241" t="s">
        <v>534</v>
      </c>
      <c r="B126" s="60"/>
      <c r="C126" s="223">
        <v>63000131</v>
      </c>
      <c r="D126" s="60" t="s">
        <v>560</v>
      </c>
      <c r="E126" s="258">
        <v>39405</v>
      </c>
      <c r="F126" s="274" t="s">
        <v>367</v>
      </c>
      <c r="G126" s="274" t="s">
        <v>124</v>
      </c>
      <c r="H126" s="2" t="s">
        <v>561</v>
      </c>
      <c r="I126" s="274"/>
      <c r="J126" s="311">
        <v>301734</v>
      </c>
      <c r="K126" s="311">
        <v>302818</v>
      </c>
      <c r="L126" s="311">
        <v>305521</v>
      </c>
      <c r="M126" s="311">
        <v>307759</v>
      </c>
      <c r="N126" s="311">
        <v>309546</v>
      </c>
      <c r="O126" s="454">
        <v>310604</v>
      </c>
      <c r="P126" s="311">
        <v>311747</v>
      </c>
      <c r="Q126" s="307">
        <v>313807</v>
      </c>
      <c r="R126" s="505">
        <v>316379</v>
      </c>
      <c r="S126" s="311">
        <v>318712</v>
      </c>
      <c r="T126" s="311">
        <v>319629</v>
      </c>
      <c r="U126" s="353">
        <v>321259</v>
      </c>
      <c r="V126" s="353">
        <v>323978</v>
      </c>
      <c r="W126" s="321"/>
      <c r="X126" s="307"/>
      <c r="Y126" s="2">
        <f t="shared" si="47"/>
        <v>1084</v>
      </c>
      <c r="Z126" s="2">
        <f t="shared" si="46"/>
        <v>2703</v>
      </c>
      <c r="AA126" s="2">
        <f t="shared" si="48"/>
        <v>2238</v>
      </c>
      <c r="AB126" s="2">
        <f t="shared" si="49"/>
        <v>1787</v>
      </c>
      <c r="AC126" s="2">
        <f t="shared" si="34"/>
        <v>1058</v>
      </c>
      <c r="AD126" s="2">
        <f t="shared" si="35"/>
        <v>1143</v>
      </c>
      <c r="AE126" s="2">
        <f t="shared" si="36"/>
        <v>2060</v>
      </c>
      <c r="AF126" s="2">
        <f t="shared" si="37"/>
        <v>2572</v>
      </c>
      <c r="AG126" s="2">
        <f t="shared" si="38"/>
        <v>2333</v>
      </c>
      <c r="AH126" s="2">
        <f t="shared" si="41"/>
        <v>917</v>
      </c>
      <c r="AI126" s="2">
        <f t="shared" si="39"/>
        <v>1630</v>
      </c>
      <c r="AJ126" s="2">
        <f t="shared" si="40"/>
        <v>2719</v>
      </c>
      <c r="AK126" s="406">
        <v>1</v>
      </c>
      <c r="AL126" s="274">
        <f t="shared" ca="1" si="29"/>
        <v>309546</v>
      </c>
      <c r="AM126" s="311">
        <f t="shared" ca="1" si="30"/>
        <v>310604</v>
      </c>
      <c r="AN126" s="274">
        <f ca="1">IF(AND(Tabla7[[#This Row],[UltLec]]&lt;&gt;0,Tabla7[[#This Row],[PenLect]]&lt;&gt;0),(AM126-AL126)*Tabla7[[#This Row],[RT]],"N/A")</f>
        <v>1058</v>
      </c>
      <c r="AO126" s="273" t="s">
        <v>1135</v>
      </c>
      <c r="AP126" s="392" t="s">
        <v>1190</v>
      </c>
      <c r="AQ126" s="392" t="s">
        <v>1189</v>
      </c>
      <c r="AR126" s="407">
        <f t="shared" si="31"/>
        <v>0</v>
      </c>
      <c r="AT126" s="2">
        <f t="shared" ca="1" si="32"/>
        <v>0.59205372132064915</v>
      </c>
      <c r="AV126">
        <f>IF(ISBLANK(Tabla7[[#This Row],[31/12/2017]]),0,Tabla7[[#This Row],[31/12/2017]])</f>
        <v>301734</v>
      </c>
      <c r="AW126">
        <f>IF(ISBLANK(Tabla7[[#This Row],[15/01/2018]]),0,Tabla7[[#This Row],[15/01/2018]])</f>
        <v>302818</v>
      </c>
      <c r="AX126">
        <f>IF(ISBLANK(Tabla7[[#This Row],[15/02/2018]]),0,Tabla7[[#This Row],[15/02/2018]])</f>
        <v>305521</v>
      </c>
      <c r="AY126">
        <f>IF(ISBLANK(Tabla7[[#This Row],[15/03/2018]]),0,Tabla7[[#This Row],[15/03/2018]])</f>
        <v>307759</v>
      </c>
      <c r="AZ126">
        <f>IF(ISBLANK(Tabla7[[#This Row],[15/04/2018]]),0,Tabla7[[#This Row],[15/04/2018]])</f>
        <v>309546</v>
      </c>
      <c r="BA126">
        <f>IF(ISBLANK(Tabla7[[#This Row],[15/05/2018]]),0,Tabla7[[#This Row],[15/05/2018]])</f>
        <v>310604</v>
      </c>
      <c r="BB126">
        <f>IF(ISBLANK(Tabla7[[#This Row],[15/06/2018]]),0,Tabla7[[#This Row],[15/06/2018]])</f>
        <v>311747</v>
      </c>
      <c r="BC126">
        <f>IF(ISBLANK(Tabla7[[#This Row],[15/07/2018]]),0,Tabla7[[#This Row],[15/07/2018]])</f>
        <v>313807</v>
      </c>
      <c r="BD126">
        <f>IF(ISBLANK(Tabla7[[#This Row],[15/08/2018]]),0,Tabla7[[#This Row],[15/08/2018]])</f>
        <v>316379</v>
      </c>
      <c r="BE126">
        <f>IF(ISBLANK(Tabla7[[#This Row],[15/09/2018]]),0,Tabla7[[#This Row],[15/09/2018]])</f>
        <v>318712</v>
      </c>
      <c r="BF126">
        <f>IF(ISBLANK(Tabla7[[#This Row],[15/10/2018]]),0,Tabla7[[#This Row],[15/10/2018]])</f>
        <v>319629</v>
      </c>
      <c r="BG126">
        <f>IF(ISBLANK(Tabla7[[#This Row],[15/11/2018]]),0,Tabla7[[#This Row],[15/11/2018]])</f>
        <v>321259</v>
      </c>
      <c r="BH126">
        <f>IF(ISBLANK(Tabla7[[#This Row],[15/12/2018]]),0,Tabla7[[#This Row],[15/12/2018]])</f>
        <v>323978</v>
      </c>
      <c r="BI126">
        <f>IF(ISBLANK(Tabla7[[#This Row],[28/12/2018]]),0,Tabla7[[#This Row],[28/12/2018]])</f>
        <v>0</v>
      </c>
      <c r="BN12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('63000131','S','SCT05','39405','CAPITANIA MARITIMA','CENTRALIZACION','MUELLE NORTE','');</v>
      </c>
      <c r="BO126" t="s">
        <v>243</v>
      </c>
      <c r="BP126" s="632" t="str">
        <f>CONCATENATE("insert into lecturas values ","('",Tabla7[[#This Row],[CONTADOR]],"',STR_TO_DATE('",Tabla7[[#Headers],[31/12/2017]],"','%d/%m/%Y'),",AV126,"),","('",Tabla7[[#This Row],[CONTADOR]],"',STR_TO_DATE('",Tabla7[[#Headers],[15/01/2018]],"','%d/%m/%Y'),",AW126,"),","('",Tabla7[[#This Row],[CONTADOR]],"',STR_TO_DATE('",Tabla7[[#Headers],[15/02/2018]],"','%d/%m/%Y'),",AX126,"),","('",Tabla7[[#This Row],[CONTADOR]],"',STR_TO_DATE('",Tabla7[[#Headers],[15/03/2018]],"','%d/%m/%Y'),",AY126,"),","('",Tabla7[[#This Row],[CONTADOR]],"',STR_TO_DATE('",Tabla7[[#Headers],[15/04/2018]],"','%d/%m/%Y'),",AZ126,"),","('",Tabla7[[#This Row],[CONTADOR]],"',STR_TO_DATE('",Tabla7[[#Headers],[15/05/2018]],"','%d/%m/%Y'),",BA126,"),","('",Tabla7[[#This Row],[CONTADOR]],"',STR_TO_DATE('",Tabla7[[#Headers],[15/06/2018]],"','%d/%m/%Y'),",BB126,"),","('",Tabla7[[#This Row],[CONTADOR]],"',STR_TO_DATE('",Tabla7[[#Headers],[15/07/2018]],"','%d/%m/%Y'),",BC126,"),","('",Tabla7[[#This Row],[CONTADOR]],"',STR_TO_DATE('",Tabla7[[#Headers],[15/08/2018]],"','%d/%m/%Y'),",BD126,"),","('",Tabla7[[#This Row],[CONTADOR]],"',STR_TO_DATE('",Tabla7[[#Headers],[15/09/2018]],"','%d/%m/%Y'),",BE126,"),","('",Tabla7[[#This Row],[CONTADOR]],"',STR_TO_DATE('",Tabla7[[#Headers],[15/10/2018]],"','%d/%m/%Y'),",BF126,"),","('",Tabla7[[#This Row],[CONTADOR]],"',STR_TO_DATE('",Tabla7[[#Headers],[15/11/2018]],"','%d/%m/%Y'),",BG126,"),","('",Tabla7[[#This Row],[CONTADOR]],"',STR_TO_DATE('",Tabla7[[#Headers],[15/12/2018]],"','%d/%m/%Y'),",BH126,");")</f>
        <v>insert into lecturas values ('63000131',STR_TO_DATE('31/12/2017','%d/%m/%Y'),301734),('63000131',STR_TO_DATE('15/01/2018','%d/%m/%Y'),302818),('63000131',STR_TO_DATE('15/02/2018','%d/%m/%Y'),305521),('63000131',STR_TO_DATE('15/03/2018','%d/%m/%Y'),307759),('63000131',STR_TO_DATE('15/04/2018','%d/%m/%Y'),309546),('63000131',STR_TO_DATE('15/05/2018','%d/%m/%Y'),310604),('63000131',STR_TO_DATE('15/06/2018','%d/%m/%Y'),311747),('63000131',STR_TO_DATE('15/07/2018','%d/%m/%Y'),313807),('63000131',STR_TO_DATE('15/08/2018','%d/%m/%Y'),316379),('63000131',STR_TO_DATE('15/09/2018','%d/%m/%Y'),318712),('63000131',STR_TO_DATE('15/10/2018','%d/%m/%Y'),319629),('63000131',STR_TO_DATE('15/11/2018','%d/%m/%Y'),321259),('63000131',STR_TO_DATE('15/12/2018','%d/%m/%Y'),323978);</v>
      </c>
    </row>
    <row r="127" spans="1:68" ht="18" customHeight="1" x14ac:dyDescent="0.25">
      <c r="A127" s="241" t="s">
        <v>534</v>
      </c>
      <c r="B127" s="60"/>
      <c r="C127" s="223">
        <v>83363214</v>
      </c>
      <c r="D127" s="60" t="s">
        <v>560</v>
      </c>
      <c r="E127" s="258">
        <v>39415</v>
      </c>
      <c r="F127" s="274" t="s">
        <v>562</v>
      </c>
      <c r="G127" s="274" t="s">
        <v>124</v>
      </c>
      <c r="H127" s="2" t="s">
        <v>1145</v>
      </c>
      <c r="I127" s="274"/>
      <c r="J127" s="311">
        <v>87738</v>
      </c>
      <c r="K127" s="311">
        <v>87898</v>
      </c>
      <c r="L127" s="311">
        <v>88160</v>
      </c>
      <c r="M127" s="311">
        <v>88411</v>
      </c>
      <c r="N127" s="311">
        <v>88734</v>
      </c>
      <c r="O127" s="454">
        <v>89112</v>
      </c>
      <c r="P127" s="311">
        <v>89635</v>
      </c>
      <c r="Q127" s="307">
        <v>90127</v>
      </c>
      <c r="R127" s="505">
        <v>90844</v>
      </c>
      <c r="S127" s="311">
        <v>91520</v>
      </c>
      <c r="T127" s="311">
        <v>91974</v>
      </c>
      <c r="U127" s="353">
        <v>92273</v>
      </c>
      <c r="V127" s="353">
        <v>92636</v>
      </c>
      <c r="W127" s="321"/>
      <c r="X127" s="307"/>
      <c r="Y127" s="2">
        <f t="shared" si="47"/>
        <v>160</v>
      </c>
      <c r="Z127" s="2">
        <f t="shared" si="46"/>
        <v>262</v>
      </c>
      <c r="AA127" s="2">
        <f t="shared" si="48"/>
        <v>251</v>
      </c>
      <c r="AB127" s="2">
        <f t="shared" si="49"/>
        <v>323</v>
      </c>
      <c r="AC127" s="2">
        <f t="shared" si="34"/>
        <v>378</v>
      </c>
      <c r="AD127" s="2">
        <f t="shared" si="35"/>
        <v>523</v>
      </c>
      <c r="AE127" s="2">
        <f t="shared" si="36"/>
        <v>492</v>
      </c>
      <c r="AF127" s="2">
        <f t="shared" si="37"/>
        <v>717</v>
      </c>
      <c r="AG127" s="2">
        <f t="shared" si="38"/>
        <v>676</v>
      </c>
      <c r="AH127" s="2">
        <f t="shared" si="41"/>
        <v>454</v>
      </c>
      <c r="AI127" s="2">
        <f t="shared" si="39"/>
        <v>299</v>
      </c>
      <c r="AJ127" s="2">
        <f t="shared" si="40"/>
        <v>363</v>
      </c>
      <c r="AK127" s="406">
        <v>1</v>
      </c>
      <c r="AL127" s="274">
        <f t="shared" ca="1" si="29"/>
        <v>88734</v>
      </c>
      <c r="AM127" s="311">
        <f t="shared" ca="1" si="30"/>
        <v>89112</v>
      </c>
      <c r="AN127" s="274">
        <f ca="1">IF(AND(Tabla7[[#This Row],[UltLec]]&lt;&gt;0,Tabla7[[#This Row],[PenLect]]&lt;&gt;0),(AM127-AL127)*Tabla7[[#This Row],[RT]],"N/A")</f>
        <v>378</v>
      </c>
      <c r="AO127" s="273" t="s">
        <v>1135</v>
      </c>
      <c r="AP127" s="392" t="s">
        <v>1190</v>
      </c>
      <c r="AQ127" s="392" t="s">
        <v>1189</v>
      </c>
      <c r="AR127" s="407">
        <f t="shared" si="31"/>
        <v>0</v>
      </c>
      <c r="AT127" s="2">
        <f t="shared" ca="1" si="32"/>
        <v>1.1702786377708978</v>
      </c>
      <c r="AV127">
        <f>IF(ISBLANK(Tabla7[[#This Row],[31/12/2017]]),0,Tabla7[[#This Row],[31/12/2017]])</f>
        <v>87738</v>
      </c>
      <c r="AW127">
        <f>IF(ISBLANK(Tabla7[[#This Row],[15/01/2018]]),0,Tabla7[[#This Row],[15/01/2018]])</f>
        <v>87898</v>
      </c>
      <c r="AX127">
        <f>IF(ISBLANK(Tabla7[[#This Row],[15/02/2018]]),0,Tabla7[[#This Row],[15/02/2018]])</f>
        <v>88160</v>
      </c>
      <c r="AY127">
        <f>IF(ISBLANK(Tabla7[[#This Row],[15/03/2018]]),0,Tabla7[[#This Row],[15/03/2018]])</f>
        <v>88411</v>
      </c>
      <c r="AZ127">
        <f>IF(ISBLANK(Tabla7[[#This Row],[15/04/2018]]),0,Tabla7[[#This Row],[15/04/2018]])</f>
        <v>88734</v>
      </c>
      <c r="BA127">
        <f>IF(ISBLANK(Tabla7[[#This Row],[15/05/2018]]),0,Tabla7[[#This Row],[15/05/2018]])</f>
        <v>89112</v>
      </c>
      <c r="BB127">
        <f>IF(ISBLANK(Tabla7[[#This Row],[15/06/2018]]),0,Tabla7[[#This Row],[15/06/2018]])</f>
        <v>89635</v>
      </c>
      <c r="BC127">
        <f>IF(ISBLANK(Tabla7[[#This Row],[15/07/2018]]),0,Tabla7[[#This Row],[15/07/2018]])</f>
        <v>90127</v>
      </c>
      <c r="BD127">
        <f>IF(ISBLANK(Tabla7[[#This Row],[15/08/2018]]),0,Tabla7[[#This Row],[15/08/2018]])</f>
        <v>90844</v>
      </c>
      <c r="BE127">
        <f>IF(ISBLANK(Tabla7[[#This Row],[15/09/2018]]),0,Tabla7[[#This Row],[15/09/2018]])</f>
        <v>91520</v>
      </c>
      <c r="BF127">
        <f>IF(ISBLANK(Tabla7[[#This Row],[15/10/2018]]),0,Tabla7[[#This Row],[15/10/2018]])</f>
        <v>91974</v>
      </c>
      <c r="BG127">
        <f>IF(ISBLANK(Tabla7[[#This Row],[15/11/2018]]),0,Tabla7[[#This Row],[15/11/2018]])</f>
        <v>92273</v>
      </c>
      <c r="BH127">
        <f>IF(ISBLANK(Tabla7[[#This Row],[15/12/2018]]),0,Tabla7[[#This Row],[15/12/2018]])</f>
        <v>92636</v>
      </c>
      <c r="BI127">
        <f>IF(ISBLANK(Tabla7[[#This Row],[28/12/2018]]),0,Tabla7[[#This Row],[28/12/2018]])</f>
        <v>0</v>
      </c>
      <c r="BN12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('83363214','S','SCT05','39415','Casa y Café, S.C. Salvador Montalva Martinez','CENTRALIZACION','ACCESO NORTE  VENDING (MAQUINAS CAFÉ ACCESO NORTE)','');</v>
      </c>
      <c r="BO127" t="s">
        <v>243</v>
      </c>
      <c r="BP127" s="632" t="str">
        <f>CONCATENATE("insert into lecturas values ","('",Tabla7[[#This Row],[CONTADOR]],"',STR_TO_DATE('",Tabla7[[#Headers],[31/12/2017]],"','%d/%m/%Y'),",AV127,"),","('",Tabla7[[#This Row],[CONTADOR]],"',STR_TO_DATE('",Tabla7[[#Headers],[15/01/2018]],"','%d/%m/%Y'),",AW127,"),","('",Tabla7[[#This Row],[CONTADOR]],"',STR_TO_DATE('",Tabla7[[#Headers],[15/02/2018]],"','%d/%m/%Y'),",AX127,"),","('",Tabla7[[#This Row],[CONTADOR]],"',STR_TO_DATE('",Tabla7[[#Headers],[15/03/2018]],"','%d/%m/%Y'),",AY127,"),","('",Tabla7[[#This Row],[CONTADOR]],"',STR_TO_DATE('",Tabla7[[#Headers],[15/04/2018]],"','%d/%m/%Y'),",AZ127,"),","('",Tabla7[[#This Row],[CONTADOR]],"',STR_TO_DATE('",Tabla7[[#Headers],[15/05/2018]],"','%d/%m/%Y'),",BA127,"),","('",Tabla7[[#This Row],[CONTADOR]],"',STR_TO_DATE('",Tabla7[[#Headers],[15/06/2018]],"','%d/%m/%Y'),",BB127,"),","('",Tabla7[[#This Row],[CONTADOR]],"',STR_TO_DATE('",Tabla7[[#Headers],[15/07/2018]],"','%d/%m/%Y'),",BC127,"),","('",Tabla7[[#This Row],[CONTADOR]],"',STR_TO_DATE('",Tabla7[[#Headers],[15/08/2018]],"','%d/%m/%Y'),",BD127,"),","('",Tabla7[[#This Row],[CONTADOR]],"',STR_TO_DATE('",Tabla7[[#Headers],[15/09/2018]],"','%d/%m/%Y'),",BE127,"),","('",Tabla7[[#This Row],[CONTADOR]],"',STR_TO_DATE('",Tabla7[[#Headers],[15/10/2018]],"','%d/%m/%Y'),",BF127,"),","('",Tabla7[[#This Row],[CONTADOR]],"',STR_TO_DATE('",Tabla7[[#Headers],[15/11/2018]],"','%d/%m/%Y'),",BG127,"),","('",Tabla7[[#This Row],[CONTADOR]],"',STR_TO_DATE('",Tabla7[[#Headers],[15/12/2018]],"','%d/%m/%Y'),",BH127,");")</f>
        <v>insert into lecturas values ('83363214',STR_TO_DATE('31/12/2017','%d/%m/%Y'),87738),('83363214',STR_TO_DATE('15/01/2018','%d/%m/%Y'),87898),('83363214',STR_TO_DATE('15/02/2018','%d/%m/%Y'),88160),('83363214',STR_TO_DATE('15/03/2018','%d/%m/%Y'),88411),('83363214',STR_TO_DATE('15/04/2018','%d/%m/%Y'),88734),('83363214',STR_TO_DATE('15/05/2018','%d/%m/%Y'),89112),('83363214',STR_TO_DATE('15/06/2018','%d/%m/%Y'),89635),('83363214',STR_TO_DATE('15/07/2018','%d/%m/%Y'),90127),('83363214',STR_TO_DATE('15/08/2018','%d/%m/%Y'),90844),('83363214',STR_TO_DATE('15/09/2018','%d/%m/%Y'),91520),('83363214',STR_TO_DATE('15/10/2018','%d/%m/%Y'),91974),('83363214',STR_TO_DATE('15/11/2018','%d/%m/%Y'),92273),('83363214',STR_TO_DATE('15/12/2018','%d/%m/%Y'),92636);</v>
      </c>
    </row>
    <row r="128" spans="1:68" ht="18" customHeight="1" x14ac:dyDescent="0.25">
      <c r="A128" s="241" t="s">
        <v>534</v>
      </c>
      <c r="B128" s="60"/>
      <c r="C128" s="223" t="s">
        <v>397</v>
      </c>
      <c r="D128" s="60" t="s">
        <v>560</v>
      </c>
      <c r="E128" s="258">
        <v>39936</v>
      </c>
      <c r="F128" s="274" t="s">
        <v>565</v>
      </c>
      <c r="G128" s="274" t="s">
        <v>124</v>
      </c>
      <c r="H128" s="274" t="s">
        <v>566</v>
      </c>
      <c r="I128" s="274"/>
      <c r="J128" s="311">
        <v>15981</v>
      </c>
      <c r="K128" s="311">
        <v>16053</v>
      </c>
      <c r="L128" s="311">
        <v>16191</v>
      </c>
      <c r="M128" s="311">
        <v>16314</v>
      </c>
      <c r="N128" s="311">
        <v>16422</v>
      </c>
      <c r="O128" s="311">
        <v>16502</v>
      </c>
      <c r="P128" s="311">
        <v>16594</v>
      </c>
      <c r="Q128" s="307">
        <v>16672</v>
      </c>
      <c r="R128" s="505">
        <v>16773</v>
      </c>
      <c r="S128" s="311">
        <v>16877</v>
      </c>
      <c r="T128" s="311">
        <v>16948</v>
      </c>
      <c r="U128" s="353">
        <v>17043</v>
      </c>
      <c r="V128" s="353">
        <v>17181</v>
      </c>
      <c r="W128" s="321"/>
      <c r="X128" s="307"/>
      <c r="Y128" s="274">
        <f t="shared" si="47"/>
        <v>2880</v>
      </c>
      <c r="Z128" s="274">
        <f t="shared" si="46"/>
        <v>5520</v>
      </c>
      <c r="AA128" s="274">
        <f t="shared" si="48"/>
        <v>4920</v>
      </c>
      <c r="AB128" s="274">
        <f t="shared" si="49"/>
        <v>4320</v>
      </c>
      <c r="AC128" s="274">
        <f t="shared" si="34"/>
        <v>3200</v>
      </c>
      <c r="AD128" s="274">
        <f t="shared" si="35"/>
        <v>3680</v>
      </c>
      <c r="AE128" s="274">
        <f t="shared" si="36"/>
        <v>3120</v>
      </c>
      <c r="AF128" s="274">
        <f t="shared" si="37"/>
        <v>4040</v>
      </c>
      <c r="AG128" s="274">
        <f t="shared" si="38"/>
        <v>4160</v>
      </c>
      <c r="AH128" s="274">
        <f t="shared" si="41"/>
        <v>2840</v>
      </c>
      <c r="AI128" s="274">
        <f t="shared" si="39"/>
        <v>3800</v>
      </c>
      <c r="AJ128" s="274">
        <f t="shared" si="40"/>
        <v>5520</v>
      </c>
      <c r="AK128" s="416">
        <v>40</v>
      </c>
      <c r="AL128" s="417">
        <f t="shared" ca="1" si="29"/>
        <v>16422</v>
      </c>
      <c r="AM128" s="311">
        <f t="shared" ca="1" si="30"/>
        <v>16502</v>
      </c>
      <c r="AN128" s="274">
        <f ca="1">IF(AND(Tabla7[[#This Row],[UltLec]]&lt;&gt;0,Tabla7[[#This Row],[PenLect]]&lt;&gt;0),(AM128-AL128)*Tabla7[[#This Row],[RT]],"N/A")</f>
        <v>3200</v>
      </c>
      <c r="AO128" s="273" t="s">
        <v>1135</v>
      </c>
      <c r="AP128" s="392" t="s">
        <v>1190</v>
      </c>
      <c r="AQ128" s="392" t="s">
        <v>1189</v>
      </c>
      <c r="AR128" s="407">
        <f t="shared" si="31"/>
        <v>0</v>
      </c>
      <c r="AT128" s="2">
        <f t="shared" ca="1" si="32"/>
        <v>0.7407407407407407</v>
      </c>
      <c r="AV128">
        <f>IF(ISBLANK(Tabla7[[#This Row],[31/12/2017]]),0,Tabla7[[#This Row],[31/12/2017]])</f>
        <v>15981</v>
      </c>
      <c r="AW128">
        <f>IF(ISBLANK(Tabla7[[#This Row],[15/01/2018]]),0,Tabla7[[#This Row],[15/01/2018]])</f>
        <v>16053</v>
      </c>
      <c r="AX128">
        <f>IF(ISBLANK(Tabla7[[#This Row],[15/02/2018]]),0,Tabla7[[#This Row],[15/02/2018]])</f>
        <v>16191</v>
      </c>
      <c r="AY128">
        <f>IF(ISBLANK(Tabla7[[#This Row],[15/03/2018]]),0,Tabla7[[#This Row],[15/03/2018]])</f>
        <v>16314</v>
      </c>
      <c r="AZ128">
        <f>IF(ISBLANK(Tabla7[[#This Row],[15/04/2018]]),0,Tabla7[[#This Row],[15/04/2018]])</f>
        <v>16422</v>
      </c>
      <c r="BA128">
        <f>IF(ISBLANK(Tabla7[[#This Row],[15/05/2018]]),0,Tabla7[[#This Row],[15/05/2018]])</f>
        <v>16502</v>
      </c>
      <c r="BB128">
        <f>IF(ISBLANK(Tabla7[[#This Row],[15/06/2018]]),0,Tabla7[[#This Row],[15/06/2018]])</f>
        <v>16594</v>
      </c>
      <c r="BC128">
        <f>IF(ISBLANK(Tabla7[[#This Row],[15/07/2018]]),0,Tabla7[[#This Row],[15/07/2018]])</f>
        <v>16672</v>
      </c>
      <c r="BD128">
        <f>IF(ISBLANK(Tabla7[[#This Row],[15/08/2018]]),0,Tabla7[[#This Row],[15/08/2018]])</f>
        <v>16773</v>
      </c>
      <c r="BE128">
        <f>IF(ISBLANK(Tabla7[[#This Row],[15/09/2018]]),0,Tabla7[[#This Row],[15/09/2018]])</f>
        <v>16877</v>
      </c>
      <c r="BF128">
        <f>IF(ISBLANK(Tabla7[[#This Row],[15/10/2018]]),0,Tabla7[[#This Row],[15/10/2018]])</f>
        <v>16948</v>
      </c>
      <c r="BG128">
        <f>IF(ISBLANK(Tabla7[[#This Row],[15/11/2018]]),0,Tabla7[[#This Row],[15/11/2018]])</f>
        <v>17043</v>
      </c>
      <c r="BH128">
        <f>IF(ISBLANK(Tabla7[[#This Row],[15/12/2018]]),0,Tabla7[[#This Row],[15/12/2018]])</f>
        <v>17181</v>
      </c>
      <c r="BI128">
        <f>IF(ISBLANK(Tabla7[[#This Row],[28/12/2018]]),0,Tabla7[[#This Row],[28/12/2018]])</f>
        <v>0</v>
      </c>
      <c r="BN12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('6560745-98','S','SCT05','39936','PORTUARIA LEVANTINA, S.A.     ','CENTRALIZACION','NAVE MUELLE NORTE   ','');</v>
      </c>
      <c r="BO128" t="s">
        <v>243</v>
      </c>
      <c r="BP128" s="632" t="str">
        <f>CONCATENATE("insert into lecturas values ","('",Tabla7[[#This Row],[CONTADOR]],"',STR_TO_DATE('",Tabla7[[#Headers],[31/12/2017]],"','%d/%m/%Y'),",AV128,"),","('",Tabla7[[#This Row],[CONTADOR]],"',STR_TO_DATE('",Tabla7[[#Headers],[15/01/2018]],"','%d/%m/%Y'),",AW128,"),","('",Tabla7[[#This Row],[CONTADOR]],"',STR_TO_DATE('",Tabla7[[#Headers],[15/02/2018]],"','%d/%m/%Y'),",AX128,"),","('",Tabla7[[#This Row],[CONTADOR]],"',STR_TO_DATE('",Tabla7[[#Headers],[15/03/2018]],"','%d/%m/%Y'),",AY128,"),","('",Tabla7[[#This Row],[CONTADOR]],"',STR_TO_DATE('",Tabla7[[#Headers],[15/04/2018]],"','%d/%m/%Y'),",AZ128,"),","('",Tabla7[[#This Row],[CONTADOR]],"',STR_TO_DATE('",Tabla7[[#Headers],[15/05/2018]],"','%d/%m/%Y'),",BA128,"),","('",Tabla7[[#This Row],[CONTADOR]],"',STR_TO_DATE('",Tabla7[[#Headers],[15/06/2018]],"','%d/%m/%Y'),",BB128,"),","('",Tabla7[[#This Row],[CONTADOR]],"',STR_TO_DATE('",Tabla7[[#Headers],[15/07/2018]],"','%d/%m/%Y'),",BC128,"),","('",Tabla7[[#This Row],[CONTADOR]],"',STR_TO_DATE('",Tabla7[[#Headers],[15/08/2018]],"','%d/%m/%Y'),",BD128,"),","('",Tabla7[[#This Row],[CONTADOR]],"',STR_TO_DATE('",Tabla7[[#Headers],[15/09/2018]],"','%d/%m/%Y'),",BE128,"),","('",Tabla7[[#This Row],[CONTADOR]],"',STR_TO_DATE('",Tabla7[[#Headers],[15/10/2018]],"','%d/%m/%Y'),",BF128,"),","('",Tabla7[[#This Row],[CONTADOR]],"',STR_TO_DATE('",Tabla7[[#Headers],[15/11/2018]],"','%d/%m/%Y'),",BG128,"),","('",Tabla7[[#This Row],[CONTADOR]],"',STR_TO_DATE('",Tabla7[[#Headers],[15/12/2018]],"','%d/%m/%Y'),",BH128,");")</f>
        <v>insert into lecturas values ('6560745-98',STR_TO_DATE('31/12/2017','%d/%m/%Y'),15981),('6560745-98',STR_TO_DATE('15/01/2018','%d/%m/%Y'),16053),('6560745-98',STR_TO_DATE('15/02/2018','%d/%m/%Y'),16191),('6560745-98',STR_TO_DATE('15/03/2018','%d/%m/%Y'),16314),('6560745-98',STR_TO_DATE('15/04/2018','%d/%m/%Y'),16422),('6560745-98',STR_TO_DATE('15/05/2018','%d/%m/%Y'),16502),('6560745-98',STR_TO_DATE('15/06/2018','%d/%m/%Y'),16594),('6560745-98',STR_TO_DATE('15/07/2018','%d/%m/%Y'),16672),('6560745-98',STR_TO_DATE('15/08/2018','%d/%m/%Y'),16773),('6560745-98',STR_TO_DATE('15/09/2018','%d/%m/%Y'),16877),('6560745-98',STR_TO_DATE('15/10/2018','%d/%m/%Y'),16948),('6560745-98',STR_TO_DATE('15/11/2018','%d/%m/%Y'),17043),('6560745-98',STR_TO_DATE('15/12/2018','%d/%m/%Y'),17181);</v>
      </c>
    </row>
    <row r="129" spans="1:68" ht="18" customHeight="1" x14ac:dyDescent="0.25">
      <c r="A129" s="241" t="s">
        <v>534</v>
      </c>
      <c r="B129" s="60"/>
      <c r="C129" s="223" t="s">
        <v>396</v>
      </c>
      <c r="D129" s="60" t="s">
        <v>560</v>
      </c>
      <c r="E129" s="258">
        <v>39342</v>
      </c>
      <c r="F129" s="274" t="s">
        <v>563</v>
      </c>
      <c r="G129" s="274" t="s">
        <v>124</v>
      </c>
      <c r="H129" s="2" t="s">
        <v>564</v>
      </c>
      <c r="I129" s="274"/>
      <c r="J129" s="311">
        <v>75116</v>
      </c>
      <c r="K129" s="311">
        <v>75342</v>
      </c>
      <c r="L129" s="311">
        <v>75859</v>
      </c>
      <c r="M129" s="311">
        <v>76413</v>
      </c>
      <c r="N129" s="311">
        <v>76585</v>
      </c>
      <c r="O129" s="454">
        <v>76669</v>
      </c>
      <c r="P129" s="311">
        <v>76738</v>
      </c>
      <c r="Q129" s="307">
        <v>76777</v>
      </c>
      <c r="R129" s="505">
        <v>76915</v>
      </c>
      <c r="S129" s="311">
        <v>77028</v>
      </c>
      <c r="T129" s="311">
        <v>77080</v>
      </c>
      <c r="U129" s="353">
        <v>77126</v>
      </c>
      <c r="V129" s="353">
        <v>77179</v>
      </c>
      <c r="W129" s="321"/>
      <c r="X129" s="307"/>
      <c r="Y129" s="2">
        <f t="shared" si="47"/>
        <v>226</v>
      </c>
      <c r="Z129" s="2">
        <f t="shared" si="46"/>
        <v>517</v>
      </c>
      <c r="AA129" s="2">
        <f t="shared" si="48"/>
        <v>554</v>
      </c>
      <c r="AB129" s="2">
        <f t="shared" si="49"/>
        <v>172</v>
      </c>
      <c r="AC129" s="2">
        <f t="shared" si="34"/>
        <v>84</v>
      </c>
      <c r="AD129" s="2">
        <f t="shared" si="35"/>
        <v>69</v>
      </c>
      <c r="AE129" s="2">
        <f t="shared" si="36"/>
        <v>39</v>
      </c>
      <c r="AF129" s="2">
        <f t="shared" si="37"/>
        <v>138</v>
      </c>
      <c r="AG129" s="2">
        <f t="shared" si="38"/>
        <v>113</v>
      </c>
      <c r="AH129" s="2">
        <f t="shared" si="41"/>
        <v>52</v>
      </c>
      <c r="AI129" s="2">
        <f t="shared" si="39"/>
        <v>46</v>
      </c>
      <c r="AJ129" s="2">
        <f t="shared" si="40"/>
        <v>53</v>
      </c>
      <c r="AK129" s="406">
        <v>1</v>
      </c>
      <c r="AL129" s="274">
        <f t="shared" ca="1" si="29"/>
        <v>76585</v>
      </c>
      <c r="AM129" s="311">
        <f t="shared" ca="1" si="30"/>
        <v>76669</v>
      </c>
      <c r="AN129" s="274">
        <f ca="1">IF(AND(Tabla7[[#This Row],[UltLec]]&lt;&gt;0,Tabla7[[#This Row],[PenLect]]&lt;&gt;0),(AM129-AL129)*Tabla7[[#This Row],[RT]],"N/A")</f>
        <v>84</v>
      </c>
      <c r="AO129" s="273" t="s">
        <v>1135</v>
      </c>
      <c r="AP129" s="392" t="s">
        <v>1190</v>
      </c>
      <c r="AQ129" s="392" t="s">
        <v>1189</v>
      </c>
      <c r="AR129" s="407">
        <f t="shared" si="31"/>
        <v>0</v>
      </c>
      <c r="AT129" s="2">
        <f t="shared" ca="1" si="32"/>
        <v>0.48837209302325579</v>
      </c>
      <c r="AV129">
        <f>IF(ISBLANK(Tabla7[[#This Row],[31/12/2017]]),0,Tabla7[[#This Row],[31/12/2017]])</f>
        <v>75116</v>
      </c>
      <c r="AW129">
        <f>IF(ISBLANK(Tabla7[[#This Row],[15/01/2018]]),0,Tabla7[[#This Row],[15/01/2018]])</f>
        <v>75342</v>
      </c>
      <c r="AX129">
        <f>IF(ISBLANK(Tabla7[[#This Row],[15/02/2018]]),0,Tabla7[[#This Row],[15/02/2018]])</f>
        <v>75859</v>
      </c>
      <c r="AY129">
        <f>IF(ISBLANK(Tabla7[[#This Row],[15/03/2018]]),0,Tabla7[[#This Row],[15/03/2018]])</f>
        <v>76413</v>
      </c>
      <c r="AZ129">
        <f>IF(ISBLANK(Tabla7[[#This Row],[15/04/2018]]),0,Tabla7[[#This Row],[15/04/2018]])</f>
        <v>76585</v>
      </c>
      <c r="BA129">
        <f>IF(ISBLANK(Tabla7[[#This Row],[15/05/2018]]),0,Tabla7[[#This Row],[15/05/2018]])</f>
        <v>76669</v>
      </c>
      <c r="BB129">
        <f>IF(ISBLANK(Tabla7[[#This Row],[15/06/2018]]),0,Tabla7[[#This Row],[15/06/2018]])</f>
        <v>76738</v>
      </c>
      <c r="BC129">
        <f>IF(ISBLANK(Tabla7[[#This Row],[15/07/2018]]),0,Tabla7[[#This Row],[15/07/2018]])</f>
        <v>76777</v>
      </c>
      <c r="BD129">
        <f>IF(ISBLANK(Tabla7[[#This Row],[15/08/2018]]),0,Tabla7[[#This Row],[15/08/2018]])</f>
        <v>76915</v>
      </c>
      <c r="BE129">
        <f>IF(ISBLANK(Tabla7[[#This Row],[15/09/2018]]),0,Tabla7[[#This Row],[15/09/2018]])</f>
        <v>77028</v>
      </c>
      <c r="BF129">
        <f>IF(ISBLANK(Tabla7[[#This Row],[15/10/2018]]),0,Tabla7[[#This Row],[15/10/2018]])</f>
        <v>77080</v>
      </c>
      <c r="BG129">
        <f>IF(ISBLANK(Tabla7[[#This Row],[15/11/2018]]),0,Tabla7[[#This Row],[15/11/2018]])</f>
        <v>77126</v>
      </c>
      <c r="BH129">
        <f>IF(ISBLANK(Tabla7[[#This Row],[15/12/2018]]),0,Tabla7[[#This Row],[15/12/2018]])</f>
        <v>77179</v>
      </c>
      <c r="BI129">
        <f>IF(ISBLANK(Tabla7[[#This Row],[28/12/2018]]),0,Tabla7[[#This Row],[28/12/2018]])</f>
        <v>0</v>
      </c>
      <c r="BN12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('S-98027920','S','SCT05','39342','BERGE MARITIMA S.L.            ','CENTRALIZACION','BASCULA ','');</v>
      </c>
      <c r="BO129" t="s">
        <v>243</v>
      </c>
      <c r="BP129" s="632" t="str">
        <f>CONCATENATE("insert into lecturas values ","('",Tabla7[[#This Row],[CONTADOR]],"',STR_TO_DATE('",Tabla7[[#Headers],[31/12/2017]],"','%d/%m/%Y'),",AV129,"),","('",Tabla7[[#This Row],[CONTADOR]],"',STR_TO_DATE('",Tabla7[[#Headers],[15/01/2018]],"','%d/%m/%Y'),",AW129,"),","('",Tabla7[[#This Row],[CONTADOR]],"',STR_TO_DATE('",Tabla7[[#Headers],[15/02/2018]],"','%d/%m/%Y'),",AX129,"),","('",Tabla7[[#This Row],[CONTADOR]],"',STR_TO_DATE('",Tabla7[[#Headers],[15/03/2018]],"','%d/%m/%Y'),",AY129,"),","('",Tabla7[[#This Row],[CONTADOR]],"',STR_TO_DATE('",Tabla7[[#Headers],[15/04/2018]],"','%d/%m/%Y'),",AZ129,"),","('",Tabla7[[#This Row],[CONTADOR]],"',STR_TO_DATE('",Tabla7[[#Headers],[15/05/2018]],"','%d/%m/%Y'),",BA129,"),","('",Tabla7[[#This Row],[CONTADOR]],"',STR_TO_DATE('",Tabla7[[#Headers],[15/06/2018]],"','%d/%m/%Y'),",BB129,"),","('",Tabla7[[#This Row],[CONTADOR]],"',STR_TO_DATE('",Tabla7[[#Headers],[15/07/2018]],"','%d/%m/%Y'),",BC129,"),","('",Tabla7[[#This Row],[CONTADOR]],"',STR_TO_DATE('",Tabla7[[#Headers],[15/08/2018]],"','%d/%m/%Y'),",BD129,"),","('",Tabla7[[#This Row],[CONTADOR]],"',STR_TO_DATE('",Tabla7[[#Headers],[15/09/2018]],"','%d/%m/%Y'),",BE129,"),","('",Tabla7[[#This Row],[CONTADOR]],"',STR_TO_DATE('",Tabla7[[#Headers],[15/10/2018]],"','%d/%m/%Y'),",BF129,"),","('",Tabla7[[#This Row],[CONTADOR]],"',STR_TO_DATE('",Tabla7[[#Headers],[15/11/2018]],"','%d/%m/%Y'),",BG129,"),","('",Tabla7[[#This Row],[CONTADOR]],"',STR_TO_DATE('",Tabla7[[#Headers],[15/12/2018]],"','%d/%m/%Y'),",BH129,");")</f>
        <v>insert into lecturas values ('S-98027920',STR_TO_DATE('31/12/2017','%d/%m/%Y'),75116),('S-98027920',STR_TO_DATE('15/01/2018','%d/%m/%Y'),75342),('S-98027920',STR_TO_DATE('15/02/2018','%d/%m/%Y'),75859),('S-98027920',STR_TO_DATE('15/03/2018','%d/%m/%Y'),76413),('S-98027920',STR_TO_DATE('15/04/2018','%d/%m/%Y'),76585),('S-98027920',STR_TO_DATE('15/05/2018','%d/%m/%Y'),76669),('S-98027920',STR_TO_DATE('15/06/2018','%d/%m/%Y'),76738),('S-98027920',STR_TO_DATE('15/07/2018','%d/%m/%Y'),76777),('S-98027920',STR_TO_DATE('15/08/2018','%d/%m/%Y'),76915),('S-98027920',STR_TO_DATE('15/09/2018','%d/%m/%Y'),77028),('S-98027920',STR_TO_DATE('15/10/2018','%d/%m/%Y'),77080),('S-98027920',STR_TO_DATE('15/11/2018','%d/%m/%Y'),77126),('S-98027920',STR_TO_DATE('15/12/2018','%d/%m/%Y'),77179);</v>
      </c>
    </row>
    <row r="130" spans="1:68" ht="18" customHeight="1" x14ac:dyDescent="0.25">
      <c r="A130" s="241" t="s">
        <v>534</v>
      </c>
      <c r="B130" s="60"/>
      <c r="C130" s="223"/>
      <c r="D130" s="60" t="s">
        <v>560</v>
      </c>
      <c r="E130" s="258">
        <v>2</v>
      </c>
      <c r="F130" s="274" t="s">
        <v>842</v>
      </c>
      <c r="G130" s="442" t="s">
        <v>561</v>
      </c>
      <c r="H130" s="2"/>
      <c r="I130" s="274"/>
      <c r="J130" s="311"/>
      <c r="K130" s="311"/>
      <c r="L130" s="311"/>
      <c r="M130" s="311"/>
      <c r="N130" s="307"/>
      <c r="O130" s="311"/>
      <c r="P130" s="311"/>
      <c r="Q130" s="307">
        <v>0</v>
      </c>
      <c r="R130" s="505"/>
      <c r="S130" s="311"/>
      <c r="T130" s="311"/>
      <c r="U130" s="353">
        <v>0</v>
      </c>
      <c r="V130" s="353"/>
      <c r="W130" s="307"/>
      <c r="X130" s="307"/>
      <c r="Y130" s="2" t="str">
        <f t="shared" si="47"/>
        <v/>
      </c>
      <c r="Z130" s="2" t="str">
        <f t="shared" si="46"/>
        <v/>
      </c>
      <c r="AA130" s="2" t="str">
        <f t="shared" si="48"/>
        <v/>
      </c>
      <c r="AB130" s="2" t="str">
        <f t="shared" si="49"/>
        <v/>
      </c>
      <c r="AC130" s="2" t="str">
        <f t="shared" si="34"/>
        <v/>
      </c>
      <c r="AD130" s="2" t="str">
        <f t="shared" si="35"/>
        <v/>
      </c>
      <c r="AE130" s="2" t="str">
        <f t="shared" si="36"/>
        <v/>
      </c>
      <c r="AF130" s="2" t="str">
        <f t="shared" si="37"/>
        <v/>
      </c>
      <c r="AG130" s="2" t="str">
        <f t="shared" si="38"/>
        <v/>
      </c>
      <c r="AH130" s="2" t="str">
        <f t="shared" si="41"/>
        <v/>
      </c>
      <c r="AI130" s="2" t="str">
        <f t="shared" si="39"/>
        <v/>
      </c>
      <c r="AJ130" s="2" t="str">
        <f t="shared" si="40"/>
        <v/>
      </c>
      <c r="AK130" s="406">
        <v>1</v>
      </c>
      <c r="AL130" s="274">
        <f t="shared" ca="1" si="29"/>
        <v>0</v>
      </c>
      <c r="AM130" s="311">
        <f t="shared" ca="1" si="30"/>
        <v>0</v>
      </c>
      <c r="AN130" s="274" t="str">
        <f ca="1">IF(AND(Tabla7[[#This Row],[UltLec]]&lt;&gt;0,Tabla7[[#This Row],[PenLect]]&lt;&gt;0),(AM130-AL130)*Tabla7[[#This Row],[RT]],"N/A")</f>
        <v>N/A</v>
      </c>
      <c r="AO130" s="273" t="s">
        <v>1135</v>
      </c>
      <c r="AP130" s="392" t="s">
        <v>1190</v>
      </c>
      <c r="AQ130" s="392" t="s">
        <v>1189</v>
      </c>
      <c r="AR130" s="407">
        <f t="shared" si="31"/>
        <v>0</v>
      </c>
      <c r="AT130" s="2" t="e">
        <f t="shared" ca="1" si="32"/>
        <v>#VALUE!</v>
      </c>
      <c r="AV130">
        <f>IF(ISBLANK(Tabla7[[#This Row],[31/12/2017]]),0,Tabla7[[#This Row],[31/12/2017]])</f>
        <v>0</v>
      </c>
      <c r="AW130">
        <f>IF(ISBLANK(Tabla7[[#This Row],[15/01/2018]]),0,Tabla7[[#This Row],[15/01/2018]])</f>
        <v>0</v>
      </c>
      <c r="AX130">
        <f>IF(ISBLANK(Tabla7[[#This Row],[15/02/2018]]),0,Tabla7[[#This Row],[15/02/2018]])</f>
        <v>0</v>
      </c>
      <c r="AY130">
        <f>IF(ISBLANK(Tabla7[[#This Row],[15/03/2018]]),0,Tabla7[[#This Row],[15/03/2018]])</f>
        <v>0</v>
      </c>
      <c r="AZ130">
        <f>IF(ISBLANK(Tabla7[[#This Row],[15/04/2018]]),0,Tabla7[[#This Row],[15/04/2018]])</f>
        <v>0</v>
      </c>
      <c r="BA130">
        <f>IF(ISBLANK(Tabla7[[#This Row],[15/05/2018]]),0,Tabla7[[#This Row],[15/05/2018]])</f>
        <v>0</v>
      </c>
      <c r="BB130">
        <f>IF(ISBLANK(Tabla7[[#This Row],[15/06/2018]]),0,Tabla7[[#This Row],[15/06/2018]])</f>
        <v>0</v>
      </c>
      <c r="BC130">
        <f>IF(ISBLANK(Tabla7[[#This Row],[15/07/2018]]),0,Tabla7[[#This Row],[15/07/2018]])</f>
        <v>0</v>
      </c>
      <c r="BD130">
        <f>IF(ISBLANK(Tabla7[[#This Row],[15/08/2018]]),0,Tabla7[[#This Row],[15/08/2018]])</f>
        <v>0</v>
      </c>
      <c r="BE130">
        <f>IF(ISBLANK(Tabla7[[#This Row],[15/09/2018]]),0,Tabla7[[#This Row],[15/09/2018]])</f>
        <v>0</v>
      </c>
      <c r="BF130">
        <f>IF(ISBLANK(Tabla7[[#This Row],[15/10/2018]]),0,Tabla7[[#This Row],[15/10/2018]])</f>
        <v>0</v>
      </c>
      <c r="BG130">
        <f>IF(ISBLANK(Tabla7[[#This Row],[15/11/2018]]),0,Tabla7[[#This Row],[15/11/2018]])</f>
        <v>0</v>
      </c>
      <c r="BH130">
        <f>IF(ISBLANK(Tabla7[[#This Row],[15/12/2018]]),0,Tabla7[[#This Row],[15/12/2018]])</f>
        <v>0</v>
      </c>
      <c r="BI130">
        <f>IF(ISBLANK(Tabla7[[#This Row],[28/12/2018]]),0,Tabla7[[#This Row],[28/12/2018]])</f>
        <v>0</v>
      </c>
      <c r="BN13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('','S','SCT05','2','TORRETA','MUELLE NORTE','','');</v>
      </c>
      <c r="BO130" t="s">
        <v>243</v>
      </c>
      <c r="BP130" s="632" t="str">
        <f>CONCATENATE("insert into lecturas values ","('",Tabla7[[#This Row],[CONTADOR]],"',STR_TO_DATE('",Tabla7[[#Headers],[31/12/2017]],"','%d/%m/%Y'),",AV130,"),","('",Tabla7[[#This Row],[CONTADOR]],"',STR_TO_DATE('",Tabla7[[#Headers],[15/01/2018]],"','%d/%m/%Y'),",AW130,"),","('",Tabla7[[#This Row],[CONTADOR]],"',STR_TO_DATE('",Tabla7[[#Headers],[15/02/2018]],"','%d/%m/%Y'),",AX130,"),","('",Tabla7[[#This Row],[CONTADOR]],"',STR_TO_DATE('",Tabla7[[#Headers],[15/03/2018]],"','%d/%m/%Y'),",AY130,"),","('",Tabla7[[#This Row],[CONTADOR]],"',STR_TO_DATE('",Tabla7[[#Headers],[15/04/2018]],"','%d/%m/%Y'),",AZ130,"),","('",Tabla7[[#This Row],[CONTADOR]],"',STR_TO_DATE('",Tabla7[[#Headers],[15/05/2018]],"','%d/%m/%Y'),",BA130,"),","('",Tabla7[[#This Row],[CONTADOR]],"',STR_TO_DATE('",Tabla7[[#Headers],[15/06/2018]],"','%d/%m/%Y'),",BB130,"),","('",Tabla7[[#This Row],[CONTADOR]],"',STR_TO_DATE('",Tabla7[[#Headers],[15/07/2018]],"','%d/%m/%Y'),",BC130,"),","('",Tabla7[[#This Row],[CONTADOR]],"',STR_TO_DATE('",Tabla7[[#Headers],[15/08/2018]],"','%d/%m/%Y'),",BD130,"),","('",Tabla7[[#This Row],[CONTADOR]],"',STR_TO_DATE('",Tabla7[[#Headers],[15/09/2018]],"','%d/%m/%Y'),",BE130,"),","('",Tabla7[[#This Row],[CONTADOR]],"',STR_TO_DATE('",Tabla7[[#Headers],[15/10/2018]],"','%d/%m/%Y'),",BF130,"),","('",Tabla7[[#This Row],[CONTADOR]],"',STR_TO_DATE('",Tabla7[[#Headers],[15/11/2018]],"','%d/%m/%Y'),",BG130,"),","('",Tabla7[[#This Row],[CONTADOR]],"',STR_TO_DATE('",Tabla7[[#Headers],[15/12/2018]],"','%d/%m/%Y'),",BH130,");")</f>
        <v>insert into lecturas values ('',STR_TO_DATE('31/12/2017','%d/%m/%Y'),0),('',STR_TO_DATE('15/01/2018','%d/%m/%Y'),0),('',STR_TO_DATE('15/02/2018','%d/%m/%Y'),0),('',STR_TO_DATE('15/03/2018','%d/%m/%Y'),0),('',STR_TO_DATE('15/04/2018','%d/%m/%Y'),0),('',STR_TO_DATE('15/05/2018','%d/%m/%Y'),0),('',STR_TO_DATE('15/06/2018','%d/%m/%Y'),0),('',STR_TO_DATE('15/07/2018','%d/%m/%Y'),0),('',STR_TO_DATE('15/08/2018','%d/%m/%Y'),0),('',STR_TO_DATE('15/09/2018','%d/%m/%Y'),0),('',STR_TO_DATE('15/10/2018','%d/%m/%Y'),0),('',STR_TO_DATE('15/11/2018','%d/%m/%Y'),0),('',STR_TO_DATE('15/12/2018','%d/%m/%Y'),0);</v>
      </c>
    </row>
    <row r="131" spans="1:68" ht="18" customHeight="1" x14ac:dyDescent="0.3">
      <c r="A131" s="241" t="s">
        <v>534</v>
      </c>
      <c r="B131" s="60"/>
      <c r="C131" s="223">
        <v>11313825</v>
      </c>
      <c r="D131" s="60" t="s">
        <v>570</v>
      </c>
      <c r="E131" s="258">
        <v>2</v>
      </c>
      <c r="F131" s="274" t="s">
        <v>576</v>
      </c>
      <c r="G131" s="274"/>
      <c r="H131" s="274"/>
      <c r="I131" s="274"/>
      <c r="J131" s="311">
        <v>92579</v>
      </c>
      <c r="K131" s="311">
        <v>92845</v>
      </c>
      <c r="L131" s="311">
        <v>93274</v>
      </c>
      <c r="M131" s="311">
        <v>93604</v>
      </c>
      <c r="N131" s="311">
        <v>93890</v>
      </c>
      <c r="O131" s="311"/>
      <c r="P131" s="311">
        <v>94438</v>
      </c>
      <c r="Q131" s="353">
        <v>94725</v>
      </c>
      <c r="R131" s="505">
        <v>95097</v>
      </c>
      <c r="S131" s="311">
        <v>95436</v>
      </c>
      <c r="T131" s="311">
        <v>95642</v>
      </c>
      <c r="U131" s="353">
        <v>95766</v>
      </c>
      <c r="V131" s="353">
        <v>95895</v>
      </c>
      <c r="W131" s="344"/>
      <c r="X131" s="307"/>
      <c r="Y131" s="2">
        <f t="shared" si="47"/>
        <v>5320</v>
      </c>
      <c r="Z131" s="2">
        <f t="shared" si="46"/>
        <v>8580</v>
      </c>
      <c r="AA131" s="2">
        <f t="shared" si="48"/>
        <v>6600</v>
      </c>
      <c r="AB131" s="2">
        <f t="shared" si="49"/>
        <v>5720</v>
      </c>
      <c r="AC131" s="2" t="str">
        <f t="shared" si="34"/>
        <v/>
      </c>
      <c r="AD131" s="2" t="str">
        <f t="shared" si="35"/>
        <v/>
      </c>
      <c r="AE131" s="2">
        <f t="shared" si="36"/>
        <v>5740</v>
      </c>
      <c r="AF131" s="2">
        <f t="shared" si="37"/>
        <v>7440</v>
      </c>
      <c r="AG131" s="2">
        <f t="shared" si="38"/>
        <v>6780</v>
      </c>
      <c r="AH131" s="2">
        <f t="shared" si="41"/>
        <v>4120</v>
      </c>
      <c r="AI131" s="2">
        <f t="shared" si="39"/>
        <v>2480</v>
      </c>
      <c r="AJ131" s="2">
        <f t="shared" si="40"/>
        <v>2580</v>
      </c>
      <c r="AK131" s="413">
        <v>20</v>
      </c>
      <c r="AL131" s="313">
        <f t="shared" ref="AL131:AL194" ca="1" si="50">IF(DAY(TODAY())&lt;16,INDEX(J131:X131,1,MONTH(TODAY())-1),INDEX(J131:X131,1,MONTH(TODAY())))</f>
        <v>93890</v>
      </c>
      <c r="AM131" s="311">
        <f t="shared" ref="AM131:AM194" ca="1" si="51">IF(DAY(TODAY())&lt;16,INDEX(J131:X131,1,MONTH(TODAY())),INDEX(J131:X131,1,MONTH(TODAY())+1))</f>
        <v>0</v>
      </c>
      <c r="AN131" s="274" t="str">
        <f ca="1">IF(AND(Tabla7[[#This Row],[UltLec]]&lt;&gt;0,Tabla7[[#This Row],[PenLect]]&lt;&gt;0),(AM131-AL131)*Tabla7[[#This Row],[RT]],"N/A")</f>
        <v>N/A</v>
      </c>
      <c r="AO131" s="273" t="s">
        <v>1135</v>
      </c>
      <c r="AP131" s="392" t="s">
        <v>1190</v>
      </c>
      <c r="AQ131" s="392" t="s">
        <v>1189</v>
      </c>
      <c r="AR131" s="407">
        <f t="shared" ref="AR131:AR194" si="52">COUNTIF(Y131:AJ131,"!!!!")</f>
        <v>0</v>
      </c>
      <c r="AT131" s="2" t="e">
        <f t="shared" ca="1" si="32"/>
        <v>#VALUE!</v>
      </c>
      <c r="AV131">
        <f>IF(ISBLANK(Tabla7[[#This Row],[31/12/2017]]),0,Tabla7[[#This Row],[31/12/2017]])</f>
        <v>92579</v>
      </c>
      <c r="AW131">
        <f>IF(ISBLANK(Tabla7[[#This Row],[15/01/2018]]),0,Tabla7[[#This Row],[15/01/2018]])</f>
        <v>92845</v>
      </c>
      <c r="AX131">
        <f>IF(ISBLANK(Tabla7[[#This Row],[15/02/2018]]),0,Tabla7[[#This Row],[15/02/2018]])</f>
        <v>93274</v>
      </c>
      <c r="AY131">
        <f>IF(ISBLANK(Tabla7[[#This Row],[15/03/2018]]),0,Tabla7[[#This Row],[15/03/2018]])</f>
        <v>93604</v>
      </c>
      <c r="AZ131">
        <f>IF(ISBLANK(Tabla7[[#This Row],[15/04/2018]]),0,Tabla7[[#This Row],[15/04/2018]])</f>
        <v>93890</v>
      </c>
      <c r="BA131">
        <f>IF(ISBLANK(Tabla7[[#This Row],[15/05/2018]]),0,Tabla7[[#This Row],[15/05/2018]])</f>
        <v>0</v>
      </c>
      <c r="BB131">
        <f>IF(ISBLANK(Tabla7[[#This Row],[15/06/2018]]),0,Tabla7[[#This Row],[15/06/2018]])</f>
        <v>94438</v>
      </c>
      <c r="BC131">
        <f>IF(ISBLANK(Tabla7[[#This Row],[15/07/2018]]),0,Tabla7[[#This Row],[15/07/2018]])</f>
        <v>94725</v>
      </c>
      <c r="BD131">
        <f>IF(ISBLANK(Tabla7[[#This Row],[15/08/2018]]),0,Tabla7[[#This Row],[15/08/2018]])</f>
        <v>95097</v>
      </c>
      <c r="BE131">
        <f>IF(ISBLANK(Tabla7[[#This Row],[15/09/2018]]),0,Tabla7[[#This Row],[15/09/2018]])</f>
        <v>95436</v>
      </c>
      <c r="BF131">
        <f>IF(ISBLANK(Tabla7[[#This Row],[15/10/2018]]),0,Tabla7[[#This Row],[15/10/2018]])</f>
        <v>95642</v>
      </c>
      <c r="BG131">
        <f>IF(ISBLANK(Tabla7[[#This Row],[15/11/2018]]),0,Tabla7[[#This Row],[15/11/2018]])</f>
        <v>95766</v>
      </c>
      <c r="BH131">
        <f>IF(ISBLANK(Tabla7[[#This Row],[15/12/2018]]),0,Tabla7[[#This Row],[15/12/2018]])</f>
        <v>95895</v>
      </c>
      <c r="BI131">
        <f>IF(ISBLANK(Tabla7[[#This Row],[28/12/2018]]),0,Tabla7[[#This Row],[28/12/2018]])</f>
        <v>0</v>
      </c>
      <c r="BN13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('11313825','S','SCT06','2','Edificio Dirección','','','');</v>
      </c>
      <c r="BO131" t="s">
        <v>243</v>
      </c>
      <c r="BP131" s="632" t="str">
        <f>CONCATENATE("insert into lecturas values ","('",Tabla7[[#This Row],[CONTADOR]],"',STR_TO_DATE('",Tabla7[[#Headers],[31/12/2017]],"','%d/%m/%Y'),",AV131,"),","('",Tabla7[[#This Row],[CONTADOR]],"',STR_TO_DATE('",Tabla7[[#Headers],[15/01/2018]],"','%d/%m/%Y'),",AW131,"),","('",Tabla7[[#This Row],[CONTADOR]],"',STR_TO_DATE('",Tabla7[[#Headers],[15/02/2018]],"','%d/%m/%Y'),",AX131,"),","('",Tabla7[[#This Row],[CONTADOR]],"',STR_TO_DATE('",Tabla7[[#Headers],[15/03/2018]],"','%d/%m/%Y'),",AY131,"),","('",Tabla7[[#This Row],[CONTADOR]],"',STR_TO_DATE('",Tabla7[[#Headers],[15/04/2018]],"','%d/%m/%Y'),",AZ131,"),","('",Tabla7[[#This Row],[CONTADOR]],"',STR_TO_DATE('",Tabla7[[#Headers],[15/05/2018]],"','%d/%m/%Y'),",BA131,"),","('",Tabla7[[#This Row],[CONTADOR]],"',STR_TO_DATE('",Tabla7[[#Headers],[15/06/2018]],"','%d/%m/%Y'),",BB131,"),","('",Tabla7[[#This Row],[CONTADOR]],"',STR_TO_DATE('",Tabla7[[#Headers],[15/07/2018]],"','%d/%m/%Y'),",BC131,"),","('",Tabla7[[#This Row],[CONTADOR]],"',STR_TO_DATE('",Tabla7[[#Headers],[15/08/2018]],"','%d/%m/%Y'),",BD131,"),","('",Tabla7[[#This Row],[CONTADOR]],"',STR_TO_DATE('",Tabla7[[#Headers],[15/09/2018]],"','%d/%m/%Y'),",BE131,"),","('",Tabla7[[#This Row],[CONTADOR]],"',STR_TO_DATE('",Tabla7[[#Headers],[15/10/2018]],"','%d/%m/%Y'),",BF131,"),","('",Tabla7[[#This Row],[CONTADOR]],"',STR_TO_DATE('",Tabla7[[#Headers],[15/11/2018]],"','%d/%m/%Y'),",BG131,"),","('",Tabla7[[#This Row],[CONTADOR]],"',STR_TO_DATE('",Tabla7[[#Headers],[15/12/2018]],"','%d/%m/%Y'),",BH131,");")</f>
        <v>insert into lecturas values ('11313825',STR_TO_DATE('31/12/2017','%d/%m/%Y'),92579),('11313825',STR_TO_DATE('15/01/2018','%d/%m/%Y'),92845),('11313825',STR_TO_DATE('15/02/2018','%d/%m/%Y'),93274),('11313825',STR_TO_DATE('15/03/2018','%d/%m/%Y'),93604),('11313825',STR_TO_DATE('15/04/2018','%d/%m/%Y'),93890),('11313825',STR_TO_DATE('15/05/2018','%d/%m/%Y'),0),('11313825',STR_TO_DATE('15/06/2018','%d/%m/%Y'),94438),('11313825',STR_TO_DATE('15/07/2018','%d/%m/%Y'),94725),('11313825',STR_TO_DATE('15/08/2018','%d/%m/%Y'),95097),('11313825',STR_TO_DATE('15/09/2018','%d/%m/%Y'),95436),('11313825',STR_TO_DATE('15/10/2018','%d/%m/%Y'),95642),('11313825',STR_TO_DATE('15/11/2018','%d/%m/%Y'),95766),('11313825',STR_TO_DATE('15/12/2018','%d/%m/%Y'),95895);</v>
      </c>
    </row>
    <row r="132" spans="1:68" ht="18" customHeight="1" x14ac:dyDescent="0.3">
      <c r="A132" s="241" t="s">
        <v>534</v>
      </c>
      <c r="B132" s="315"/>
      <c r="C132" s="346">
        <v>11700447</v>
      </c>
      <c r="D132" s="60" t="s">
        <v>570</v>
      </c>
      <c r="E132" s="258">
        <v>39953</v>
      </c>
      <c r="F132" s="496" t="s">
        <v>571</v>
      </c>
      <c r="G132" s="497" t="s">
        <v>572</v>
      </c>
      <c r="H132" s="307"/>
      <c r="I132" s="307"/>
      <c r="J132" s="353">
        <v>244850</v>
      </c>
      <c r="K132" s="353">
        <v>247290</v>
      </c>
      <c r="L132" s="353">
        <v>251696</v>
      </c>
      <c r="M132" s="353">
        <v>255577</v>
      </c>
      <c r="N132" s="353">
        <v>259035</v>
      </c>
      <c r="O132" s="353">
        <v>261744</v>
      </c>
      <c r="P132" s="311">
        <v>265248</v>
      </c>
      <c r="Q132" s="353">
        <v>268802</v>
      </c>
      <c r="R132" s="505">
        <v>273895</v>
      </c>
      <c r="S132" s="311">
        <v>276413</v>
      </c>
      <c r="T132" s="311">
        <v>281774</v>
      </c>
      <c r="U132" s="353">
        <v>285562</v>
      </c>
      <c r="V132" s="353">
        <v>289594</v>
      </c>
      <c r="W132" s="344"/>
      <c r="X132" s="307"/>
      <c r="Y132" s="307">
        <f t="shared" si="47"/>
        <v>2440</v>
      </c>
      <c r="Z132" s="307">
        <f t="shared" si="46"/>
        <v>4406</v>
      </c>
      <c r="AA132" s="307">
        <f t="shared" si="48"/>
        <v>3881</v>
      </c>
      <c r="AB132" s="307">
        <f t="shared" si="49"/>
        <v>3458</v>
      </c>
      <c r="AC132" s="307">
        <f t="shared" si="34"/>
        <v>2709</v>
      </c>
      <c r="AD132" s="307">
        <f t="shared" si="35"/>
        <v>3504</v>
      </c>
      <c r="AE132" s="307">
        <f t="shared" si="36"/>
        <v>3554</v>
      </c>
      <c r="AF132" s="307">
        <f t="shared" si="37"/>
        <v>5093</v>
      </c>
      <c r="AG132" s="307">
        <f t="shared" si="38"/>
        <v>2518</v>
      </c>
      <c r="AH132" s="307">
        <f t="shared" si="41"/>
        <v>5361</v>
      </c>
      <c r="AI132" s="307">
        <f t="shared" si="39"/>
        <v>3788</v>
      </c>
      <c r="AJ132" s="307">
        <f t="shared" si="40"/>
        <v>4032</v>
      </c>
      <c r="AK132" s="420">
        <v>1</v>
      </c>
      <c r="AL132" s="307">
        <f t="shared" ca="1" si="50"/>
        <v>259035</v>
      </c>
      <c r="AM132" s="353">
        <f t="shared" ca="1" si="51"/>
        <v>261744</v>
      </c>
      <c r="AN132" s="307">
        <f ca="1">IF(AND(Tabla7[[#This Row],[UltLec]]&lt;&gt;0,Tabla7[[#This Row],[PenLect]]&lt;&gt;0),(AM132-AL132)*Tabla7[[#This Row],[RT]],"N/A")</f>
        <v>2709</v>
      </c>
      <c r="AO132" s="273" t="s">
        <v>1135</v>
      </c>
      <c r="AP132" s="307" t="s">
        <v>1190</v>
      </c>
      <c r="AQ132" s="307" t="s">
        <v>1189</v>
      </c>
      <c r="AR132" s="422">
        <f t="shared" si="52"/>
        <v>0</v>
      </c>
      <c r="AT132" s="2">
        <f t="shared" ref="AT132:AT195" ca="1" si="53">IF(IF(DAY(TODAY())&gt;15,INDEX($Y132:$AJ132,1,MONTH(TODAY())-1),INDEX($Y132:$AJ132,1,MONTH(TODAY())-2))=0,"0",IF(DAY(TODAY())&gt;15,INDEX($Y132:$AJ132,1,MONTH(TODAY())),INDEX($Y132:$AJ132,1,MONTH(TODAY())-1))/IF(DAY(TODAY())&gt;15,INDEX($Y132:$AJ132,1,MONTH(TODAY())-1),INDEX($Y132:$AJ132,1,MONTH(TODAY())-2)))</f>
        <v>0.7834008097165992</v>
      </c>
      <c r="AV132">
        <f>IF(ISBLANK(Tabla7[[#This Row],[31/12/2017]]),0,Tabla7[[#This Row],[31/12/2017]])</f>
        <v>244850</v>
      </c>
      <c r="AW132">
        <f>IF(ISBLANK(Tabla7[[#This Row],[15/01/2018]]),0,Tabla7[[#This Row],[15/01/2018]])</f>
        <v>247290</v>
      </c>
      <c r="AX132">
        <f>IF(ISBLANK(Tabla7[[#This Row],[15/02/2018]]),0,Tabla7[[#This Row],[15/02/2018]])</f>
        <v>251696</v>
      </c>
      <c r="AY132">
        <f>IF(ISBLANK(Tabla7[[#This Row],[15/03/2018]]),0,Tabla7[[#This Row],[15/03/2018]])</f>
        <v>255577</v>
      </c>
      <c r="AZ132">
        <f>IF(ISBLANK(Tabla7[[#This Row],[15/04/2018]]),0,Tabla7[[#This Row],[15/04/2018]])</f>
        <v>259035</v>
      </c>
      <c r="BA132">
        <f>IF(ISBLANK(Tabla7[[#This Row],[15/05/2018]]),0,Tabla7[[#This Row],[15/05/2018]])</f>
        <v>261744</v>
      </c>
      <c r="BB132">
        <f>IF(ISBLANK(Tabla7[[#This Row],[15/06/2018]]),0,Tabla7[[#This Row],[15/06/2018]])</f>
        <v>265248</v>
      </c>
      <c r="BC132">
        <f>IF(ISBLANK(Tabla7[[#This Row],[15/07/2018]]),0,Tabla7[[#This Row],[15/07/2018]])</f>
        <v>268802</v>
      </c>
      <c r="BD132">
        <f>IF(ISBLANK(Tabla7[[#This Row],[15/08/2018]]),0,Tabla7[[#This Row],[15/08/2018]])</f>
        <v>273895</v>
      </c>
      <c r="BE132">
        <f>IF(ISBLANK(Tabla7[[#This Row],[15/09/2018]]),0,Tabla7[[#This Row],[15/09/2018]])</f>
        <v>276413</v>
      </c>
      <c r="BF132">
        <f>IF(ISBLANK(Tabla7[[#This Row],[15/10/2018]]),0,Tabla7[[#This Row],[15/10/2018]])</f>
        <v>281774</v>
      </c>
      <c r="BG132">
        <f>IF(ISBLANK(Tabla7[[#This Row],[15/11/2018]]),0,Tabla7[[#This Row],[15/11/2018]])</f>
        <v>285562</v>
      </c>
      <c r="BH132">
        <f>IF(ISBLANK(Tabla7[[#This Row],[15/12/2018]]),0,Tabla7[[#This Row],[15/12/2018]])</f>
        <v>289594</v>
      </c>
      <c r="BI132">
        <f>IF(ISBLANK(Tabla7[[#This Row],[28/12/2018]]),0,Tabla7[[#This Row],[28/12/2018]])</f>
        <v>0</v>
      </c>
      <c r="BN13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('11700447','S','SCT06','39953','S.A. GESTION ESTIB PORTUAR SGT','EDIFICIO SESASA     ','','');</v>
      </c>
      <c r="BO132" t="s">
        <v>243</v>
      </c>
      <c r="BP132" s="632" t="str">
        <f>CONCATENATE("insert into lecturas values ","('",Tabla7[[#This Row],[CONTADOR]],"',STR_TO_DATE('",Tabla7[[#Headers],[31/12/2017]],"','%d/%m/%Y'),",AV132,"),","('",Tabla7[[#This Row],[CONTADOR]],"',STR_TO_DATE('",Tabla7[[#Headers],[15/01/2018]],"','%d/%m/%Y'),",AW132,"),","('",Tabla7[[#This Row],[CONTADOR]],"',STR_TO_DATE('",Tabla7[[#Headers],[15/02/2018]],"','%d/%m/%Y'),",AX132,"),","('",Tabla7[[#This Row],[CONTADOR]],"',STR_TO_DATE('",Tabla7[[#Headers],[15/03/2018]],"','%d/%m/%Y'),",AY132,"),","('",Tabla7[[#This Row],[CONTADOR]],"',STR_TO_DATE('",Tabla7[[#Headers],[15/04/2018]],"','%d/%m/%Y'),",AZ132,"),","('",Tabla7[[#This Row],[CONTADOR]],"',STR_TO_DATE('",Tabla7[[#Headers],[15/05/2018]],"','%d/%m/%Y'),",BA132,"),","('",Tabla7[[#This Row],[CONTADOR]],"',STR_TO_DATE('",Tabla7[[#Headers],[15/06/2018]],"','%d/%m/%Y'),",BB132,"),","('",Tabla7[[#This Row],[CONTADOR]],"',STR_TO_DATE('",Tabla7[[#Headers],[15/07/2018]],"','%d/%m/%Y'),",BC132,"),","('",Tabla7[[#This Row],[CONTADOR]],"',STR_TO_DATE('",Tabla7[[#Headers],[15/08/2018]],"','%d/%m/%Y'),",BD132,"),","('",Tabla7[[#This Row],[CONTADOR]],"',STR_TO_DATE('",Tabla7[[#Headers],[15/09/2018]],"','%d/%m/%Y'),",BE132,"),","('",Tabla7[[#This Row],[CONTADOR]],"',STR_TO_DATE('",Tabla7[[#Headers],[15/10/2018]],"','%d/%m/%Y'),",BF132,"),","('",Tabla7[[#This Row],[CONTADOR]],"',STR_TO_DATE('",Tabla7[[#Headers],[15/11/2018]],"','%d/%m/%Y'),",BG132,"),","('",Tabla7[[#This Row],[CONTADOR]],"',STR_TO_DATE('",Tabla7[[#Headers],[15/12/2018]],"','%d/%m/%Y'),",BH132,");")</f>
        <v>insert into lecturas values ('11700447',STR_TO_DATE('31/12/2017','%d/%m/%Y'),244850),('11700447',STR_TO_DATE('15/01/2018','%d/%m/%Y'),247290),('11700447',STR_TO_DATE('15/02/2018','%d/%m/%Y'),251696),('11700447',STR_TO_DATE('15/03/2018','%d/%m/%Y'),255577),('11700447',STR_TO_DATE('15/04/2018','%d/%m/%Y'),259035),('11700447',STR_TO_DATE('15/05/2018','%d/%m/%Y'),261744),('11700447',STR_TO_DATE('15/06/2018','%d/%m/%Y'),265248),('11700447',STR_TO_DATE('15/07/2018','%d/%m/%Y'),268802),('11700447',STR_TO_DATE('15/08/2018','%d/%m/%Y'),273895),('11700447',STR_TO_DATE('15/09/2018','%d/%m/%Y'),276413),('11700447',STR_TO_DATE('15/10/2018','%d/%m/%Y'),281774),('11700447',STR_TO_DATE('15/11/2018','%d/%m/%Y'),285562),('11700447',STR_TO_DATE('15/12/2018','%d/%m/%Y'),289594);</v>
      </c>
    </row>
    <row r="133" spans="1:68" s="3" customFormat="1" ht="18" customHeight="1" x14ac:dyDescent="0.3">
      <c r="A133" s="314" t="s">
        <v>1175</v>
      </c>
      <c r="B133" s="60"/>
      <c r="C133" s="309">
        <v>30103608</v>
      </c>
      <c r="D133" s="315" t="s">
        <v>570</v>
      </c>
      <c r="E133" s="316">
        <v>39366</v>
      </c>
      <c r="F133" s="313" t="s">
        <v>146</v>
      </c>
      <c r="G133" s="313" t="s">
        <v>1061</v>
      </c>
      <c r="H133" s="264"/>
      <c r="I133" s="313" t="s">
        <v>1116</v>
      </c>
      <c r="J133" s="356">
        <v>423354</v>
      </c>
      <c r="K133" s="356">
        <v>423841</v>
      </c>
      <c r="L133" s="356">
        <v>424058</v>
      </c>
      <c r="M133" s="356"/>
      <c r="N133" s="356"/>
      <c r="O133" s="356"/>
      <c r="P133" s="311"/>
      <c r="Q133" s="356"/>
      <c r="R133" s="313"/>
      <c r="S133" s="313"/>
      <c r="T133" s="313"/>
      <c r="U133" s="356"/>
      <c r="V133" s="359"/>
      <c r="W133" s="313"/>
      <c r="X133" s="313"/>
      <c r="Y133" s="264">
        <f t="shared" si="47"/>
        <v>487</v>
      </c>
      <c r="Z133" s="264">
        <f t="shared" si="46"/>
        <v>217</v>
      </c>
      <c r="AA133" s="264" t="str">
        <f t="shared" si="48"/>
        <v/>
      </c>
      <c r="AB133" s="264" t="str">
        <f t="shared" si="49"/>
        <v/>
      </c>
      <c r="AC133" s="264" t="str">
        <f t="shared" si="34"/>
        <v/>
      </c>
      <c r="AD133" s="264" t="str">
        <f t="shared" si="35"/>
        <v/>
      </c>
      <c r="AE133" s="264" t="str">
        <f t="shared" si="36"/>
        <v/>
      </c>
      <c r="AF133" s="264" t="str">
        <f t="shared" si="37"/>
        <v/>
      </c>
      <c r="AG133" s="264" t="str">
        <f t="shared" si="38"/>
        <v/>
      </c>
      <c r="AH133" s="264" t="str">
        <f t="shared" si="41"/>
        <v/>
      </c>
      <c r="AI133" s="264" t="str">
        <f t="shared" si="39"/>
        <v/>
      </c>
      <c r="AJ133" s="264" t="str">
        <f t="shared" si="40"/>
        <v/>
      </c>
      <c r="AK133" s="413">
        <v>1</v>
      </c>
      <c r="AL133" s="313">
        <f t="shared" ca="1" si="50"/>
        <v>0</v>
      </c>
      <c r="AM133" s="356">
        <f t="shared" ca="1" si="51"/>
        <v>0</v>
      </c>
      <c r="AN133" s="393" t="str">
        <f ca="1">IF(AND(Tabla7[[#This Row],[UltLec]]&lt;&gt;0,Tabla7[[#This Row],[PenLect]]&lt;&gt;0),(AM133-AL133)*Tabla7[[#This Row],[RT]],"N/A")</f>
        <v>N/A</v>
      </c>
      <c r="AO133" s="437"/>
      <c r="AP133" s="313" t="s">
        <v>1190</v>
      </c>
      <c r="AQ133" s="313" t="s">
        <v>1189</v>
      </c>
      <c r="AR133" s="421">
        <f t="shared" si="52"/>
        <v>0</v>
      </c>
      <c r="AT133" s="2" t="e">
        <f t="shared" ca="1" si="53"/>
        <v>#VALUE!</v>
      </c>
      <c r="AV133">
        <f>IF(ISBLANK(Tabla7[[#This Row],[31/12/2017]]),0,Tabla7[[#This Row],[31/12/2017]])</f>
        <v>423354</v>
      </c>
      <c r="AW133">
        <f>IF(ISBLANK(Tabla7[[#This Row],[15/01/2018]]),0,Tabla7[[#This Row],[15/01/2018]])</f>
        <v>423841</v>
      </c>
      <c r="AX133">
        <f>IF(ISBLANK(Tabla7[[#This Row],[15/02/2018]]),0,Tabla7[[#This Row],[15/02/2018]])</f>
        <v>424058</v>
      </c>
      <c r="AY133">
        <f>IF(ISBLANK(Tabla7[[#This Row],[15/03/2018]]),0,Tabla7[[#This Row],[15/03/2018]])</f>
        <v>0</v>
      </c>
      <c r="AZ133">
        <f>IF(ISBLANK(Tabla7[[#This Row],[15/04/2018]]),0,Tabla7[[#This Row],[15/04/2018]])</f>
        <v>0</v>
      </c>
      <c r="BA133">
        <f>IF(ISBLANK(Tabla7[[#This Row],[15/05/2018]]),0,Tabla7[[#This Row],[15/05/2018]])</f>
        <v>0</v>
      </c>
      <c r="BB133">
        <f>IF(ISBLANK(Tabla7[[#This Row],[15/06/2018]]),0,Tabla7[[#This Row],[15/06/2018]])</f>
        <v>0</v>
      </c>
      <c r="BC133">
        <f>IF(ISBLANK(Tabla7[[#This Row],[15/07/2018]]),0,Tabla7[[#This Row],[15/07/2018]])</f>
        <v>0</v>
      </c>
      <c r="BD133">
        <f>IF(ISBLANK(Tabla7[[#This Row],[15/08/2018]]),0,Tabla7[[#This Row],[15/08/2018]])</f>
        <v>0</v>
      </c>
      <c r="BE133">
        <f>IF(ISBLANK(Tabla7[[#This Row],[15/09/2018]]),0,Tabla7[[#This Row],[15/09/2018]])</f>
        <v>0</v>
      </c>
      <c r="BF133">
        <f>IF(ISBLANK(Tabla7[[#This Row],[15/10/2018]]),0,Tabla7[[#This Row],[15/10/2018]])</f>
        <v>0</v>
      </c>
      <c r="BG133">
        <f>IF(ISBLANK(Tabla7[[#This Row],[15/11/2018]]),0,Tabla7[[#This Row],[15/11/2018]])</f>
        <v>0</v>
      </c>
      <c r="BH133">
        <f>IF(ISBLANK(Tabla7[[#This Row],[15/12/2018]]),0,Tabla7[[#This Row],[15/12/2018]])</f>
        <v>0</v>
      </c>
      <c r="BI133">
        <f>IF(ISBLANK(Tabla7[[#This Row],[28/12/2018]]),0,Tabla7[[#This Row],[28/12/2018]])</f>
        <v>0</v>
      </c>
      <c r="BN13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('30103608','SBAJA','SCT06','39366','VALENCIA TERMINAL EUROPA, S.A.','JUNTO AL TRANSFORMADOR SCT6','','BAJA A 31/01/18');</v>
      </c>
      <c r="BO133" t="s">
        <v>243</v>
      </c>
      <c r="BP133" s="632" t="str">
        <f>CONCATENATE("insert into lecturas values ","('",Tabla7[[#This Row],[CONTADOR]],"',STR_TO_DATE('",Tabla7[[#Headers],[31/12/2017]],"','%d/%m/%Y'),",AV133,"),","('",Tabla7[[#This Row],[CONTADOR]],"',STR_TO_DATE('",Tabla7[[#Headers],[15/01/2018]],"','%d/%m/%Y'),",AW133,"),","('",Tabla7[[#This Row],[CONTADOR]],"',STR_TO_DATE('",Tabla7[[#Headers],[15/02/2018]],"','%d/%m/%Y'),",AX133,"),","('",Tabla7[[#This Row],[CONTADOR]],"',STR_TO_DATE('",Tabla7[[#Headers],[15/03/2018]],"','%d/%m/%Y'),",AY133,"),","('",Tabla7[[#This Row],[CONTADOR]],"',STR_TO_DATE('",Tabla7[[#Headers],[15/04/2018]],"','%d/%m/%Y'),",AZ133,"),","('",Tabla7[[#This Row],[CONTADOR]],"',STR_TO_DATE('",Tabla7[[#Headers],[15/05/2018]],"','%d/%m/%Y'),",BA133,"),","('",Tabla7[[#This Row],[CONTADOR]],"',STR_TO_DATE('",Tabla7[[#Headers],[15/06/2018]],"','%d/%m/%Y'),",BB133,"),","('",Tabla7[[#This Row],[CONTADOR]],"',STR_TO_DATE('",Tabla7[[#Headers],[15/07/2018]],"','%d/%m/%Y'),",BC133,"),","('",Tabla7[[#This Row],[CONTADOR]],"',STR_TO_DATE('",Tabla7[[#Headers],[15/08/2018]],"','%d/%m/%Y'),",BD133,"),","('",Tabla7[[#This Row],[CONTADOR]],"',STR_TO_DATE('",Tabla7[[#Headers],[15/09/2018]],"','%d/%m/%Y'),",BE133,"),","('",Tabla7[[#This Row],[CONTADOR]],"',STR_TO_DATE('",Tabla7[[#Headers],[15/10/2018]],"','%d/%m/%Y'),",BF133,"),","('",Tabla7[[#This Row],[CONTADOR]],"',STR_TO_DATE('",Tabla7[[#Headers],[15/11/2018]],"','%d/%m/%Y'),",BG133,"),","('",Tabla7[[#This Row],[CONTADOR]],"',STR_TO_DATE('",Tabla7[[#Headers],[15/12/2018]],"','%d/%m/%Y'),",BH133,");")</f>
        <v>insert into lecturas values ('30103608',STR_TO_DATE('31/12/2017','%d/%m/%Y'),423354),('30103608',STR_TO_DATE('15/01/2018','%d/%m/%Y'),423841),('30103608',STR_TO_DATE('15/02/2018','%d/%m/%Y'),424058),('30103608',STR_TO_DATE('15/03/2018','%d/%m/%Y'),0),('30103608',STR_TO_DATE('15/04/2018','%d/%m/%Y'),0),('30103608',STR_TO_DATE('15/05/2018','%d/%m/%Y'),0),('30103608',STR_TO_DATE('15/06/2018','%d/%m/%Y'),0),('30103608',STR_TO_DATE('15/07/2018','%d/%m/%Y'),0),('30103608',STR_TO_DATE('15/08/2018','%d/%m/%Y'),0),('30103608',STR_TO_DATE('15/09/2018','%d/%m/%Y'),0),('30103608',STR_TO_DATE('15/10/2018','%d/%m/%Y'),0),('30103608',STR_TO_DATE('15/11/2018','%d/%m/%Y'),0),('30103608',STR_TO_DATE('15/12/2018','%d/%m/%Y'),0);</v>
      </c>
    </row>
    <row r="134" spans="1:68" ht="18" customHeight="1" x14ac:dyDescent="0.3">
      <c r="A134" s="241" t="s">
        <v>534</v>
      </c>
      <c r="B134" s="60"/>
      <c r="C134" s="223">
        <v>53035468</v>
      </c>
      <c r="D134" s="60" t="s">
        <v>570</v>
      </c>
      <c r="E134" s="258">
        <v>2</v>
      </c>
      <c r="F134" s="274" t="s">
        <v>577</v>
      </c>
      <c r="G134" s="274"/>
      <c r="H134" s="274"/>
      <c r="I134" s="274"/>
      <c r="J134" s="311">
        <v>570578</v>
      </c>
      <c r="K134" s="311">
        <v>572861</v>
      </c>
      <c r="L134" s="311">
        <v>576748</v>
      </c>
      <c r="M134" s="311">
        <v>580457</v>
      </c>
      <c r="N134" s="311">
        <v>584262</v>
      </c>
      <c r="O134" s="454">
        <v>588410</v>
      </c>
      <c r="P134" s="311">
        <v>592766</v>
      </c>
      <c r="Q134" s="353">
        <v>595985</v>
      </c>
      <c r="R134" s="505">
        <v>600274</v>
      </c>
      <c r="S134" s="353">
        <v>604326</v>
      </c>
      <c r="T134" s="311">
        <v>607926</v>
      </c>
      <c r="U134" s="353">
        <v>612473</v>
      </c>
      <c r="V134" s="353">
        <v>615051</v>
      </c>
      <c r="W134" s="344"/>
      <c r="X134" s="307"/>
      <c r="Y134" s="2">
        <f t="shared" si="47"/>
        <v>2283</v>
      </c>
      <c r="Z134" s="2">
        <f t="shared" si="46"/>
        <v>3887</v>
      </c>
      <c r="AA134" s="2">
        <f t="shared" si="48"/>
        <v>3709</v>
      </c>
      <c r="AB134" s="2">
        <f t="shared" si="49"/>
        <v>3805</v>
      </c>
      <c r="AC134" s="2">
        <f t="shared" ref="AC134:AC197" si="54">IF(OR(ISBLANK(O134),ISBLANK(N134)),"",IF(AND(O134&gt;=N134,O134-N134&lt;=O134),(O134-N134)*$AK134,"!!!!"))</f>
        <v>4148</v>
      </c>
      <c r="AD134" s="2">
        <f t="shared" ref="AD134:AD197" si="55">IF(OR(ISBLANK(P134),ISBLANK(O134)),"",IF(AND(P134&gt;=O134,P134-O134&lt;=P134),(P134-O134)*$AK134,"!!!!"))</f>
        <v>4356</v>
      </c>
      <c r="AE134" s="2">
        <f t="shared" ref="AE134:AE197" si="56">IF(OR(ISBLANK(Q134),ISBLANK(P134)),"",IF(AND(Q134&gt;=P134,Q134-P134&lt;=Q134),(Q134-P134)*$AK134,"!!!!"))</f>
        <v>3219</v>
      </c>
      <c r="AF134" s="2">
        <f t="shared" ref="AF134:AF197" si="57">IF(OR(ISBLANK(R134),ISBLANK(Q134)),"",IF(AND(R134&gt;=Q134,R134-Q134&lt;=R134),(R134-Q134)*$AK134,"!!!!"))</f>
        <v>4289</v>
      </c>
      <c r="AG134" s="2">
        <f t="shared" ref="AG134:AG197" si="58">IF(OR(ISBLANK(S134),ISBLANK(R134)),"",IF(AND(S134&gt;=R134,S134-R134&lt;=S134),(S134-R134)*$AK134,"!!!!"))</f>
        <v>4052</v>
      </c>
      <c r="AH134" s="2">
        <f t="shared" si="41"/>
        <v>3600</v>
      </c>
      <c r="AI134" s="2">
        <f t="shared" ref="AI134:AI197" si="59">IF(OR(ISBLANK(U134),ISBLANK(T134)),"",IF(AND(U134&gt;=T134,U134-T134&lt;=U134),(U134-T134)*$AK134,"!!!!"))</f>
        <v>4547</v>
      </c>
      <c r="AJ134" s="2">
        <f t="shared" ref="AJ134:AJ197" si="60">IF(OR(ISBLANK(V134),ISBLANK(U134)),"",IF(AND(V134&gt;=U134,V134-U134&lt;=V134),(V134-U134)*$AK134,"!!!!"))</f>
        <v>2578</v>
      </c>
      <c r="AK134" s="406">
        <v>1</v>
      </c>
      <c r="AL134" s="274">
        <f t="shared" ca="1" si="50"/>
        <v>584262</v>
      </c>
      <c r="AM134" s="311">
        <f t="shared" ca="1" si="51"/>
        <v>588410</v>
      </c>
      <c r="AN134" s="274">
        <f ca="1">IF(AND(Tabla7[[#This Row],[UltLec]]&lt;&gt;0,Tabla7[[#This Row],[PenLect]]&lt;&gt;0),(AM134-AL134)*Tabla7[[#This Row],[RT]],"N/A")</f>
        <v>4148</v>
      </c>
      <c r="AO134" s="273" t="s">
        <v>1135</v>
      </c>
      <c r="AP134" s="392" t="s">
        <v>1190</v>
      </c>
      <c r="AQ134" s="392" t="s">
        <v>1189</v>
      </c>
      <c r="AR134" s="407">
        <f t="shared" si="52"/>
        <v>0</v>
      </c>
      <c r="AT134" s="2">
        <f t="shared" ca="1" si="53"/>
        <v>1.090144546649146</v>
      </c>
      <c r="AV134">
        <f>IF(ISBLANK(Tabla7[[#This Row],[31/12/2017]]),0,Tabla7[[#This Row],[31/12/2017]])</f>
        <v>570578</v>
      </c>
      <c r="AW134">
        <f>IF(ISBLANK(Tabla7[[#This Row],[15/01/2018]]),0,Tabla7[[#This Row],[15/01/2018]])</f>
        <v>572861</v>
      </c>
      <c r="AX134">
        <f>IF(ISBLANK(Tabla7[[#This Row],[15/02/2018]]),0,Tabla7[[#This Row],[15/02/2018]])</f>
        <v>576748</v>
      </c>
      <c r="AY134">
        <f>IF(ISBLANK(Tabla7[[#This Row],[15/03/2018]]),0,Tabla7[[#This Row],[15/03/2018]])</f>
        <v>580457</v>
      </c>
      <c r="AZ134">
        <f>IF(ISBLANK(Tabla7[[#This Row],[15/04/2018]]),0,Tabla7[[#This Row],[15/04/2018]])</f>
        <v>584262</v>
      </c>
      <c r="BA134">
        <f>IF(ISBLANK(Tabla7[[#This Row],[15/05/2018]]),0,Tabla7[[#This Row],[15/05/2018]])</f>
        <v>588410</v>
      </c>
      <c r="BB134">
        <f>IF(ISBLANK(Tabla7[[#This Row],[15/06/2018]]),0,Tabla7[[#This Row],[15/06/2018]])</f>
        <v>592766</v>
      </c>
      <c r="BC134">
        <f>IF(ISBLANK(Tabla7[[#This Row],[15/07/2018]]),0,Tabla7[[#This Row],[15/07/2018]])</f>
        <v>595985</v>
      </c>
      <c r="BD134">
        <f>IF(ISBLANK(Tabla7[[#This Row],[15/08/2018]]),0,Tabla7[[#This Row],[15/08/2018]])</f>
        <v>600274</v>
      </c>
      <c r="BE134">
        <f>IF(ISBLANK(Tabla7[[#This Row],[15/09/2018]]),0,Tabla7[[#This Row],[15/09/2018]])</f>
        <v>604326</v>
      </c>
      <c r="BF134">
        <f>IF(ISBLANK(Tabla7[[#This Row],[15/10/2018]]),0,Tabla7[[#This Row],[15/10/2018]])</f>
        <v>607926</v>
      </c>
      <c r="BG134">
        <f>IF(ISBLANK(Tabla7[[#This Row],[15/11/2018]]),0,Tabla7[[#This Row],[15/11/2018]])</f>
        <v>612473</v>
      </c>
      <c r="BH134">
        <f>IF(ISBLANK(Tabla7[[#This Row],[15/12/2018]]),0,Tabla7[[#This Row],[15/12/2018]])</f>
        <v>615051</v>
      </c>
      <c r="BI134">
        <f>IF(ISBLANK(Tabla7[[#This Row],[28/12/2018]]),0,Tabla7[[#This Row],[28/12/2018]])</f>
        <v>0</v>
      </c>
      <c r="BN13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('53035468','S','SCT06','2','Depósitos agua potable','','','');</v>
      </c>
      <c r="BO134" t="s">
        <v>243</v>
      </c>
      <c r="BP134" s="632" t="str">
        <f>CONCATENATE("insert into lecturas values ","('",Tabla7[[#This Row],[CONTADOR]],"',STR_TO_DATE('",Tabla7[[#Headers],[31/12/2017]],"','%d/%m/%Y'),",AV134,"),","('",Tabla7[[#This Row],[CONTADOR]],"',STR_TO_DATE('",Tabla7[[#Headers],[15/01/2018]],"','%d/%m/%Y'),",AW134,"),","('",Tabla7[[#This Row],[CONTADOR]],"',STR_TO_DATE('",Tabla7[[#Headers],[15/02/2018]],"','%d/%m/%Y'),",AX134,"),","('",Tabla7[[#This Row],[CONTADOR]],"',STR_TO_DATE('",Tabla7[[#Headers],[15/03/2018]],"','%d/%m/%Y'),",AY134,"),","('",Tabla7[[#This Row],[CONTADOR]],"',STR_TO_DATE('",Tabla7[[#Headers],[15/04/2018]],"','%d/%m/%Y'),",AZ134,"),","('",Tabla7[[#This Row],[CONTADOR]],"',STR_TO_DATE('",Tabla7[[#Headers],[15/05/2018]],"','%d/%m/%Y'),",BA134,"),","('",Tabla7[[#This Row],[CONTADOR]],"',STR_TO_DATE('",Tabla7[[#Headers],[15/06/2018]],"','%d/%m/%Y'),",BB134,"),","('",Tabla7[[#This Row],[CONTADOR]],"',STR_TO_DATE('",Tabla7[[#Headers],[15/07/2018]],"','%d/%m/%Y'),",BC134,"),","('",Tabla7[[#This Row],[CONTADOR]],"',STR_TO_DATE('",Tabla7[[#Headers],[15/08/2018]],"','%d/%m/%Y'),",BD134,"),","('",Tabla7[[#This Row],[CONTADOR]],"',STR_TO_DATE('",Tabla7[[#Headers],[15/09/2018]],"','%d/%m/%Y'),",BE134,"),","('",Tabla7[[#This Row],[CONTADOR]],"',STR_TO_DATE('",Tabla7[[#Headers],[15/10/2018]],"','%d/%m/%Y'),",BF134,"),","('",Tabla7[[#This Row],[CONTADOR]],"',STR_TO_DATE('",Tabla7[[#Headers],[15/11/2018]],"','%d/%m/%Y'),",BG134,"),","('",Tabla7[[#This Row],[CONTADOR]],"',STR_TO_DATE('",Tabla7[[#Headers],[15/12/2018]],"','%d/%m/%Y'),",BH134,");")</f>
        <v>insert into lecturas values ('53035468',STR_TO_DATE('31/12/2017','%d/%m/%Y'),570578),('53035468',STR_TO_DATE('15/01/2018','%d/%m/%Y'),572861),('53035468',STR_TO_DATE('15/02/2018','%d/%m/%Y'),576748),('53035468',STR_TO_DATE('15/03/2018','%d/%m/%Y'),580457),('53035468',STR_TO_DATE('15/04/2018','%d/%m/%Y'),584262),('53035468',STR_TO_DATE('15/05/2018','%d/%m/%Y'),588410),('53035468',STR_TO_DATE('15/06/2018','%d/%m/%Y'),592766),('53035468',STR_TO_DATE('15/07/2018','%d/%m/%Y'),595985),('53035468',STR_TO_DATE('15/08/2018','%d/%m/%Y'),600274),('53035468',STR_TO_DATE('15/09/2018','%d/%m/%Y'),604326),('53035468',STR_TO_DATE('15/10/2018','%d/%m/%Y'),607926),('53035468',STR_TO_DATE('15/11/2018','%d/%m/%Y'),612473),('53035468',STR_TO_DATE('15/12/2018','%d/%m/%Y'),615051);</v>
      </c>
    </row>
    <row r="135" spans="1:68" ht="18" customHeight="1" x14ac:dyDescent="0.3">
      <c r="A135" s="314" t="s">
        <v>1175</v>
      </c>
      <c r="B135" s="60">
        <v>1411</v>
      </c>
      <c r="C135" s="309">
        <v>99561368</v>
      </c>
      <c r="D135" s="315" t="s">
        <v>570</v>
      </c>
      <c r="E135" s="316">
        <v>39063</v>
      </c>
      <c r="F135" s="313" t="s">
        <v>146</v>
      </c>
      <c r="G135" s="313" t="s">
        <v>574</v>
      </c>
      <c r="H135" s="313"/>
      <c r="I135" s="313" t="s">
        <v>1116</v>
      </c>
      <c r="J135" s="356">
        <v>146913</v>
      </c>
      <c r="K135" s="356">
        <v>146913</v>
      </c>
      <c r="L135" s="356">
        <v>146913</v>
      </c>
      <c r="M135" s="356"/>
      <c r="N135" s="356"/>
      <c r="O135" s="356"/>
      <c r="P135" s="311"/>
      <c r="Q135" s="356"/>
      <c r="R135" s="313"/>
      <c r="S135" s="313"/>
      <c r="T135" s="313"/>
      <c r="U135" s="356"/>
      <c r="V135" s="356"/>
      <c r="W135" s="359"/>
      <c r="X135" s="313"/>
      <c r="Y135" s="313">
        <f t="shared" si="47"/>
        <v>0</v>
      </c>
      <c r="Z135" s="313">
        <f t="shared" si="46"/>
        <v>0</v>
      </c>
      <c r="AA135" s="313" t="str">
        <f t="shared" si="48"/>
        <v/>
      </c>
      <c r="AB135" s="313" t="str">
        <f t="shared" si="49"/>
        <v/>
      </c>
      <c r="AC135" s="313" t="str">
        <f t="shared" si="54"/>
        <v/>
      </c>
      <c r="AD135" s="313" t="str">
        <f t="shared" si="55"/>
        <v/>
      </c>
      <c r="AE135" s="313" t="str">
        <f t="shared" si="56"/>
        <v/>
      </c>
      <c r="AF135" s="313" t="str">
        <f t="shared" si="57"/>
        <v/>
      </c>
      <c r="AG135" s="313" t="str">
        <f t="shared" si="58"/>
        <v/>
      </c>
      <c r="AH135" s="313" t="str">
        <f t="shared" ref="AH135:AH198" si="61">IF(OR(ISBLANK(T135),ISBLANK(S135)),"",IF(AND(T135&gt;=S135,T135-S135&lt;=T135),(T135-S135)*$AK135,"!!!!"))</f>
        <v/>
      </c>
      <c r="AI135" s="313" t="str">
        <f t="shared" si="59"/>
        <v/>
      </c>
      <c r="AJ135" s="313" t="str">
        <f t="shared" si="60"/>
        <v/>
      </c>
      <c r="AK135" s="413">
        <v>1</v>
      </c>
      <c r="AL135" s="313">
        <f t="shared" ca="1" si="50"/>
        <v>0</v>
      </c>
      <c r="AM135" s="356">
        <f t="shared" ca="1" si="51"/>
        <v>0</v>
      </c>
      <c r="AN135" s="313" t="str">
        <f ca="1">IF(AND(Tabla7[[#This Row],[UltLec]]&lt;&gt;0,Tabla7[[#This Row],[PenLect]]&lt;&gt;0),(AM135-AL135)*Tabla7[[#This Row],[RT]],"N/A")</f>
        <v>N/A</v>
      </c>
      <c r="AO135" s="443"/>
      <c r="AP135" s="313" t="s">
        <v>1190</v>
      </c>
      <c r="AQ135" s="313" t="s">
        <v>1189</v>
      </c>
      <c r="AR135" s="421">
        <f t="shared" si="52"/>
        <v>0</v>
      </c>
      <c r="AT135" s="2" t="e">
        <f t="shared" ca="1" si="53"/>
        <v>#VALUE!</v>
      </c>
      <c r="AV135">
        <f>IF(ISBLANK(Tabla7[[#This Row],[31/12/2017]]),0,Tabla7[[#This Row],[31/12/2017]])</f>
        <v>146913</v>
      </c>
      <c r="AW135">
        <f>IF(ISBLANK(Tabla7[[#This Row],[15/01/2018]]),0,Tabla7[[#This Row],[15/01/2018]])</f>
        <v>146913</v>
      </c>
      <c r="AX135">
        <f>IF(ISBLANK(Tabla7[[#This Row],[15/02/2018]]),0,Tabla7[[#This Row],[15/02/2018]])</f>
        <v>146913</v>
      </c>
      <c r="AY135">
        <f>IF(ISBLANK(Tabla7[[#This Row],[15/03/2018]]),0,Tabla7[[#This Row],[15/03/2018]])</f>
        <v>0</v>
      </c>
      <c r="AZ135">
        <f>IF(ISBLANK(Tabla7[[#This Row],[15/04/2018]]),0,Tabla7[[#This Row],[15/04/2018]])</f>
        <v>0</v>
      </c>
      <c r="BA135">
        <f>IF(ISBLANK(Tabla7[[#This Row],[15/05/2018]]),0,Tabla7[[#This Row],[15/05/2018]])</f>
        <v>0</v>
      </c>
      <c r="BB135">
        <f>IF(ISBLANK(Tabla7[[#This Row],[15/06/2018]]),0,Tabla7[[#This Row],[15/06/2018]])</f>
        <v>0</v>
      </c>
      <c r="BC135">
        <f>IF(ISBLANK(Tabla7[[#This Row],[15/07/2018]]),0,Tabla7[[#This Row],[15/07/2018]])</f>
        <v>0</v>
      </c>
      <c r="BD135">
        <f>IF(ISBLANK(Tabla7[[#This Row],[15/08/2018]]),0,Tabla7[[#This Row],[15/08/2018]])</f>
        <v>0</v>
      </c>
      <c r="BE135">
        <f>IF(ISBLANK(Tabla7[[#This Row],[15/09/2018]]),0,Tabla7[[#This Row],[15/09/2018]])</f>
        <v>0</v>
      </c>
      <c r="BF135">
        <f>IF(ISBLANK(Tabla7[[#This Row],[15/10/2018]]),0,Tabla7[[#This Row],[15/10/2018]])</f>
        <v>0</v>
      </c>
      <c r="BG135">
        <f>IF(ISBLANK(Tabla7[[#This Row],[15/11/2018]]),0,Tabla7[[#This Row],[15/11/2018]])</f>
        <v>0</v>
      </c>
      <c r="BH135">
        <f>IF(ISBLANK(Tabla7[[#This Row],[15/12/2018]]),0,Tabla7[[#This Row],[15/12/2018]])</f>
        <v>0</v>
      </c>
      <c r="BI135">
        <f>IF(ISBLANK(Tabla7[[#This Row],[28/12/2018]]),0,Tabla7[[#This Row],[28/12/2018]])</f>
        <v>0</v>
      </c>
      <c r="BN13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('99561368','SBAJA','SCT06','39063','VALENCIA TERMINAL EUROPA, S.A.','TORRE ST-0618','','BAJA A 31/01/18');</v>
      </c>
      <c r="BO135" t="s">
        <v>243</v>
      </c>
      <c r="BP135" s="632" t="str">
        <f>CONCATENATE("insert into lecturas values ","('",Tabla7[[#This Row],[CONTADOR]],"',STR_TO_DATE('",Tabla7[[#Headers],[31/12/2017]],"','%d/%m/%Y'),",AV135,"),","('",Tabla7[[#This Row],[CONTADOR]],"',STR_TO_DATE('",Tabla7[[#Headers],[15/01/2018]],"','%d/%m/%Y'),",AW135,"),","('",Tabla7[[#This Row],[CONTADOR]],"',STR_TO_DATE('",Tabla7[[#Headers],[15/02/2018]],"','%d/%m/%Y'),",AX135,"),","('",Tabla7[[#This Row],[CONTADOR]],"',STR_TO_DATE('",Tabla7[[#Headers],[15/03/2018]],"','%d/%m/%Y'),",AY135,"),","('",Tabla7[[#This Row],[CONTADOR]],"',STR_TO_DATE('",Tabla7[[#Headers],[15/04/2018]],"','%d/%m/%Y'),",AZ135,"),","('",Tabla7[[#This Row],[CONTADOR]],"',STR_TO_DATE('",Tabla7[[#Headers],[15/05/2018]],"','%d/%m/%Y'),",BA135,"),","('",Tabla7[[#This Row],[CONTADOR]],"',STR_TO_DATE('",Tabla7[[#Headers],[15/06/2018]],"','%d/%m/%Y'),",BB135,"),","('",Tabla7[[#This Row],[CONTADOR]],"',STR_TO_DATE('",Tabla7[[#Headers],[15/07/2018]],"','%d/%m/%Y'),",BC135,"),","('",Tabla7[[#This Row],[CONTADOR]],"',STR_TO_DATE('",Tabla7[[#Headers],[15/08/2018]],"','%d/%m/%Y'),",BD135,"),","('",Tabla7[[#This Row],[CONTADOR]],"',STR_TO_DATE('",Tabla7[[#Headers],[15/09/2018]],"','%d/%m/%Y'),",BE135,"),","('",Tabla7[[#This Row],[CONTADOR]],"',STR_TO_DATE('",Tabla7[[#Headers],[15/10/2018]],"','%d/%m/%Y'),",BF135,"),","('",Tabla7[[#This Row],[CONTADOR]],"',STR_TO_DATE('",Tabla7[[#Headers],[15/11/2018]],"','%d/%m/%Y'),",BG135,"),","('",Tabla7[[#This Row],[CONTADOR]],"',STR_TO_DATE('",Tabla7[[#Headers],[15/12/2018]],"','%d/%m/%Y'),",BH135,");")</f>
        <v>insert into lecturas values ('99561368',STR_TO_DATE('31/12/2017','%d/%m/%Y'),146913),('99561368',STR_TO_DATE('15/01/2018','%d/%m/%Y'),146913),('99561368',STR_TO_DATE('15/02/2018','%d/%m/%Y'),146913),('99561368',STR_TO_DATE('15/03/2018','%d/%m/%Y'),0),('99561368',STR_TO_DATE('15/04/2018','%d/%m/%Y'),0),('99561368',STR_TO_DATE('15/05/2018','%d/%m/%Y'),0),('99561368',STR_TO_DATE('15/06/2018','%d/%m/%Y'),0),('99561368',STR_TO_DATE('15/07/2018','%d/%m/%Y'),0),('99561368',STR_TO_DATE('15/08/2018','%d/%m/%Y'),0),('99561368',STR_TO_DATE('15/09/2018','%d/%m/%Y'),0),('99561368',STR_TO_DATE('15/10/2018','%d/%m/%Y'),0),('99561368',STR_TO_DATE('15/11/2018','%d/%m/%Y'),0),('99561368',STR_TO_DATE('15/12/2018','%d/%m/%Y'),0);</v>
      </c>
    </row>
    <row r="136" spans="1:68" ht="18" customHeight="1" x14ac:dyDescent="0.25">
      <c r="A136" s="314" t="s">
        <v>1175</v>
      </c>
      <c r="B136" s="60"/>
      <c r="C136" s="309">
        <v>99567709</v>
      </c>
      <c r="D136" s="315" t="s">
        <v>570</v>
      </c>
      <c r="E136" s="316">
        <v>39063</v>
      </c>
      <c r="F136" s="313" t="s">
        <v>146</v>
      </c>
      <c r="G136" s="313" t="s">
        <v>1063</v>
      </c>
      <c r="H136" s="264"/>
      <c r="I136" s="387" t="s">
        <v>1116</v>
      </c>
      <c r="J136" s="356">
        <v>181618</v>
      </c>
      <c r="K136" s="356">
        <v>183111</v>
      </c>
      <c r="L136" s="356">
        <v>184382</v>
      </c>
      <c r="M136" s="356"/>
      <c r="N136" s="356"/>
      <c r="O136" s="356"/>
      <c r="P136" s="311"/>
      <c r="Q136" s="356"/>
      <c r="R136" s="313"/>
      <c r="S136" s="313"/>
      <c r="T136" s="313"/>
      <c r="U136" s="356"/>
      <c r="V136" s="356"/>
      <c r="W136" s="388"/>
      <c r="X136" s="313"/>
      <c r="Y136" s="264">
        <f t="shared" si="47"/>
        <v>1493</v>
      </c>
      <c r="Z136" s="264">
        <f t="shared" si="46"/>
        <v>1271</v>
      </c>
      <c r="AA136" s="264" t="str">
        <f t="shared" si="48"/>
        <v/>
      </c>
      <c r="AB136" s="264" t="str">
        <f t="shared" si="49"/>
        <v/>
      </c>
      <c r="AC136" s="264" t="str">
        <f t="shared" si="54"/>
        <v/>
      </c>
      <c r="AD136" s="264" t="str">
        <f t="shared" si="55"/>
        <v/>
      </c>
      <c r="AE136" s="264" t="str">
        <f t="shared" si="56"/>
        <v/>
      </c>
      <c r="AF136" s="264" t="str">
        <f t="shared" si="57"/>
        <v/>
      </c>
      <c r="AG136" s="264" t="str">
        <f t="shared" si="58"/>
        <v/>
      </c>
      <c r="AH136" s="264" t="str">
        <f t="shared" si="61"/>
        <v/>
      </c>
      <c r="AI136" s="264" t="str">
        <f t="shared" si="59"/>
        <v/>
      </c>
      <c r="AJ136" s="264" t="str">
        <f t="shared" si="60"/>
        <v/>
      </c>
      <c r="AK136" s="413">
        <v>1</v>
      </c>
      <c r="AL136" s="313">
        <f t="shared" ca="1" si="50"/>
        <v>0</v>
      </c>
      <c r="AM136" s="356">
        <f t="shared" ca="1" si="51"/>
        <v>0</v>
      </c>
      <c r="AN136" s="393" t="str">
        <f ca="1">IF(AND(Tabla7[[#This Row],[UltLec]]&lt;&gt;0,Tabla7[[#This Row],[PenLect]]&lt;&gt;0),(AM136-AL136)*Tabla7[[#This Row],[RT]],"N/A")</f>
        <v>N/A</v>
      </c>
      <c r="AO136" s="443"/>
      <c r="AP136" s="313" t="s">
        <v>1190</v>
      </c>
      <c r="AQ136" s="313" t="s">
        <v>1189</v>
      </c>
      <c r="AR136" s="421">
        <f t="shared" si="52"/>
        <v>0</v>
      </c>
      <c r="AT136" s="2" t="e">
        <f t="shared" ca="1" si="53"/>
        <v>#VALUE!</v>
      </c>
      <c r="AV136">
        <f>IF(ISBLANK(Tabla7[[#This Row],[31/12/2017]]),0,Tabla7[[#This Row],[31/12/2017]])</f>
        <v>181618</v>
      </c>
      <c r="AW136">
        <f>IF(ISBLANK(Tabla7[[#This Row],[15/01/2018]]),0,Tabla7[[#This Row],[15/01/2018]])</f>
        <v>183111</v>
      </c>
      <c r="AX136">
        <f>IF(ISBLANK(Tabla7[[#This Row],[15/02/2018]]),0,Tabla7[[#This Row],[15/02/2018]])</f>
        <v>184382</v>
      </c>
      <c r="AY136">
        <f>IF(ISBLANK(Tabla7[[#This Row],[15/03/2018]]),0,Tabla7[[#This Row],[15/03/2018]])</f>
        <v>0</v>
      </c>
      <c r="AZ136">
        <f>IF(ISBLANK(Tabla7[[#This Row],[15/04/2018]]),0,Tabla7[[#This Row],[15/04/2018]])</f>
        <v>0</v>
      </c>
      <c r="BA136">
        <f>IF(ISBLANK(Tabla7[[#This Row],[15/05/2018]]),0,Tabla7[[#This Row],[15/05/2018]])</f>
        <v>0</v>
      </c>
      <c r="BB136">
        <f>IF(ISBLANK(Tabla7[[#This Row],[15/06/2018]]),0,Tabla7[[#This Row],[15/06/2018]])</f>
        <v>0</v>
      </c>
      <c r="BC136">
        <f>IF(ISBLANK(Tabla7[[#This Row],[15/07/2018]]),0,Tabla7[[#This Row],[15/07/2018]])</f>
        <v>0</v>
      </c>
      <c r="BD136">
        <f>IF(ISBLANK(Tabla7[[#This Row],[15/08/2018]]),0,Tabla7[[#This Row],[15/08/2018]])</f>
        <v>0</v>
      </c>
      <c r="BE136">
        <f>IF(ISBLANK(Tabla7[[#This Row],[15/09/2018]]),0,Tabla7[[#This Row],[15/09/2018]])</f>
        <v>0</v>
      </c>
      <c r="BF136">
        <f>IF(ISBLANK(Tabla7[[#This Row],[15/10/2018]]),0,Tabla7[[#This Row],[15/10/2018]])</f>
        <v>0</v>
      </c>
      <c r="BG136">
        <f>IF(ISBLANK(Tabla7[[#This Row],[15/11/2018]]),0,Tabla7[[#This Row],[15/11/2018]])</f>
        <v>0</v>
      </c>
      <c r="BH136">
        <f>IF(ISBLANK(Tabla7[[#This Row],[15/12/2018]]),0,Tabla7[[#This Row],[15/12/2018]])</f>
        <v>0</v>
      </c>
      <c r="BI136">
        <f>IF(ISBLANK(Tabla7[[#This Row],[28/12/2018]]),0,Tabla7[[#This Row],[28/12/2018]])</f>
        <v>0</v>
      </c>
      <c r="BN13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('99567709','SBAJA','SCT06','39063','VALENCIA TERMINAL EUROPA, S.A.','TORRE ALUMBRADO NUMERO 19 CAMPA VIAL SUR','','BAJA A 31/01/18');</v>
      </c>
      <c r="BO136" t="s">
        <v>243</v>
      </c>
      <c r="BP136" s="632" t="str">
        <f>CONCATENATE("insert into lecturas values ","('",Tabla7[[#This Row],[CONTADOR]],"',STR_TO_DATE('",Tabla7[[#Headers],[31/12/2017]],"','%d/%m/%Y'),",AV136,"),","('",Tabla7[[#This Row],[CONTADOR]],"',STR_TO_DATE('",Tabla7[[#Headers],[15/01/2018]],"','%d/%m/%Y'),",AW136,"),","('",Tabla7[[#This Row],[CONTADOR]],"',STR_TO_DATE('",Tabla7[[#Headers],[15/02/2018]],"','%d/%m/%Y'),",AX136,"),","('",Tabla7[[#This Row],[CONTADOR]],"',STR_TO_DATE('",Tabla7[[#Headers],[15/03/2018]],"','%d/%m/%Y'),",AY136,"),","('",Tabla7[[#This Row],[CONTADOR]],"',STR_TO_DATE('",Tabla7[[#Headers],[15/04/2018]],"','%d/%m/%Y'),",AZ136,"),","('",Tabla7[[#This Row],[CONTADOR]],"',STR_TO_DATE('",Tabla7[[#Headers],[15/05/2018]],"','%d/%m/%Y'),",BA136,"),","('",Tabla7[[#This Row],[CONTADOR]],"',STR_TO_DATE('",Tabla7[[#Headers],[15/06/2018]],"','%d/%m/%Y'),",BB136,"),","('",Tabla7[[#This Row],[CONTADOR]],"',STR_TO_DATE('",Tabla7[[#Headers],[15/07/2018]],"','%d/%m/%Y'),",BC136,"),","('",Tabla7[[#This Row],[CONTADOR]],"',STR_TO_DATE('",Tabla7[[#Headers],[15/08/2018]],"','%d/%m/%Y'),",BD136,"),","('",Tabla7[[#This Row],[CONTADOR]],"',STR_TO_DATE('",Tabla7[[#Headers],[15/09/2018]],"','%d/%m/%Y'),",BE136,"),","('",Tabla7[[#This Row],[CONTADOR]],"',STR_TO_DATE('",Tabla7[[#Headers],[15/10/2018]],"','%d/%m/%Y'),",BF136,"),","('",Tabla7[[#This Row],[CONTADOR]],"',STR_TO_DATE('",Tabla7[[#Headers],[15/11/2018]],"','%d/%m/%Y'),",BG136,"),","('",Tabla7[[#This Row],[CONTADOR]],"',STR_TO_DATE('",Tabla7[[#Headers],[15/12/2018]],"','%d/%m/%Y'),",BH136,");")</f>
        <v>insert into lecturas values ('99567709',STR_TO_DATE('31/12/2017','%d/%m/%Y'),181618),('99567709',STR_TO_DATE('15/01/2018','%d/%m/%Y'),183111),('99567709',STR_TO_DATE('15/02/2018','%d/%m/%Y'),184382),('99567709',STR_TO_DATE('15/03/2018','%d/%m/%Y'),0),('99567709',STR_TO_DATE('15/04/2018','%d/%m/%Y'),0),('99567709',STR_TO_DATE('15/05/2018','%d/%m/%Y'),0),('99567709',STR_TO_DATE('15/06/2018','%d/%m/%Y'),0),('99567709',STR_TO_DATE('15/07/2018','%d/%m/%Y'),0),('99567709',STR_TO_DATE('15/08/2018','%d/%m/%Y'),0),('99567709',STR_TO_DATE('15/09/2018','%d/%m/%Y'),0),('99567709',STR_TO_DATE('15/10/2018','%d/%m/%Y'),0),('99567709',STR_TO_DATE('15/11/2018','%d/%m/%Y'),0),('99567709',STR_TO_DATE('15/12/2018','%d/%m/%Y'),0);</v>
      </c>
    </row>
    <row r="137" spans="1:68" ht="18" customHeight="1" thickBot="1" x14ac:dyDescent="0.35">
      <c r="A137" s="498" t="s">
        <v>1175</v>
      </c>
      <c r="B137" s="301">
        <v>1409</v>
      </c>
      <c r="C137" s="499">
        <v>99577129</v>
      </c>
      <c r="D137" s="500" t="s">
        <v>570</v>
      </c>
      <c r="E137" s="501">
        <v>39032</v>
      </c>
      <c r="F137" s="313" t="s">
        <v>146</v>
      </c>
      <c r="G137" s="313" t="s">
        <v>573</v>
      </c>
      <c r="H137" s="313"/>
      <c r="I137" s="313" t="s">
        <v>1116</v>
      </c>
      <c r="J137" s="356">
        <v>95358</v>
      </c>
      <c r="K137" s="356">
        <v>96007</v>
      </c>
      <c r="L137" s="356">
        <v>96563</v>
      </c>
      <c r="M137" s="356"/>
      <c r="N137" s="356"/>
      <c r="O137" s="356"/>
      <c r="P137" s="311"/>
      <c r="Q137" s="356"/>
      <c r="R137" s="313"/>
      <c r="S137" s="313"/>
      <c r="T137" s="313"/>
      <c r="U137" s="356"/>
      <c r="V137" s="356"/>
      <c r="W137" s="359"/>
      <c r="X137" s="313"/>
      <c r="Y137" s="313">
        <f t="shared" si="47"/>
        <v>649</v>
      </c>
      <c r="Z137" s="313">
        <f t="shared" si="46"/>
        <v>556</v>
      </c>
      <c r="AA137" s="313" t="str">
        <f t="shared" si="48"/>
        <v/>
      </c>
      <c r="AB137" s="313" t="str">
        <f t="shared" si="49"/>
        <v/>
      </c>
      <c r="AC137" s="313" t="str">
        <f t="shared" si="54"/>
        <v/>
      </c>
      <c r="AD137" s="313" t="str">
        <f t="shared" si="55"/>
        <v/>
      </c>
      <c r="AE137" s="313" t="str">
        <f t="shared" si="56"/>
        <v/>
      </c>
      <c r="AF137" s="313" t="str">
        <f t="shared" si="57"/>
        <v/>
      </c>
      <c r="AG137" s="313" t="str">
        <f t="shared" si="58"/>
        <v/>
      </c>
      <c r="AH137" s="313" t="str">
        <f t="shared" si="61"/>
        <v/>
      </c>
      <c r="AI137" s="313" t="str">
        <f t="shared" si="59"/>
        <v/>
      </c>
      <c r="AJ137" s="313" t="str">
        <f t="shared" si="60"/>
        <v/>
      </c>
      <c r="AK137" s="413">
        <v>1</v>
      </c>
      <c r="AL137" s="313">
        <f t="shared" ca="1" si="50"/>
        <v>0</v>
      </c>
      <c r="AM137" s="356">
        <f t="shared" ca="1" si="51"/>
        <v>0</v>
      </c>
      <c r="AN137" s="313" t="str">
        <f ca="1">IF(AND(Tabla7[[#This Row],[UltLec]]&lt;&gt;0,Tabla7[[#This Row],[PenLect]]&lt;&gt;0),(AM137-AL137)*Tabla7[[#This Row],[RT]],"N/A")</f>
        <v>N/A</v>
      </c>
      <c r="AO137" s="437"/>
      <c r="AP137" s="313" t="s">
        <v>1190</v>
      </c>
      <c r="AQ137" s="313" t="s">
        <v>1189</v>
      </c>
      <c r="AR137" s="421">
        <f t="shared" si="52"/>
        <v>0</v>
      </c>
      <c r="AT137" s="2" t="e">
        <f t="shared" ca="1" si="53"/>
        <v>#VALUE!</v>
      </c>
      <c r="AV137">
        <f>IF(ISBLANK(Tabla7[[#This Row],[31/12/2017]]),0,Tabla7[[#This Row],[31/12/2017]])</f>
        <v>95358</v>
      </c>
      <c r="AW137">
        <f>IF(ISBLANK(Tabla7[[#This Row],[15/01/2018]]),0,Tabla7[[#This Row],[15/01/2018]])</f>
        <v>96007</v>
      </c>
      <c r="AX137">
        <f>IF(ISBLANK(Tabla7[[#This Row],[15/02/2018]]),0,Tabla7[[#This Row],[15/02/2018]])</f>
        <v>96563</v>
      </c>
      <c r="AY137">
        <f>IF(ISBLANK(Tabla7[[#This Row],[15/03/2018]]),0,Tabla7[[#This Row],[15/03/2018]])</f>
        <v>0</v>
      </c>
      <c r="AZ137">
        <f>IF(ISBLANK(Tabla7[[#This Row],[15/04/2018]]),0,Tabla7[[#This Row],[15/04/2018]])</f>
        <v>0</v>
      </c>
      <c r="BA137">
        <f>IF(ISBLANK(Tabla7[[#This Row],[15/05/2018]]),0,Tabla7[[#This Row],[15/05/2018]])</f>
        <v>0</v>
      </c>
      <c r="BB137">
        <f>IF(ISBLANK(Tabla7[[#This Row],[15/06/2018]]),0,Tabla7[[#This Row],[15/06/2018]])</f>
        <v>0</v>
      </c>
      <c r="BC137">
        <f>IF(ISBLANK(Tabla7[[#This Row],[15/07/2018]]),0,Tabla7[[#This Row],[15/07/2018]])</f>
        <v>0</v>
      </c>
      <c r="BD137">
        <f>IF(ISBLANK(Tabla7[[#This Row],[15/08/2018]]),0,Tabla7[[#This Row],[15/08/2018]])</f>
        <v>0</v>
      </c>
      <c r="BE137">
        <f>IF(ISBLANK(Tabla7[[#This Row],[15/09/2018]]),0,Tabla7[[#This Row],[15/09/2018]])</f>
        <v>0</v>
      </c>
      <c r="BF137">
        <f>IF(ISBLANK(Tabla7[[#This Row],[15/10/2018]]),0,Tabla7[[#This Row],[15/10/2018]])</f>
        <v>0</v>
      </c>
      <c r="BG137">
        <f>IF(ISBLANK(Tabla7[[#This Row],[15/11/2018]]),0,Tabla7[[#This Row],[15/11/2018]])</f>
        <v>0</v>
      </c>
      <c r="BH137">
        <f>IF(ISBLANK(Tabla7[[#This Row],[15/12/2018]]),0,Tabla7[[#This Row],[15/12/2018]])</f>
        <v>0</v>
      </c>
      <c r="BI137">
        <f>IF(ISBLANK(Tabla7[[#This Row],[28/12/2018]]),0,Tabla7[[#This Row],[28/12/2018]])</f>
        <v>0</v>
      </c>
      <c r="BN13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('99577129','SBAJA','SCT06','39032','VALENCIA TERMINAL EUROPA, S.A.','TORRE ST-0617','','BAJA A 31/01/18');</v>
      </c>
      <c r="BO137" t="s">
        <v>243</v>
      </c>
      <c r="BP137" s="632" t="str">
        <f>CONCATENATE("insert into lecturas values ","('",Tabla7[[#This Row],[CONTADOR]],"',STR_TO_DATE('",Tabla7[[#Headers],[31/12/2017]],"','%d/%m/%Y'),",AV137,"),","('",Tabla7[[#This Row],[CONTADOR]],"',STR_TO_DATE('",Tabla7[[#Headers],[15/01/2018]],"','%d/%m/%Y'),",AW137,"),","('",Tabla7[[#This Row],[CONTADOR]],"',STR_TO_DATE('",Tabla7[[#Headers],[15/02/2018]],"','%d/%m/%Y'),",AX137,"),","('",Tabla7[[#This Row],[CONTADOR]],"',STR_TO_DATE('",Tabla7[[#Headers],[15/03/2018]],"','%d/%m/%Y'),",AY137,"),","('",Tabla7[[#This Row],[CONTADOR]],"',STR_TO_DATE('",Tabla7[[#Headers],[15/04/2018]],"','%d/%m/%Y'),",AZ137,"),","('",Tabla7[[#This Row],[CONTADOR]],"',STR_TO_DATE('",Tabla7[[#Headers],[15/05/2018]],"','%d/%m/%Y'),",BA137,"),","('",Tabla7[[#This Row],[CONTADOR]],"',STR_TO_DATE('",Tabla7[[#Headers],[15/06/2018]],"','%d/%m/%Y'),",BB137,"),","('",Tabla7[[#This Row],[CONTADOR]],"',STR_TO_DATE('",Tabla7[[#Headers],[15/07/2018]],"','%d/%m/%Y'),",BC137,"),","('",Tabla7[[#This Row],[CONTADOR]],"',STR_TO_DATE('",Tabla7[[#Headers],[15/08/2018]],"','%d/%m/%Y'),",BD137,"),","('",Tabla7[[#This Row],[CONTADOR]],"',STR_TO_DATE('",Tabla7[[#Headers],[15/09/2018]],"','%d/%m/%Y'),",BE137,"),","('",Tabla7[[#This Row],[CONTADOR]],"',STR_TO_DATE('",Tabla7[[#Headers],[15/10/2018]],"','%d/%m/%Y'),",BF137,"),","('",Tabla7[[#This Row],[CONTADOR]],"',STR_TO_DATE('",Tabla7[[#Headers],[15/11/2018]],"','%d/%m/%Y'),",BG137,"),","('",Tabla7[[#This Row],[CONTADOR]],"',STR_TO_DATE('",Tabla7[[#Headers],[15/12/2018]],"','%d/%m/%Y'),",BH137,");")</f>
        <v>insert into lecturas values ('99577129',STR_TO_DATE('31/12/2017','%d/%m/%Y'),95358),('99577129',STR_TO_DATE('15/01/2018','%d/%m/%Y'),96007),('99577129',STR_TO_DATE('15/02/2018','%d/%m/%Y'),96563),('99577129',STR_TO_DATE('15/03/2018','%d/%m/%Y'),0),('99577129',STR_TO_DATE('15/04/2018','%d/%m/%Y'),0),('99577129',STR_TO_DATE('15/05/2018','%d/%m/%Y'),0),('99577129',STR_TO_DATE('15/06/2018','%d/%m/%Y'),0),('99577129',STR_TO_DATE('15/07/2018','%d/%m/%Y'),0),('99577129',STR_TO_DATE('15/08/2018','%d/%m/%Y'),0),('99577129',STR_TO_DATE('15/09/2018','%d/%m/%Y'),0),('99577129',STR_TO_DATE('15/10/2018','%d/%m/%Y'),0),('99577129',STR_TO_DATE('15/11/2018','%d/%m/%Y'),0),('99577129',STR_TO_DATE('15/12/2018','%d/%m/%Y'),0);</v>
      </c>
    </row>
    <row r="138" spans="1:68" ht="18" customHeight="1" x14ac:dyDescent="0.25">
      <c r="A138" s="484" t="s">
        <v>534</v>
      </c>
      <c r="B138" s="257"/>
      <c r="C138" s="482" t="s">
        <v>1378</v>
      </c>
      <c r="D138" s="257" t="s">
        <v>570</v>
      </c>
      <c r="E138" s="485">
        <v>39819</v>
      </c>
      <c r="F138" s="274" t="s">
        <v>1380</v>
      </c>
      <c r="G138" s="274" t="s">
        <v>1381</v>
      </c>
      <c r="H138" s="2"/>
      <c r="I138" s="2"/>
      <c r="J138" s="2"/>
      <c r="K138" s="274"/>
      <c r="L138" s="2"/>
      <c r="M138" s="2"/>
      <c r="O138" s="2"/>
      <c r="P138" s="1">
        <v>37</v>
      </c>
      <c r="Q138" s="2">
        <v>214</v>
      </c>
      <c r="R138" s="506">
        <v>441</v>
      </c>
      <c r="S138" s="492">
        <v>658</v>
      </c>
      <c r="T138" s="353">
        <v>776</v>
      </c>
      <c r="U138" s="492">
        <v>821</v>
      </c>
      <c r="V138" s="353">
        <v>832</v>
      </c>
      <c r="W138" s="2"/>
      <c r="X138" s="2"/>
      <c r="Y138" s="2" t="str">
        <f t="shared" si="47"/>
        <v/>
      </c>
      <c r="Z138" s="2" t="str">
        <f t="shared" si="46"/>
        <v/>
      </c>
      <c r="AA138" s="2" t="str">
        <f t="shared" si="48"/>
        <v/>
      </c>
      <c r="AB138" s="2" t="str">
        <f t="shared" si="49"/>
        <v/>
      </c>
      <c r="AC138" s="2" t="str">
        <f t="shared" si="54"/>
        <v/>
      </c>
      <c r="AD138" s="2" t="str">
        <f t="shared" si="55"/>
        <v/>
      </c>
      <c r="AE138" s="2">
        <f t="shared" si="56"/>
        <v>177</v>
      </c>
      <c r="AF138" s="2">
        <f t="shared" si="57"/>
        <v>227</v>
      </c>
      <c r="AG138" s="2">
        <f t="shared" si="58"/>
        <v>217</v>
      </c>
      <c r="AH138" s="2">
        <f t="shared" si="61"/>
        <v>118</v>
      </c>
      <c r="AI138" s="2">
        <f t="shared" si="59"/>
        <v>45</v>
      </c>
      <c r="AJ138" s="2">
        <f t="shared" si="60"/>
        <v>11</v>
      </c>
      <c r="AK138" s="406">
        <v>1</v>
      </c>
      <c r="AL138" s="2">
        <f t="shared" ca="1" si="50"/>
        <v>0</v>
      </c>
      <c r="AM138" s="492">
        <f t="shared" ca="1" si="51"/>
        <v>0</v>
      </c>
      <c r="AN138" s="2" t="str">
        <f ca="1">IF(AND(Tabla7[[#This Row],[UltLec]]&lt;&gt;0,Tabla7[[#This Row],[PenLect]]&lt;&gt;0),(AM138-AL138)*Tabla7[[#This Row],[RT]],"N/A")</f>
        <v>N/A</v>
      </c>
      <c r="AO138" s="273" t="s">
        <v>1135</v>
      </c>
      <c r="AP138" s="392" t="s">
        <v>1190</v>
      </c>
      <c r="AQ138" s="392"/>
      <c r="AR138" s="407">
        <f t="shared" si="52"/>
        <v>0</v>
      </c>
      <c r="AT138" s="2" t="e">
        <f t="shared" ca="1" si="53"/>
        <v>#VALUE!</v>
      </c>
      <c r="AV138">
        <f>IF(ISBLANK(Tabla7[[#This Row],[31/12/2017]]),0,Tabla7[[#This Row],[31/12/2017]])</f>
        <v>0</v>
      </c>
      <c r="AW138">
        <f>IF(ISBLANK(Tabla7[[#This Row],[15/01/2018]]),0,Tabla7[[#This Row],[15/01/2018]])</f>
        <v>0</v>
      </c>
      <c r="AX138">
        <f>IF(ISBLANK(Tabla7[[#This Row],[15/02/2018]]),0,Tabla7[[#This Row],[15/02/2018]])</f>
        <v>0</v>
      </c>
      <c r="AY138">
        <f>IF(ISBLANK(Tabla7[[#This Row],[15/03/2018]]),0,Tabla7[[#This Row],[15/03/2018]])</f>
        <v>0</v>
      </c>
      <c r="AZ138">
        <f>IF(ISBLANK(Tabla7[[#This Row],[15/04/2018]]),0,Tabla7[[#This Row],[15/04/2018]])</f>
        <v>0</v>
      </c>
      <c r="BA138">
        <f>IF(ISBLANK(Tabla7[[#This Row],[15/05/2018]]),0,Tabla7[[#This Row],[15/05/2018]])</f>
        <v>0</v>
      </c>
      <c r="BB138">
        <f>IF(ISBLANK(Tabla7[[#This Row],[15/06/2018]]),0,Tabla7[[#This Row],[15/06/2018]])</f>
        <v>37</v>
      </c>
      <c r="BC138">
        <f>IF(ISBLANK(Tabla7[[#This Row],[15/07/2018]]),0,Tabla7[[#This Row],[15/07/2018]])</f>
        <v>214</v>
      </c>
      <c r="BD138">
        <f>IF(ISBLANK(Tabla7[[#This Row],[15/08/2018]]),0,Tabla7[[#This Row],[15/08/2018]])</f>
        <v>441</v>
      </c>
      <c r="BE138">
        <f>IF(ISBLANK(Tabla7[[#This Row],[15/09/2018]]),0,Tabla7[[#This Row],[15/09/2018]])</f>
        <v>658</v>
      </c>
      <c r="BF138">
        <f>IF(ISBLANK(Tabla7[[#This Row],[15/10/2018]]),0,Tabla7[[#This Row],[15/10/2018]])</f>
        <v>776</v>
      </c>
      <c r="BG138">
        <f>IF(ISBLANK(Tabla7[[#This Row],[15/11/2018]]),0,Tabla7[[#This Row],[15/11/2018]])</f>
        <v>821</v>
      </c>
      <c r="BH138">
        <f>IF(ISBLANK(Tabla7[[#This Row],[15/12/2018]]),0,Tabla7[[#This Row],[15/12/2018]])</f>
        <v>832</v>
      </c>
      <c r="BI138">
        <f>IF(ISBLANK(Tabla7[[#This Row],[28/12/2018]]),0,Tabla7[[#This Row],[28/12/2018]])</f>
        <v>0</v>
      </c>
      <c r="BN13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('A9MEM2105','S','SCT06','39819','PAVASAL, S.A.','JUNTO RETEN POLICIA','','');</v>
      </c>
      <c r="BO138" t="s">
        <v>243</v>
      </c>
      <c r="BP138" s="632" t="str">
        <f>CONCATENATE("insert into lecturas values ","('",Tabla7[[#This Row],[CONTADOR]],"',STR_TO_DATE('",Tabla7[[#Headers],[31/12/2017]],"','%d/%m/%Y'),",AV138,"),","('",Tabla7[[#This Row],[CONTADOR]],"',STR_TO_DATE('",Tabla7[[#Headers],[15/01/2018]],"','%d/%m/%Y'),",AW138,"),","('",Tabla7[[#This Row],[CONTADOR]],"',STR_TO_DATE('",Tabla7[[#Headers],[15/02/2018]],"','%d/%m/%Y'),",AX138,"),","('",Tabla7[[#This Row],[CONTADOR]],"',STR_TO_DATE('",Tabla7[[#Headers],[15/03/2018]],"','%d/%m/%Y'),",AY138,"),","('",Tabla7[[#This Row],[CONTADOR]],"',STR_TO_DATE('",Tabla7[[#Headers],[15/04/2018]],"','%d/%m/%Y'),",AZ138,"),","('",Tabla7[[#This Row],[CONTADOR]],"',STR_TO_DATE('",Tabla7[[#Headers],[15/05/2018]],"','%d/%m/%Y'),",BA138,"),","('",Tabla7[[#This Row],[CONTADOR]],"',STR_TO_DATE('",Tabla7[[#Headers],[15/06/2018]],"','%d/%m/%Y'),",BB138,"),","('",Tabla7[[#This Row],[CONTADOR]],"',STR_TO_DATE('",Tabla7[[#Headers],[15/07/2018]],"','%d/%m/%Y'),",BC138,"),","('",Tabla7[[#This Row],[CONTADOR]],"',STR_TO_DATE('",Tabla7[[#Headers],[15/08/2018]],"','%d/%m/%Y'),",BD138,"),","('",Tabla7[[#This Row],[CONTADOR]],"',STR_TO_DATE('",Tabla7[[#Headers],[15/09/2018]],"','%d/%m/%Y'),",BE138,"),","('",Tabla7[[#This Row],[CONTADOR]],"',STR_TO_DATE('",Tabla7[[#Headers],[15/10/2018]],"','%d/%m/%Y'),",BF138,"),","('",Tabla7[[#This Row],[CONTADOR]],"',STR_TO_DATE('",Tabla7[[#Headers],[15/11/2018]],"','%d/%m/%Y'),",BG138,"),","('",Tabla7[[#This Row],[CONTADOR]],"',STR_TO_DATE('",Tabla7[[#Headers],[15/12/2018]],"','%d/%m/%Y'),",BH138,");")</f>
        <v>insert into lecturas values ('A9MEM2105',STR_TO_DATE('31/12/2017','%d/%m/%Y'),0),('A9MEM2105',STR_TO_DATE('15/01/2018','%d/%m/%Y'),0),('A9MEM2105',STR_TO_DATE('15/02/2018','%d/%m/%Y'),0),('A9MEM2105',STR_TO_DATE('15/03/2018','%d/%m/%Y'),0),('A9MEM2105',STR_TO_DATE('15/04/2018','%d/%m/%Y'),0),('A9MEM2105',STR_TO_DATE('15/05/2018','%d/%m/%Y'),0),('A9MEM2105',STR_TO_DATE('15/06/2018','%d/%m/%Y'),37),('A9MEM2105',STR_TO_DATE('15/07/2018','%d/%m/%Y'),214),('A9MEM2105',STR_TO_DATE('15/08/2018','%d/%m/%Y'),441),('A9MEM2105',STR_TO_DATE('15/09/2018','%d/%m/%Y'),658),('A9MEM2105',STR_TO_DATE('15/10/2018','%d/%m/%Y'),776),('A9MEM2105',STR_TO_DATE('15/11/2018','%d/%m/%Y'),821),('A9MEM2105',STR_TO_DATE('15/12/2018','%d/%m/%Y'),832);</v>
      </c>
    </row>
    <row r="139" spans="1:68" ht="18" customHeight="1" x14ac:dyDescent="0.25">
      <c r="A139" s="241" t="s">
        <v>534</v>
      </c>
      <c r="B139" s="60"/>
      <c r="C139" s="223"/>
      <c r="D139" s="60" t="s">
        <v>570</v>
      </c>
      <c r="E139" s="258">
        <v>2</v>
      </c>
      <c r="F139" s="274" t="s">
        <v>575</v>
      </c>
      <c r="G139" s="274"/>
      <c r="H139" s="274"/>
      <c r="I139" s="274"/>
      <c r="J139" s="311"/>
      <c r="K139" s="311"/>
      <c r="L139" s="311"/>
      <c r="M139" s="311" t="s">
        <v>1192</v>
      </c>
      <c r="N139" s="311"/>
      <c r="O139" s="454"/>
      <c r="P139" s="311"/>
      <c r="Q139" s="353">
        <v>0</v>
      </c>
      <c r="R139" s="353"/>
      <c r="S139" s="353"/>
      <c r="T139" s="353">
        <v>0</v>
      </c>
      <c r="U139" s="353">
        <v>0</v>
      </c>
      <c r="V139" s="353"/>
      <c r="W139" s="307"/>
      <c r="X139" s="307"/>
      <c r="Y139" s="2" t="str">
        <f t="shared" si="47"/>
        <v/>
      </c>
      <c r="Z139" s="2" t="str">
        <f t="shared" si="46"/>
        <v/>
      </c>
      <c r="AA139" s="2" t="str">
        <f t="shared" si="48"/>
        <v/>
      </c>
      <c r="AB139" s="2" t="str">
        <f t="shared" si="49"/>
        <v/>
      </c>
      <c r="AC139" s="2" t="str">
        <f t="shared" si="54"/>
        <v/>
      </c>
      <c r="AD139" s="2" t="str">
        <f t="shared" si="55"/>
        <v/>
      </c>
      <c r="AE139" s="2" t="str">
        <f t="shared" si="56"/>
        <v/>
      </c>
      <c r="AF139" s="2" t="str">
        <f t="shared" si="57"/>
        <v/>
      </c>
      <c r="AG139" s="2" t="str">
        <f t="shared" si="58"/>
        <v/>
      </c>
      <c r="AH139" s="2" t="str">
        <f t="shared" si="61"/>
        <v/>
      </c>
      <c r="AI139" s="2">
        <f t="shared" si="59"/>
        <v>0</v>
      </c>
      <c r="AJ139" s="2" t="str">
        <f t="shared" si="60"/>
        <v/>
      </c>
      <c r="AK139" s="413">
        <v>20</v>
      </c>
      <c r="AL139" s="313">
        <f t="shared" ca="1" si="50"/>
        <v>0</v>
      </c>
      <c r="AM139" s="311">
        <f t="shared" ca="1" si="51"/>
        <v>0</v>
      </c>
      <c r="AN139" s="274" t="str">
        <f ca="1">IF(AND(Tabla7[[#This Row],[UltLec]]&lt;&gt;0,Tabla7[[#This Row],[PenLect]]&lt;&gt;0),(AM139-AL139)*Tabla7[[#This Row],[RT]],"N/A")</f>
        <v>N/A</v>
      </c>
      <c r="AO139" s="273" t="s">
        <v>1135</v>
      </c>
      <c r="AP139" s="392" t="s">
        <v>1190</v>
      </c>
      <c r="AQ139" s="392" t="s">
        <v>1189</v>
      </c>
      <c r="AR139" s="407">
        <f t="shared" si="52"/>
        <v>0</v>
      </c>
      <c r="AT139" s="2" t="e">
        <f t="shared" ca="1" si="53"/>
        <v>#VALUE!</v>
      </c>
      <c r="AV139">
        <f>IF(ISBLANK(Tabla7[[#This Row],[31/12/2017]]),0,Tabla7[[#This Row],[31/12/2017]])</f>
        <v>0</v>
      </c>
      <c r="AW139">
        <f>IF(ISBLANK(Tabla7[[#This Row],[15/01/2018]]),0,Tabla7[[#This Row],[15/01/2018]])</f>
        <v>0</v>
      </c>
      <c r="AX139">
        <f>IF(ISBLANK(Tabla7[[#This Row],[15/02/2018]]),0,Tabla7[[#This Row],[15/02/2018]])</f>
        <v>0</v>
      </c>
      <c r="AY139" t="str">
        <f>IF(ISBLANK(Tabla7[[#This Row],[15/03/2018]]),0,Tabla7[[#This Row],[15/03/2018]])</f>
        <v>NO HAY CONTADOR</v>
      </c>
      <c r="AZ139">
        <f>IF(ISBLANK(Tabla7[[#This Row],[15/04/2018]]),0,Tabla7[[#This Row],[15/04/2018]])</f>
        <v>0</v>
      </c>
      <c r="BA139">
        <f>IF(ISBLANK(Tabla7[[#This Row],[15/05/2018]]),0,Tabla7[[#This Row],[15/05/2018]])</f>
        <v>0</v>
      </c>
      <c r="BB139">
        <f>IF(ISBLANK(Tabla7[[#This Row],[15/06/2018]]),0,Tabla7[[#This Row],[15/06/2018]])</f>
        <v>0</v>
      </c>
      <c r="BC139">
        <f>IF(ISBLANK(Tabla7[[#This Row],[15/07/2018]]),0,Tabla7[[#This Row],[15/07/2018]])</f>
        <v>0</v>
      </c>
      <c r="BD139">
        <f>IF(ISBLANK(Tabla7[[#This Row],[15/08/2018]]),0,Tabla7[[#This Row],[15/08/2018]])</f>
        <v>0</v>
      </c>
      <c r="BE139">
        <f>IF(ISBLANK(Tabla7[[#This Row],[15/09/2018]]),0,Tabla7[[#This Row],[15/09/2018]])</f>
        <v>0</v>
      </c>
      <c r="BF139">
        <f>IF(ISBLANK(Tabla7[[#This Row],[15/10/2018]]),0,Tabla7[[#This Row],[15/10/2018]])</f>
        <v>0</v>
      </c>
      <c r="BG139">
        <f>IF(ISBLANK(Tabla7[[#This Row],[15/11/2018]]),0,Tabla7[[#This Row],[15/11/2018]])</f>
        <v>0</v>
      </c>
      <c r="BH139">
        <f>IF(ISBLANK(Tabla7[[#This Row],[15/12/2018]]),0,Tabla7[[#This Row],[15/12/2018]])</f>
        <v>0</v>
      </c>
      <c r="BI139">
        <f>IF(ISBLANK(Tabla7[[#This Row],[28/12/2018]]),0,Tabla7[[#This Row],[28/12/2018]])</f>
        <v>0</v>
      </c>
      <c r="BN13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('','S','SCT06','2','Alumbrado viales CT6','','','');</v>
      </c>
      <c r="BO139" t="s">
        <v>243</v>
      </c>
      <c r="BP139" s="632" t="str">
        <f>CONCATENATE("insert into lecturas values ","('",Tabla7[[#This Row],[CONTADOR]],"',STR_TO_DATE('",Tabla7[[#Headers],[31/12/2017]],"','%d/%m/%Y'),",AV139,"),","('",Tabla7[[#This Row],[CONTADOR]],"',STR_TO_DATE('",Tabla7[[#Headers],[15/01/2018]],"','%d/%m/%Y'),",AW139,"),","('",Tabla7[[#This Row],[CONTADOR]],"',STR_TO_DATE('",Tabla7[[#Headers],[15/02/2018]],"','%d/%m/%Y'),",AX139,"),","('",Tabla7[[#This Row],[CONTADOR]],"',STR_TO_DATE('",Tabla7[[#Headers],[15/03/2018]],"','%d/%m/%Y'),",AY139,"),","('",Tabla7[[#This Row],[CONTADOR]],"',STR_TO_DATE('",Tabla7[[#Headers],[15/04/2018]],"','%d/%m/%Y'),",AZ139,"),","('",Tabla7[[#This Row],[CONTADOR]],"',STR_TO_DATE('",Tabla7[[#Headers],[15/05/2018]],"','%d/%m/%Y'),",BA139,"),","('",Tabla7[[#This Row],[CONTADOR]],"',STR_TO_DATE('",Tabla7[[#Headers],[15/06/2018]],"','%d/%m/%Y'),",BB139,"),","('",Tabla7[[#This Row],[CONTADOR]],"',STR_TO_DATE('",Tabla7[[#Headers],[15/07/2018]],"','%d/%m/%Y'),",BC139,"),","('",Tabla7[[#This Row],[CONTADOR]],"',STR_TO_DATE('",Tabla7[[#Headers],[15/08/2018]],"','%d/%m/%Y'),",BD139,"),","('",Tabla7[[#This Row],[CONTADOR]],"',STR_TO_DATE('",Tabla7[[#Headers],[15/09/2018]],"','%d/%m/%Y'),",BE139,"),","('",Tabla7[[#This Row],[CONTADOR]],"',STR_TO_DATE('",Tabla7[[#Headers],[15/10/2018]],"','%d/%m/%Y'),",BF139,"),","('",Tabla7[[#This Row],[CONTADOR]],"',STR_TO_DATE('",Tabla7[[#Headers],[15/11/2018]],"','%d/%m/%Y'),",BG139,"),","('",Tabla7[[#This Row],[CONTADOR]],"',STR_TO_DATE('",Tabla7[[#Headers],[15/12/2018]],"','%d/%m/%Y'),",BH139,");")</f>
        <v>insert into lecturas values ('',STR_TO_DATE('31/12/2017','%d/%m/%Y'),0),('',STR_TO_DATE('15/01/2018','%d/%m/%Y'),0),('',STR_TO_DATE('15/02/2018','%d/%m/%Y'),0),('',STR_TO_DATE('15/03/2018','%d/%m/%Y'),NO HAY CONTADOR),('',STR_TO_DATE('15/04/2018','%d/%m/%Y'),0),('',STR_TO_DATE('15/05/2018','%d/%m/%Y'),0),('',STR_TO_DATE('15/06/2018','%d/%m/%Y'),0),('',STR_TO_DATE('15/07/2018','%d/%m/%Y'),0),('',STR_TO_DATE('15/08/2018','%d/%m/%Y'),0),('',STR_TO_DATE('15/09/2018','%d/%m/%Y'),0),('',STR_TO_DATE('15/10/2018','%d/%m/%Y'),0),('',STR_TO_DATE('15/11/2018','%d/%m/%Y'),0),('',STR_TO_DATE('15/12/2018','%d/%m/%Y'),0);</v>
      </c>
    </row>
    <row r="140" spans="1:68" ht="18" customHeight="1" x14ac:dyDescent="0.3">
      <c r="A140" s="241" t="s">
        <v>534</v>
      </c>
      <c r="B140" s="60" t="s">
        <v>578</v>
      </c>
      <c r="C140" s="223">
        <v>18506030</v>
      </c>
      <c r="D140" s="60" t="s">
        <v>579</v>
      </c>
      <c r="E140" s="258">
        <v>39435</v>
      </c>
      <c r="F140" s="274" t="s">
        <v>580</v>
      </c>
      <c r="G140" s="274" t="s">
        <v>1149</v>
      </c>
      <c r="H140" s="2"/>
      <c r="I140" s="274"/>
      <c r="J140" s="311">
        <v>2020</v>
      </c>
      <c r="K140" s="311">
        <v>2040</v>
      </c>
      <c r="L140" s="311">
        <v>2073</v>
      </c>
      <c r="M140" s="311">
        <v>2104</v>
      </c>
      <c r="N140" s="311">
        <v>2139</v>
      </c>
      <c r="O140" s="311">
        <v>2174</v>
      </c>
      <c r="P140" s="311">
        <v>2213</v>
      </c>
      <c r="Q140" s="307">
        <v>2241</v>
      </c>
      <c r="R140" s="505">
        <v>2278</v>
      </c>
      <c r="S140" s="353">
        <v>2318</v>
      </c>
      <c r="T140" s="353">
        <v>2352</v>
      </c>
      <c r="U140" s="353">
        <v>2386</v>
      </c>
      <c r="V140" s="353">
        <v>2429</v>
      </c>
      <c r="W140" s="344"/>
      <c r="X140" s="307"/>
      <c r="Y140" s="2">
        <f t="shared" si="47"/>
        <v>20</v>
      </c>
      <c r="Z140" s="2">
        <f t="shared" si="46"/>
        <v>33</v>
      </c>
      <c r="AA140" s="2">
        <f t="shared" si="48"/>
        <v>31</v>
      </c>
      <c r="AB140" s="2">
        <f t="shared" si="49"/>
        <v>35</v>
      </c>
      <c r="AC140" s="2">
        <f t="shared" si="54"/>
        <v>35</v>
      </c>
      <c r="AD140" s="2">
        <f t="shared" si="55"/>
        <v>39</v>
      </c>
      <c r="AE140" s="2">
        <f t="shared" si="56"/>
        <v>28</v>
      </c>
      <c r="AF140" s="2">
        <f t="shared" si="57"/>
        <v>37</v>
      </c>
      <c r="AG140" s="2">
        <f t="shared" si="58"/>
        <v>40</v>
      </c>
      <c r="AH140" s="2">
        <f t="shared" si="61"/>
        <v>34</v>
      </c>
      <c r="AI140" s="2">
        <f t="shared" si="59"/>
        <v>34</v>
      </c>
      <c r="AJ140" s="2">
        <f t="shared" si="60"/>
        <v>43</v>
      </c>
      <c r="AK140" s="420">
        <v>1</v>
      </c>
      <c r="AL140" s="307">
        <f t="shared" ca="1" si="50"/>
        <v>2139</v>
      </c>
      <c r="AM140" s="311">
        <f t="shared" ca="1" si="51"/>
        <v>2174</v>
      </c>
      <c r="AN140" s="274">
        <f ca="1">IF(AND(Tabla7[[#This Row],[UltLec]]&lt;&gt;0,Tabla7[[#This Row],[PenLect]]&lt;&gt;0),(AM140-AL140)*Tabla7[[#This Row],[RT]],"N/A")</f>
        <v>35</v>
      </c>
      <c r="AO140" s="273" t="s">
        <v>1135</v>
      </c>
      <c r="AP140" s="392" t="s">
        <v>1190</v>
      </c>
      <c r="AQ140" s="392" t="s">
        <v>1189</v>
      </c>
      <c r="AR140" s="407">
        <f t="shared" si="52"/>
        <v>0</v>
      </c>
      <c r="AT140" s="2">
        <f t="shared" ca="1" si="53"/>
        <v>1</v>
      </c>
      <c r="AV140">
        <f>IF(ISBLANK(Tabla7[[#This Row],[31/12/2017]]),0,Tabla7[[#This Row],[31/12/2017]])</f>
        <v>2020</v>
      </c>
      <c r="AW140">
        <f>IF(ISBLANK(Tabla7[[#This Row],[15/01/2018]]),0,Tabla7[[#This Row],[15/01/2018]])</f>
        <v>2040</v>
      </c>
      <c r="AX140">
        <f>IF(ISBLANK(Tabla7[[#This Row],[15/02/2018]]),0,Tabla7[[#This Row],[15/02/2018]])</f>
        <v>2073</v>
      </c>
      <c r="AY140">
        <f>IF(ISBLANK(Tabla7[[#This Row],[15/03/2018]]),0,Tabla7[[#This Row],[15/03/2018]])</f>
        <v>2104</v>
      </c>
      <c r="AZ140">
        <f>IF(ISBLANK(Tabla7[[#This Row],[15/04/2018]]),0,Tabla7[[#This Row],[15/04/2018]])</f>
        <v>2139</v>
      </c>
      <c r="BA140">
        <f>IF(ISBLANK(Tabla7[[#This Row],[15/05/2018]]),0,Tabla7[[#This Row],[15/05/2018]])</f>
        <v>2174</v>
      </c>
      <c r="BB140">
        <f>IF(ISBLANK(Tabla7[[#This Row],[15/06/2018]]),0,Tabla7[[#This Row],[15/06/2018]])</f>
        <v>2213</v>
      </c>
      <c r="BC140">
        <f>IF(ISBLANK(Tabla7[[#This Row],[15/07/2018]]),0,Tabla7[[#This Row],[15/07/2018]])</f>
        <v>2241</v>
      </c>
      <c r="BD140">
        <f>IF(ISBLANK(Tabla7[[#This Row],[15/08/2018]]),0,Tabla7[[#This Row],[15/08/2018]])</f>
        <v>2278</v>
      </c>
      <c r="BE140">
        <f>IF(ISBLANK(Tabla7[[#This Row],[15/09/2018]]),0,Tabla7[[#This Row],[15/09/2018]])</f>
        <v>2318</v>
      </c>
      <c r="BF140">
        <f>IF(ISBLANK(Tabla7[[#This Row],[15/10/2018]]),0,Tabla7[[#This Row],[15/10/2018]])</f>
        <v>2352</v>
      </c>
      <c r="BG140">
        <f>IF(ISBLANK(Tabla7[[#This Row],[15/11/2018]]),0,Tabla7[[#This Row],[15/11/2018]])</f>
        <v>2386</v>
      </c>
      <c r="BH140">
        <f>IF(ISBLANK(Tabla7[[#This Row],[15/12/2018]]),0,Tabla7[[#This Row],[15/12/2018]])</f>
        <v>2429</v>
      </c>
      <c r="BI140">
        <f>IF(ISBLANK(Tabla7[[#This Row],[28/12/2018]]),0,Tabla7[[#This Row],[28/12/2018]])</f>
        <v>0</v>
      </c>
      <c r="BN14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('18506030','S','SCT07','39435','UTE MARPOL ZONA DE TRIAJE','JUNTO FERTIBERIA DETRÁS CT7','','');</v>
      </c>
      <c r="BO140" t="s">
        <v>243</v>
      </c>
      <c r="BP140" s="632" t="str">
        <f>CONCATENATE("insert into lecturas values ","('",Tabla7[[#This Row],[CONTADOR]],"',STR_TO_DATE('",Tabla7[[#Headers],[31/12/2017]],"','%d/%m/%Y'),",AV140,"),","('",Tabla7[[#This Row],[CONTADOR]],"',STR_TO_DATE('",Tabla7[[#Headers],[15/01/2018]],"','%d/%m/%Y'),",AW140,"),","('",Tabla7[[#This Row],[CONTADOR]],"',STR_TO_DATE('",Tabla7[[#Headers],[15/02/2018]],"','%d/%m/%Y'),",AX140,"),","('",Tabla7[[#This Row],[CONTADOR]],"',STR_TO_DATE('",Tabla7[[#Headers],[15/03/2018]],"','%d/%m/%Y'),",AY140,"),","('",Tabla7[[#This Row],[CONTADOR]],"',STR_TO_DATE('",Tabla7[[#Headers],[15/04/2018]],"','%d/%m/%Y'),",AZ140,"),","('",Tabla7[[#This Row],[CONTADOR]],"',STR_TO_DATE('",Tabla7[[#Headers],[15/05/2018]],"','%d/%m/%Y'),",BA140,"),","('",Tabla7[[#This Row],[CONTADOR]],"',STR_TO_DATE('",Tabla7[[#Headers],[15/06/2018]],"','%d/%m/%Y'),",BB140,"),","('",Tabla7[[#This Row],[CONTADOR]],"',STR_TO_DATE('",Tabla7[[#Headers],[15/07/2018]],"','%d/%m/%Y'),",BC140,"),","('",Tabla7[[#This Row],[CONTADOR]],"',STR_TO_DATE('",Tabla7[[#Headers],[15/08/2018]],"','%d/%m/%Y'),",BD140,"),","('",Tabla7[[#This Row],[CONTADOR]],"',STR_TO_DATE('",Tabla7[[#Headers],[15/09/2018]],"','%d/%m/%Y'),",BE140,"),","('",Tabla7[[#This Row],[CONTADOR]],"',STR_TO_DATE('",Tabla7[[#Headers],[15/10/2018]],"','%d/%m/%Y'),",BF140,"),","('",Tabla7[[#This Row],[CONTADOR]],"',STR_TO_DATE('",Tabla7[[#Headers],[15/11/2018]],"','%d/%m/%Y'),",BG140,"),","('",Tabla7[[#This Row],[CONTADOR]],"',STR_TO_DATE('",Tabla7[[#Headers],[15/12/2018]],"','%d/%m/%Y'),",BH140,");")</f>
        <v>insert into lecturas values ('18506030',STR_TO_DATE('31/12/2017','%d/%m/%Y'),2020),('18506030',STR_TO_DATE('15/01/2018','%d/%m/%Y'),2040),('18506030',STR_TO_DATE('15/02/2018','%d/%m/%Y'),2073),('18506030',STR_TO_DATE('15/03/2018','%d/%m/%Y'),2104),('18506030',STR_TO_DATE('15/04/2018','%d/%m/%Y'),2139),('18506030',STR_TO_DATE('15/05/2018','%d/%m/%Y'),2174),('18506030',STR_TO_DATE('15/06/2018','%d/%m/%Y'),2213),('18506030',STR_TO_DATE('15/07/2018','%d/%m/%Y'),2241),('18506030',STR_TO_DATE('15/08/2018','%d/%m/%Y'),2278),('18506030',STR_TO_DATE('15/09/2018','%d/%m/%Y'),2318),('18506030',STR_TO_DATE('15/10/2018','%d/%m/%Y'),2352),('18506030',STR_TO_DATE('15/11/2018','%d/%m/%Y'),2386),('18506030',STR_TO_DATE('15/12/2018','%d/%m/%Y'),2429);</v>
      </c>
    </row>
    <row r="141" spans="1:68" ht="18" customHeight="1" x14ac:dyDescent="0.3">
      <c r="A141" s="241" t="s">
        <v>534</v>
      </c>
      <c r="B141" s="60"/>
      <c r="C141" s="223" t="s">
        <v>1148</v>
      </c>
      <c r="D141" s="60" t="s">
        <v>579</v>
      </c>
      <c r="E141" s="258">
        <v>2</v>
      </c>
      <c r="F141" s="274" t="s">
        <v>581</v>
      </c>
      <c r="G141" s="274" t="s">
        <v>47</v>
      </c>
      <c r="H141" s="274"/>
      <c r="I141" s="274"/>
      <c r="J141" s="311">
        <v>19281</v>
      </c>
      <c r="K141" s="311">
        <v>19373</v>
      </c>
      <c r="L141" s="311">
        <v>19515</v>
      </c>
      <c r="M141" s="311">
        <v>19634</v>
      </c>
      <c r="N141" s="311">
        <v>19763</v>
      </c>
      <c r="O141" s="454">
        <v>19872</v>
      </c>
      <c r="P141" s="311">
        <v>19980</v>
      </c>
      <c r="Q141" s="353">
        <v>20051</v>
      </c>
      <c r="R141" s="505">
        <v>20155</v>
      </c>
      <c r="S141" s="353">
        <v>20266</v>
      </c>
      <c r="T141" s="353">
        <v>20389</v>
      </c>
      <c r="U141" s="353">
        <v>20521</v>
      </c>
      <c r="V141" s="353">
        <v>20675</v>
      </c>
      <c r="W141" s="344"/>
      <c r="X141" s="307"/>
      <c r="Y141" s="2">
        <f t="shared" si="47"/>
        <v>1840</v>
      </c>
      <c r="Z141" s="2">
        <f t="shared" si="46"/>
        <v>2840</v>
      </c>
      <c r="AA141" s="2">
        <f t="shared" si="48"/>
        <v>2380</v>
      </c>
      <c r="AB141" s="2">
        <f t="shared" si="49"/>
        <v>2580</v>
      </c>
      <c r="AC141" s="2">
        <f t="shared" si="54"/>
        <v>2180</v>
      </c>
      <c r="AD141" s="2">
        <f t="shared" si="55"/>
        <v>2160</v>
      </c>
      <c r="AE141" s="2">
        <f t="shared" si="56"/>
        <v>1420</v>
      </c>
      <c r="AF141" s="2">
        <f t="shared" si="57"/>
        <v>2080</v>
      </c>
      <c r="AG141" s="2">
        <f t="shared" si="58"/>
        <v>2220</v>
      </c>
      <c r="AH141" s="2">
        <f t="shared" si="61"/>
        <v>2460</v>
      </c>
      <c r="AI141" s="2">
        <f t="shared" si="59"/>
        <v>2640</v>
      </c>
      <c r="AJ141" s="2">
        <f t="shared" si="60"/>
        <v>3080</v>
      </c>
      <c r="AK141" s="416">
        <v>20</v>
      </c>
      <c r="AL141" s="417">
        <f t="shared" ca="1" si="50"/>
        <v>19763</v>
      </c>
      <c r="AM141" s="311">
        <f t="shared" ca="1" si="51"/>
        <v>19872</v>
      </c>
      <c r="AN141" s="274">
        <f ca="1">IF(AND(Tabla7[[#This Row],[UltLec]]&lt;&gt;0,Tabla7[[#This Row],[PenLect]]&lt;&gt;0),(AM141-AL141)*Tabla7[[#This Row],[RT]],"N/A")</f>
        <v>2180</v>
      </c>
      <c r="AO141" s="273" t="s">
        <v>1135</v>
      </c>
      <c r="AP141" s="441" t="s">
        <v>1190</v>
      </c>
      <c r="AQ141" s="441" t="s">
        <v>1189</v>
      </c>
      <c r="AR141" s="407">
        <f t="shared" si="52"/>
        <v>0</v>
      </c>
      <c r="AT141" s="2">
        <f t="shared" ca="1" si="53"/>
        <v>0.84496124031007747</v>
      </c>
      <c r="AV141">
        <f>IF(ISBLANK(Tabla7[[#This Row],[31/12/2017]]),0,Tabla7[[#This Row],[31/12/2017]])</f>
        <v>19281</v>
      </c>
      <c r="AW141">
        <f>IF(ISBLANK(Tabla7[[#This Row],[15/01/2018]]),0,Tabla7[[#This Row],[15/01/2018]])</f>
        <v>19373</v>
      </c>
      <c r="AX141">
        <f>IF(ISBLANK(Tabla7[[#This Row],[15/02/2018]]),0,Tabla7[[#This Row],[15/02/2018]])</f>
        <v>19515</v>
      </c>
      <c r="AY141">
        <f>IF(ISBLANK(Tabla7[[#This Row],[15/03/2018]]),0,Tabla7[[#This Row],[15/03/2018]])</f>
        <v>19634</v>
      </c>
      <c r="AZ141">
        <f>IF(ISBLANK(Tabla7[[#This Row],[15/04/2018]]),0,Tabla7[[#This Row],[15/04/2018]])</f>
        <v>19763</v>
      </c>
      <c r="BA141">
        <f>IF(ISBLANK(Tabla7[[#This Row],[15/05/2018]]),0,Tabla7[[#This Row],[15/05/2018]])</f>
        <v>19872</v>
      </c>
      <c r="BB141">
        <f>IF(ISBLANK(Tabla7[[#This Row],[15/06/2018]]),0,Tabla7[[#This Row],[15/06/2018]])</f>
        <v>19980</v>
      </c>
      <c r="BC141">
        <f>IF(ISBLANK(Tabla7[[#This Row],[15/07/2018]]),0,Tabla7[[#This Row],[15/07/2018]])</f>
        <v>20051</v>
      </c>
      <c r="BD141">
        <f>IF(ISBLANK(Tabla7[[#This Row],[15/08/2018]]),0,Tabla7[[#This Row],[15/08/2018]])</f>
        <v>20155</v>
      </c>
      <c r="BE141">
        <f>IF(ISBLANK(Tabla7[[#This Row],[15/09/2018]]),0,Tabla7[[#This Row],[15/09/2018]])</f>
        <v>20266</v>
      </c>
      <c r="BF141">
        <f>IF(ISBLANK(Tabla7[[#This Row],[15/10/2018]]),0,Tabla7[[#This Row],[15/10/2018]])</f>
        <v>20389</v>
      </c>
      <c r="BG141">
        <f>IF(ISBLANK(Tabla7[[#This Row],[15/11/2018]]),0,Tabla7[[#This Row],[15/11/2018]])</f>
        <v>20521</v>
      </c>
      <c r="BH141">
        <f>IF(ISBLANK(Tabla7[[#This Row],[15/12/2018]]),0,Tabla7[[#This Row],[15/12/2018]])</f>
        <v>20675</v>
      </c>
      <c r="BI141">
        <f>IF(ISBLANK(Tabla7[[#This Row],[28/12/2018]]),0,Tabla7[[#This Row],[28/12/2018]])</f>
        <v>0</v>
      </c>
      <c r="BN14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('BGNQCB1010527478','S','SCT07','2','Alumbrado viales CT7','INTERIOR CT','','');</v>
      </c>
      <c r="BO141" t="s">
        <v>243</v>
      </c>
      <c r="BP141" s="632" t="str">
        <f>CONCATENATE("insert into lecturas values ","('",Tabla7[[#This Row],[CONTADOR]],"',STR_TO_DATE('",Tabla7[[#Headers],[31/12/2017]],"','%d/%m/%Y'),",AV141,"),","('",Tabla7[[#This Row],[CONTADOR]],"',STR_TO_DATE('",Tabla7[[#Headers],[15/01/2018]],"','%d/%m/%Y'),",AW141,"),","('",Tabla7[[#This Row],[CONTADOR]],"',STR_TO_DATE('",Tabla7[[#Headers],[15/02/2018]],"','%d/%m/%Y'),",AX141,"),","('",Tabla7[[#This Row],[CONTADOR]],"',STR_TO_DATE('",Tabla7[[#Headers],[15/03/2018]],"','%d/%m/%Y'),",AY141,"),","('",Tabla7[[#This Row],[CONTADOR]],"',STR_TO_DATE('",Tabla7[[#Headers],[15/04/2018]],"','%d/%m/%Y'),",AZ141,"),","('",Tabla7[[#This Row],[CONTADOR]],"',STR_TO_DATE('",Tabla7[[#Headers],[15/05/2018]],"','%d/%m/%Y'),",BA141,"),","('",Tabla7[[#This Row],[CONTADOR]],"',STR_TO_DATE('",Tabla7[[#Headers],[15/06/2018]],"','%d/%m/%Y'),",BB141,"),","('",Tabla7[[#This Row],[CONTADOR]],"',STR_TO_DATE('",Tabla7[[#Headers],[15/07/2018]],"','%d/%m/%Y'),",BC141,"),","('",Tabla7[[#This Row],[CONTADOR]],"',STR_TO_DATE('",Tabla7[[#Headers],[15/08/2018]],"','%d/%m/%Y'),",BD141,"),","('",Tabla7[[#This Row],[CONTADOR]],"',STR_TO_DATE('",Tabla7[[#Headers],[15/09/2018]],"','%d/%m/%Y'),",BE141,"),","('",Tabla7[[#This Row],[CONTADOR]],"',STR_TO_DATE('",Tabla7[[#Headers],[15/10/2018]],"','%d/%m/%Y'),",BF141,"),","('",Tabla7[[#This Row],[CONTADOR]],"',STR_TO_DATE('",Tabla7[[#Headers],[15/11/2018]],"','%d/%m/%Y'),",BG141,"),","('",Tabla7[[#This Row],[CONTADOR]],"',STR_TO_DATE('",Tabla7[[#Headers],[15/12/2018]],"','%d/%m/%Y'),",BH141,");")</f>
        <v>insert into lecturas values ('BGNQCB1010527478',STR_TO_DATE('31/12/2017','%d/%m/%Y'),19281),('BGNQCB1010527478',STR_TO_DATE('15/01/2018','%d/%m/%Y'),19373),('BGNQCB1010527478',STR_TO_DATE('15/02/2018','%d/%m/%Y'),19515),('BGNQCB1010527478',STR_TO_DATE('15/03/2018','%d/%m/%Y'),19634),('BGNQCB1010527478',STR_TO_DATE('15/04/2018','%d/%m/%Y'),19763),('BGNQCB1010527478',STR_TO_DATE('15/05/2018','%d/%m/%Y'),19872),('BGNQCB1010527478',STR_TO_DATE('15/06/2018','%d/%m/%Y'),19980),('BGNQCB1010527478',STR_TO_DATE('15/07/2018','%d/%m/%Y'),20051),('BGNQCB1010527478',STR_TO_DATE('15/08/2018','%d/%m/%Y'),20155),('BGNQCB1010527478',STR_TO_DATE('15/09/2018','%d/%m/%Y'),20266),('BGNQCB1010527478',STR_TO_DATE('15/10/2018','%d/%m/%Y'),20389),('BGNQCB1010527478',STR_TO_DATE('15/11/2018','%d/%m/%Y'),20521),('BGNQCB1010527478',STR_TO_DATE('15/12/2018','%d/%m/%Y'),20675);</v>
      </c>
    </row>
    <row r="142" spans="1:68" ht="18" customHeight="1" x14ac:dyDescent="0.3">
      <c r="A142" s="241" t="s">
        <v>534</v>
      </c>
      <c r="B142" s="60"/>
      <c r="C142" s="223" t="s">
        <v>1168</v>
      </c>
      <c r="D142" s="60" t="s">
        <v>579</v>
      </c>
      <c r="E142" s="258">
        <v>2</v>
      </c>
      <c r="F142" s="274" t="s">
        <v>1163</v>
      </c>
      <c r="G142" s="274" t="s">
        <v>47</v>
      </c>
      <c r="H142" s="274"/>
      <c r="I142" s="274"/>
      <c r="J142" s="311"/>
      <c r="K142" s="311"/>
      <c r="L142" s="311">
        <v>447821</v>
      </c>
      <c r="M142" s="311"/>
      <c r="N142" s="311"/>
      <c r="O142" s="311"/>
      <c r="P142" s="311"/>
      <c r="Q142" s="353">
        <v>0</v>
      </c>
      <c r="R142" s="353"/>
      <c r="S142" s="353"/>
      <c r="T142" s="353"/>
      <c r="U142" s="353">
        <v>0</v>
      </c>
      <c r="V142" s="353"/>
      <c r="W142" s="344"/>
      <c r="X142" s="307"/>
      <c r="Y142" s="2" t="str">
        <f t="shared" si="47"/>
        <v/>
      </c>
      <c r="Z142" s="2" t="str">
        <f t="shared" si="46"/>
        <v/>
      </c>
      <c r="AA142" s="2" t="str">
        <f t="shared" si="48"/>
        <v/>
      </c>
      <c r="AB142" s="2" t="str">
        <f t="shared" si="49"/>
        <v/>
      </c>
      <c r="AC142" s="2" t="str">
        <f t="shared" si="54"/>
        <v/>
      </c>
      <c r="AD142" s="2" t="str">
        <f t="shared" si="55"/>
        <v/>
      </c>
      <c r="AE142" s="2" t="str">
        <f t="shared" si="56"/>
        <v/>
      </c>
      <c r="AF142" s="2" t="str">
        <f t="shared" si="57"/>
        <v/>
      </c>
      <c r="AG142" s="2" t="str">
        <f t="shared" si="58"/>
        <v/>
      </c>
      <c r="AH142" s="271" t="str">
        <f t="shared" si="61"/>
        <v/>
      </c>
      <c r="AI142" s="2" t="str">
        <f t="shared" si="59"/>
        <v/>
      </c>
      <c r="AJ142" s="2" t="str">
        <f t="shared" si="60"/>
        <v/>
      </c>
      <c r="AK142" s="420">
        <v>1</v>
      </c>
      <c r="AL142" s="429">
        <f t="shared" ca="1" si="50"/>
        <v>0</v>
      </c>
      <c r="AM142" s="311">
        <f t="shared" ca="1" si="51"/>
        <v>0</v>
      </c>
      <c r="AN142" s="412" t="str">
        <f ca="1">IF(AND(Tabla7[[#This Row],[UltLec]]&lt;&gt;0,Tabla7[[#This Row],[PenLect]]&lt;&gt;0),(AM142-AL142)*Tabla7[[#This Row],[RT]],"N/A")</f>
        <v>N/A</v>
      </c>
      <c r="AO142" s="273" t="s">
        <v>1135</v>
      </c>
      <c r="AP142" s="392" t="s">
        <v>1190</v>
      </c>
      <c r="AQ142" s="392" t="s">
        <v>1189</v>
      </c>
      <c r="AR142" s="407">
        <f t="shared" si="52"/>
        <v>0</v>
      </c>
      <c r="AT142" s="2" t="e">
        <f t="shared" ca="1" si="53"/>
        <v>#VALUE!</v>
      </c>
      <c r="AV142">
        <f>IF(ISBLANK(Tabla7[[#This Row],[31/12/2017]]),0,Tabla7[[#This Row],[31/12/2017]])</f>
        <v>0</v>
      </c>
      <c r="AW142">
        <f>IF(ISBLANK(Tabla7[[#This Row],[15/01/2018]]),0,Tabla7[[#This Row],[15/01/2018]])</f>
        <v>0</v>
      </c>
      <c r="AX142">
        <f>IF(ISBLANK(Tabla7[[#This Row],[15/02/2018]]),0,Tabla7[[#This Row],[15/02/2018]])</f>
        <v>447821</v>
      </c>
      <c r="AY142">
        <f>IF(ISBLANK(Tabla7[[#This Row],[15/03/2018]]),0,Tabla7[[#This Row],[15/03/2018]])</f>
        <v>0</v>
      </c>
      <c r="AZ142">
        <f>IF(ISBLANK(Tabla7[[#This Row],[15/04/2018]]),0,Tabla7[[#This Row],[15/04/2018]])</f>
        <v>0</v>
      </c>
      <c r="BA142">
        <f>IF(ISBLANK(Tabla7[[#This Row],[15/05/2018]]),0,Tabla7[[#This Row],[15/05/2018]])</f>
        <v>0</v>
      </c>
      <c r="BB142">
        <f>IF(ISBLANK(Tabla7[[#This Row],[15/06/2018]]),0,Tabla7[[#This Row],[15/06/2018]])</f>
        <v>0</v>
      </c>
      <c r="BC142">
        <f>IF(ISBLANK(Tabla7[[#This Row],[15/07/2018]]),0,Tabla7[[#This Row],[15/07/2018]])</f>
        <v>0</v>
      </c>
      <c r="BD142">
        <f>IF(ISBLANK(Tabla7[[#This Row],[15/08/2018]]),0,Tabla7[[#This Row],[15/08/2018]])</f>
        <v>0</v>
      </c>
      <c r="BE142">
        <f>IF(ISBLANK(Tabla7[[#This Row],[15/09/2018]]),0,Tabla7[[#This Row],[15/09/2018]])</f>
        <v>0</v>
      </c>
      <c r="BF142">
        <f>IF(ISBLANK(Tabla7[[#This Row],[15/10/2018]]),0,Tabla7[[#This Row],[15/10/2018]])</f>
        <v>0</v>
      </c>
      <c r="BG142">
        <f>IF(ISBLANK(Tabla7[[#This Row],[15/11/2018]]),0,Tabla7[[#This Row],[15/11/2018]])</f>
        <v>0</v>
      </c>
      <c r="BH142">
        <f>IF(ISBLANK(Tabla7[[#This Row],[15/12/2018]]),0,Tabla7[[#This Row],[15/12/2018]])</f>
        <v>0</v>
      </c>
      <c r="BI142">
        <f>IF(ISBLANK(Tabla7[[#This Row],[28/12/2018]]),0,Tabla7[[#This Row],[28/12/2018]])</f>
        <v>0</v>
      </c>
      <c r="BN14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('PM44D89C85','S','SCT07','2','GENERAL CT 7','INTERIOR CT','','');</v>
      </c>
      <c r="BO142" t="s">
        <v>243</v>
      </c>
      <c r="BP142" s="632" t="str">
        <f>CONCATENATE("insert into lecturas values ","('",Tabla7[[#This Row],[CONTADOR]],"',STR_TO_DATE('",Tabla7[[#Headers],[31/12/2017]],"','%d/%m/%Y'),",AV142,"),","('",Tabla7[[#This Row],[CONTADOR]],"',STR_TO_DATE('",Tabla7[[#Headers],[15/01/2018]],"','%d/%m/%Y'),",AW142,"),","('",Tabla7[[#This Row],[CONTADOR]],"',STR_TO_DATE('",Tabla7[[#Headers],[15/02/2018]],"','%d/%m/%Y'),",AX142,"),","('",Tabla7[[#This Row],[CONTADOR]],"',STR_TO_DATE('",Tabla7[[#Headers],[15/03/2018]],"','%d/%m/%Y'),",AY142,"),","('",Tabla7[[#This Row],[CONTADOR]],"',STR_TO_DATE('",Tabla7[[#Headers],[15/04/2018]],"','%d/%m/%Y'),",AZ142,"),","('",Tabla7[[#This Row],[CONTADOR]],"',STR_TO_DATE('",Tabla7[[#Headers],[15/05/2018]],"','%d/%m/%Y'),",BA142,"),","('",Tabla7[[#This Row],[CONTADOR]],"',STR_TO_DATE('",Tabla7[[#Headers],[15/06/2018]],"','%d/%m/%Y'),",BB142,"),","('",Tabla7[[#This Row],[CONTADOR]],"',STR_TO_DATE('",Tabla7[[#Headers],[15/07/2018]],"','%d/%m/%Y'),",BC142,"),","('",Tabla7[[#This Row],[CONTADOR]],"',STR_TO_DATE('",Tabla7[[#Headers],[15/08/2018]],"','%d/%m/%Y'),",BD142,"),","('",Tabla7[[#This Row],[CONTADOR]],"',STR_TO_DATE('",Tabla7[[#Headers],[15/09/2018]],"','%d/%m/%Y'),",BE142,"),","('",Tabla7[[#This Row],[CONTADOR]],"',STR_TO_DATE('",Tabla7[[#Headers],[15/10/2018]],"','%d/%m/%Y'),",BF142,"),","('",Tabla7[[#This Row],[CONTADOR]],"',STR_TO_DATE('",Tabla7[[#Headers],[15/11/2018]],"','%d/%m/%Y'),",BG142,"),","('",Tabla7[[#This Row],[CONTADOR]],"',STR_TO_DATE('",Tabla7[[#Headers],[15/12/2018]],"','%d/%m/%Y'),",BH142,");")</f>
        <v>insert into lecturas values ('PM44D89C85',STR_TO_DATE('31/12/2017','%d/%m/%Y'),0),('PM44D89C85',STR_TO_DATE('15/01/2018','%d/%m/%Y'),0),('PM44D89C85',STR_TO_DATE('15/02/2018','%d/%m/%Y'),447821),('PM44D89C85',STR_TO_DATE('15/03/2018','%d/%m/%Y'),0),('PM44D89C85',STR_TO_DATE('15/04/2018','%d/%m/%Y'),0),('PM44D89C85',STR_TO_DATE('15/05/2018','%d/%m/%Y'),0),('PM44D89C85',STR_TO_DATE('15/06/2018','%d/%m/%Y'),0),('PM44D89C85',STR_TO_DATE('15/07/2018','%d/%m/%Y'),0),('PM44D89C85',STR_TO_DATE('15/08/2018','%d/%m/%Y'),0),('PM44D89C85',STR_TO_DATE('15/09/2018','%d/%m/%Y'),0),('PM44D89C85',STR_TO_DATE('15/10/2018','%d/%m/%Y'),0),('PM44D89C85',STR_TO_DATE('15/11/2018','%d/%m/%Y'),0),('PM44D89C85',STR_TO_DATE('15/12/2018','%d/%m/%Y'),0);</v>
      </c>
    </row>
    <row r="143" spans="1:68" ht="18" customHeight="1" x14ac:dyDescent="0.3">
      <c r="A143" s="241" t="s">
        <v>534</v>
      </c>
      <c r="B143" s="60"/>
      <c r="C143" s="223" t="s">
        <v>1169</v>
      </c>
      <c r="D143" s="60" t="s">
        <v>579</v>
      </c>
      <c r="E143" s="258">
        <v>2</v>
      </c>
      <c r="F143" s="2" t="s">
        <v>1170</v>
      </c>
      <c r="G143" s="2" t="s">
        <v>47</v>
      </c>
      <c r="H143" s="274"/>
      <c r="I143" s="274"/>
      <c r="J143" s="311"/>
      <c r="K143" s="311"/>
      <c r="L143" s="311">
        <v>249153</v>
      </c>
      <c r="M143" s="311"/>
      <c r="N143" s="311"/>
      <c r="O143" s="311"/>
      <c r="P143" s="311"/>
      <c r="Q143" s="353">
        <v>0</v>
      </c>
      <c r="R143" s="353"/>
      <c r="S143" s="353"/>
      <c r="T143" s="353"/>
      <c r="U143" s="353">
        <v>0</v>
      </c>
      <c r="V143" s="353"/>
      <c r="W143" s="344"/>
      <c r="X143" s="307"/>
      <c r="Y143" s="2" t="str">
        <f t="shared" si="47"/>
        <v/>
      </c>
      <c r="Z143" s="2" t="str">
        <f t="shared" si="46"/>
        <v/>
      </c>
      <c r="AA143" s="2" t="str">
        <f t="shared" si="48"/>
        <v/>
      </c>
      <c r="AB143" s="2" t="str">
        <f t="shared" si="49"/>
        <v/>
      </c>
      <c r="AC143" s="2" t="str">
        <f t="shared" si="54"/>
        <v/>
      </c>
      <c r="AD143" s="2" t="str">
        <f t="shared" si="55"/>
        <v/>
      </c>
      <c r="AE143" s="2" t="str">
        <f t="shared" si="56"/>
        <v/>
      </c>
      <c r="AF143" s="2" t="str">
        <f t="shared" si="57"/>
        <v/>
      </c>
      <c r="AG143" s="2" t="str">
        <f t="shared" si="58"/>
        <v/>
      </c>
      <c r="AH143" s="271" t="str">
        <f t="shared" si="61"/>
        <v/>
      </c>
      <c r="AI143" s="2" t="str">
        <f t="shared" si="59"/>
        <v/>
      </c>
      <c r="AJ143" s="2" t="str">
        <f t="shared" si="60"/>
        <v/>
      </c>
      <c r="AK143" s="420">
        <v>1</v>
      </c>
      <c r="AL143" s="429">
        <f t="shared" ca="1" si="50"/>
        <v>0</v>
      </c>
      <c r="AM143" s="311">
        <f t="shared" ca="1" si="51"/>
        <v>0</v>
      </c>
      <c r="AN143" s="412" t="str">
        <f ca="1">IF(AND(Tabla7[[#This Row],[UltLec]]&lt;&gt;0,Tabla7[[#This Row],[PenLect]]&lt;&gt;0),(AM143-AL143)*Tabla7[[#This Row],[RT]],"N/A")</f>
        <v>N/A</v>
      </c>
      <c r="AO143" s="273" t="s">
        <v>1135</v>
      </c>
      <c r="AP143" s="392" t="s">
        <v>1190</v>
      </c>
      <c r="AQ143" s="392" t="s">
        <v>1189</v>
      </c>
      <c r="AR143" s="407">
        <f t="shared" si="52"/>
        <v>0</v>
      </c>
      <c r="AT143" s="2" t="e">
        <f t="shared" ca="1" si="53"/>
        <v>#VALUE!</v>
      </c>
      <c r="AV143">
        <f>IF(ISBLANK(Tabla7[[#This Row],[31/12/2017]]),0,Tabla7[[#This Row],[31/12/2017]])</f>
        <v>0</v>
      </c>
      <c r="AW143">
        <f>IF(ISBLANK(Tabla7[[#This Row],[15/01/2018]]),0,Tabla7[[#This Row],[15/01/2018]])</f>
        <v>0</v>
      </c>
      <c r="AX143">
        <f>IF(ISBLANK(Tabla7[[#This Row],[15/02/2018]]),0,Tabla7[[#This Row],[15/02/2018]])</f>
        <v>249153</v>
      </c>
      <c r="AY143">
        <f>IF(ISBLANK(Tabla7[[#This Row],[15/03/2018]]),0,Tabla7[[#This Row],[15/03/2018]])</f>
        <v>0</v>
      </c>
      <c r="AZ143">
        <f>IF(ISBLANK(Tabla7[[#This Row],[15/04/2018]]),0,Tabla7[[#This Row],[15/04/2018]])</f>
        <v>0</v>
      </c>
      <c r="BA143">
        <f>IF(ISBLANK(Tabla7[[#This Row],[15/05/2018]]),0,Tabla7[[#This Row],[15/05/2018]])</f>
        <v>0</v>
      </c>
      <c r="BB143">
        <f>IF(ISBLANK(Tabla7[[#This Row],[15/06/2018]]),0,Tabla7[[#This Row],[15/06/2018]])</f>
        <v>0</v>
      </c>
      <c r="BC143">
        <f>IF(ISBLANK(Tabla7[[#This Row],[15/07/2018]]),0,Tabla7[[#This Row],[15/07/2018]])</f>
        <v>0</v>
      </c>
      <c r="BD143">
        <f>IF(ISBLANK(Tabla7[[#This Row],[15/08/2018]]),0,Tabla7[[#This Row],[15/08/2018]])</f>
        <v>0</v>
      </c>
      <c r="BE143">
        <f>IF(ISBLANK(Tabla7[[#This Row],[15/09/2018]]),0,Tabla7[[#This Row],[15/09/2018]])</f>
        <v>0</v>
      </c>
      <c r="BF143">
        <f>IF(ISBLANK(Tabla7[[#This Row],[15/10/2018]]),0,Tabla7[[#This Row],[15/10/2018]])</f>
        <v>0</v>
      </c>
      <c r="BG143">
        <f>IF(ISBLANK(Tabla7[[#This Row],[15/11/2018]]),0,Tabla7[[#This Row],[15/11/2018]])</f>
        <v>0</v>
      </c>
      <c r="BH143">
        <f>IF(ISBLANK(Tabla7[[#This Row],[15/12/2018]]),0,Tabla7[[#This Row],[15/12/2018]])</f>
        <v>0</v>
      </c>
      <c r="BI143">
        <f>IF(ISBLANK(Tabla7[[#This Row],[28/12/2018]]),0,Tabla7[[#This Row],[28/12/2018]])</f>
        <v>0</v>
      </c>
      <c r="BN14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('PM4D3EF0E1','S','SCT07','2','VIALES CT7','INTERIOR CT','','');</v>
      </c>
      <c r="BO143" t="s">
        <v>243</v>
      </c>
      <c r="BP143" s="632" t="str">
        <f>CONCATENATE("insert into lecturas values ","('",Tabla7[[#This Row],[CONTADOR]],"',STR_TO_DATE('",Tabla7[[#Headers],[31/12/2017]],"','%d/%m/%Y'),",AV143,"),","('",Tabla7[[#This Row],[CONTADOR]],"',STR_TO_DATE('",Tabla7[[#Headers],[15/01/2018]],"','%d/%m/%Y'),",AW143,"),","('",Tabla7[[#This Row],[CONTADOR]],"',STR_TO_DATE('",Tabla7[[#Headers],[15/02/2018]],"','%d/%m/%Y'),",AX143,"),","('",Tabla7[[#This Row],[CONTADOR]],"',STR_TO_DATE('",Tabla7[[#Headers],[15/03/2018]],"','%d/%m/%Y'),",AY143,"),","('",Tabla7[[#This Row],[CONTADOR]],"',STR_TO_DATE('",Tabla7[[#Headers],[15/04/2018]],"','%d/%m/%Y'),",AZ143,"),","('",Tabla7[[#This Row],[CONTADOR]],"',STR_TO_DATE('",Tabla7[[#Headers],[15/05/2018]],"','%d/%m/%Y'),",BA143,"),","('",Tabla7[[#This Row],[CONTADOR]],"',STR_TO_DATE('",Tabla7[[#Headers],[15/06/2018]],"','%d/%m/%Y'),",BB143,"),","('",Tabla7[[#This Row],[CONTADOR]],"',STR_TO_DATE('",Tabla7[[#Headers],[15/07/2018]],"','%d/%m/%Y'),",BC143,"),","('",Tabla7[[#This Row],[CONTADOR]],"',STR_TO_DATE('",Tabla7[[#Headers],[15/08/2018]],"','%d/%m/%Y'),",BD143,"),","('",Tabla7[[#This Row],[CONTADOR]],"',STR_TO_DATE('",Tabla7[[#Headers],[15/09/2018]],"','%d/%m/%Y'),",BE143,"),","('",Tabla7[[#This Row],[CONTADOR]],"',STR_TO_DATE('",Tabla7[[#Headers],[15/10/2018]],"','%d/%m/%Y'),",BF143,"),","('",Tabla7[[#This Row],[CONTADOR]],"',STR_TO_DATE('",Tabla7[[#Headers],[15/11/2018]],"','%d/%m/%Y'),",BG143,"),","('",Tabla7[[#This Row],[CONTADOR]],"',STR_TO_DATE('",Tabla7[[#Headers],[15/12/2018]],"','%d/%m/%Y'),",BH143,");")</f>
        <v>insert into lecturas values ('PM4D3EF0E1',STR_TO_DATE('31/12/2017','%d/%m/%Y'),0),('PM4D3EF0E1',STR_TO_DATE('15/01/2018','%d/%m/%Y'),0),('PM4D3EF0E1',STR_TO_DATE('15/02/2018','%d/%m/%Y'),249153),('PM4D3EF0E1',STR_TO_DATE('15/03/2018','%d/%m/%Y'),0),('PM4D3EF0E1',STR_TO_DATE('15/04/2018','%d/%m/%Y'),0),('PM4D3EF0E1',STR_TO_DATE('15/05/2018','%d/%m/%Y'),0),('PM4D3EF0E1',STR_TO_DATE('15/06/2018','%d/%m/%Y'),0),('PM4D3EF0E1',STR_TO_DATE('15/07/2018','%d/%m/%Y'),0),('PM4D3EF0E1',STR_TO_DATE('15/08/2018','%d/%m/%Y'),0),('PM4D3EF0E1',STR_TO_DATE('15/09/2018','%d/%m/%Y'),0),('PM4D3EF0E1',STR_TO_DATE('15/10/2018','%d/%m/%Y'),0),('PM4D3EF0E1',STR_TO_DATE('15/11/2018','%d/%m/%Y'),0),('PM4D3EF0E1',STR_TO_DATE('15/12/2018','%d/%m/%Y'),0);</v>
      </c>
    </row>
    <row r="144" spans="1:68" ht="18" customHeight="1" x14ac:dyDescent="0.3">
      <c r="A144" s="241" t="s">
        <v>534</v>
      </c>
      <c r="B144" s="60"/>
      <c r="C144" s="345">
        <v>5356221</v>
      </c>
      <c r="D144" s="13" t="s">
        <v>582</v>
      </c>
      <c r="E144" s="258">
        <v>2</v>
      </c>
      <c r="F144" s="347" t="s">
        <v>1089</v>
      </c>
      <c r="G144" s="348" t="s">
        <v>583</v>
      </c>
      <c r="H144" s="274"/>
      <c r="I144" s="274"/>
      <c r="J144" s="311">
        <v>3628</v>
      </c>
      <c r="K144" s="311">
        <v>3770</v>
      </c>
      <c r="L144" s="311">
        <v>4206</v>
      </c>
      <c r="M144" s="311">
        <v>4607</v>
      </c>
      <c r="N144" s="311">
        <v>5047</v>
      </c>
      <c r="O144" s="454">
        <v>5421</v>
      </c>
      <c r="P144" s="311">
        <v>5767</v>
      </c>
      <c r="Q144" s="353">
        <v>6088</v>
      </c>
      <c r="R144" s="506">
        <v>6535</v>
      </c>
      <c r="S144" s="353">
        <v>7009</v>
      </c>
      <c r="T144" s="353">
        <v>7446</v>
      </c>
      <c r="U144" s="353">
        <v>7876</v>
      </c>
      <c r="V144" s="353">
        <v>8405</v>
      </c>
      <c r="W144" s="344"/>
      <c r="X144" s="307"/>
      <c r="Y144" s="2">
        <f t="shared" si="47"/>
        <v>142</v>
      </c>
      <c r="Z144" s="2">
        <f t="shared" si="46"/>
        <v>436</v>
      </c>
      <c r="AA144" s="2">
        <f t="shared" si="48"/>
        <v>401</v>
      </c>
      <c r="AB144" s="2">
        <f t="shared" si="49"/>
        <v>440</v>
      </c>
      <c r="AC144" s="2">
        <f t="shared" si="54"/>
        <v>374</v>
      </c>
      <c r="AD144" s="2">
        <f t="shared" si="55"/>
        <v>346</v>
      </c>
      <c r="AE144" s="2">
        <f t="shared" si="56"/>
        <v>321</v>
      </c>
      <c r="AF144" s="2">
        <f t="shared" si="57"/>
        <v>447</v>
      </c>
      <c r="AG144" s="2">
        <f t="shared" si="58"/>
        <v>474</v>
      </c>
      <c r="AH144" s="2">
        <f t="shared" si="61"/>
        <v>437</v>
      </c>
      <c r="AI144" s="2">
        <f t="shared" si="59"/>
        <v>430</v>
      </c>
      <c r="AJ144" s="2">
        <f t="shared" si="60"/>
        <v>529</v>
      </c>
      <c r="AK144" s="420">
        <v>1</v>
      </c>
      <c r="AL144" s="429">
        <f t="shared" ca="1" si="50"/>
        <v>5047</v>
      </c>
      <c r="AM144" s="311">
        <f t="shared" ca="1" si="51"/>
        <v>5421</v>
      </c>
      <c r="AN144" s="412">
        <f ca="1">IF(AND(Tabla7[[#This Row],[UltLec]]&lt;&gt;0,Tabla7[[#This Row],[PenLect]]&lt;&gt;0),(AM144-AL144)*Tabla7[[#This Row],[RT]],"N/A")</f>
        <v>374</v>
      </c>
      <c r="AO144" s="273" t="s">
        <v>1135</v>
      </c>
      <c r="AP144" s="392" t="s">
        <v>1190</v>
      </c>
      <c r="AQ144" s="392" t="s">
        <v>1189</v>
      </c>
      <c r="AR144" s="407">
        <f t="shared" si="52"/>
        <v>0</v>
      </c>
      <c r="AT144" s="2">
        <f t="shared" ca="1" si="53"/>
        <v>0.85</v>
      </c>
      <c r="AV144">
        <f>IF(ISBLANK(Tabla7[[#This Row],[31/12/2017]]),0,Tabla7[[#This Row],[31/12/2017]])</f>
        <v>3628</v>
      </c>
      <c r="AW144">
        <f>IF(ISBLANK(Tabla7[[#This Row],[15/01/2018]]),0,Tabla7[[#This Row],[15/01/2018]])</f>
        <v>3770</v>
      </c>
      <c r="AX144">
        <f>IF(ISBLANK(Tabla7[[#This Row],[15/02/2018]]),0,Tabla7[[#This Row],[15/02/2018]])</f>
        <v>4206</v>
      </c>
      <c r="AY144">
        <f>IF(ISBLANK(Tabla7[[#This Row],[15/03/2018]]),0,Tabla7[[#This Row],[15/03/2018]])</f>
        <v>4607</v>
      </c>
      <c r="AZ144">
        <f>IF(ISBLANK(Tabla7[[#This Row],[15/04/2018]]),0,Tabla7[[#This Row],[15/04/2018]])</f>
        <v>5047</v>
      </c>
      <c r="BA144">
        <f>IF(ISBLANK(Tabla7[[#This Row],[15/05/2018]]),0,Tabla7[[#This Row],[15/05/2018]])</f>
        <v>5421</v>
      </c>
      <c r="BB144">
        <f>IF(ISBLANK(Tabla7[[#This Row],[15/06/2018]]),0,Tabla7[[#This Row],[15/06/2018]])</f>
        <v>5767</v>
      </c>
      <c r="BC144">
        <f>IF(ISBLANK(Tabla7[[#This Row],[15/07/2018]]),0,Tabla7[[#This Row],[15/07/2018]])</f>
        <v>6088</v>
      </c>
      <c r="BD144">
        <f>IF(ISBLANK(Tabla7[[#This Row],[15/08/2018]]),0,Tabla7[[#This Row],[15/08/2018]])</f>
        <v>6535</v>
      </c>
      <c r="BE144">
        <f>IF(ISBLANK(Tabla7[[#This Row],[15/09/2018]]),0,Tabla7[[#This Row],[15/09/2018]])</f>
        <v>7009</v>
      </c>
      <c r="BF144">
        <f>IF(ISBLANK(Tabla7[[#This Row],[15/10/2018]]),0,Tabla7[[#This Row],[15/10/2018]])</f>
        <v>7446</v>
      </c>
      <c r="BG144">
        <f>IF(ISBLANK(Tabla7[[#This Row],[15/11/2018]]),0,Tabla7[[#This Row],[15/11/2018]])</f>
        <v>7876</v>
      </c>
      <c r="BH144">
        <f>IF(ISBLANK(Tabla7[[#This Row],[15/12/2018]]),0,Tabla7[[#This Row],[15/12/2018]])</f>
        <v>8405</v>
      </c>
      <c r="BI144">
        <f>IF(ISBLANK(Tabla7[[#This Row],[28/12/2018]]),0,Tabla7[[#This Row],[28/12/2018]])</f>
        <v>0</v>
      </c>
      <c r="BN14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('5356221','S','SCT08','2','ALUMBRADO PUBLICO TORRE ','Torre Alumbrado centro 2','','');</v>
      </c>
      <c r="BO144" t="s">
        <v>243</v>
      </c>
      <c r="BP144" s="632" t="str">
        <f>CONCATENATE("insert into lecturas values ","('",Tabla7[[#This Row],[CONTADOR]],"',STR_TO_DATE('",Tabla7[[#Headers],[31/12/2017]],"','%d/%m/%Y'),",AV144,"),","('",Tabla7[[#This Row],[CONTADOR]],"',STR_TO_DATE('",Tabla7[[#Headers],[15/01/2018]],"','%d/%m/%Y'),",AW144,"),","('",Tabla7[[#This Row],[CONTADOR]],"',STR_TO_DATE('",Tabla7[[#Headers],[15/02/2018]],"','%d/%m/%Y'),",AX144,"),","('",Tabla7[[#This Row],[CONTADOR]],"',STR_TO_DATE('",Tabla7[[#Headers],[15/03/2018]],"','%d/%m/%Y'),",AY144,"),","('",Tabla7[[#This Row],[CONTADOR]],"',STR_TO_DATE('",Tabla7[[#Headers],[15/04/2018]],"','%d/%m/%Y'),",AZ144,"),","('",Tabla7[[#This Row],[CONTADOR]],"',STR_TO_DATE('",Tabla7[[#Headers],[15/05/2018]],"','%d/%m/%Y'),",BA144,"),","('",Tabla7[[#This Row],[CONTADOR]],"',STR_TO_DATE('",Tabla7[[#Headers],[15/06/2018]],"','%d/%m/%Y'),",BB144,"),","('",Tabla7[[#This Row],[CONTADOR]],"',STR_TO_DATE('",Tabla7[[#Headers],[15/07/2018]],"','%d/%m/%Y'),",BC144,"),","('",Tabla7[[#This Row],[CONTADOR]],"',STR_TO_DATE('",Tabla7[[#Headers],[15/08/2018]],"','%d/%m/%Y'),",BD144,"),","('",Tabla7[[#This Row],[CONTADOR]],"',STR_TO_DATE('",Tabla7[[#Headers],[15/09/2018]],"','%d/%m/%Y'),",BE144,"),","('",Tabla7[[#This Row],[CONTADOR]],"',STR_TO_DATE('",Tabla7[[#Headers],[15/10/2018]],"','%d/%m/%Y'),",BF144,"),","('",Tabla7[[#This Row],[CONTADOR]],"',STR_TO_DATE('",Tabla7[[#Headers],[15/11/2018]],"','%d/%m/%Y'),",BG144,"),","('",Tabla7[[#This Row],[CONTADOR]],"',STR_TO_DATE('",Tabla7[[#Headers],[15/12/2018]],"','%d/%m/%Y'),",BH144,");")</f>
        <v>insert into lecturas values ('5356221',STR_TO_DATE('31/12/2017','%d/%m/%Y'),3628),('5356221',STR_TO_DATE('15/01/2018','%d/%m/%Y'),3770),('5356221',STR_TO_DATE('15/02/2018','%d/%m/%Y'),4206),('5356221',STR_TO_DATE('15/03/2018','%d/%m/%Y'),4607),('5356221',STR_TO_DATE('15/04/2018','%d/%m/%Y'),5047),('5356221',STR_TO_DATE('15/05/2018','%d/%m/%Y'),5421),('5356221',STR_TO_DATE('15/06/2018','%d/%m/%Y'),5767),('5356221',STR_TO_DATE('15/07/2018','%d/%m/%Y'),6088),('5356221',STR_TO_DATE('15/08/2018','%d/%m/%Y'),6535),('5356221',STR_TO_DATE('15/09/2018','%d/%m/%Y'),7009),('5356221',STR_TO_DATE('15/10/2018','%d/%m/%Y'),7446),('5356221',STR_TO_DATE('15/11/2018','%d/%m/%Y'),7876),('5356221',STR_TO_DATE('15/12/2018','%d/%m/%Y'),8405);</v>
      </c>
    </row>
    <row r="145" spans="1:68" ht="18" customHeight="1" x14ac:dyDescent="0.3">
      <c r="A145" s="241" t="s">
        <v>534</v>
      </c>
      <c r="B145" s="60"/>
      <c r="C145" s="223">
        <v>5356224</v>
      </c>
      <c r="D145" s="60" t="s">
        <v>582</v>
      </c>
      <c r="E145" s="258">
        <v>2</v>
      </c>
      <c r="F145" s="274" t="s">
        <v>584</v>
      </c>
      <c r="G145" s="2" t="s">
        <v>47</v>
      </c>
      <c r="H145" s="2"/>
      <c r="I145" s="274"/>
      <c r="J145" s="311">
        <v>5392</v>
      </c>
      <c r="K145" s="311">
        <v>5421</v>
      </c>
      <c r="L145" s="311">
        <v>5462</v>
      </c>
      <c r="M145" s="311">
        <v>5495</v>
      </c>
      <c r="N145" s="311">
        <v>5530</v>
      </c>
      <c r="O145" s="454">
        <v>5558</v>
      </c>
      <c r="P145" s="311">
        <v>5585</v>
      </c>
      <c r="Q145" s="353">
        <v>5603</v>
      </c>
      <c r="R145" s="505">
        <v>5629</v>
      </c>
      <c r="S145" s="353">
        <v>5657</v>
      </c>
      <c r="T145" s="353">
        <v>5685</v>
      </c>
      <c r="U145" s="353">
        <v>5713</v>
      </c>
      <c r="V145" s="353">
        <v>5746</v>
      </c>
      <c r="W145" s="344"/>
      <c r="X145" s="307"/>
      <c r="Y145" s="2">
        <f t="shared" si="47"/>
        <v>29</v>
      </c>
      <c r="Z145" s="2">
        <f t="shared" si="46"/>
        <v>41</v>
      </c>
      <c r="AA145" s="2">
        <f t="shared" si="48"/>
        <v>33</v>
      </c>
      <c r="AB145" s="2">
        <f t="shared" si="49"/>
        <v>35</v>
      </c>
      <c r="AC145" s="2">
        <f t="shared" si="54"/>
        <v>28</v>
      </c>
      <c r="AD145" s="2">
        <f t="shared" si="55"/>
        <v>27</v>
      </c>
      <c r="AE145" s="2">
        <f t="shared" si="56"/>
        <v>18</v>
      </c>
      <c r="AF145" s="2">
        <f t="shared" si="57"/>
        <v>26</v>
      </c>
      <c r="AG145" s="2">
        <f t="shared" si="58"/>
        <v>28</v>
      </c>
      <c r="AH145" s="2">
        <f t="shared" si="61"/>
        <v>28</v>
      </c>
      <c r="AI145" s="2">
        <f t="shared" si="59"/>
        <v>28</v>
      </c>
      <c r="AJ145" s="2">
        <f t="shared" si="60"/>
        <v>33</v>
      </c>
      <c r="AK145" s="420">
        <v>1</v>
      </c>
      <c r="AL145" s="307">
        <f t="shared" ca="1" si="50"/>
        <v>5530</v>
      </c>
      <c r="AM145" s="311">
        <f t="shared" ca="1" si="51"/>
        <v>5558</v>
      </c>
      <c r="AN145" s="274">
        <f ca="1">IF(AND(Tabla7[[#This Row],[UltLec]]&lt;&gt;0,Tabla7[[#This Row],[PenLect]]&lt;&gt;0),(AM145-AL145)*Tabla7[[#This Row],[RT]],"N/A")</f>
        <v>28</v>
      </c>
      <c r="AO145" s="273" t="s">
        <v>1135</v>
      </c>
      <c r="AP145" s="392" t="s">
        <v>1190</v>
      </c>
      <c r="AQ145" s="392" t="s">
        <v>1189</v>
      </c>
      <c r="AR145" s="407">
        <f t="shared" si="52"/>
        <v>0</v>
      </c>
      <c r="AT145" s="2">
        <f t="shared" ca="1" si="53"/>
        <v>0.8</v>
      </c>
      <c r="AV145">
        <f>IF(ISBLANK(Tabla7[[#This Row],[31/12/2017]]),0,Tabla7[[#This Row],[31/12/2017]])</f>
        <v>5392</v>
      </c>
      <c r="AW145">
        <f>IF(ISBLANK(Tabla7[[#This Row],[15/01/2018]]),0,Tabla7[[#This Row],[15/01/2018]])</f>
        <v>5421</v>
      </c>
      <c r="AX145">
        <f>IF(ISBLANK(Tabla7[[#This Row],[15/02/2018]]),0,Tabla7[[#This Row],[15/02/2018]])</f>
        <v>5462</v>
      </c>
      <c r="AY145">
        <f>IF(ISBLANK(Tabla7[[#This Row],[15/03/2018]]),0,Tabla7[[#This Row],[15/03/2018]])</f>
        <v>5495</v>
      </c>
      <c r="AZ145">
        <f>IF(ISBLANK(Tabla7[[#This Row],[15/04/2018]]),0,Tabla7[[#This Row],[15/04/2018]])</f>
        <v>5530</v>
      </c>
      <c r="BA145">
        <f>IF(ISBLANK(Tabla7[[#This Row],[15/05/2018]]),0,Tabla7[[#This Row],[15/05/2018]])</f>
        <v>5558</v>
      </c>
      <c r="BB145">
        <f>IF(ISBLANK(Tabla7[[#This Row],[15/06/2018]]),0,Tabla7[[#This Row],[15/06/2018]])</f>
        <v>5585</v>
      </c>
      <c r="BC145">
        <f>IF(ISBLANK(Tabla7[[#This Row],[15/07/2018]]),0,Tabla7[[#This Row],[15/07/2018]])</f>
        <v>5603</v>
      </c>
      <c r="BD145">
        <f>IF(ISBLANK(Tabla7[[#This Row],[15/08/2018]]),0,Tabla7[[#This Row],[15/08/2018]])</f>
        <v>5629</v>
      </c>
      <c r="BE145">
        <f>IF(ISBLANK(Tabla7[[#This Row],[15/09/2018]]),0,Tabla7[[#This Row],[15/09/2018]])</f>
        <v>5657</v>
      </c>
      <c r="BF145">
        <f>IF(ISBLANK(Tabla7[[#This Row],[15/10/2018]]),0,Tabla7[[#This Row],[15/10/2018]])</f>
        <v>5685</v>
      </c>
      <c r="BG145">
        <f>IF(ISBLANK(Tabla7[[#This Row],[15/11/2018]]),0,Tabla7[[#This Row],[15/11/2018]])</f>
        <v>5713</v>
      </c>
      <c r="BH145">
        <f>IF(ISBLANK(Tabla7[[#This Row],[15/12/2018]]),0,Tabla7[[#This Row],[15/12/2018]])</f>
        <v>5746</v>
      </c>
      <c r="BI145">
        <f>IF(ISBLANK(Tabla7[[#This Row],[28/12/2018]]),0,Tabla7[[#This Row],[28/12/2018]])</f>
        <v>0</v>
      </c>
      <c r="BN14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('5356224','S','SCT08','2','Alumbrado viales CT8','INTERIOR CT','','');</v>
      </c>
      <c r="BO145" t="s">
        <v>243</v>
      </c>
      <c r="BP145" s="632" t="str">
        <f>CONCATENATE("insert into lecturas values ","('",Tabla7[[#This Row],[CONTADOR]],"',STR_TO_DATE('",Tabla7[[#Headers],[31/12/2017]],"','%d/%m/%Y'),",AV145,"),","('",Tabla7[[#This Row],[CONTADOR]],"',STR_TO_DATE('",Tabla7[[#Headers],[15/01/2018]],"','%d/%m/%Y'),",AW145,"),","('",Tabla7[[#This Row],[CONTADOR]],"',STR_TO_DATE('",Tabla7[[#Headers],[15/02/2018]],"','%d/%m/%Y'),",AX145,"),","('",Tabla7[[#This Row],[CONTADOR]],"',STR_TO_DATE('",Tabla7[[#Headers],[15/03/2018]],"','%d/%m/%Y'),",AY145,"),","('",Tabla7[[#This Row],[CONTADOR]],"',STR_TO_DATE('",Tabla7[[#Headers],[15/04/2018]],"','%d/%m/%Y'),",AZ145,"),","('",Tabla7[[#This Row],[CONTADOR]],"',STR_TO_DATE('",Tabla7[[#Headers],[15/05/2018]],"','%d/%m/%Y'),",BA145,"),","('",Tabla7[[#This Row],[CONTADOR]],"',STR_TO_DATE('",Tabla7[[#Headers],[15/06/2018]],"','%d/%m/%Y'),",BB145,"),","('",Tabla7[[#This Row],[CONTADOR]],"',STR_TO_DATE('",Tabla7[[#Headers],[15/07/2018]],"','%d/%m/%Y'),",BC145,"),","('",Tabla7[[#This Row],[CONTADOR]],"',STR_TO_DATE('",Tabla7[[#Headers],[15/08/2018]],"','%d/%m/%Y'),",BD145,"),","('",Tabla7[[#This Row],[CONTADOR]],"',STR_TO_DATE('",Tabla7[[#Headers],[15/09/2018]],"','%d/%m/%Y'),",BE145,"),","('",Tabla7[[#This Row],[CONTADOR]],"',STR_TO_DATE('",Tabla7[[#Headers],[15/10/2018]],"','%d/%m/%Y'),",BF145,"),","('",Tabla7[[#This Row],[CONTADOR]],"',STR_TO_DATE('",Tabla7[[#Headers],[15/11/2018]],"','%d/%m/%Y'),",BG145,"),","('",Tabla7[[#This Row],[CONTADOR]],"',STR_TO_DATE('",Tabla7[[#Headers],[15/12/2018]],"','%d/%m/%Y'),",BH145,");")</f>
        <v>insert into lecturas values ('5356224',STR_TO_DATE('31/12/2017','%d/%m/%Y'),5392),('5356224',STR_TO_DATE('15/01/2018','%d/%m/%Y'),5421),('5356224',STR_TO_DATE('15/02/2018','%d/%m/%Y'),5462),('5356224',STR_TO_DATE('15/03/2018','%d/%m/%Y'),5495),('5356224',STR_TO_DATE('15/04/2018','%d/%m/%Y'),5530),('5356224',STR_TO_DATE('15/05/2018','%d/%m/%Y'),5558),('5356224',STR_TO_DATE('15/06/2018','%d/%m/%Y'),5585),('5356224',STR_TO_DATE('15/07/2018','%d/%m/%Y'),5603),('5356224',STR_TO_DATE('15/08/2018','%d/%m/%Y'),5629),('5356224',STR_TO_DATE('15/09/2018','%d/%m/%Y'),5657),('5356224',STR_TO_DATE('15/10/2018','%d/%m/%Y'),5685),('5356224',STR_TO_DATE('15/11/2018','%d/%m/%Y'),5713),('5356224',STR_TO_DATE('15/12/2018','%d/%m/%Y'),5746);</v>
      </c>
    </row>
    <row r="146" spans="1:68" ht="18" customHeight="1" x14ac:dyDescent="0.25">
      <c r="A146" s="241" t="s">
        <v>534</v>
      </c>
      <c r="B146" s="60"/>
      <c r="C146" s="223" t="s">
        <v>1456</v>
      </c>
      <c r="D146" s="60" t="s">
        <v>582</v>
      </c>
      <c r="E146" s="258">
        <v>39311</v>
      </c>
      <c r="F146" s="274" t="s">
        <v>146</v>
      </c>
      <c r="G146" s="274" t="s">
        <v>1458</v>
      </c>
      <c r="H146" s="274"/>
      <c r="I146" s="274"/>
      <c r="J146" s="311"/>
      <c r="K146" s="311"/>
      <c r="L146" s="311"/>
      <c r="M146" s="311"/>
      <c r="N146" s="311"/>
      <c r="O146" s="454"/>
      <c r="P146" s="311"/>
      <c r="Q146" s="307"/>
      <c r="R146" s="505"/>
      <c r="S146" s="353">
        <v>0</v>
      </c>
      <c r="T146" s="353">
        <v>3344</v>
      </c>
      <c r="U146" s="353">
        <v>3765</v>
      </c>
      <c r="V146" s="353">
        <v>4350</v>
      </c>
      <c r="W146" s="321"/>
      <c r="X146" s="307"/>
      <c r="Y146" s="274" t="str">
        <f t="shared" si="47"/>
        <v/>
      </c>
      <c r="Z146" s="274" t="str">
        <f t="shared" si="46"/>
        <v/>
      </c>
      <c r="AA146" s="274" t="str">
        <f>IF(OR(ISBLANK(#REF!),ISBLANK(L146)),"",IF(AND(#REF!&gt;=L146,#REF!-L146&lt;=#REF!),(#REF!-L146)*$AK146,"!!!!"))</f>
        <v/>
      </c>
      <c r="AB146" s="274" t="str">
        <f>IF(OR(ISBLANK(N146),ISBLANK(#REF!)),"",IF(AND(N146&gt;=#REF!,N146-#REF!&lt;=N146),(N146-#REF!)*$AK146,"!!!!"))</f>
        <v/>
      </c>
      <c r="AC146" s="274" t="str">
        <f t="shared" si="54"/>
        <v/>
      </c>
      <c r="AD146" s="274" t="str">
        <f t="shared" si="55"/>
        <v/>
      </c>
      <c r="AE146" s="274" t="str">
        <f t="shared" si="56"/>
        <v/>
      </c>
      <c r="AF146" s="274" t="str">
        <f t="shared" si="57"/>
        <v/>
      </c>
      <c r="AG146" s="274" t="str">
        <f t="shared" si="58"/>
        <v/>
      </c>
      <c r="AH146" s="274">
        <f t="shared" si="61"/>
        <v>3344</v>
      </c>
      <c r="AI146" s="274">
        <f t="shared" si="59"/>
        <v>421</v>
      </c>
      <c r="AJ146" s="274">
        <f t="shared" si="60"/>
        <v>585</v>
      </c>
      <c r="AK146" s="416">
        <v>1</v>
      </c>
      <c r="AL146" s="417">
        <f t="shared" ca="1" si="50"/>
        <v>0</v>
      </c>
      <c r="AM146" s="311">
        <f t="shared" ca="1" si="51"/>
        <v>0</v>
      </c>
      <c r="AN146" s="274" t="str">
        <f ca="1">IF(AND(Tabla7[[#This Row],[UltLec]]&lt;&gt;0,Tabla7[[#This Row],[PenLect]]&lt;&gt;0),(AM146-AL146)*Tabla7[[#This Row],[RT]],"N/A")</f>
        <v>N/A</v>
      </c>
      <c r="AO146" s="273" t="s">
        <v>1135</v>
      </c>
      <c r="AP146" s="392" t="s">
        <v>1190</v>
      </c>
      <c r="AQ146" s="392" t="s">
        <v>1193</v>
      </c>
      <c r="AR146" s="407">
        <f t="shared" si="52"/>
        <v>0</v>
      </c>
      <c r="AT146" s="2" t="e">
        <f t="shared" ca="1" si="53"/>
        <v>#VALUE!</v>
      </c>
      <c r="AV146">
        <f>IF(ISBLANK(Tabla7[[#This Row],[31/12/2017]]),0,Tabla7[[#This Row],[31/12/2017]])</f>
        <v>0</v>
      </c>
      <c r="AW146">
        <f>IF(ISBLANK(Tabla7[[#This Row],[15/01/2018]]),0,Tabla7[[#This Row],[15/01/2018]])</f>
        <v>0</v>
      </c>
      <c r="AX146">
        <f>IF(ISBLANK(Tabla7[[#This Row],[15/02/2018]]),0,Tabla7[[#This Row],[15/02/2018]])</f>
        <v>0</v>
      </c>
      <c r="AY146">
        <f>IF(ISBLANK(Tabla7[[#This Row],[15/03/2018]]),0,Tabla7[[#This Row],[15/03/2018]])</f>
        <v>0</v>
      </c>
      <c r="AZ146">
        <f>IF(ISBLANK(Tabla7[[#This Row],[15/04/2018]]),0,Tabla7[[#This Row],[15/04/2018]])</f>
        <v>0</v>
      </c>
      <c r="BA146">
        <f>IF(ISBLANK(Tabla7[[#This Row],[15/05/2018]]),0,Tabla7[[#This Row],[15/05/2018]])</f>
        <v>0</v>
      </c>
      <c r="BB146">
        <f>IF(ISBLANK(Tabla7[[#This Row],[15/06/2018]]),0,Tabla7[[#This Row],[15/06/2018]])</f>
        <v>0</v>
      </c>
      <c r="BC146">
        <f>IF(ISBLANK(Tabla7[[#This Row],[15/07/2018]]),0,Tabla7[[#This Row],[15/07/2018]])</f>
        <v>0</v>
      </c>
      <c r="BD146">
        <f>IF(ISBLANK(Tabla7[[#This Row],[15/08/2018]]),0,Tabla7[[#This Row],[15/08/2018]])</f>
        <v>0</v>
      </c>
      <c r="BE146">
        <f>IF(ISBLANK(Tabla7[[#This Row],[15/09/2018]]),0,Tabla7[[#This Row],[15/09/2018]])</f>
        <v>0</v>
      </c>
      <c r="BF146">
        <f>IF(ISBLANK(Tabla7[[#This Row],[15/10/2018]]),0,Tabla7[[#This Row],[15/10/2018]])</f>
        <v>3344</v>
      </c>
      <c r="BG146">
        <f>IF(ISBLANK(Tabla7[[#This Row],[15/11/2018]]),0,Tabla7[[#This Row],[15/11/2018]])</f>
        <v>3765</v>
      </c>
      <c r="BH146">
        <f>IF(ISBLANK(Tabla7[[#This Row],[15/12/2018]]),0,Tabla7[[#This Row],[15/12/2018]])</f>
        <v>4350</v>
      </c>
      <c r="BI146">
        <f>IF(ISBLANK(Tabla7[[#This Row],[28/12/2018]]),0,Tabla7[[#This Row],[28/12/2018]])</f>
        <v>0</v>
      </c>
      <c r="BN14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('A9MEM-2015-CC2','S','SCT08','39311','VALENCIA TERMINAL EUROPA, S.A.','CASETA en Muelle Centro 2','','');</v>
      </c>
      <c r="BO146" t="s">
        <v>243</v>
      </c>
      <c r="BP146" s="632" t="str">
        <f>CONCATENATE("insert into lecturas values ","('",Tabla7[[#This Row],[CONTADOR]],"',STR_TO_DATE('",Tabla7[[#Headers],[31/12/2017]],"','%d/%m/%Y'),",AV146,"),","('",Tabla7[[#This Row],[CONTADOR]],"',STR_TO_DATE('",Tabla7[[#Headers],[15/01/2018]],"','%d/%m/%Y'),",AW146,"),","('",Tabla7[[#This Row],[CONTADOR]],"',STR_TO_DATE('",Tabla7[[#Headers],[15/02/2018]],"','%d/%m/%Y'),",AX146,"),","('",Tabla7[[#This Row],[CONTADOR]],"',STR_TO_DATE('",Tabla7[[#Headers],[15/03/2018]],"','%d/%m/%Y'),",AY146,"),","('",Tabla7[[#This Row],[CONTADOR]],"',STR_TO_DATE('",Tabla7[[#Headers],[15/04/2018]],"','%d/%m/%Y'),",AZ146,"),","('",Tabla7[[#This Row],[CONTADOR]],"',STR_TO_DATE('",Tabla7[[#Headers],[15/05/2018]],"','%d/%m/%Y'),",BA146,"),","('",Tabla7[[#This Row],[CONTADOR]],"',STR_TO_DATE('",Tabla7[[#Headers],[15/06/2018]],"','%d/%m/%Y'),",BB146,"),","('",Tabla7[[#This Row],[CONTADOR]],"',STR_TO_DATE('",Tabla7[[#Headers],[15/07/2018]],"','%d/%m/%Y'),",BC146,"),","('",Tabla7[[#This Row],[CONTADOR]],"',STR_TO_DATE('",Tabla7[[#Headers],[15/08/2018]],"','%d/%m/%Y'),",BD146,"),","('",Tabla7[[#This Row],[CONTADOR]],"',STR_TO_DATE('",Tabla7[[#Headers],[15/09/2018]],"','%d/%m/%Y'),",BE146,"),","('",Tabla7[[#This Row],[CONTADOR]],"',STR_TO_DATE('",Tabla7[[#Headers],[15/10/2018]],"','%d/%m/%Y'),",BF146,"),","('",Tabla7[[#This Row],[CONTADOR]],"',STR_TO_DATE('",Tabla7[[#Headers],[15/11/2018]],"','%d/%m/%Y'),",BG146,"),","('",Tabla7[[#This Row],[CONTADOR]],"',STR_TO_DATE('",Tabla7[[#Headers],[15/12/2018]],"','%d/%m/%Y'),",BH146,");")</f>
        <v>insert into lecturas values ('A9MEM-2015-CC2',STR_TO_DATE('31/12/2017','%d/%m/%Y'),0),('A9MEM-2015-CC2',STR_TO_DATE('15/01/2018','%d/%m/%Y'),0),('A9MEM-2015-CC2',STR_TO_DATE('15/02/2018','%d/%m/%Y'),0),('A9MEM-2015-CC2',STR_TO_DATE('15/03/2018','%d/%m/%Y'),0),('A9MEM-2015-CC2',STR_TO_DATE('15/04/2018','%d/%m/%Y'),0),('A9MEM-2015-CC2',STR_TO_DATE('15/05/2018','%d/%m/%Y'),0),('A9MEM-2015-CC2',STR_TO_DATE('15/06/2018','%d/%m/%Y'),0),('A9MEM-2015-CC2',STR_TO_DATE('15/07/2018','%d/%m/%Y'),0),('A9MEM-2015-CC2',STR_TO_DATE('15/08/2018','%d/%m/%Y'),0),('A9MEM-2015-CC2',STR_TO_DATE('15/09/2018','%d/%m/%Y'),0),('A9MEM-2015-CC2',STR_TO_DATE('15/10/2018','%d/%m/%Y'),3344),('A9MEM-2015-CC2',STR_TO_DATE('15/11/2018','%d/%m/%Y'),3765),('A9MEM-2015-CC2',STR_TO_DATE('15/12/2018','%d/%m/%Y'),4350);</v>
      </c>
    </row>
    <row r="147" spans="1:68" ht="18" customHeight="1" x14ac:dyDescent="0.25">
      <c r="A147" s="241" t="s">
        <v>534</v>
      </c>
      <c r="B147" s="60"/>
      <c r="C147" s="456">
        <v>29218</v>
      </c>
      <c r="D147" s="60" t="s">
        <v>585</v>
      </c>
      <c r="E147" s="258">
        <v>39921</v>
      </c>
      <c r="F147" s="282" t="s">
        <v>586</v>
      </c>
      <c r="G147" s="349" t="s">
        <v>587</v>
      </c>
      <c r="H147" s="2"/>
      <c r="I147" s="274"/>
      <c r="J147" s="311">
        <v>257430</v>
      </c>
      <c r="K147" s="311">
        <v>257493</v>
      </c>
      <c r="L147" s="311">
        <v>257639</v>
      </c>
      <c r="M147" s="311">
        <v>257739</v>
      </c>
      <c r="N147" s="311">
        <v>257857</v>
      </c>
      <c r="O147" s="311">
        <v>258153</v>
      </c>
      <c r="P147" s="311">
        <v>258373</v>
      </c>
      <c r="Q147" s="307">
        <v>258437</v>
      </c>
      <c r="R147" s="505">
        <v>258518</v>
      </c>
      <c r="S147" s="353">
        <v>258541</v>
      </c>
      <c r="T147" s="353">
        <v>258616</v>
      </c>
      <c r="U147" s="353">
        <v>258687</v>
      </c>
      <c r="V147" s="353">
        <v>258731</v>
      </c>
      <c r="W147" s="321"/>
      <c r="X147" s="307"/>
      <c r="Y147" s="2">
        <f t="shared" si="47"/>
        <v>63</v>
      </c>
      <c r="Z147" s="2">
        <f t="shared" si="46"/>
        <v>146</v>
      </c>
      <c r="AA147" s="2">
        <f t="shared" ref="AA147:AA169" si="62">IF(OR(ISBLANK(M147),ISBLANK(L147)),"",IF(AND(M147&gt;=L147,M147-L147&lt;=M147),(M147-L147)*$AK147,"!!!!"))</f>
        <v>100</v>
      </c>
      <c r="AB147" s="2">
        <f t="shared" ref="AB147:AB169" si="63">IF(OR(ISBLANK(N147),ISBLANK(M147)),"",IF(AND(N147&gt;=M147,N147-M147&lt;=N147),(N147-M147)*$AK147,"!!!!"))</f>
        <v>118</v>
      </c>
      <c r="AC147" s="2">
        <f t="shared" si="54"/>
        <v>296</v>
      </c>
      <c r="AD147" s="2">
        <f t="shared" si="55"/>
        <v>220</v>
      </c>
      <c r="AE147" s="2">
        <f t="shared" si="56"/>
        <v>64</v>
      </c>
      <c r="AF147" s="2">
        <f t="shared" si="57"/>
        <v>81</v>
      </c>
      <c r="AG147" s="2">
        <f t="shared" si="58"/>
        <v>23</v>
      </c>
      <c r="AH147" s="2">
        <f t="shared" si="61"/>
        <v>75</v>
      </c>
      <c r="AI147" s="2">
        <f t="shared" si="59"/>
        <v>71</v>
      </c>
      <c r="AJ147" s="2">
        <f t="shared" si="60"/>
        <v>44</v>
      </c>
      <c r="AK147" s="406">
        <v>1</v>
      </c>
      <c r="AL147" s="274">
        <f t="shared" ca="1" si="50"/>
        <v>257857</v>
      </c>
      <c r="AM147" s="311">
        <f t="shared" ca="1" si="51"/>
        <v>258153</v>
      </c>
      <c r="AN147" s="274">
        <f ca="1">IF(AND(Tabla7[[#This Row],[UltLec]]&lt;&gt;0,Tabla7[[#This Row],[PenLect]]&lt;&gt;0),(AM147-AL147)*Tabla7[[#This Row],[RT]],"N/A")</f>
        <v>296</v>
      </c>
      <c r="AO147" s="273" t="s">
        <v>1135</v>
      </c>
      <c r="AP147" s="392" t="s">
        <v>1190</v>
      </c>
      <c r="AQ147" s="392" t="s">
        <v>1189</v>
      </c>
      <c r="AR147" s="407">
        <f t="shared" si="52"/>
        <v>0</v>
      </c>
      <c r="AT147" s="2">
        <f t="shared" ca="1" si="53"/>
        <v>2.5084745762711864</v>
      </c>
      <c r="AV147">
        <f>IF(ISBLANK(Tabla7[[#This Row],[31/12/2017]]),0,Tabla7[[#This Row],[31/12/2017]])</f>
        <v>257430</v>
      </c>
      <c r="AW147">
        <f>IF(ISBLANK(Tabla7[[#This Row],[15/01/2018]]),0,Tabla7[[#This Row],[15/01/2018]])</f>
        <v>257493</v>
      </c>
      <c r="AX147">
        <f>IF(ISBLANK(Tabla7[[#This Row],[15/02/2018]]),0,Tabla7[[#This Row],[15/02/2018]])</f>
        <v>257639</v>
      </c>
      <c r="AY147">
        <f>IF(ISBLANK(Tabla7[[#This Row],[15/03/2018]]),0,Tabla7[[#This Row],[15/03/2018]])</f>
        <v>257739</v>
      </c>
      <c r="AZ147">
        <f>IF(ISBLANK(Tabla7[[#This Row],[15/04/2018]]),0,Tabla7[[#This Row],[15/04/2018]])</f>
        <v>257857</v>
      </c>
      <c r="BA147">
        <f>IF(ISBLANK(Tabla7[[#This Row],[15/05/2018]]),0,Tabla7[[#This Row],[15/05/2018]])</f>
        <v>258153</v>
      </c>
      <c r="BB147">
        <f>IF(ISBLANK(Tabla7[[#This Row],[15/06/2018]]),0,Tabla7[[#This Row],[15/06/2018]])</f>
        <v>258373</v>
      </c>
      <c r="BC147">
        <f>IF(ISBLANK(Tabla7[[#This Row],[15/07/2018]]),0,Tabla7[[#This Row],[15/07/2018]])</f>
        <v>258437</v>
      </c>
      <c r="BD147">
        <f>IF(ISBLANK(Tabla7[[#This Row],[15/08/2018]]),0,Tabla7[[#This Row],[15/08/2018]])</f>
        <v>258518</v>
      </c>
      <c r="BE147">
        <f>IF(ISBLANK(Tabla7[[#This Row],[15/09/2018]]),0,Tabla7[[#This Row],[15/09/2018]])</f>
        <v>258541</v>
      </c>
      <c r="BF147">
        <f>IF(ISBLANK(Tabla7[[#This Row],[15/10/2018]]),0,Tabla7[[#This Row],[15/10/2018]])</f>
        <v>258616</v>
      </c>
      <c r="BG147">
        <f>IF(ISBLANK(Tabla7[[#This Row],[15/11/2018]]),0,Tabla7[[#This Row],[15/11/2018]])</f>
        <v>258687</v>
      </c>
      <c r="BH147">
        <f>IF(ISBLANK(Tabla7[[#This Row],[15/12/2018]]),0,Tabla7[[#This Row],[15/12/2018]])</f>
        <v>258731</v>
      </c>
      <c r="BI147">
        <f>IF(ISBLANK(Tabla7[[#This Row],[28/12/2018]]),0,Tabla7[[#This Row],[28/12/2018]])</f>
        <v>0</v>
      </c>
      <c r="BN14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('29218','S','SCT09','39921','UTE MUELLE NORTE SAGUNTO        ','NORTE','','');</v>
      </c>
      <c r="BO147" t="s">
        <v>243</v>
      </c>
      <c r="BP147" s="632" t="str">
        <f>CONCATENATE("insert into lecturas values ","('",Tabla7[[#This Row],[CONTADOR]],"',STR_TO_DATE('",Tabla7[[#Headers],[31/12/2017]],"','%d/%m/%Y'),",AV147,"),","('",Tabla7[[#This Row],[CONTADOR]],"',STR_TO_DATE('",Tabla7[[#Headers],[15/01/2018]],"','%d/%m/%Y'),",AW147,"),","('",Tabla7[[#This Row],[CONTADOR]],"',STR_TO_DATE('",Tabla7[[#Headers],[15/02/2018]],"','%d/%m/%Y'),",AX147,"),","('",Tabla7[[#This Row],[CONTADOR]],"',STR_TO_DATE('",Tabla7[[#Headers],[15/03/2018]],"','%d/%m/%Y'),",AY147,"),","('",Tabla7[[#This Row],[CONTADOR]],"',STR_TO_DATE('",Tabla7[[#Headers],[15/04/2018]],"','%d/%m/%Y'),",AZ147,"),","('",Tabla7[[#This Row],[CONTADOR]],"',STR_TO_DATE('",Tabla7[[#Headers],[15/05/2018]],"','%d/%m/%Y'),",BA147,"),","('",Tabla7[[#This Row],[CONTADOR]],"',STR_TO_DATE('",Tabla7[[#Headers],[15/06/2018]],"','%d/%m/%Y'),",BB147,"),","('",Tabla7[[#This Row],[CONTADOR]],"',STR_TO_DATE('",Tabla7[[#Headers],[15/07/2018]],"','%d/%m/%Y'),",BC147,"),","('",Tabla7[[#This Row],[CONTADOR]],"',STR_TO_DATE('",Tabla7[[#Headers],[15/08/2018]],"','%d/%m/%Y'),",BD147,"),","('",Tabla7[[#This Row],[CONTADOR]],"',STR_TO_DATE('",Tabla7[[#Headers],[15/09/2018]],"','%d/%m/%Y'),",BE147,"),","('",Tabla7[[#This Row],[CONTADOR]],"',STR_TO_DATE('",Tabla7[[#Headers],[15/10/2018]],"','%d/%m/%Y'),",BF147,"),","('",Tabla7[[#This Row],[CONTADOR]],"',STR_TO_DATE('",Tabla7[[#Headers],[15/11/2018]],"','%d/%m/%Y'),",BG147,"),","('",Tabla7[[#This Row],[CONTADOR]],"',STR_TO_DATE('",Tabla7[[#Headers],[15/12/2018]],"','%d/%m/%Y'),",BH147,");")</f>
        <v>insert into lecturas values ('29218',STR_TO_DATE('31/12/2017','%d/%m/%Y'),257430),('29218',STR_TO_DATE('15/01/2018','%d/%m/%Y'),257493),('29218',STR_TO_DATE('15/02/2018','%d/%m/%Y'),257639),('29218',STR_TO_DATE('15/03/2018','%d/%m/%Y'),257739),('29218',STR_TO_DATE('15/04/2018','%d/%m/%Y'),257857),('29218',STR_TO_DATE('15/05/2018','%d/%m/%Y'),258153),('29218',STR_TO_DATE('15/06/2018','%d/%m/%Y'),258373),('29218',STR_TO_DATE('15/07/2018','%d/%m/%Y'),258437),('29218',STR_TO_DATE('15/08/2018','%d/%m/%Y'),258518),('29218',STR_TO_DATE('15/09/2018','%d/%m/%Y'),258541),('29218',STR_TO_DATE('15/10/2018','%d/%m/%Y'),258616),('29218',STR_TO_DATE('15/11/2018','%d/%m/%Y'),258687),('29218',STR_TO_DATE('15/12/2018','%d/%m/%Y'),258731);</v>
      </c>
    </row>
    <row r="148" spans="1:68" ht="18" customHeight="1" x14ac:dyDescent="0.25">
      <c r="A148" s="241" t="s">
        <v>534</v>
      </c>
      <c r="B148" s="60"/>
      <c r="C148" s="456">
        <v>5355254</v>
      </c>
      <c r="D148" s="60" t="s">
        <v>585</v>
      </c>
      <c r="E148" s="258">
        <v>2</v>
      </c>
      <c r="F148" s="282" t="s">
        <v>588</v>
      </c>
      <c r="G148" s="349" t="s">
        <v>47</v>
      </c>
      <c r="H148" s="2"/>
      <c r="I148" s="274"/>
      <c r="J148" s="311">
        <v>19509</v>
      </c>
      <c r="K148" s="311">
        <v>19582</v>
      </c>
      <c r="L148" s="311">
        <v>19688</v>
      </c>
      <c r="M148" s="311">
        <v>19779</v>
      </c>
      <c r="N148" s="311">
        <v>19875</v>
      </c>
      <c r="O148" s="454">
        <v>19956</v>
      </c>
      <c r="P148" s="311">
        <v>20037</v>
      </c>
      <c r="Q148" s="307">
        <v>20094</v>
      </c>
      <c r="R148" s="505">
        <v>20179</v>
      </c>
      <c r="S148" s="353">
        <v>20265</v>
      </c>
      <c r="T148" s="353">
        <v>20366</v>
      </c>
      <c r="U148" s="353">
        <v>20468</v>
      </c>
      <c r="V148" s="353">
        <v>20588</v>
      </c>
      <c r="W148" s="321"/>
      <c r="X148" s="307"/>
      <c r="Y148" s="2">
        <f t="shared" si="47"/>
        <v>1460</v>
      </c>
      <c r="Z148" s="2">
        <f t="shared" si="46"/>
        <v>2120</v>
      </c>
      <c r="AA148" s="2">
        <f t="shared" si="62"/>
        <v>1820</v>
      </c>
      <c r="AB148" s="2">
        <f t="shared" si="63"/>
        <v>1920</v>
      </c>
      <c r="AC148" s="2">
        <f t="shared" si="54"/>
        <v>1620</v>
      </c>
      <c r="AD148" s="2">
        <f t="shared" si="55"/>
        <v>1620</v>
      </c>
      <c r="AE148" s="2">
        <f t="shared" si="56"/>
        <v>1140</v>
      </c>
      <c r="AF148" s="2">
        <f t="shared" si="57"/>
        <v>1700</v>
      </c>
      <c r="AG148" s="2">
        <f t="shared" si="58"/>
        <v>1720</v>
      </c>
      <c r="AH148" s="2">
        <f t="shared" si="61"/>
        <v>2020</v>
      </c>
      <c r="AI148" s="2">
        <f t="shared" si="59"/>
        <v>2040</v>
      </c>
      <c r="AJ148" s="2">
        <f t="shared" si="60"/>
        <v>2400</v>
      </c>
      <c r="AK148" s="416">
        <v>20</v>
      </c>
      <c r="AL148" s="417">
        <f t="shared" ca="1" si="50"/>
        <v>19875</v>
      </c>
      <c r="AM148" s="311">
        <f t="shared" ca="1" si="51"/>
        <v>19956</v>
      </c>
      <c r="AN148" s="274">
        <f ca="1">IF(AND(Tabla7[[#This Row],[UltLec]]&lt;&gt;0,Tabla7[[#This Row],[PenLect]]&lt;&gt;0),(AM148-AL148)*Tabla7[[#This Row],[RT]],"N/A")</f>
        <v>1620</v>
      </c>
      <c r="AO148" s="273" t="s">
        <v>1135</v>
      </c>
      <c r="AP148" s="392" t="s">
        <v>1190</v>
      </c>
      <c r="AQ148" s="392" t="s">
        <v>1189</v>
      </c>
      <c r="AR148" s="407">
        <f t="shared" si="52"/>
        <v>0</v>
      </c>
      <c r="AT148" s="2">
        <f t="shared" ca="1" si="53"/>
        <v>0.84375</v>
      </c>
      <c r="AV148">
        <f>IF(ISBLANK(Tabla7[[#This Row],[31/12/2017]]),0,Tabla7[[#This Row],[31/12/2017]])</f>
        <v>19509</v>
      </c>
      <c r="AW148">
        <f>IF(ISBLANK(Tabla7[[#This Row],[15/01/2018]]),0,Tabla7[[#This Row],[15/01/2018]])</f>
        <v>19582</v>
      </c>
      <c r="AX148">
        <f>IF(ISBLANK(Tabla7[[#This Row],[15/02/2018]]),0,Tabla7[[#This Row],[15/02/2018]])</f>
        <v>19688</v>
      </c>
      <c r="AY148">
        <f>IF(ISBLANK(Tabla7[[#This Row],[15/03/2018]]),0,Tabla7[[#This Row],[15/03/2018]])</f>
        <v>19779</v>
      </c>
      <c r="AZ148">
        <f>IF(ISBLANK(Tabla7[[#This Row],[15/04/2018]]),0,Tabla7[[#This Row],[15/04/2018]])</f>
        <v>19875</v>
      </c>
      <c r="BA148">
        <f>IF(ISBLANK(Tabla7[[#This Row],[15/05/2018]]),0,Tabla7[[#This Row],[15/05/2018]])</f>
        <v>19956</v>
      </c>
      <c r="BB148">
        <f>IF(ISBLANK(Tabla7[[#This Row],[15/06/2018]]),0,Tabla7[[#This Row],[15/06/2018]])</f>
        <v>20037</v>
      </c>
      <c r="BC148">
        <f>IF(ISBLANK(Tabla7[[#This Row],[15/07/2018]]),0,Tabla7[[#This Row],[15/07/2018]])</f>
        <v>20094</v>
      </c>
      <c r="BD148">
        <f>IF(ISBLANK(Tabla7[[#This Row],[15/08/2018]]),0,Tabla7[[#This Row],[15/08/2018]])</f>
        <v>20179</v>
      </c>
      <c r="BE148">
        <f>IF(ISBLANK(Tabla7[[#This Row],[15/09/2018]]),0,Tabla7[[#This Row],[15/09/2018]])</f>
        <v>20265</v>
      </c>
      <c r="BF148">
        <f>IF(ISBLANK(Tabla7[[#This Row],[15/10/2018]]),0,Tabla7[[#This Row],[15/10/2018]])</f>
        <v>20366</v>
      </c>
      <c r="BG148">
        <f>IF(ISBLANK(Tabla7[[#This Row],[15/11/2018]]),0,Tabla7[[#This Row],[15/11/2018]])</f>
        <v>20468</v>
      </c>
      <c r="BH148">
        <f>IF(ISBLANK(Tabla7[[#This Row],[15/12/2018]]),0,Tabla7[[#This Row],[15/12/2018]])</f>
        <v>20588</v>
      </c>
      <c r="BI148">
        <f>IF(ISBLANK(Tabla7[[#This Row],[28/12/2018]]),0,Tabla7[[#This Row],[28/12/2018]])</f>
        <v>0</v>
      </c>
      <c r="BN14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('5355254','S','SCT09','2','Alumbrado viales CT9','INTERIOR CT','','');</v>
      </c>
      <c r="BO148" t="s">
        <v>243</v>
      </c>
      <c r="BP148" s="632" t="str">
        <f>CONCATENATE("insert into lecturas values ","('",Tabla7[[#This Row],[CONTADOR]],"',STR_TO_DATE('",Tabla7[[#Headers],[31/12/2017]],"','%d/%m/%Y'),",AV148,"),","('",Tabla7[[#This Row],[CONTADOR]],"',STR_TO_DATE('",Tabla7[[#Headers],[15/01/2018]],"','%d/%m/%Y'),",AW148,"),","('",Tabla7[[#This Row],[CONTADOR]],"',STR_TO_DATE('",Tabla7[[#Headers],[15/02/2018]],"','%d/%m/%Y'),",AX148,"),","('",Tabla7[[#This Row],[CONTADOR]],"',STR_TO_DATE('",Tabla7[[#Headers],[15/03/2018]],"','%d/%m/%Y'),",AY148,"),","('",Tabla7[[#This Row],[CONTADOR]],"',STR_TO_DATE('",Tabla7[[#Headers],[15/04/2018]],"','%d/%m/%Y'),",AZ148,"),","('",Tabla7[[#This Row],[CONTADOR]],"',STR_TO_DATE('",Tabla7[[#Headers],[15/05/2018]],"','%d/%m/%Y'),",BA148,"),","('",Tabla7[[#This Row],[CONTADOR]],"',STR_TO_DATE('",Tabla7[[#Headers],[15/06/2018]],"','%d/%m/%Y'),",BB148,"),","('",Tabla7[[#This Row],[CONTADOR]],"',STR_TO_DATE('",Tabla7[[#Headers],[15/07/2018]],"','%d/%m/%Y'),",BC148,"),","('",Tabla7[[#This Row],[CONTADOR]],"',STR_TO_DATE('",Tabla7[[#Headers],[15/08/2018]],"','%d/%m/%Y'),",BD148,"),","('",Tabla7[[#This Row],[CONTADOR]],"',STR_TO_DATE('",Tabla7[[#Headers],[15/09/2018]],"','%d/%m/%Y'),",BE148,"),","('",Tabla7[[#This Row],[CONTADOR]],"',STR_TO_DATE('",Tabla7[[#Headers],[15/10/2018]],"','%d/%m/%Y'),",BF148,"),","('",Tabla7[[#This Row],[CONTADOR]],"',STR_TO_DATE('",Tabla7[[#Headers],[15/11/2018]],"','%d/%m/%Y'),",BG148,"),","('",Tabla7[[#This Row],[CONTADOR]],"',STR_TO_DATE('",Tabla7[[#Headers],[15/12/2018]],"','%d/%m/%Y'),",BH148,");")</f>
        <v>insert into lecturas values ('5355254',STR_TO_DATE('31/12/2017','%d/%m/%Y'),19509),('5355254',STR_TO_DATE('15/01/2018','%d/%m/%Y'),19582),('5355254',STR_TO_DATE('15/02/2018','%d/%m/%Y'),19688),('5355254',STR_TO_DATE('15/03/2018','%d/%m/%Y'),19779),('5355254',STR_TO_DATE('15/04/2018','%d/%m/%Y'),19875),('5355254',STR_TO_DATE('15/05/2018','%d/%m/%Y'),19956),('5355254',STR_TO_DATE('15/06/2018','%d/%m/%Y'),20037),('5355254',STR_TO_DATE('15/07/2018','%d/%m/%Y'),20094),('5355254',STR_TO_DATE('15/08/2018','%d/%m/%Y'),20179),('5355254',STR_TO_DATE('15/09/2018','%d/%m/%Y'),20265),('5355254',STR_TO_DATE('15/10/2018','%d/%m/%Y'),20366),('5355254',STR_TO_DATE('15/11/2018','%d/%m/%Y'),20468),('5355254',STR_TO_DATE('15/12/2018','%d/%m/%Y'),20588);</v>
      </c>
    </row>
    <row r="149" spans="1:68" ht="18" customHeight="1" x14ac:dyDescent="0.25">
      <c r="A149" s="241" t="s">
        <v>534</v>
      </c>
      <c r="B149" s="60"/>
      <c r="C149" s="456">
        <v>5355253</v>
      </c>
      <c r="D149" s="60" t="s">
        <v>589</v>
      </c>
      <c r="E149" s="258">
        <v>2</v>
      </c>
      <c r="F149" s="282" t="s">
        <v>590</v>
      </c>
      <c r="G149" s="349" t="s">
        <v>1150</v>
      </c>
      <c r="H149" s="274"/>
      <c r="I149" s="274"/>
      <c r="J149" s="311">
        <v>13518</v>
      </c>
      <c r="K149" s="311">
        <v>13562</v>
      </c>
      <c r="L149" s="311">
        <v>13632</v>
      </c>
      <c r="M149" s="311">
        <v>13688</v>
      </c>
      <c r="N149" s="311">
        <v>13748</v>
      </c>
      <c r="O149" s="454">
        <v>13799</v>
      </c>
      <c r="P149" s="311">
        <v>13850</v>
      </c>
      <c r="Q149" s="307">
        <v>13883</v>
      </c>
      <c r="R149" s="505">
        <v>13920</v>
      </c>
      <c r="S149" s="353">
        <v>13920</v>
      </c>
      <c r="T149" s="353">
        <v>13920</v>
      </c>
      <c r="U149" s="353">
        <v>13968</v>
      </c>
      <c r="V149" s="353">
        <v>14040</v>
      </c>
      <c r="W149" s="321"/>
      <c r="X149" s="307"/>
      <c r="Y149" s="2">
        <f t="shared" si="47"/>
        <v>880</v>
      </c>
      <c r="Z149" s="2">
        <f t="shared" si="46"/>
        <v>1400</v>
      </c>
      <c r="AA149" s="2">
        <f t="shared" si="62"/>
        <v>1120</v>
      </c>
      <c r="AB149" s="2">
        <f t="shared" si="63"/>
        <v>1200</v>
      </c>
      <c r="AC149" s="2">
        <f t="shared" si="54"/>
        <v>1020</v>
      </c>
      <c r="AD149" s="2">
        <f t="shared" si="55"/>
        <v>1020</v>
      </c>
      <c r="AE149" s="2">
        <f t="shared" si="56"/>
        <v>660</v>
      </c>
      <c r="AF149" s="2">
        <f t="shared" si="57"/>
        <v>740</v>
      </c>
      <c r="AG149" s="2">
        <f t="shared" si="58"/>
        <v>0</v>
      </c>
      <c r="AH149" s="2">
        <f t="shared" si="61"/>
        <v>0</v>
      </c>
      <c r="AI149" s="2">
        <f t="shared" si="59"/>
        <v>960</v>
      </c>
      <c r="AJ149" s="2">
        <f t="shared" si="60"/>
        <v>1440</v>
      </c>
      <c r="AK149" s="416">
        <v>20</v>
      </c>
      <c r="AL149" s="417">
        <f t="shared" ca="1" si="50"/>
        <v>13748</v>
      </c>
      <c r="AM149" s="311">
        <f t="shared" ca="1" si="51"/>
        <v>13799</v>
      </c>
      <c r="AN149" s="274">
        <f ca="1">IF(AND(Tabla7[[#This Row],[UltLec]]&lt;&gt;0,Tabla7[[#This Row],[PenLect]]&lt;&gt;0),(AM149-AL149)*Tabla7[[#This Row],[RT]],"N/A")</f>
        <v>1020</v>
      </c>
      <c r="AO149" s="273" t="s">
        <v>1135</v>
      </c>
      <c r="AP149" s="392" t="s">
        <v>1190</v>
      </c>
      <c r="AQ149" s="392" t="s">
        <v>1189</v>
      </c>
      <c r="AR149" s="407">
        <f t="shared" si="52"/>
        <v>0</v>
      </c>
      <c r="AT149" s="2">
        <f t="shared" ca="1" si="53"/>
        <v>0.85</v>
      </c>
      <c r="AV149">
        <f>IF(ISBLANK(Tabla7[[#This Row],[31/12/2017]]),0,Tabla7[[#This Row],[31/12/2017]])</f>
        <v>13518</v>
      </c>
      <c r="AW149">
        <f>IF(ISBLANK(Tabla7[[#This Row],[15/01/2018]]),0,Tabla7[[#This Row],[15/01/2018]])</f>
        <v>13562</v>
      </c>
      <c r="AX149">
        <f>IF(ISBLANK(Tabla7[[#This Row],[15/02/2018]]),0,Tabla7[[#This Row],[15/02/2018]])</f>
        <v>13632</v>
      </c>
      <c r="AY149">
        <f>IF(ISBLANK(Tabla7[[#This Row],[15/03/2018]]),0,Tabla7[[#This Row],[15/03/2018]])</f>
        <v>13688</v>
      </c>
      <c r="AZ149">
        <f>IF(ISBLANK(Tabla7[[#This Row],[15/04/2018]]),0,Tabla7[[#This Row],[15/04/2018]])</f>
        <v>13748</v>
      </c>
      <c r="BA149">
        <f>IF(ISBLANK(Tabla7[[#This Row],[15/05/2018]]),0,Tabla7[[#This Row],[15/05/2018]])</f>
        <v>13799</v>
      </c>
      <c r="BB149">
        <f>IF(ISBLANK(Tabla7[[#This Row],[15/06/2018]]),0,Tabla7[[#This Row],[15/06/2018]])</f>
        <v>13850</v>
      </c>
      <c r="BC149">
        <f>IF(ISBLANK(Tabla7[[#This Row],[15/07/2018]]),0,Tabla7[[#This Row],[15/07/2018]])</f>
        <v>13883</v>
      </c>
      <c r="BD149">
        <f>IF(ISBLANK(Tabla7[[#This Row],[15/08/2018]]),0,Tabla7[[#This Row],[15/08/2018]])</f>
        <v>13920</v>
      </c>
      <c r="BE149">
        <f>IF(ISBLANK(Tabla7[[#This Row],[15/09/2018]]),0,Tabla7[[#This Row],[15/09/2018]])</f>
        <v>13920</v>
      </c>
      <c r="BF149">
        <f>IF(ISBLANK(Tabla7[[#This Row],[15/10/2018]]),0,Tabla7[[#This Row],[15/10/2018]])</f>
        <v>13920</v>
      </c>
      <c r="BG149">
        <f>IF(ISBLANK(Tabla7[[#This Row],[15/11/2018]]),0,Tabla7[[#This Row],[15/11/2018]])</f>
        <v>13968</v>
      </c>
      <c r="BH149">
        <f>IF(ISBLANK(Tabla7[[#This Row],[15/12/2018]]),0,Tabla7[[#This Row],[15/12/2018]])</f>
        <v>14040</v>
      </c>
      <c r="BI149">
        <f>IF(ISBLANK(Tabla7[[#This Row],[28/12/2018]]),0,Tabla7[[#This Row],[28/12/2018]])</f>
        <v>0</v>
      </c>
      <c r="BN14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('5355253','S','SCT10','2','Alumbrado viales CT10','INTERIOR CT10','','');</v>
      </c>
      <c r="BO149" t="s">
        <v>243</v>
      </c>
      <c r="BP149" s="632" t="str">
        <f>CONCATENATE("insert into lecturas values ","('",Tabla7[[#This Row],[CONTADOR]],"',STR_TO_DATE('",Tabla7[[#Headers],[31/12/2017]],"','%d/%m/%Y'),",AV149,"),","('",Tabla7[[#This Row],[CONTADOR]],"',STR_TO_DATE('",Tabla7[[#Headers],[15/01/2018]],"','%d/%m/%Y'),",AW149,"),","('",Tabla7[[#This Row],[CONTADOR]],"',STR_TO_DATE('",Tabla7[[#Headers],[15/02/2018]],"','%d/%m/%Y'),",AX149,"),","('",Tabla7[[#This Row],[CONTADOR]],"',STR_TO_DATE('",Tabla7[[#Headers],[15/03/2018]],"','%d/%m/%Y'),",AY149,"),","('",Tabla7[[#This Row],[CONTADOR]],"',STR_TO_DATE('",Tabla7[[#Headers],[15/04/2018]],"','%d/%m/%Y'),",AZ149,"),","('",Tabla7[[#This Row],[CONTADOR]],"',STR_TO_DATE('",Tabla7[[#Headers],[15/05/2018]],"','%d/%m/%Y'),",BA149,"),","('",Tabla7[[#This Row],[CONTADOR]],"',STR_TO_DATE('",Tabla7[[#Headers],[15/06/2018]],"','%d/%m/%Y'),",BB149,"),","('",Tabla7[[#This Row],[CONTADOR]],"',STR_TO_DATE('",Tabla7[[#Headers],[15/07/2018]],"','%d/%m/%Y'),",BC149,"),","('",Tabla7[[#This Row],[CONTADOR]],"',STR_TO_DATE('",Tabla7[[#Headers],[15/08/2018]],"','%d/%m/%Y'),",BD149,"),","('",Tabla7[[#This Row],[CONTADOR]],"',STR_TO_DATE('",Tabla7[[#Headers],[15/09/2018]],"','%d/%m/%Y'),",BE149,"),","('",Tabla7[[#This Row],[CONTADOR]],"',STR_TO_DATE('",Tabla7[[#Headers],[15/10/2018]],"','%d/%m/%Y'),",BF149,"),","('",Tabla7[[#This Row],[CONTADOR]],"',STR_TO_DATE('",Tabla7[[#Headers],[15/11/2018]],"','%d/%m/%Y'),",BG149,"),","('",Tabla7[[#This Row],[CONTADOR]],"',STR_TO_DATE('",Tabla7[[#Headers],[15/12/2018]],"','%d/%m/%Y'),",BH149,");")</f>
        <v>insert into lecturas values ('5355253',STR_TO_DATE('31/12/2017','%d/%m/%Y'),13518),('5355253',STR_TO_DATE('15/01/2018','%d/%m/%Y'),13562),('5355253',STR_TO_DATE('15/02/2018','%d/%m/%Y'),13632),('5355253',STR_TO_DATE('15/03/2018','%d/%m/%Y'),13688),('5355253',STR_TO_DATE('15/04/2018','%d/%m/%Y'),13748),('5355253',STR_TO_DATE('15/05/2018','%d/%m/%Y'),13799),('5355253',STR_TO_DATE('15/06/2018','%d/%m/%Y'),13850),('5355253',STR_TO_DATE('15/07/2018','%d/%m/%Y'),13883),('5355253',STR_TO_DATE('15/08/2018','%d/%m/%Y'),13920),('5355253',STR_TO_DATE('15/09/2018','%d/%m/%Y'),13920),('5355253',STR_TO_DATE('15/10/2018','%d/%m/%Y'),13920),('5355253',STR_TO_DATE('15/11/2018','%d/%m/%Y'),13968),('5355253',STR_TO_DATE('15/12/2018','%d/%m/%Y'),14040);</v>
      </c>
    </row>
    <row r="150" spans="1:68" ht="18" customHeight="1" x14ac:dyDescent="0.25">
      <c r="A150" s="241" t="s">
        <v>534</v>
      </c>
      <c r="B150" s="241" t="s">
        <v>701</v>
      </c>
      <c r="C150" s="228">
        <v>95164633</v>
      </c>
      <c r="D150" s="241" t="s">
        <v>589</v>
      </c>
      <c r="E150" s="241">
        <v>39484</v>
      </c>
      <c r="F150" s="592" t="s">
        <v>146</v>
      </c>
      <c r="G150" s="121" t="s">
        <v>1457</v>
      </c>
      <c r="H150" s="121"/>
      <c r="I150" s="121" t="s">
        <v>694</v>
      </c>
      <c r="J150" s="587">
        <v>4994</v>
      </c>
      <c r="K150" s="587">
        <v>5245</v>
      </c>
      <c r="L150" s="587">
        <v>5707</v>
      </c>
      <c r="M150" s="587">
        <v>6109</v>
      </c>
      <c r="N150" s="587">
        <v>6536</v>
      </c>
      <c r="O150" s="589">
        <v>6794</v>
      </c>
      <c r="P150" s="587">
        <v>7160</v>
      </c>
      <c r="Q150" s="586">
        <v>7827</v>
      </c>
      <c r="R150" s="609">
        <v>8822</v>
      </c>
      <c r="S150" s="588">
        <v>8822</v>
      </c>
      <c r="T150" s="588">
        <v>10350</v>
      </c>
      <c r="U150" s="588">
        <v>10967</v>
      </c>
      <c r="V150" s="353">
        <v>11747</v>
      </c>
      <c r="W150" s="590"/>
      <c r="X150" s="586"/>
      <c r="Y150" s="121">
        <f t="shared" si="47"/>
        <v>5020</v>
      </c>
      <c r="Z150" s="121">
        <f t="shared" si="46"/>
        <v>9240</v>
      </c>
      <c r="AA150" s="121">
        <f t="shared" si="62"/>
        <v>8040</v>
      </c>
      <c r="AB150" s="121">
        <f t="shared" si="63"/>
        <v>8540</v>
      </c>
      <c r="AC150" s="121">
        <f t="shared" si="54"/>
        <v>5160</v>
      </c>
      <c r="AD150" s="121">
        <f t="shared" si="55"/>
        <v>7320</v>
      </c>
      <c r="AE150" s="121">
        <f t="shared" si="56"/>
        <v>13340</v>
      </c>
      <c r="AF150" s="121">
        <f t="shared" si="57"/>
        <v>19900</v>
      </c>
      <c r="AG150" s="121">
        <f t="shared" si="58"/>
        <v>0</v>
      </c>
      <c r="AH150" s="121">
        <f t="shared" si="61"/>
        <v>30560</v>
      </c>
      <c r="AI150" s="121">
        <f t="shared" si="59"/>
        <v>12340</v>
      </c>
      <c r="AJ150" s="121">
        <f t="shared" si="60"/>
        <v>15600</v>
      </c>
      <c r="AK150" s="592">
        <v>20</v>
      </c>
      <c r="AL150" s="592">
        <f t="shared" ca="1" si="50"/>
        <v>6536</v>
      </c>
      <c r="AM150" s="587">
        <f t="shared" ca="1" si="51"/>
        <v>6794</v>
      </c>
      <c r="AN150" s="121">
        <f ca="1">IF(AND(Tabla7[[#This Row],[UltLec]]&lt;&gt;0,Tabla7[[#This Row],[PenLect]]&lt;&gt;0),(AM150-AL150)*Tabla7[[#This Row],[RT]],"N/A")</f>
        <v>5160</v>
      </c>
      <c r="AO150" s="241" t="s">
        <v>1135</v>
      </c>
      <c r="AP150" s="241" t="s">
        <v>1190</v>
      </c>
      <c r="AQ150" s="241" t="s">
        <v>1189</v>
      </c>
      <c r="AR150" s="121">
        <f t="shared" si="52"/>
        <v>0</v>
      </c>
      <c r="AT150" s="2">
        <f t="shared" ca="1" si="53"/>
        <v>0.60421545667447307</v>
      </c>
      <c r="AV150">
        <f>IF(ISBLANK(Tabla7[[#This Row],[31/12/2017]]),0,Tabla7[[#This Row],[31/12/2017]])</f>
        <v>4994</v>
      </c>
      <c r="AW150">
        <f>IF(ISBLANK(Tabla7[[#This Row],[15/01/2018]]),0,Tabla7[[#This Row],[15/01/2018]])</f>
        <v>5245</v>
      </c>
      <c r="AX150">
        <f>IF(ISBLANK(Tabla7[[#This Row],[15/02/2018]]),0,Tabla7[[#This Row],[15/02/2018]])</f>
        <v>5707</v>
      </c>
      <c r="AY150">
        <f>IF(ISBLANK(Tabla7[[#This Row],[15/03/2018]]),0,Tabla7[[#This Row],[15/03/2018]])</f>
        <v>6109</v>
      </c>
      <c r="AZ150">
        <f>IF(ISBLANK(Tabla7[[#This Row],[15/04/2018]]),0,Tabla7[[#This Row],[15/04/2018]])</f>
        <v>6536</v>
      </c>
      <c r="BA150">
        <f>IF(ISBLANK(Tabla7[[#This Row],[15/05/2018]]),0,Tabla7[[#This Row],[15/05/2018]])</f>
        <v>6794</v>
      </c>
      <c r="BB150">
        <f>IF(ISBLANK(Tabla7[[#This Row],[15/06/2018]]),0,Tabla7[[#This Row],[15/06/2018]])</f>
        <v>7160</v>
      </c>
      <c r="BC150">
        <f>IF(ISBLANK(Tabla7[[#This Row],[15/07/2018]]),0,Tabla7[[#This Row],[15/07/2018]])</f>
        <v>7827</v>
      </c>
      <c r="BD150">
        <f>IF(ISBLANK(Tabla7[[#This Row],[15/08/2018]]),0,Tabla7[[#This Row],[15/08/2018]])</f>
        <v>8822</v>
      </c>
      <c r="BE150">
        <f>IF(ISBLANK(Tabla7[[#This Row],[15/09/2018]]),0,Tabla7[[#This Row],[15/09/2018]])</f>
        <v>8822</v>
      </c>
      <c r="BF150">
        <f>IF(ISBLANK(Tabla7[[#This Row],[15/10/2018]]),0,Tabla7[[#This Row],[15/10/2018]])</f>
        <v>10350</v>
      </c>
      <c r="BG150">
        <f>IF(ISBLANK(Tabla7[[#This Row],[15/11/2018]]),0,Tabla7[[#This Row],[15/11/2018]])</f>
        <v>10967</v>
      </c>
      <c r="BH150">
        <f>IF(ISBLANK(Tabla7[[#This Row],[15/12/2018]]),0,Tabla7[[#This Row],[15/12/2018]])</f>
        <v>11747</v>
      </c>
      <c r="BI150">
        <f>IF(ISBLANK(Tabla7[[#This Row],[28/12/2018]]),0,Tabla7[[#This Row],[28/12/2018]])</f>
        <v>0</v>
      </c>
      <c r="BN15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('95164633','S','SCT10','39484','VALENCIA TERMINAL EUROPA, S.A.','CASETA en Muelle Sur 2','','SIN NOTIFICACIÓN DE PETICIÓN');</v>
      </c>
      <c r="BO150" t="s">
        <v>243</v>
      </c>
      <c r="BP150" s="632" t="str">
        <f>CONCATENATE("insert into lecturas values ","('",Tabla7[[#This Row],[CONTADOR]],"',STR_TO_DATE('",Tabla7[[#Headers],[31/12/2017]],"','%d/%m/%Y'),",AV150,"),","('",Tabla7[[#This Row],[CONTADOR]],"',STR_TO_DATE('",Tabla7[[#Headers],[15/01/2018]],"','%d/%m/%Y'),",AW150,"),","('",Tabla7[[#This Row],[CONTADOR]],"',STR_TO_DATE('",Tabla7[[#Headers],[15/02/2018]],"','%d/%m/%Y'),",AX150,"),","('",Tabla7[[#This Row],[CONTADOR]],"',STR_TO_DATE('",Tabla7[[#Headers],[15/03/2018]],"','%d/%m/%Y'),",AY150,"),","('",Tabla7[[#This Row],[CONTADOR]],"',STR_TO_DATE('",Tabla7[[#Headers],[15/04/2018]],"','%d/%m/%Y'),",AZ150,"),","('",Tabla7[[#This Row],[CONTADOR]],"',STR_TO_DATE('",Tabla7[[#Headers],[15/05/2018]],"','%d/%m/%Y'),",BA150,"),","('",Tabla7[[#This Row],[CONTADOR]],"',STR_TO_DATE('",Tabla7[[#Headers],[15/06/2018]],"','%d/%m/%Y'),",BB150,"),","('",Tabla7[[#This Row],[CONTADOR]],"',STR_TO_DATE('",Tabla7[[#Headers],[15/07/2018]],"','%d/%m/%Y'),",BC150,"),","('",Tabla7[[#This Row],[CONTADOR]],"',STR_TO_DATE('",Tabla7[[#Headers],[15/08/2018]],"','%d/%m/%Y'),",BD150,"),","('",Tabla7[[#This Row],[CONTADOR]],"',STR_TO_DATE('",Tabla7[[#Headers],[15/09/2018]],"','%d/%m/%Y'),",BE150,"),","('",Tabla7[[#This Row],[CONTADOR]],"',STR_TO_DATE('",Tabla7[[#Headers],[15/10/2018]],"','%d/%m/%Y'),",BF150,"),","('",Tabla7[[#This Row],[CONTADOR]],"',STR_TO_DATE('",Tabla7[[#Headers],[15/11/2018]],"','%d/%m/%Y'),",BG150,"),","('",Tabla7[[#This Row],[CONTADOR]],"',STR_TO_DATE('",Tabla7[[#Headers],[15/12/2018]],"','%d/%m/%Y'),",BH150,");")</f>
        <v>insert into lecturas values ('95164633',STR_TO_DATE('31/12/2017','%d/%m/%Y'),4994),('95164633',STR_TO_DATE('15/01/2018','%d/%m/%Y'),5245),('95164633',STR_TO_DATE('15/02/2018','%d/%m/%Y'),5707),('95164633',STR_TO_DATE('15/03/2018','%d/%m/%Y'),6109),('95164633',STR_TO_DATE('15/04/2018','%d/%m/%Y'),6536),('95164633',STR_TO_DATE('15/05/2018','%d/%m/%Y'),6794),('95164633',STR_TO_DATE('15/06/2018','%d/%m/%Y'),7160),('95164633',STR_TO_DATE('15/07/2018','%d/%m/%Y'),7827),('95164633',STR_TO_DATE('15/08/2018','%d/%m/%Y'),8822),('95164633',STR_TO_DATE('15/09/2018','%d/%m/%Y'),8822),('95164633',STR_TO_DATE('15/10/2018','%d/%m/%Y'),10350),('95164633',STR_TO_DATE('15/11/2018','%d/%m/%Y'),10967),('95164633',STR_TO_DATE('15/12/2018','%d/%m/%Y'),11747);</v>
      </c>
    </row>
    <row r="151" spans="1:68" ht="18" customHeight="1" x14ac:dyDescent="0.25">
      <c r="A151" s="372" t="s">
        <v>1175</v>
      </c>
      <c r="B151" s="374"/>
      <c r="C151" s="585" t="s">
        <v>1295</v>
      </c>
      <c r="D151" s="374" t="s">
        <v>589</v>
      </c>
      <c r="E151" s="375"/>
      <c r="F151" s="380" t="s">
        <v>146</v>
      </c>
      <c r="G151" s="585" t="s">
        <v>1295</v>
      </c>
      <c r="H151" s="433"/>
      <c r="I151" s="433"/>
      <c r="J151" s="433"/>
      <c r="K151" s="433"/>
      <c r="L151" s="433"/>
      <c r="M151" s="433"/>
      <c r="N151" s="433">
        <v>0</v>
      </c>
      <c r="O151" s="433"/>
      <c r="P151" s="433"/>
      <c r="Q151" s="433">
        <v>0</v>
      </c>
      <c r="R151" s="380"/>
      <c r="S151" s="433"/>
      <c r="T151" s="433" t="s">
        <v>1446</v>
      </c>
      <c r="U151" s="612"/>
      <c r="V151" s="433"/>
      <c r="W151" s="433"/>
      <c r="X151" s="433"/>
      <c r="Y151" s="433" t="str">
        <f t="shared" si="47"/>
        <v/>
      </c>
      <c r="Z151" s="433" t="str">
        <f t="shared" si="46"/>
        <v/>
      </c>
      <c r="AA151" s="433" t="str">
        <f t="shared" si="62"/>
        <v/>
      </c>
      <c r="AB151" s="433" t="str">
        <f t="shared" si="63"/>
        <v/>
      </c>
      <c r="AC151" s="433" t="str">
        <f t="shared" si="54"/>
        <v/>
      </c>
      <c r="AD151" s="433" t="str">
        <f t="shared" si="55"/>
        <v/>
      </c>
      <c r="AE151" s="433" t="str">
        <f t="shared" si="56"/>
        <v/>
      </c>
      <c r="AF151" s="433" t="str">
        <f t="shared" si="57"/>
        <v/>
      </c>
      <c r="AG151" s="433" t="str">
        <f t="shared" si="58"/>
        <v/>
      </c>
      <c r="AH151" s="433" t="str">
        <f t="shared" si="61"/>
        <v/>
      </c>
      <c r="AI151" s="433" t="str">
        <f t="shared" si="59"/>
        <v/>
      </c>
      <c r="AJ151" s="433" t="str">
        <f t="shared" si="60"/>
        <v/>
      </c>
      <c r="AK151" s="591">
        <v>1</v>
      </c>
      <c r="AL151" s="433">
        <f t="shared" ca="1" si="50"/>
        <v>0</v>
      </c>
      <c r="AM151" s="433">
        <f t="shared" ca="1" si="51"/>
        <v>0</v>
      </c>
      <c r="AN151" s="433" t="str">
        <f ca="1">IF(AND(Tabla7[[#This Row],[UltLec]]&lt;&gt;0,Tabla7[[#This Row],[PenLect]]&lt;&gt;0),(AM151-AL151)*Tabla7[[#This Row],[RT]],"N/A")</f>
        <v>N/A</v>
      </c>
      <c r="AO151" s="380" t="s">
        <v>1281</v>
      </c>
      <c r="AP151" s="433" t="s">
        <v>1190</v>
      </c>
      <c r="AQ151" s="433" t="s">
        <v>1189</v>
      </c>
      <c r="AR151" s="594">
        <f t="shared" si="52"/>
        <v>0</v>
      </c>
      <c r="AT151" s="2" t="e">
        <f t="shared" ca="1" si="53"/>
        <v>#VALUE!</v>
      </c>
      <c r="AV151">
        <f>IF(ISBLANK(Tabla7[[#This Row],[31/12/2017]]),0,Tabla7[[#This Row],[31/12/2017]])</f>
        <v>0</v>
      </c>
      <c r="AW151">
        <f>IF(ISBLANK(Tabla7[[#This Row],[15/01/2018]]),0,Tabla7[[#This Row],[15/01/2018]])</f>
        <v>0</v>
      </c>
      <c r="AX151">
        <f>IF(ISBLANK(Tabla7[[#This Row],[15/02/2018]]),0,Tabla7[[#This Row],[15/02/2018]])</f>
        <v>0</v>
      </c>
      <c r="AY151">
        <f>IF(ISBLANK(Tabla7[[#This Row],[15/03/2018]]),0,Tabla7[[#This Row],[15/03/2018]])</f>
        <v>0</v>
      </c>
      <c r="AZ151">
        <f>IF(ISBLANK(Tabla7[[#This Row],[15/04/2018]]),0,Tabla7[[#This Row],[15/04/2018]])</f>
        <v>0</v>
      </c>
      <c r="BA151">
        <f>IF(ISBLANK(Tabla7[[#This Row],[15/05/2018]]),0,Tabla7[[#This Row],[15/05/2018]])</f>
        <v>0</v>
      </c>
      <c r="BB151">
        <f>IF(ISBLANK(Tabla7[[#This Row],[15/06/2018]]),0,Tabla7[[#This Row],[15/06/2018]])</f>
        <v>0</v>
      </c>
      <c r="BC151">
        <f>IF(ISBLANK(Tabla7[[#This Row],[15/07/2018]]),0,Tabla7[[#This Row],[15/07/2018]])</f>
        <v>0</v>
      </c>
      <c r="BD151">
        <f>IF(ISBLANK(Tabla7[[#This Row],[15/08/2018]]),0,Tabla7[[#This Row],[15/08/2018]])</f>
        <v>0</v>
      </c>
      <c r="BE151">
        <f>IF(ISBLANK(Tabla7[[#This Row],[15/09/2018]]),0,Tabla7[[#This Row],[15/09/2018]])</f>
        <v>0</v>
      </c>
      <c r="BF151" t="str">
        <f>IF(ISBLANK(Tabla7[[#This Row],[15/10/2018]]),0,Tabla7[[#This Row],[15/10/2018]])</f>
        <v>ANULADO</v>
      </c>
      <c r="BG151">
        <f>IF(ISBLANK(Tabla7[[#This Row],[15/11/2018]]),0,Tabla7[[#This Row],[15/11/2018]])</f>
        <v>0</v>
      </c>
      <c r="BH151">
        <f>IF(ISBLANK(Tabla7[[#This Row],[15/12/2018]]),0,Tabla7[[#This Row],[15/12/2018]])</f>
        <v>0</v>
      </c>
      <c r="BI151">
        <f>IF(ISBLANK(Tabla7[[#This Row],[28/12/2018]]),0,Tabla7[[#This Row],[28/12/2018]])</f>
        <v>0</v>
      </c>
      <c r="BN15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('SCANER VEHICULOS ','SBAJA','SCT10','','VALENCIA TERMINAL EUROPA, S.A.','SCANER VEHICULOS ','','');</v>
      </c>
      <c r="BO151" t="s">
        <v>243</v>
      </c>
      <c r="BP151" s="632" t="str">
        <f>CONCATENATE("insert into lecturas values ","('",Tabla7[[#This Row],[CONTADOR]],"',STR_TO_DATE('",Tabla7[[#Headers],[31/12/2017]],"','%d/%m/%Y'),",AV151,"),","('",Tabla7[[#This Row],[CONTADOR]],"',STR_TO_DATE('",Tabla7[[#Headers],[15/01/2018]],"','%d/%m/%Y'),",AW151,"),","('",Tabla7[[#This Row],[CONTADOR]],"',STR_TO_DATE('",Tabla7[[#Headers],[15/02/2018]],"','%d/%m/%Y'),",AX151,"),","('",Tabla7[[#This Row],[CONTADOR]],"',STR_TO_DATE('",Tabla7[[#Headers],[15/03/2018]],"','%d/%m/%Y'),",AY151,"),","('",Tabla7[[#This Row],[CONTADOR]],"',STR_TO_DATE('",Tabla7[[#Headers],[15/04/2018]],"','%d/%m/%Y'),",AZ151,"),","('",Tabla7[[#This Row],[CONTADOR]],"',STR_TO_DATE('",Tabla7[[#Headers],[15/05/2018]],"','%d/%m/%Y'),",BA151,"),","('",Tabla7[[#This Row],[CONTADOR]],"',STR_TO_DATE('",Tabla7[[#Headers],[15/06/2018]],"','%d/%m/%Y'),",BB151,"),","('",Tabla7[[#This Row],[CONTADOR]],"',STR_TO_DATE('",Tabla7[[#Headers],[15/07/2018]],"','%d/%m/%Y'),",BC151,"),","('",Tabla7[[#This Row],[CONTADOR]],"',STR_TO_DATE('",Tabla7[[#Headers],[15/08/2018]],"','%d/%m/%Y'),",BD151,"),","('",Tabla7[[#This Row],[CONTADOR]],"',STR_TO_DATE('",Tabla7[[#Headers],[15/09/2018]],"','%d/%m/%Y'),",BE151,"),","('",Tabla7[[#This Row],[CONTADOR]],"',STR_TO_DATE('",Tabla7[[#Headers],[15/10/2018]],"','%d/%m/%Y'),",BF151,"),","('",Tabla7[[#This Row],[CONTADOR]],"',STR_TO_DATE('",Tabla7[[#Headers],[15/11/2018]],"','%d/%m/%Y'),",BG151,"),","('",Tabla7[[#This Row],[CONTADOR]],"',STR_TO_DATE('",Tabla7[[#Headers],[15/12/2018]],"','%d/%m/%Y'),",BH151,");")</f>
        <v>insert into lecturas values ('SCANER VEHICULOS ',STR_TO_DATE('31/12/2017','%d/%m/%Y'),0),('SCANER VEHICULOS ',STR_TO_DATE('15/01/2018','%d/%m/%Y'),0),('SCANER VEHICULOS ',STR_TO_DATE('15/02/2018','%d/%m/%Y'),0),('SCANER VEHICULOS ',STR_TO_DATE('15/03/2018','%d/%m/%Y'),0),('SCANER VEHICULOS ',STR_TO_DATE('15/04/2018','%d/%m/%Y'),0),('SCANER VEHICULOS ',STR_TO_DATE('15/05/2018','%d/%m/%Y'),0),('SCANER VEHICULOS ',STR_TO_DATE('15/06/2018','%d/%m/%Y'),0),('SCANER VEHICULOS ',STR_TO_DATE('15/07/2018','%d/%m/%Y'),0),('SCANER VEHICULOS ',STR_TO_DATE('15/08/2018','%d/%m/%Y'),0),('SCANER VEHICULOS ',STR_TO_DATE('15/09/2018','%d/%m/%Y'),0),('SCANER VEHICULOS ',STR_TO_DATE('15/10/2018','%d/%m/%Y'),ANULADO),('SCANER VEHICULOS ',STR_TO_DATE('15/11/2018','%d/%m/%Y'),0),('SCANER VEHICULOS ',STR_TO_DATE('15/12/2018','%d/%m/%Y'),0);</v>
      </c>
    </row>
    <row r="152" spans="1:68" ht="18" customHeight="1" x14ac:dyDescent="0.3">
      <c r="A152" s="241" t="s">
        <v>534</v>
      </c>
      <c r="B152" s="60"/>
      <c r="C152" s="451" t="s">
        <v>1369</v>
      </c>
      <c r="D152" s="450" t="s">
        <v>589</v>
      </c>
      <c r="E152" s="258">
        <v>39337</v>
      </c>
      <c r="F152" s="449" t="s">
        <v>146</v>
      </c>
      <c r="G152" s="451" t="s">
        <v>1296</v>
      </c>
      <c r="H152" s="2"/>
      <c r="I152" s="274"/>
      <c r="J152" s="311"/>
      <c r="K152" s="311"/>
      <c r="L152" s="311"/>
      <c r="M152" s="311">
        <v>2155</v>
      </c>
      <c r="N152" s="311">
        <v>3114</v>
      </c>
      <c r="O152" s="311">
        <v>4004</v>
      </c>
      <c r="P152" s="311">
        <v>4881</v>
      </c>
      <c r="Q152" s="307">
        <v>5527</v>
      </c>
      <c r="R152" s="507">
        <v>6420</v>
      </c>
      <c r="S152" s="353">
        <v>7413</v>
      </c>
      <c r="T152" s="353">
        <v>8195</v>
      </c>
      <c r="U152" s="353">
        <v>9293</v>
      </c>
      <c r="V152" s="353">
        <v>10548</v>
      </c>
      <c r="W152" s="344"/>
      <c r="X152" s="307"/>
      <c r="Y152" s="2" t="str">
        <f t="shared" si="47"/>
        <v/>
      </c>
      <c r="Z152" s="2" t="str">
        <f t="shared" si="46"/>
        <v/>
      </c>
      <c r="AA152" s="2" t="str">
        <f t="shared" si="62"/>
        <v/>
      </c>
      <c r="AB152" s="2">
        <f t="shared" si="63"/>
        <v>959</v>
      </c>
      <c r="AC152" s="2">
        <f t="shared" si="54"/>
        <v>890</v>
      </c>
      <c r="AD152" s="2">
        <f t="shared" si="55"/>
        <v>877</v>
      </c>
      <c r="AE152" s="2">
        <f t="shared" si="56"/>
        <v>646</v>
      </c>
      <c r="AF152" s="2">
        <f t="shared" si="57"/>
        <v>893</v>
      </c>
      <c r="AG152" s="2">
        <f t="shared" si="58"/>
        <v>993</v>
      </c>
      <c r="AH152" s="271">
        <f t="shared" si="61"/>
        <v>782</v>
      </c>
      <c r="AI152" s="2">
        <f t="shared" si="59"/>
        <v>1098</v>
      </c>
      <c r="AJ152" s="2">
        <f t="shared" si="60"/>
        <v>1255</v>
      </c>
      <c r="AK152" s="416">
        <v>1</v>
      </c>
      <c r="AL152" s="448">
        <f t="shared" ca="1" si="50"/>
        <v>3114</v>
      </c>
      <c r="AM152" s="311">
        <f t="shared" ca="1" si="51"/>
        <v>4004</v>
      </c>
      <c r="AN152" s="412">
        <f ca="1">IF(AND(Tabla7[[#This Row],[UltLec]]&lt;&gt;0,Tabla7[[#This Row],[PenLect]]&lt;&gt;0),(AM152-AL152)*Tabla7[[#This Row],[RT]],"N/A")</f>
        <v>890</v>
      </c>
      <c r="AO152" s="273" t="s">
        <v>1135</v>
      </c>
      <c r="AP152" s="392" t="s">
        <v>1190</v>
      </c>
      <c r="AQ152" s="392" t="s">
        <v>1189</v>
      </c>
      <c r="AR152" s="407">
        <f t="shared" si="52"/>
        <v>0</v>
      </c>
      <c r="AT152" s="2">
        <f t="shared" ca="1" si="53"/>
        <v>0.92805005213764336</v>
      </c>
      <c r="AV152">
        <f>IF(ISBLANK(Tabla7[[#This Row],[31/12/2017]]),0,Tabla7[[#This Row],[31/12/2017]])</f>
        <v>0</v>
      </c>
      <c r="AW152">
        <f>IF(ISBLANK(Tabla7[[#This Row],[15/01/2018]]),0,Tabla7[[#This Row],[15/01/2018]])</f>
        <v>0</v>
      </c>
      <c r="AX152">
        <f>IF(ISBLANK(Tabla7[[#This Row],[15/02/2018]]),0,Tabla7[[#This Row],[15/02/2018]])</f>
        <v>0</v>
      </c>
      <c r="AY152">
        <f>IF(ISBLANK(Tabla7[[#This Row],[15/03/2018]]),0,Tabla7[[#This Row],[15/03/2018]])</f>
        <v>2155</v>
      </c>
      <c r="AZ152">
        <f>IF(ISBLANK(Tabla7[[#This Row],[15/04/2018]]),0,Tabla7[[#This Row],[15/04/2018]])</f>
        <v>3114</v>
      </c>
      <c r="BA152">
        <f>IF(ISBLANK(Tabla7[[#This Row],[15/05/2018]]),0,Tabla7[[#This Row],[15/05/2018]])</f>
        <v>4004</v>
      </c>
      <c r="BB152">
        <f>IF(ISBLANK(Tabla7[[#This Row],[15/06/2018]]),0,Tabla7[[#This Row],[15/06/2018]])</f>
        <v>4881</v>
      </c>
      <c r="BC152">
        <f>IF(ISBLANK(Tabla7[[#This Row],[15/07/2018]]),0,Tabla7[[#This Row],[15/07/2018]])</f>
        <v>5527</v>
      </c>
      <c r="BD152">
        <f>IF(ISBLANK(Tabla7[[#This Row],[15/08/2018]]),0,Tabla7[[#This Row],[15/08/2018]])</f>
        <v>6420</v>
      </c>
      <c r="BE152">
        <f>IF(ISBLANK(Tabla7[[#This Row],[15/09/2018]]),0,Tabla7[[#This Row],[15/09/2018]])</f>
        <v>7413</v>
      </c>
      <c r="BF152">
        <f>IF(ISBLANK(Tabla7[[#This Row],[15/10/2018]]),0,Tabla7[[#This Row],[15/10/2018]])</f>
        <v>8195</v>
      </c>
      <c r="BG152">
        <f>IF(ISBLANK(Tabla7[[#This Row],[15/11/2018]]),0,Tabla7[[#This Row],[15/11/2018]])</f>
        <v>9293</v>
      </c>
      <c r="BH152">
        <f>IF(ISBLANK(Tabla7[[#This Row],[15/12/2018]]),0,Tabla7[[#This Row],[15/12/2018]])</f>
        <v>10548</v>
      </c>
      <c r="BI152">
        <f>IF(ISBLANK(Tabla7[[#This Row],[28/12/2018]]),0,Tabla7[[#This Row],[28/12/2018]])</f>
        <v>0</v>
      </c>
      <c r="BN15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('TORRE CENTRO DOS Nº 1','S','SCT10','39337','VALENCIA TERMINAL EUROPA, S.A.','TORRE CENTRO DOS Nº1','','');</v>
      </c>
      <c r="BO152" t="s">
        <v>243</v>
      </c>
      <c r="BP152" s="632" t="str">
        <f>CONCATENATE("insert into lecturas values ","('",Tabla7[[#This Row],[CONTADOR]],"',STR_TO_DATE('",Tabla7[[#Headers],[31/12/2017]],"','%d/%m/%Y'),",AV152,"),","('",Tabla7[[#This Row],[CONTADOR]],"',STR_TO_DATE('",Tabla7[[#Headers],[15/01/2018]],"','%d/%m/%Y'),",AW152,"),","('",Tabla7[[#This Row],[CONTADOR]],"',STR_TO_DATE('",Tabla7[[#Headers],[15/02/2018]],"','%d/%m/%Y'),",AX152,"),","('",Tabla7[[#This Row],[CONTADOR]],"',STR_TO_DATE('",Tabla7[[#Headers],[15/03/2018]],"','%d/%m/%Y'),",AY152,"),","('",Tabla7[[#This Row],[CONTADOR]],"',STR_TO_DATE('",Tabla7[[#Headers],[15/04/2018]],"','%d/%m/%Y'),",AZ152,"),","('",Tabla7[[#This Row],[CONTADOR]],"',STR_TO_DATE('",Tabla7[[#Headers],[15/05/2018]],"','%d/%m/%Y'),",BA152,"),","('",Tabla7[[#This Row],[CONTADOR]],"',STR_TO_DATE('",Tabla7[[#Headers],[15/06/2018]],"','%d/%m/%Y'),",BB152,"),","('",Tabla7[[#This Row],[CONTADOR]],"',STR_TO_DATE('",Tabla7[[#Headers],[15/07/2018]],"','%d/%m/%Y'),",BC152,"),","('",Tabla7[[#This Row],[CONTADOR]],"',STR_TO_DATE('",Tabla7[[#Headers],[15/08/2018]],"','%d/%m/%Y'),",BD152,"),","('",Tabla7[[#This Row],[CONTADOR]],"',STR_TO_DATE('",Tabla7[[#Headers],[15/09/2018]],"','%d/%m/%Y'),",BE152,"),","('",Tabla7[[#This Row],[CONTADOR]],"',STR_TO_DATE('",Tabla7[[#Headers],[15/10/2018]],"','%d/%m/%Y'),",BF152,"),","('",Tabla7[[#This Row],[CONTADOR]],"',STR_TO_DATE('",Tabla7[[#Headers],[15/11/2018]],"','%d/%m/%Y'),",BG152,"),","('",Tabla7[[#This Row],[CONTADOR]],"',STR_TO_DATE('",Tabla7[[#Headers],[15/12/2018]],"','%d/%m/%Y'),",BH152,");")</f>
        <v>insert into lecturas values ('TORRE CENTRO DOS Nº 1',STR_TO_DATE('31/12/2017','%d/%m/%Y'),0),('TORRE CENTRO DOS Nº 1',STR_TO_DATE('15/01/2018','%d/%m/%Y'),0),('TORRE CENTRO DOS Nº 1',STR_TO_DATE('15/02/2018','%d/%m/%Y'),0),('TORRE CENTRO DOS Nº 1',STR_TO_DATE('15/03/2018','%d/%m/%Y'),2155),('TORRE CENTRO DOS Nº 1',STR_TO_DATE('15/04/2018','%d/%m/%Y'),3114),('TORRE CENTRO DOS Nº 1',STR_TO_DATE('15/05/2018','%d/%m/%Y'),4004),('TORRE CENTRO DOS Nº 1',STR_TO_DATE('15/06/2018','%d/%m/%Y'),4881),('TORRE CENTRO DOS Nº 1',STR_TO_DATE('15/07/2018','%d/%m/%Y'),5527),('TORRE CENTRO DOS Nº 1',STR_TO_DATE('15/08/2018','%d/%m/%Y'),6420),('TORRE CENTRO DOS Nº 1',STR_TO_DATE('15/09/2018','%d/%m/%Y'),7413),('TORRE CENTRO DOS Nº 1',STR_TO_DATE('15/10/2018','%d/%m/%Y'),8195),('TORRE CENTRO DOS Nº 1',STR_TO_DATE('15/11/2018','%d/%m/%Y'),9293),('TORRE CENTRO DOS Nº 1',STR_TO_DATE('15/12/2018','%d/%m/%Y'),10548);</v>
      </c>
    </row>
    <row r="153" spans="1:68" ht="18" customHeight="1" x14ac:dyDescent="0.3">
      <c r="A153" s="241" t="s">
        <v>534</v>
      </c>
      <c r="B153" s="60"/>
      <c r="C153" s="451" t="s">
        <v>1297</v>
      </c>
      <c r="D153" s="450" t="s">
        <v>589</v>
      </c>
      <c r="E153" s="258">
        <v>39418</v>
      </c>
      <c r="F153" s="449" t="s">
        <v>146</v>
      </c>
      <c r="G153" s="451" t="s">
        <v>1297</v>
      </c>
      <c r="H153" s="274"/>
      <c r="I153" s="274"/>
      <c r="J153" s="311"/>
      <c r="K153" s="311"/>
      <c r="L153" s="311"/>
      <c r="M153" s="311">
        <v>1512</v>
      </c>
      <c r="N153" s="311">
        <v>2181</v>
      </c>
      <c r="O153" s="311">
        <v>2809</v>
      </c>
      <c r="P153" s="311">
        <v>3441</v>
      </c>
      <c r="Q153" s="307">
        <v>3865</v>
      </c>
      <c r="R153" s="507">
        <v>4448</v>
      </c>
      <c r="S153" s="353">
        <v>5098</v>
      </c>
      <c r="T153" s="353">
        <v>5832</v>
      </c>
      <c r="U153" s="353">
        <v>6652</v>
      </c>
      <c r="V153" s="353">
        <v>7622</v>
      </c>
      <c r="W153" s="344"/>
      <c r="X153" s="307"/>
      <c r="Y153" s="2" t="str">
        <f t="shared" si="47"/>
        <v/>
      </c>
      <c r="Z153" s="2" t="str">
        <f t="shared" si="46"/>
        <v/>
      </c>
      <c r="AA153" s="2" t="str">
        <f t="shared" si="62"/>
        <v/>
      </c>
      <c r="AB153" s="2">
        <f t="shared" si="63"/>
        <v>669</v>
      </c>
      <c r="AC153" s="2">
        <f t="shared" si="54"/>
        <v>628</v>
      </c>
      <c r="AD153" s="2">
        <f t="shared" si="55"/>
        <v>632</v>
      </c>
      <c r="AE153" s="2">
        <f t="shared" si="56"/>
        <v>424</v>
      </c>
      <c r="AF153" s="2">
        <f t="shared" si="57"/>
        <v>583</v>
      </c>
      <c r="AG153" s="2">
        <f t="shared" si="58"/>
        <v>650</v>
      </c>
      <c r="AH153" s="271">
        <f t="shared" si="61"/>
        <v>734</v>
      </c>
      <c r="AI153" s="2">
        <f t="shared" si="59"/>
        <v>820</v>
      </c>
      <c r="AJ153" s="2">
        <f t="shared" si="60"/>
        <v>970</v>
      </c>
      <c r="AK153" s="416">
        <v>1</v>
      </c>
      <c r="AL153" s="448">
        <f t="shared" ca="1" si="50"/>
        <v>2181</v>
      </c>
      <c r="AM153" s="311">
        <f t="shared" ca="1" si="51"/>
        <v>2809</v>
      </c>
      <c r="AN153" s="412">
        <f ca="1">IF(AND(Tabla7[[#This Row],[UltLec]]&lt;&gt;0,Tabla7[[#This Row],[PenLect]]&lt;&gt;0),(AM153-AL153)*Tabla7[[#This Row],[RT]],"N/A")</f>
        <v>628</v>
      </c>
      <c r="AO153" s="273" t="s">
        <v>1135</v>
      </c>
      <c r="AP153" s="392" t="s">
        <v>1190</v>
      </c>
      <c r="AQ153" s="392" t="s">
        <v>1189</v>
      </c>
      <c r="AR153" s="407">
        <f t="shared" si="52"/>
        <v>0</v>
      </c>
      <c r="AT153" s="2">
        <f t="shared" ca="1" si="53"/>
        <v>0.93871449925261585</v>
      </c>
      <c r="AV153">
        <f>IF(ISBLANK(Tabla7[[#This Row],[31/12/2017]]),0,Tabla7[[#This Row],[31/12/2017]])</f>
        <v>0</v>
      </c>
      <c r="AW153">
        <f>IF(ISBLANK(Tabla7[[#This Row],[15/01/2018]]),0,Tabla7[[#This Row],[15/01/2018]])</f>
        <v>0</v>
      </c>
      <c r="AX153">
        <f>IF(ISBLANK(Tabla7[[#This Row],[15/02/2018]]),0,Tabla7[[#This Row],[15/02/2018]])</f>
        <v>0</v>
      </c>
      <c r="AY153">
        <f>IF(ISBLANK(Tabla7[[#This Row],[15/03/2018]]),0,Tabla7[[#This Row],[15/03/2018]])</f>
        <v>1512</v>
      </c>
      <c r="AZ153">
        <f>IF(ISBLANK(Tabla7[[#This Row],[15/04/2018]]),0,Tabla7[[#This Row],[15/04/2018]])</f>
        <v>2181</v>
      </c>
      <c r="BA153">
        <f>IF(ISBLANK(Tabla7[[#This Row],[15/05/2018]]),0,Tabla7[[#This Row],[15/05/2018]])</f>
        <v>2809</v>
      </c>
      <c r="BB153">
        <f>IF(ISBLANK(Tabla7[[#This Row],[15/06/2018]]),0,Tabla7[[#This Row],[15/06/2018]])</f>
        <v>3441</v>
      </c>
      <c r="BC153">
        <f>IF(ISBLANK(Tabla7[[#This Row],[15/07/2018]]),0,Tabla7[[#This Row],[15/07/2018]])</f>
        <v>3865</v>
      </c>
      <c r="BD153">
        <f>IF(ISBLANK(Tabla7[[#This Row],[15/08/2018]]),0,Tabla7[[#This Row],[15/08/2018]])</f>
        <v>4448</v>
      </c>
      <c r="BE153">
        <f>IF(ISBLANK(Tabla7[[#This Row],[15/09/2018]]),0,Tabla7[[#This Row],[15/09/2018]])</f>
        <v>5098</v>
      </c>
      <c r="BF153">
        <f>IF(ISBLANK(Tabla7[[#This Row],[15/10/2018]]),0,Tabla7[[#This Row],[15/10/2018]])</f>
        <v>5832</v>
      </c>
      <c r="BG153">
        <f>IF(ISBLANK(Tabla7[[#This Row],[15/11/2018]]),0,Tabla7[[#This Row],[15/11/2018]])</f>
        <v>6652</v>
      </c>
      <c r="BH153">
        <f>IF(ISBLANK(Tabla7[[#This Row],[15/12/2018]]),0,Tabla7[[#This Row],[15/12/2018]])</f>
        <v>7622</v>
      </c>
      <c r="BI153">
        <f>IF(ISBLANK(Tabla7[[#This Row],[28/12/2018]]),0,Tabla7[[#This Row],[28/12/2018]])</f>
        <v>0</v>
      </c>
      <c r="BN15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('TORRE CENTRO DOS Nº 2','S','SCT10','39418','VALENCIA TERMINAL EUROPA, S.A.','TORRE CENTRO DOS Nº 2','','');</v>
      </c>
      <c r="BO153" t="s">
        <v>243</v>
      </c>
      <c r="BP153" s="632" t="str">
        <f>CONCATENATE("insert into lecturas values ","('",Tabla7[[#This Row],[CONTADOR]],"',STR_TO_DATE('",Tabla7[[#Headers],[31/12/2017]],"','%d/%m/%Y'),",AV153,"),","('",Tabla7[[#This Row],[CONTADOR]],"',STR_TO_DATE('",Tabla7[[#Headers],[15/01/2018]],"','%d/%m/%Y'),",AW153,"),","('",Tabla7[[#This Row],[CONTADOR]],"',STR_TO_DATE('",Tabla7[[#Headers],[15/02/2018]],"','%d/%m/%Y'),",AX153,"),","('",Tabla7[[#This Row],[CONTADOR]],"',STR_TO_DATE('",Tabla7[[#Headers],[15/03/2018]],"','%d/%m/%Y'),",AY153,"),","('",Tabla7[[#This Row],[CONTADOR]],"',STR_TO_DATE('",Tabla7[[#Headers],[15/04/2018]],"','%d/%m/%Y'),",AZ153,"),","('",Tabla7[[#This Row],[CONTADOR]],"',STR_TO_DATE('",Tabla7[[#Headers],[15/05/2018]],"','%d/%m/%Y'),",BA153,"),","('",Tabla7[[#This Row],[CONTADOR]],"',STR_TO_DATE('",Tabla7[[#Headers],[15/06/2018]],"','%d/%m/%Y'),",BB153,"),","('",Tabla7[[#This Row],[CONTADOR]],"',STR_TO_DATE('",Tabla7[[#Headers],[15/07/2018]],"','%d/%m/%Y'),",BC153,"),","('",Tabla7[[#This Row],[CONTADOR]],"',STR_TO_DATE('",Tabla7[[#Headers],[15/08/2018]],"','%d/%m/%Y'),",BD153,"),","('",Tabla7[[#This Row],[CONTADOR]],"',STR_TO_DATE('",Tabla7[[#Headers],[15/09/2018]],"','%d/%m/%Y'),",BE153,"),","('",Tabla7[[#This Row],[CONTADOR]],"',STR_TO_DATE('",Tabla7[[#Headers],[15/10/2018]],"','%d/%m/%Y'),",BF153,"),","('",Tabla7[[#This Row],[CONTADOR]],"',STR_TO_DATE('",Tabla7[[#Headers],[15/11/2018]],"','%d/%m/%Y'),",BG153,"),","('",Tabla7[[#This Row],[CONTADOR]],"',STR_TO_DATE('",Tabla7[[#Headers],[15/12/2018]],"','%d/%m/%Y'),",BH153,");")</f>
        <v>insert into lecturas values ('TORRE CENTRO DOS Nº 2',STR_TO_DATE('31/12/2017','%d/%m/%Y'),0),('TORRE CENTRO DOS Nº 2',STR_TO_DATE('15/01/2018','%d/%m/%Y'),0),('TORRE CENTRO DOS Nº 2',STR_TO_DATE('15/02/2018','%d/%m/%Y'),0),('TORRE CENTRO DOS Nº 2',STR_TO_DATE('15/03/2018','%d/%m/%Y'),1512),('TORRE CENTRO DOS Nº 2',STR_TO_DATE('15/04/2018','%d/%m/%Y'),2181),('TORRE CENTRO DOS Nº 2',STR_TO_DATE('15/05/2018','%d/%m/%Y'),2809),('TORRE CENTRO DOS Nº 2',STR_TO_DATE('15/06/2018','%d/%m/%Y'),3441),('TORRE CENTRO DOS Nº 2',STR_TO_DATE('15/07/2018','%d/%m/%Y'),3865),('TORRE CENTRO DOS Nº 2',STR_TO_DATE('15/08/2018','%d/%m/%Y'),4448),('TORRE CENTRO DOS Nº 2',STR_TO_DATE('15/09/2018','%d/%m/%Y'),5098),('TORRE CENTRO DOS Nº 2',STR_TO_DATE('15/10/2018','%d/%m/%Y'),5832),('TORRE CENTRO DOS Nº 2',STR_TO_DATE('15/11/2018','%d/%m/%Y'),6652),('TORRE CENTRO DOS Nº 2',STR_TO_DATE('15/12/2018','%d/%m/%Y'),7622);</v>
      </c>
    </row>
    <row r="154" spans="1:68" ht="18" customHeight="1" x14ac:dyDescent="0.3">
      <c r="A154" s="241" t="s">
        <v>534</v>
      </c>
      <c r="B154" s="60"/>
      <c r="C154" s="451" t="s">
        <v>1298</v>
      </c>
      <c r="D154" s="450" t="s">
        <v>589</v>
      </c>
      <c r="E154" s="258">
        <v>39833</v>
      </c>
      <c r="F154" s="449" t="s">
        <v>146</v>
      </c>
      <c r="G154" s="451" t="s">
        <v>1298</v>
      </c>
      <c r="H154" s="2"/>
      <c r="I154" s="274"/>
      <c r="J154" s="311"/>
      <c r="K154" s="311"/>
      <c r="L154" s="311"/>
      <c r="M154" s="311">
        <v>65</v>
      </c>
      <c r="N154" s="311">
        <v>258</v>
      </c>
      <c r="O154" s="311">
        <v>399</v>
      </c>
      <c r="P154" s="311">
        <v>644</v>
      </c>
      <c r="Q154" s="307">
        <v>1116</v>
      </c>
      <c r="R154" s="507">
        <v>1763</v>
      </c>
      <c r="S154" s="353">
        <v>2426</v>
      </c>
      <c r="T154" s="353">
        <v>3166</v>
      </c>
      <c r="U154" s="353">
        <v>4015</v>
      </c>
      <c r="V154" s="353">
        <v>5198</v>
      </c>
      <c r="W154" s="344"/>
      <c r="X154" s="307"/>
      <c r="Y154" s="2" t="str">
        <f t="shared" si="47"/>
        <v/>
      </c>
      <c r="Z154" s="2" t="str">
        <f t="shared" si="46"/>
        <v/>
      </c>
      <c r="AA154" s="2" t="str">
        <f t="shared" si="62"/>
        <v/>
      </c>
      <c r="AB154" s="2">
        <f t="shared" si="63"/>
        <v>193</v>
      </c>
      <c r="AC154" s="2">
        <f t="shared" si="54"/>
        <v>141</v>
      </c>
      <c r="AD154" s="2">
        <f t="shared" si="55"/>
        <v>245</v>
      </c>
      <c r="AE154" s="2">
        <f t="shared" si="56"/>
        <v>472</v>
      </c>
      <c r="AF154" s="2">
        <f t="shared" si="57"/>
        <v>647</v>
      </c>
      <c r="AG154" s="2">
        <f t="shared" si="58"/>
        <v>663</v>
      </c>
      <c r="AH154" s="271">
        <f t="shared" si="61"/>
        <v>740</v>
      </c>
      <c r="AI154" s="2">
        <f t="shared" si="59"/>
        <v>849</v>
      </c>
      <c r="AJ154" s="2">
        <f t="shared" si="60"/>
        <v>1183</v>
      </c>
      <c r="AK154" s="416">
        <v>1</v>
      </c>
      <c r="AL154" s="448">
        <f t="shared" ca="1" si="50"/>
        <v>258</v>
      </c>
      <c r="AM154" s="311">
        <f t="shared" ca="1" si="51"/>
        <v>399</v>
      </c>
      <c r="AN154" s="412">
        <f ca="1">IF(AND(Tabla7[[#This Row],[UltLec]]&lt;&gt;0,Tabla7[[#This Row],[PenLect]]&lt;&gt;0),(AM154-AL154)*Tabla7[[#This Row],[RT]],"N/A")</f>
        <v>141</v>
      </c>
      <c r="AO154" s="273" t="s">
        <v>1135</v>
      </c>
      <c r="AP154" s="392" t="s">
        <v>1190</v>
      </c>
      <c r="AQ154" s="392" t="s">
        <v>1189</v>
      </c>
      <c r="AR154" s="407">
        <f t="shared" si="52"/>
        <v>0</v>
      </c>
      <c r="AT154" s="2">
        <f t="shared" ca="1" si="53"/>
        <v>0.73056994818652854</v>
      </c>
      <c r="AV154">
        <f>IF(ISBLANK(Tabla7[[#This Row],[31/12/2017]]),0,Tabla7[[#This Row],[31/12/2017]])</f>
        <v>0</v>
      </c>
      <c r="AW154">
        <f>IF(ISBLANK(Tabla7[[#This Row],[15/01/2018]]),0,Tabla7[[#This Row],[15/01/2018]])</f>
        <v>0</v>
      </c>
      <c r="AX154">
        <f>IF(ISBLANK(Tabla7[[#This Row],[15/02/2018]]),0,Tabla7[[#This Row],[15/02/2018]])</f>
        <v>0</v>
      </c>
      <c r="AY154">
        <f>IF(ISBLANK(Tabla7[[#This Row],[15/03/2018]]),0,Tabla7[[#This Row],[15/03/2018]])</f>
        <v>65</v>
      </c>
      <c r="AZ154">
        <f>IF(ISBLANK(Tabla7[[#This Row],[15/04/2018]]),0,Tabla7[[#This Row],[15/04/2018]])</f>
        <v>258</v>
      </c>
      <c r="BA154">
        <f>IF(ISBLANK(Tabla7[[#This Row],[15/05/2018]]),0,Tabla7[[#This Row],[15/05/2018]])</f>
        <v>399</v>
      </c>
      <c r="BB154">
        <f>IF(ISBLANK(Tabla7[[#This Row],[15/06/2018]]),0,Tabla7[[#This Row],[15/06/2018]])</f>
        <v>644</v>
      </c>
      <c r="BC154">
        <f>IF(ISBLANK(Tabla7[[#This Row],[15/07/2018]]),0,Tabla7[[#This Row],[15/07/2018]])</f>
        <v>1116</v>
      </c>
      <c r="BD154">
        <f>IF(ISBLANK(Tabla7[[#This Row],[15/08/2018]]),0,Tabla7[[#This Row],[15/08/2018]])</f>
        <v>1763</v>
      </c>
      <c r="BE154">
        <f>IF(ISBLANK(Tabla7[[#This Row],[15/09/2018]]),0,Tabla7[[#This Row],[15/09/2018]])</f>
        <v>2426</v>
      </c>
      <c r="BF154">
        <f>IF(ISBLANK(Tabla7[[#This Row],[15/10/2018]]),0,Tabla7[[#This Row],[15/10/2018]])</f>
        <v>3166</v>
      </c>
      <c r="BG154">
        <f>IF(ISBLANK(Tabla7[[#This Row],[15/11/2018]]),0,Tabla7[[#This Row],[15/11/2018]])</f>
        <v>4015</v>
      </c>
      <c r="BH154">
        <f>IF(ISBLANK(Tabla7[[#This Row],[15/12/2018]]),0,Tabla7[[#This Row],[15/12/2018]])</f>
        <v>5198</v>
      </c>
      <c r="BI154">
        <f>IF(ISBLANK(Tabla7[[#This Row],[28/12/2018]]),0,Tabla7[[#This Row],[28/12/2018]])</f>
        <v>0</v>
      </c>
      <c r="BN15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('TORRE CENTRO DOS Nº 3','S','SCT10','39833','VALENCIA TERMINAL EUROPA, S.A.','TORRE CENTRO DOS Nº 3','','');</v>
      </c>
      <c r="BO154" t="s">
        <v>243</v>
      </c>
      <c r="BP154" s="632" t="str">
        <f>CONCATENATE("insert into lecturas values ","('",Tabla7[[#This Row],[CONTADOR]],"',STR_TO_DATE('",Tabla7[[#Headers],[31/12/2017]],"','%d/%m/%Y'),",AV154,"),","('",Tabla7[[#This Row],[CONTADOR]],"',STR_TO_DATE('",Tabla7[[#Headers],[15/01/2018]],"','%d/%m/%Y'),",AW154,"),","('",Tabla7[[#This Row],[CONTADOR]],"',STR_TO_DATE('",Tabla7[[#Headers],[15/02/2018]],"','%d/%m/%Y'),",AX154,"),","('",Tabla7[[#This Row],[CONTADOR]],"',STR_TO_DATE('",Tabla7[[#Headers],[15/03/2018]],"','%d/%m/%Y'),",AY154,"),","('",Tabla7[[#This Row],[CONTADOR]],"',STR_TO_DATE('",Tabla7[[#Headers],[15/04/2018]],"','%d/%m/%Y'),",AZ154,"),","('",Tabla7[[#This Row],[CONTADOR]],"',STR_TO_DATE('",Tabla7[[#Headers],[15/05/2018]],"','%d/%m/%Y'),",BA154,"),","('",Tabla7[[#This Row],[CONTADOR]],"',STR_TO_DATE('",Tabla7[[#Headers],[15/06/2018]],"','%d/%m/%Y'),",BB154,"),","('",Tabla7[[#This Row],[CONTADOR]],"',STR_TO_DATE('",Tabla7[[#Headers],[15/07/2018]],"','%d/%m/%Y'),",BC154,"),","('",Tabla7[[#This Row],[CONTADOR]],"',STR_TO_DATE('",Tabla7[[#Headers],[15/08/2018]],"','%d/%m/%Y'),",BD154,"),","('",Tabla7[[#This Row],[CONTADOR]],"',STR_TO_DATE('",Tabla7[[#Headers],[15/09/2018]],"','%d/%m/%Y'),",BE154,"),","('",Tabla7[[#This Row],[CONTADOR]],"',STR_TO_DATE('",Tabla7[[#Headers],[15/10/2018]],"','%d/%m/%Y'),",BF154,"),","('",Tabla7[[#This Row],[CONTADOR]],"',STR_TO_DATE('",Tabla7[[#Headers],[15/11/2018]],"','%d/%m/%Y'),",BG154,"),","('",Tabla7[[#This Row],[CONTADOR]],"',STR_TO_DATE('",Tabla7[[#Headers],[15/12/2018]],"','%d/%m/%Y'),",BH154,");")</f>
        <v>insert into lecturas values ('TORRE CENTRO DOS Nº 3',STR_TO_DATE('31/12/2017','%d/%m/%Y'),0),('TORRE CENTRO DOS Nº 3',STR_TO_DATE('15/01/2018','%d/%m/%Y'),0),('TORRE CENTRO DOS Nº 3',STR_TO_DATE('15/02/2018','%d/%m/%Y'),0),('TORRE CENTRO DOS Nº 3',STR_TO_DATE('15/03/2018','%d/%m/%Y'),65),('TORRE CENTRO DOS Nº 3',STR_TO_DATE('15/04/2018','%d/%m/%Y'),258),('TORRE CENTRO DOS Nº 3',STR_TO_DATE('15/05/2018','%d/%m/%Y'),399),('TORRE CENTRO DOS Nº 3',STR_TO_DATE('15/06/2018','%d/%m/%Y'),644),('TORRE CENTRO DOS Nº 3',STR_TO_DATE('15/07/2018','%d/%m/%Y'),1116),('TORRE CENTRO DOS Nº 3',STR_TO_DATE('15/08/2018','%d/%m/%Y'),1763),('TORRE CENTRO DOS Nº 3',STR_TO_DATE('15/09/2018','%d/%m/%Y'),2426),('TORRE CENTRO DOS Nº 3',STR_TO_DATE('15/10/2018','%d/%m/%Y'),3166),('TORRE CENTRO DOS Nº 3',STR_TO_DATE('15/11/2018','%d/%m/%Y'),4015),('TORRE CENTRO DOS Nº 3',STR_TO_DATE('15/12/2018','%d/%m/%Y'),5198);</v>
      </c>
    </row>
    <row r="155" spans="1:68" ht="18" customHeight="1" x14ac:dyDescent="0.3">
      <c r="A155" s="241" t="s">
        <v>534</v>
      </c>
      <c r="B155" s="60"/>
      <c r="C155" s="451" t="s">
        <v>1366</v>
      </c>
      <c r="D155" s="450" t="s">
        <v>589</v>
      </c>
      <c r="E155" s="258">
        <v>39156</v>
      </c>
      <c r="F155" s="449" t="s">
        <v>146</v>
      </c>
      <c r="G155" s="451" t="s">
        <v>1287</v>
      </c>
      <c r="H155" s="2"/>
      <c r="I155" s="274"/>
      <c r="J155" s="311"/>
      <c r="K155" s="311"/>
      <c r="L155" s="311"/>
      <c r="M155" s="311">
        <v>2586</v>
      </c>
      <c r="N155" s="311">
        <v>3357</v>
      </c>
      <c r="O155" s="311">
        <v>4018</v>
      </c>
      <c r="P155" s="311">
        <v>4700</v>
      </c>
      <c r="Q155" s="307">
        <v>5155</v>
      </c>
      <c r="R155" s="507">
        <v>5801</v>
      </c>
      <c r="S155" s="353">
        <v>6532</v>
      </c>
      <c r="T155" s="353">
        <v>7306</v>
      </c>
      <c r="U155" s="353">
        <v>8138</v>
      </c>
      <c r="V155" s="353">
        <v>9123</v>
      </c>
      <c r="W155" s="344"/>
      <c r="X155" s="307"/>
      <c r="Y155" s="2" t="str">
        <f t="shared" si="47"/>
        <v/>
      </c>
      <c r="Z155" s="2" t="str">
        <f t="shared" si="46"/>
        <v/>
      </c>
      <c r="AA155" s="2" t="str">
        <f t="shared" si="62"/>
        <v/>
      </c>
      <c r="AB155" s="2">
        <f t="shared" si="63"/>
        <v>771</v>
      </c>
      <c r="AC155" s="2">
        <f t="shared" si="54"/>
        <v>661</v>
      </c>
      <c r="AD155" s="2">
        <f t="shared" si="55"/>
        <v>682</v>
      </c>
      <c r="AE155" s="2">
        <f t="shared" si="56"/>
        <v>455</v>
      </c>
      <c r="AF155" s="2">
        <f t="shared" si="57"/>
        <v>646</v>
      </c>
      <c r="AG155" s="2">
        <f t="shared" si="58"/>
        <v>731</v>
      </c>
      <c r="AH155" s="271">
        <f t="shared" si="61"/>
        <v>774</v>
      </c>
      <c r="AI155" s="2">
        <f t="shared" si="59"/>
        <v>832</v>
      </c>
      <c r="AJ155" s="2">
        <f t="shared" si="60"/>
        <v>985</v>
      </c>
      <c r="AK155" s="416">
        <v>1</v>
      </c>
      <c r="AL155" s="448">
        <f t="shared" ca="1" si="50"/>
        <v>3357</v>
      </c>
      <c r="AM155" s="311">
        <f t="shared" ca="1" si="51"/>
        <v>4018</v>
      </c>
      <c r="AN155" s="412">
        <f ca="1">IF(AND(Tabla7[[#This Row],[UltLec]]&lt;&gt;0,Tabla7[[#This Row],[PenLect]]&lt;&gt;0),(AM155-AL155)*Tabla7[[#This Row],[RT]],"N/A")</f>
        <v>661</v>
      </c>
      <c r="AO155" s="273" t="s">
        <v>1135</v>
      </c>
      <c r="AP155" s="392" t="s">
        <v>1190</v>
      </c>
      <c r="AQ155" s="392" t="s">
        <v>1189</v>
      </c>
      <c r="AR155" s="407">
        <f t="shared" si="52"/>
        <v>0</v>
      </c>
      <c r="AT155" s="2">
        <f t="shared" ca="1" si="53"/>
        <v>0.85732814526588841</v>
      </c>
      <c r="AV155">
        <f>IF(ISBLANK(Tabla7[[#This Row],[31/12/2017]]),0,Tabla7[[#This Row],[31/12/2017]])</f>
        <v>0</v>
      </c>
      <c r="AW155">
        <f>IF(ISBLANK(Tabla7[[#This Row],[15/01/2018]]),0,Tabla7[[#This Row],[15/01/2018]])</f>
        <v>0</v>
      </c>
      <c r="AX155">
        <f>IF(ISBLANK(Tabla7[[#This Row],[15/02/2018]]),0,Tabla7[[#This Row],[15/02/2018]])</f>
        <v>0</v>
      </c>
      <c r="AY155">
        <f>IF(ISBLANK(Tabla7[[#This Row],[15/03/2018]]),0,Tabla7[[#This Row],[15/03/2018]])</f>
        <v>2586</v>
      </c>
      <c r="AZ155">
        <f>IF(ISBLANK(Tabla7[[#This Row],[15/04/2018]]),0,Tabla7[[#This Row],[15/04/2018]])</f>
        <v>3357</v>
      </c>
      <c r="BA155">
        <f>IF(ISBLANK(Tabla7[[#This Row],[15/05/2018]]),0,Tabla7[[#This Row],[15/05/2018]])</f>
        <v>4018</v>
      </c>
      <c r="BB155">
        <f>IF(ISBLANK(Tabla7[[#This Row],[15/06/2018]]),0,Tabla7[[#This Row],[15/06/2018]])</f>
        <v>4700</v>
      </c>
      <c r="BC155">
        <f>IF(ISBLANK(Tabla7[[#This Row],[15/07/2018]]),0,Tabla7[[#This Row],[15/07/2018]])</f>
        <v>5155</v>
      </c>
      <c r="BD155">
        <f>IF(ISBLANK(Tabla7[[#This Row],[15/08/2018]]),0,Tabla7[[#This Row],[15/08/2018]])</f>
        <v>5801</v>
      </c>
      <c r="BE155">
        <f>IF(ISBLANK(Tabla7[[#This Row],[15/09/2018]]),0,Tabla7[[#This Row],[15/09/2018]])</f>
        <v>6532</v>
      </c>
      <c r="BF155">
        <f>IF(ISBLANK(Tabla7[[#This Row],[15/10/2018]]),0,Tabla7[[#This Row],[15/10/2018]])</f>
        <v>7306</v>
      </c>
      <c r="BG155">
        <f>IF(ISBLANK(Tabla7[[#This Row],[15/11/2018]]),0,Tabla7[[#This Row],[15/11/2018]])</f>
        <v>8138</v>
      </c>
      <c r="BH155">
        <f>IF(ISBLANK(Tabla7[[#This Row],[15/12/2018]]),0,Tabla7[[#This Row],[15/12/2018]])</f>
        <v>9123</v>
      </c>
      <c r="BI155">
        <f>IF(ISBLANK(Tabla7[[#This Row],[28/12/2018]]),0,Tabla7[[#This Row],[28/12/2018]])</f>
        <v>0</v>
      </c>
      <c r="BN15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('TORRE SUR DOS Nº 1','S','SCT10','39156','VALENCIA TERMINAL EUROPA, S.A.','TORRE SUR DOS Nº1','','');</v>
      </c>
      <c r="BO155" t="s">
        <v>243</v>
      </c>
      <c r="BP155" s="632" t="str">
        <f>CONCATENATE("insert into lecturas values ","('",Tabla7[[#This Row],[CONTADOR]],"',STR_TO_DATE('",Tabla7[[#Headers],[31/12/2017]],"','%d/%m/%Y'),",AV155,"),","('",Tabla7[[#This Row],[CONTADOR]],"',STR_TO_DATE('",Tabla7[[#Headers],[15/01/2018]],"','%d/%m/%Y'),",AW155,"),","('",Tabla7[[#This Row],[CONTADOR]],"',STR_TO_DATE('",Tabla7[[#Headers],[15/02/2018]],"','%d/%m/%Y'),",AX155,"),","('",Tabla7[[#This Row],[CONTADOR]],"',STR_TO_DATE('",Tabla7[[#Headers],[15/03/2018]],"','%d/%m/%Y'),",AY155,"),","('",Tabla7[[#This Row],[CONTADOR]],"',STR_TO_DATE('",Tabla7[[#Headers],[15/04/2018]],"','%d/%m/%Y'),",AZ155,"),","('",Tabla7[[#This Row],[CONTADOR]],"',STR_TO_DATE('",Tabla7[[#Headers],[15/05/2018]],"','%d/%m/%Y'),",BA155,"),","('",Tabla7[[#This Row],[CONTADOR]],"',STR_TO_DATE('",Tabla7[[#Headers],[15/06/2018]],"','%d/%m/%Y'),",BB155,"),","('",Tabla7[[#This Row],[CONTADOR]],"',STR_TO_DATE('",Tabla7[[#Headers],[15/07/2018]],"','%d/%m/%Y'),",BC155,"),","('",Tabla7[[#This Row],[CONTADOR]],"',STR_TO_DATE('",Tabla7[[#Headers],[15/08/2018]],"','%d/%m/%Y'),",BD155,"),","('",Tabla7[[#This Row],[CONTADOR]],"',STR_TO_DATE('",Tabla7[[#Headers],[15/09/2018]],"','%d/%m/%Y'),",BE155,"),","('",Tabla7[[#This Row],[CONTADOR]],"',STR_TO_DATE('",Tabla7[[#Headers],[15/10/2018]],"','%d/%m/%Y'),",BF155,"),","('",Tabla7[[#This Row],[CONTADOR]],"',STR_TO_DATE('",Tabla7[[#Headers],[15/11/2018]],"','%d/%m/%Y'),",BG155,"),","('",Tabla7[[#This Row],[CONTADOR]],"',STR_TO_DATE('",Tabla7[[#Headers],[15/12/2018]],"','%d/%m/%Y'),",BH155,");")</f>
        <v>insert into lecturas values ('TORRE SUR DOS Nº 1',STR_TO_DATE('31/12/2017','%d/%m/%Y'),0),('TORRE SUR DOS Nº 1',STR_TO_DATE('15/01/2018','%d/%m/%Y'),0),('TORRE SUR DOS Nº 1',STR_TO_DATE('15/02/2018','%d/%m/%Y'),0),('TORRE SUR DOS Nº 1',STR_TO_DATE('15/03/2018','%d/%m/%Y'),2586),('TORRE SUR DOS Nº 1',STR_TO_DATE('15/04/2018','%d/%m/%Y'),3357),('TORRE SUR DOS Nº 1',STR_TO_DATE('15/05/2018','%d/%m/%Y'),4018),('TORRE SUR DOS Nº 1',STR_TO_DATE('15/06/2018','%d/%m/%Y'),4700),('TORRE SUR DOS Nº 1',STR_TO_DATE('15/07/2018','%d/%m/%Y'),5155),('TORRE SUR DOS Nº 1',STR_TO_DATE('15/08/2018','%d/%m/%Y'),5801),('TORRE SUR DOS Nº 1',STR_TO_DATE('15/09/2018','%d/%m/%Y'),6532),('TORRE SUR DOS Nº 1',STR_TO_DATE('15/10/2018','%d/%m/%Y'),7306),('TORRE SUR DOS Nº 1',STR_TO_DATE('15/11/2018','%d/%m/%Y'),8138),('TORRE SUR DOS Nº 1',STR_TO_DATE('15/12/2018','%d/%m/%Y'),9123);</v>
      </c>
    </row>
    <row r="156" spans="1:68" ht="18" customHeight="1" x14ac:dyDescent="0.3">
      <c r="A156" s="241" t="s">
        <v>534</v>
      </c>
      <c r="B156" s="60"/>
      <c r="C156" s="451" t="s">
        <v>1288</v>
      </c>
      <c r="D156" s="450" t="s">
        <v>589</v>
      </c>
      <c r="E156" s="258">
        <v>39293</v>
      </c>
      <c r="F156" s="449" t="s">
        <v>146</v>
      </c>
      <c r="G156" s="451" t="s">
        <v>1288</v>
      </c>
      <c r="H156" s="2"/>
      <c r="I156" s="274"/>
      <c r="J156" s="311"/>
      <c r="K156" s="311"/>
      <c r="L156" s="311"/>
      <c r="M156" s="311">
        <v>413</v>
      </c>
      <c r="N156" s="311">
        <v>555</v>
      </c>
      <c r="O156" s="311">
        <v>678</v>
      </c>
      <c r="P156" s="311">
        <v>809</v>
      </c>
      <c r="Q156" s="307">
        <v>891</v>
      </c>
      <c r="R156" s="507">
        <v>1005</v>
      </c>
      <c r="S156" s="353">
        <v>1140</v>
      </c>
      <c r="T156" s="353">
        <v>1289</v>
      </c>
      <c r="U156" s="353">
        <v>1473</v>
      </c>
      <c r="V156" s="353">
        <v>1717</v>
      </c>
      <c r="W156" s="344"/>
      <c r="X156" s="307"/>
      <c r="Y156" s="2" t="str">
        <f t="shared" si="47"/>
        <v/>
      </c>
      <c r="Z156" s="2" t="str">
        <f t="shared" si="46"/>
        <v/>
      </c>
      <c r="AA156" s="2" t="str">
        <f t="shared" si="62"/>
        <v/>
      </c>
      <c r="AB156" s="2">
        <f t="shared" si="63"/>
        <v>142</v>
      </c>
      <c r="AC156" s="2">
        <f t="shared" si="54"/>
        <v>123</v>
      </c>
      <c r="AD156" s="2">
        <f t="shared" si="55"/>
        <v>131</v>
      </c>
      <c r="AE156" s="2">
        <f t="shared" si="56"/>
        <v>82</v>
      </c>
      <c r="AF156" s="2">
        <f t="shared" si="57"/>
        <v>114</v>
      </c>
      <c r="AG156" s="2">
        <f t="shared" si="58"/>
        <v>135</v>
      </c>
      <c r="AH156" s="271">
        <f t="shared" si="61"/>
        <v>149</v>
      </c>
      <c r="AI156" s="2">
        <f t="shared" si="59"/>
        <v>184</v>
      </c>
      <c r="AJ156" s="2">
        <f t="shared" si="60"/>
        <v>244</v>
      </c>
      <c r="AK156" s="416">
        <v>1</v>
      </c>
      <c r="AL156" s="448">
        <f t="shared" ca="1" si="50"/>
        <v>555</v>
      </c>
      <c r="AM156" s="311">
        <f t="shared" ca="1" si="51"/>
        <v>678</v>
      </c>
      <c r="AN156" s="412">
        <f ca="1">IF(AND(Tabla7[[#This Row],[UltLec]]&lt;&gt;0,Tabla7[[#This Row],[PenLect]]&lt;&gt;0),(AM156-AL156)*Tabla7[[#This Row],[RT]],"N/A")</f>
        <v>123</v>
      </c>
      <c r="AO156" s="273" t="s">
        <v>1135</v>
      </c>
      <c r="AP156" s="392" t="s">
        <v>1190</v>
      </c>
      <c r="AQ156" s="392" t="s">
        <v>1189</v>
      </c>
      <c r="AR156" s="407">
        <f t="shared" si="52"/>
        <v>0</v>
      </c>
      <c r="AT156" s="2">
        <f t="shared" ca="1" si="53"/>
        <v>0.86619718309859151</v>
      </c>
      <c r="AV156">
        <f>IF(ISBLANK(Tabla7[[#This Row],[31/12/2017]]),0,Tabla7[[#This Row],[31/12/2017]])</f>
        <v>0</v>
      </c>
      <c r="AW156">
        <f>IF(ISBLANK(Tabla7[[#This Row],[15/01/2018]]),0,Tabla7[[#This Row],[15/01/2018]])</f>
        <v>0</v>
      </c>
      <c r="AX156">
        <f>IF(ISBLANK(Tabla7[[#This Row],[15/02/2018]]),0,Tabla7[[#This Row],[15/02/2018]])</f>
        <v>0</v>
      </c>
      <c r="AY156">
        <f>IF(ISBLANK(Tabla7[[#This Row],[15/03/2018]]),0,Tabla7[[#This Row],[15/03/2018]])</f>
        <v>413</v>
      </c>
      <c r="AZ156">
        <f>IF(ISBLANK(Tabla7[[#This Row],[15/04/2018]]),0,Tabla7[[#This Row],[15/04/2018]])</f>
        <v>555</v>
      </c>
      <c r="BA156">
        <f>IF(ISBLANK(Tabla7[[#This Row],[15/05/2018]]),0,Tabla7[[#This Row],[15/05/2018]])</f>
        <v>678</v>
      </c>
      <c r="BB156">
        <f>IF(ISBLANK(Tabla7[[#This Row],[15/06/2018]]),0,Tabla7[[#This Row],[15/06/2018]])</f>
        <v>809</v>
      </c>
      <c r="BC156">
        <f>IF(ISBLANK(Tabla7[[#This Row],[15/07/2018]]),0,Tabla7[[#This Row],[15/07/2018]])</f>
        <v>891</v>
      </c>
      <c r="BD156">
        <f>IF(ISBLANK(Tabla7[[#This Row],[15/08/2018]]),0,Tabla7[[#This Row],[15/08/2018]])</f>
        <v>1005</v>
      </c>
      <c r="BE156">
        <f>IF(ISBLANK(Tabla7[[#This Row],[15/09/2018]]),0,Tabla7[[#This Row],[15/09/2018]])</f>
        <v>1140</v>
      </c>
      <c r="BF156">
        <f>IF(ISBLANK(Tabla7[[#This Row],[15/10/2018]]),0,Tabla7[[#This Row],[15/10/2018]])</f>
        <v>1289</v>
      </c>
      <c r="BG156">
        <f>IF(ISBLANK(Tabla7[[#This Row],[15/11/2018]]),0,Tabla7[[#This Row],[15/11/2018]])</f>
        <v>1473</v>
      </c>
      <c r="BH156">
        <f>IF(ISBLANK(Tabla7[[#This Row],[15/12/2018]]),0,Tabla7[[#This Row],[15/12/2018]])</f>
        <v>1717</v>
      </c>
      <c r="BI156">
        <f>IF(ISBLANK(Tabla7[[#This Row],[28/12/2018]]),0,Tabla7[[#This Row],[28/12/2018]])</f>
        <v>0</v>
      </c>
      <c r="BN15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('TORRE SUR DOS Nº 2','S','SCT10','39293','VALENCIA TERMINAL EUROPA, S.A.','TORRE SUR DOS Nº 2','','');</v>
      </c>
      <c r="BO156" t="s">
        <v>243</v>
      </c>
      <c r="BP156" s="632" t="str">
        <f>CONCATENATE("insert into lecturas values ","('",Tabla7[[#This Row],[CONTADOR]],"',STR_TO_DATE('",Tabla7[[#Headers],[31/12/2017]],"','%d/%m/%Y'),",AV156,"),","('",Tabla7[[#This Row],[CONTADOR]],"',STR_TO_DATE('",Tabla7[[#Headers],[15/01/2018]],"','%d/%m/%Y'),",AW156,"),","('",Tabla7[[#This Row],[CONTADOR]],"',STR_TO_DATE('",Tabla7[[#Headers],[15/02/2018]],"','%d/%m/%Y'),",AX156,"),","('",Tabla7[[#This Row],[CONTADOR]],"',STR_TO_DATE('",Tabla7[[#Headers],[15/03/2018]],"','%d/%m/%Y'),",AY156,"),","('",Tabla7[[#This Row],[CONTADOR]],"',STR_TO_DATE('",Tabla7[[#Headers],[15/04/2018]],"','%d/%m/%Y'),",AZ156,"),","('",Tabla7[[#This Row],[CONTADOR]],"',STR_TO_DATE('",Tabla7[[#Headers],[15/05/2018]],"','%d/%m/%Y'),",BA156,"),","('",Tabla7[[#This Row],[CONTADOR]],"',STR_TO_DATE('",Tabla7[[#Headers],[15/06/2018]],"','%d/%m/%Y'),",BB156,"),","('",Tabla7[[#This Row],[CONTADOR]],"',STR_TO_DATE('",Tabla7[[#Headers],[15/07/2018]],"','%d/%m/%Y'),",BC156,"),","('",Tabla7[[#This Row],[CONTADOR]],"',STR_TO_DATE('",Tabla7[[#Headers],[15/08/2018]],"','%d/%m/%Y'),",BD156,"),","('",Tabla7[[#This Row],[CONTADOR]],"',STR_TO_DATE('",Tabla7[[#Headers],[15/09/2018]],"','%d/%m/%Y'),",BE156,"),","('",Tabla7[[#This Row],[CONTADOR]],"',STR_TO_DATE('",Tabla7[[#Headers],[15/10/2018]],"','%d/%m/%Y'),",BF156,"),","('",Tabla7[[#This Row],[CONTADOR]],"',STR_TO_DATE('",Tabla7[[#Headers],[15/11/2018]],"','%d/%m/%Y'),",BG156,"),","('",Tabla7[[#This Row],[CONTADOR]],"',STR_TO_DATE('",Tabla7[[#Headers],[15/12/2018]],"','%d/%m/%Y'),",BH156,");")</f>
        <v>insert into lecturas values ('TORRE SUR DOS Nº 2',STR_TO_DATE('31/12/2017','%d/%m/%Y'),0),('TORRE SUR DOS Nº 2',STR_TO_DATE('15/01/2018','%d/%m/%Y'),0),('TORRE SUR DOS Nº 2',STR_TO_DATE('15/02/2018','%d/%m/%Y'),0),('TORRE SUR DOS Nº 2',STR_TO_DATE('15/03/2018','%d/%m/%Y'),413),('TORRE SUR DOS Nº 2',STR_TO_DATE('15/04/2018','%d/%m/%Y'),555),('TORRE SUR DOS Nº 2',STR_TO_DATE('15/05/2018','%d/%m/%Y'),678),('TORRE SUR DOS Nº 2',STR_TO_DATE('15/06/2018','%d/%m/%Y'),809),('TORRE SUR DOS Nº 2',STR_TO_DATE('15/07/2018','%d/%m/%Y'),891),('TORRE SUR DOS Nº 2',STR_TO_DATE('15/08/2018','%d/%m/%Y'),1005),('TORRE SUR DOS Nº 2',STR_TO_DATE('15/09/2018','%d/%m/%Y'),1140),('TORRE SUR DOS Nº 2',STR_TO_DATE('15/10/2018','%d/%m/%Y'),1289),('TORRE SUR DOS Nº 2',STR_TO_DATE('15/11/2018','%d/%m/%Y'),1473),('TORRE SUR DOS Nº 2',STR_TO_DATE('15/12/2018','%d/%m/%Y'),1717);</v>
      </c>
    </row>
    <row r="157" spans="1:68" ht="18" customHeight="1" x14ac:dyDescent="0.3">
      <c r="A157" s="241" t="s">
        <v>534</v>
      </c>
      <c r="B157" s="60"/>
      <c r="C157" s="451" t="s">
        <v>1289</v>
      </c>
      <c r="D157" s="450" t="s">
        <v>589</v>
      </c>
      <c r="E157" s="258">
        <v>39379</v>
      </c>
      <c r="F157" s="449" t="s">
        <v>146</v>
      </c>
      <c r="G157" s="451" t="s">
        <v>1289</v>
      </c>
      <c r="H157" s="2"/>
      <c r="I157" s="274"/>
      <c r="J157" s="311"/>
      <c r="K157" s="311"/>
      <c r="L157" s="311"/>
      <c r="M157" s="311">
        <v>1742</v>
      </c>
      <c r="N157" s="311">
        <v>2820</v>
      </c>
      <c r="O157" s="311">
        <v>3741</v>
      </c>
      <c r="P157" s="311">
        <v>4679</v>
      </c>
      <c r="Q157" s="307">
        <v>5319</v>
      </c>
      <c r="R157" s="507">
        <v>6161</v>
      </c>
      <c r="S157" s="353">
        <v>7137</v>
      </c>
      <c r="T157" s="353">
        <v>8197</v>
      </c>
      <c r="U157" s="353">
        <v>9338</v>
      </c>
      <c r="V157" s="353">
        <v>10733</v>
      </c>
      <c r="W157" s="344"/>
      <c r="X157" s="307"/>
      <c r="Y157" s="2" t="str">
        <f t="shared" si="47"/>
        <v/>
      </c>
      <c r="Z157" s="2" t="str">
        <f t="shared" si="46"/>
        <v/>
      </c>
      <c r="AA157" s="2" t="str">
        <f t="shared" si="62"/>
        <v/>
      </c>
      <c r="AB157" s="2">
        <f t="shared" si="63"/>
        <v>1078</v>
      </c>
      <c r="AC157" s="2">
        <f t="shared" si="54"/>
        <v>921</v>
      </c>
      <c r="AD157" s="2">
        <f t="shared" si="55"/>
        <v>938</v>
      </c>
      <c r="AE157" s="2">
        <f t="shared" si="56"/>
        <v>640</v>
      </c>
      <c r="AF157" s="2">
        <f t="shared" si="57"/>
        <v>842</v>
      </c>
      <c r="AG157" s="2">
        <f t="shared" si="58"/>
        <v>976</v>
      </c>
      <c r="AH157" s="271">
        <f t="shared" si="61"/>
        <v>1060</v>
      </c>
      <c r="AI157" s="2">
        <f t="shared" si="59"/>
        <v>1141</v>
      </c>
      <c r="AJ157" s="2">
        <f t="shared" si="60"/>
        <v>1395</v>
      </c>
      <c r="AK157" s="416">
        <v>1</v>
      </c>
      <c r="AL157" s="448">
        <f t="shared" ca="1" si="50"/>
        <v>2820</v>
      </c>
      <c r="AM157" s="311">
        <f t="shared" ca="1" si="51"/>
        <v>3741</v>
      </c>
      <c r="AN157" s="412">
        <f ca="1">IF(AND(Tabla7[[#This Row],[UltLec]]&lt;&gt;0,Tabla7[[#This Row],[PenLect]]&lt;&gt;0),(AM157-AL157)*Tabla7[[#This Row],[RT]],"N/A")</f>
        <v>921</v>
      </c>
      <c r="AO157" s="273" t="s">
        <v>1135</v>
      </c>
      <c r="AP157" s="392" t="s">
        <v>1190</v>
      </c>
      <c r="AQ157" s="392" t="s">
        <v>1189</v>
      </c>
      <c r="AR157" s="407">
        <f t="shared" si="52"/>
        <v>0</v>
      </c>
      <c r="AT157" s="2">
        <f t="shared" ca="1" si="53"/>
        <v>0.85435992578849718</v>
      </c>
      <c r="AV157">
        <f>IF(ISBLANK(Tabla7[[#This Row],[31/12/2017]]),0,Tabla7[[#This Row],[31/12/2017]])</f>
        <v>0</v>
      </c>
      <c r="AW157">
        <f>IF(ISBLANK(Tabla7[[#This Row],[15/01/2018]]),0,Tabla7[[#This Row],[15/01/2018]])</f>
        <v>0</v>
      </c>
      <c r="AX157">
        <f>IF(ISBLANK(Tabla7[[#This Row],[15/02/2018]]),0,Tabla7[[#This Row],[15/02/2018]])</f>
        <v>0</v>
      </c>
      <c r="AY157">
        <f>IF(ISBLANK(Tabla7[[#This Row],[15/03/2018]]),0,Tabla7[[#This Row],[15/03/2018]])</f>
        <v>1742</v>
      </c>
      <c r="AZ157">
        <f>IF(ISBLANK(Tabla7[[#This Row],[15/04/2018]]),0,Tabla7[[#This Row],[15/04/2018]])</f>
        <v>2820</v>
      </c>
      <c r="BA157">
        <f>IF(ISBLANK(Tabla7[[#This Row],[15/05/2018]]),0,Tabla7[[#This Row],[15/05/2018]])</f>
        <v>3741</v>
      </c>
      <c r="BB157">
        <f>IF(ISBLANK(Tabla7[[#This Row],[15/06/2018]]),0,Tabla7[[#This Row],[15/06/2018]])</f>
        <v>4679</v>
      </c>
      <c r="BC157">
        <f>IF(ISBLANK(Tabla7[[#This Row],[15/07/2018]]),0,Tabla7[[#This Row],[15/07/2018]])</f>
        <v>5319</v>
      </c>
      <c r="BD157">
        <f>IF(ISBLANK(Tabla7[[#This Row],[15/08/2018]]),0,Tabla7[[#This Row],[15/08/2018]])</f>
        <v>6161</v>
      </c>
      <c r="BE157">
        <f>IF(ISBLANK(Tabla7[[#This Row],[15/09/2018]]),0,Tabla7[[#This Row],[15/09/2018]])</f>
        <v>7137</v>
      </c>
      <c r="BF157">
        <f>IF(ISBLANK(Tabla7[[#This Row],[15/10/2018]]),0,Tabla7[[#This Row],[15/10/2018]])</f>
        <v>8197</v>
      </c>
      <c r="BG157">
        <f>IF(ISBLANK(Tabla7[[#This Row],[15/11/2018]]),0,Tabla7[[#This Row],[15/11/2018]])</f>
        <v>9338</v>
      </c>
      <c r="BH157">
        <f>IF(ISBLANK(Tabla7[[#This Row],[15/12/2018]]),0,Tabla7[[#This Row],[15/12/2018]])</f>
        <v>10733</v>
      </c>
      <c r="BI157">
        <f>IF(ISBLANK(Tabla7[[#This Row],[28/12/2018]]),0,Tabla7[[#This Row],[28/12/2018]])</f>
        <v>0</v>
      </c>
      <c r="BN15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('TORRE SUR DOS Nº 3','S','SCT10','39379','VALENCIA TERMINAL EUROPA, S.A.','TORRE SUR DOS Nº 3','','');</v>
      </c>
      <c r="BO157" t="s">
        <v>243</v>
      </c>
      <c r="BP157" s="632" t="str">
        <f>CONCATENATE("insert into lecturas values ","('",Tabla7[[#This Row],[CONTADOR]],"',STR_TO_DATE('",Tabla7[[#Headers],[31/12/2017]],"','%d/%m/%Y'),",AV157,"),","('",Tabla7[[#This Row],[CONTADOR]],"',STR_TO_DATE('",Tabla7[[#Headers],[15/01/2018]],"','%d/%m/%Y'),",AW157,"),","('",Tabla7[[#This Row],[CONTADOR]],"',STR_TO_DATE('",Tabla7[[#Headers],[15/02/2018]],"','%d/%m/%Y'),",AX157,"),","('",Tabla7[[#This Row],[CONTADOR]],"',STR_TO_DATE('",Tabla7[[#Headers],[15/03/2018]],"','%d/%m/%Y'),",AY157,"),","('",Tabla7[[#This Row],[CONTADOR]],"',STR_TO_DATE('",Tabla7[[#Headers],[15/04/2018]],"','%d/%m/%Y'),",AZ157,"),","('",Tabla7[[#This Row],[CONTADOR]],"',STR_TO_DATE('",Tabla7[[#Headers],[15/05/2018]],"','%d/%m/%Y'),",BA157,"),","('",Tabla7[[#This Row],[CONTADOR]],"',STR_TO_DATE('",Tabla7[[#Headers],[15/06/2018]],"','%d/%m/%Y'),",BB157,"),","('",Tabla7[[#This Row],[CONTADOR]],"',STR_TO_DATE('",Tabla7[[#Headers],[15/07/2018]],"','%d/%m/%Y'),",BC157,"),","('",Tabla7[[#This Row],[CONTADOR]],"',STR_TO_DATE('",Tabla7[[#Headers],[15/08/2018]],"','%d/%m/%Y'),",BD157,"),","('",Tabla7[[#This Row],[CONTADOR]],"',STR_TO_DATE('",Tabla7[[#Headers],[15/09/2018]],"','%d/%m/%Y'),",BE157,"),","('",Tabla7[[#This Row],[CONTADOR]],"',STR_TO_DATE('",Tabla7[[#Headers],[15/10/2018]],"','%d/%m/%Y'),",BF157,"),","('",Tabla7[[#This Row],[CONTADOR]],"',STR_TO_DATE('",Tabla7[[#Headers],[15/11/2018]],"','%d/%m/%Y'),",BG157,"),","('",Tabla7[[#This Row],[CONTADOR]],"',STR_TO_DATE('",Tabla7[[#Headers],[15/12/2018]],"','%d/%m/%Y'),",BH157,");")</f>
        <v>insert into lecturas values ('TORRE SUR DOS Nº 3',STR_TO_DATE('31/12/2017','%d/%m/%Y'),0),('TORRE SUR DOS Nº 3',STR_TO_DATE('15/01/2018','%d/%m/%Y'),0),('TORRE SUR DOS Nº 3',STR_TO_DATE('15/02/2018','%d/%m/%Y'),0),('TORRE SUR DOS Nº 3',STR_TO_DATE('15/03/2018','%d/%m/%Y'),1742),('TORRE SUR DOS Nº 3',STR_TO_DATE('15/04/2018','%d/%m/%Y'),2820),('TORRE SUR DOS Nº 3',STR_TO_DATE('15/05/2018','%d/%m/%Y'),3741),('TORRE SUR DOS Nº 3',STR_TO_DATE('15/06/2018','%d/%m/%Y'),4679),('TORRE SUR DOS Nº 3',STR_TO_DATE('15/07/2018','%d/%m/%Y'),5319),('TORRE SUR DOS Nº 3',STR_TO_DATE('15/08/2018','%d/%m/%Y'),6161),('TORRE SUR DOS Nº 3',STR_TO_DATE('15/09/2018','%d/%m/%Y'),7137),('TORRE SUR DOS Nº 3',STR_TO_DATE('15/10/2018','%d/%m/%Y'),8197),('TORRE SUR DOS Nº 3',STR_TO_DATE('15/11/2018','%d/%m/%Y'),9338),('TORRE SUR DOS Nº 3',STR_TO_DATE('15/12/2018','%d/%m/%Y'),10733);</v>
      </c>
    </row>
    <row r="158" spans="1:68" ht="18" customHeight="1" x14ac:dyDescent="0.3">
      <c r="A158" s="241" t="s">
        <v>534</v>
      </c>
      <c r="B158" s="60"/>
      <c r="C158" s="451" t="s">
        <v>1367</v>
      </c>
      <c r="D158" s="450" t="s">
        <v>589</v>
      </c>
      <c r="E158" s="258">
        <v>39585</v>
      </c>
      <c r="F158" s="449" t="s">
        <v>146</v>
      </c>
      <c r="G158" s="451" t="s">
        <v>1290</v>
      </c>
      <c r="H158" s="274"/>
      <c r="I158" s="274"/>
      <c r="J158" s="311"/>
      <c r="K158" s="311"/>
      <c r="L158" s="311"/>
      <c r="M158" s="311">
        <v>386</v>
      </c>
      <c r="N158" s="311">
        <v>465</v>
      </c>
      <c r="O158" s="311">
        <v>494</v>
      </c>
      <c r="P158" s="311">
        <v>568</v>
      </c>
      <c r="Q158" s="307">
        <v>598</v>
      </c>
      <c r="R158" s="507">
        <v>674</v>
      </c>
      <c r="S158" s="353">
        <v>732</v>
      </c>
      <c r="T158" s="353">
        <v>867</v>
      </c>
      <c r="U158" s="353">
        <v>993</v>
      </c>
      <c r="V158" s="353">
        <v>1192</v>
      </c>
      <c r="W158" s="344"/>
      <c r="X158" s="307"/>
      <c r="Y158" s="2" t="str">
        <f t="shared" si="47"/>
        <v/>
      </c>
      <c r="Z158" s="2" t="str">
        <f t="shared" si="46"/>
        <v/>
      </c>
      <c r="AA158" s="2" t="str">
        <f t="shared" si="62"/>
        <v/>
      </c>
      <c r="AB158" s="2">
        <f t="shared" si="63"/>
        <v>79</v>
      </c>
      <c r="AC158" s="2">
        <f t="shared" si="54"/>
        <v>29</v>
      </c>
      <c r="AD158" s="2">
        <f t="shared" si="55"/>
        <v>74</v>
      </c>
      <c r="AE158" s="2">
        <f t="shared" si="56"/>
        <v>30</v>
      </c>
      <c r="AF158" s="2">
        <f t="shared" si="57"/>
        <v>76</v>
      </c>
      <c r="AG158" s="2">
        <f t="shared" si="58"/>
        <v>58</v>
      </c>
      <c r="AH158" s="271">
        <f t="shared" si="61"/>
        <v>135</v>
      </c>
      <c r="AI158" s="2">
        <f t="shared" si="59"/>
        <v>126</v>
      </c>
      <c r="AJ158" s="2">
        <f t="shared" si="60"/>
        <v>199</v>
      </c>
      <c r="AK158" s="416">
        <v>1</v>
      </c>
      <c r="AL158" s="448">
        <f t="shared" ca="1" si="50"/>
        <v>465</v>
      </c>
      <c r="AM158" s="311">
        <f t="shared" ca="1" si="51"/>
        <v>494</v>
      </c>
      <c r="AN158" s="412">
        <f ca="1">IF(AND(Tabla7[[#This Row],[UltLec]]&lt;&gt;0,Tabla7[[#This Row],[PenLect]]&lt;&gt;0),(AM158-AL158)*Tabla7[[#This Row],[RT]],"N/A")</f>
        <v>29</v>
      </c>
      <c r="AO158" s="273" t="s">
        <v>1135</v>
      </c>
      <c r="AP158" s="392" t="s">
        <v>1190</v>
      </c>
      <c r="AQ158" s="392" t="s">
        <v>1189</v>
      </c>
      <c r="AR158" s="407">
        <f t="shared" si="52"/>
        <v>0</v>
      </c>
      <c r="AT158" s="2">
        <f t="shared" ca="1" si="53"/>
        <v>0.36708860759493672</v>
      </c>
      <c r="AV158">
        <f>IF(ISBLANK(Tabla7[[#This Row],[31/12/2017]]),0,Tabla7[[#This Row],[31/12/2017]])</f>
        <v>0</v>
      </c>
      <c r="AW158">
        <f>IF(ISBLANK(Tabla7[[#This Row],[15/01/2018]]),0,Tabla7[[#This Row],[15/01/2018]])</f>
        <v>0</v>
      </c>
      <c r="AX158">
        <f>IF(ISBLANK(Tabla7[[#This Row],[15/02/2018]]),0,Tabla7[[#This Row],[15/02/2018]])</f>
        <v>0</v>
      </c>
      <c r="AY158">
        <f>IF(ISBLANK(Tabla7[[#This Row],[15/03/2018]]),0,Tabla7[[#This Row],[15/03/2018]])</f>
        <v>386</v>
      </c>
      <c r="AZ158">
        <f>IF(ISBLANK(Tabla7[[#This Row],[15/04/2018]]),0,Tabla7[[#This Row],[15/04/2018]])</f>
        <v>465</v>
      </c>
      <c r="BA158">
        <f>IF(ISBLANK(Tabla7[[#This Row],[15/05/2018]]),0,Tabla7[[#This Row],[15/05/2018]])</f>
        <v>494</v>
      </c>
      <c r="BB158">
        <f>IF(ISBLANK(Tabla7[[#This Row],[15/06/2018]]),0,Tabla7[[#This Row],[15/06/2018]])</f>
        <v>568</v>
      </c>
      <c r="BC158">
        <f>IF(ISBLANK(Tabla7[[#This Row],[15/07/2018]]),0,Tabla7[[#This Row],[15/07/2018]])</f>
        <v>598</v>
      </c>
      <c r="BD158">
        <f>IF(ISBLANK(Tabla7[[#This Row],[15/08/2018]]),0,Tabla7[[#This Row],[15/08/2018]])</f>
        <v>674</v>
      </c>
      <c r="BE158">
        <f>IF(ISBLANK(Tabla7[[#This Row],[15/09/2018]]),0,Tabla7[[#This Row],[15/09/2018]])</f>
        <v>732</v>
      </c>
      <c r="BF158">
        <f>IF(ISBLANK(Tabla7[[#This Row],[15/10/2018]]),0,Tabla7[[#This Row],[15/10/2018]])</f>
        <v>867</v>
      </c>
      <c r="BG158">
        <f>IF(ISBLANK(Tabla7[[#This Row],[15/11/2018]]),0,Tabla7[[#This Row],[15/11/2018]])</f>
        <v>993</v>
      </c>
      <c r="BH158">
        <f>IF(ISBLANK(Tabla7[[#This Row],[15/12/2018]]),0,Tabla7[[#This Row],[15/12/2018]])</f>
        <v>1192</v>
      </c>
      <c r="BI158">
        <f>IF(ISBLANK(Tabla7[[#This Row],[28/12/2018]]),0,Tabla7[[#This Row],[28/12/2018]])</f>
        <v>0</v>
      </c>
      <c r="BN15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('TORRE SUR DOS Nº 4','S','SCT10','39585','VALENCIA TERMINAL EUROPA, S.A.','TORRE SUR DOS Nº4','','');</v>
      </c>
      <c r="BO158" t="s">
        <v>243</v>
      </c>
      <c r="BP158" s="632" t="str">
        <f>CONCATENATE("insert into lecturas values ","('",Tabla7[[#This Row],[CONTADOR]],"',STR_TO_DATE('",Tabla7[[#Headers],[31/12/2017]],"','%d/%m/%Y'),",AV158,"),","('",Tabla7[[#This Row],[CONTADOR]],"',STR_TO_DATE('",Tabla7[[#Headers],[15/01/2018]],"','%d/%m/%Y'),",AW158,"),","('",Tabla7[[#This Row],[CONTADOR]],"',STR_TO_DATE('",Tabla7[[#Headers],[15/02/2018]],"','%d/%m/%Y'),",AX158,"),","('",Tabla7[[#This Row],[CONTADOR]],"',STR_TO_DATE('",Tabla7[[#Headers],[15/03/2018]],"','%d/%m/%Y'),",AY158,"),","('",Tabla7[[#This Row],[CONTADOR]],"',STR_TO_DATE('",Tabla7[[#Headers],[15/04/2018]],"','%d/%m/%Y'),",AZ158,"),","('",Tabla7[[#This Row],[CONTADOR]],"',STR_TO_DATE('",Tabla7[[#Headers],[15/05/2018]],"','%d/%m/%Y'),",BA158,"),","('",Tabla7[[#This Row],[CONTADOR]],"',STR_TO_DATE('",Tabla7[[#Headers],[15/06/2018]],"','%d/%m/%Y'),",BB158,"),","('",Tabla7[[#This Row],[CONTADOR]],"',STR_TO_DATE('",Tabla7[[#Headers],[15/07/2018]],"','%d/%m/%Y'),",BC158,"),","('",Tabla7[[#This Row],[CONTADOR]],"',STR_TO_DATE('",Tabla7[[#Headers],[15/08/2018]],"','%d/%m/%Y'),",BD158,"),","('",Tabla7[[#This Row],[CONTADOR]],"',STR_TO_DATE('",Tabla7[[#Headers],[15/09/2018]],"','%d/%m/%Y'),",BE158,"),","('",Tabla7[[#This Row],[CONTADOR]],"',STR_TO_DATE('",Tabla7[[#Headers],[15/10/2018]],"','%d/%m/%Y'),",BF158,"),","('",Tabla7[[#This Row],[CONTADOR]],"',STR_TO_DATE('",Tabla7[[#Headers],[15/11/2018]],"','%d/%m/%Y'),",BG158,"),","('",Tabla7[[#This Row],[CONTADOR]],"',STR_TO_DATE('",Tabla7[[#Headers],[15/12/2018]],"','%d/%m/%Y'),",BH158,");")</f>
        <v>insert into lecturas values ('TORRE SUR DOS Nº 4',STR_TO_DATE('31/12/2017','%d/%m/%Y'),0),('TORRE SUR DOS Nº 4',STR_TO_DATE('15/01/2018','%d/%m/%Y'),0),('TORRE SUR DOS Nº 4',STR_TO_DATE('15/02/2018','%d/%m/%Y'),0),('TORRE SUR DOS Nº 4',STR_TO_DATE('15/03/2018','%d/%m/%Y'),386),('TORRE SUR DOS Nº 4',STR_TO_DATE('15/04/2018','%d/%m/%Y'),465),('TORRE SUR DOS Nº 4',STR_TO_DATE('15/05/2018','%d/%m/%Y'),494),('TORRE SUR DOS Nº 4',STR_TO_DATE('15/06/2018','%d/%m/%Y'),568),('TORRE SUR DOS Nº 4',STR_TO_DATE('15/07/2018','%d/%m/%Y'),598),('TORRE SUR DOS Nº 4',STR_TO_DATE('15/08/2018','%d/%m/%Y'),674),('TORRE SUR DOS Nº 4',STR_TO_DATE('15/09/2018','%d/%m/%Y'),732),('TORRE SUR DOS Nº 4',STR_TO_DATE('15/10/2018','%d/%m/%Y'),867),('TORRE SUR DOS Nº 4',STR_TO_DATE('15/11/2018','%d/%m/%Y'),993),('TORRE SUR DOS Nº 4',STR_TO_DATE('15/12/2018','%d/%m/%Y'),1192);</v>
      </c>
    </row>
    <row r="159" spans="1:68" ht="18" customHeight="1" x14ac:dyDescent="0.3">
      <c r="A159" s="241" t="s">
        <v>534</v>
      </c>
      <c r="B159" s="60"/>
      <c r="C159" s="455" t="s">
        <v>1291</v>
      </c>
      <c r="D159" s="450" t="s">
        <v>589</v>
      </c>
      <c r="E159" s="258">
        <v>39844</v>
      </c>
      <c r="F159" s="457" t="s">
        <v>146</v>
      </c>
      <c r="G159" s="458" t="s">
        <v>1291</v>
      </c>
      <c r="H159" s="349"/>
      <c r="I159" s="274"/>
      <c r="J159" s="311">
        <v>12856</v>
      </c>
      <c r="K159" s="311">
        <v>14012</v>
      </c>
      <c r="L159" s="311">
        <v>15860</v>
      </c>
      <c r="M159" s="311">
        <v>17241</v>
      </c>
      <c r="N159" s="311">
        <v>18784</v>
      </c>
      <c r="O159" s="311">
        <v>20215</v>
      </c>
      <c r="P159" s="311">
        <v>21704</v>
      </c>
      <c r="Q159" s="307">
        <v>22729</v>
      </c>
      <c r="R159" s="507">
        <v>24010</v>
      </c>
      <c r="S159" s="353">
        <v>25549</v>
      </c>
      <c r="T159" s="353">
        <v>27072</v>
      </c>
      <c r="U159" s="353">
        <v>28757</v>
      </c>
      <c r="V159" s="353">
        <v>30653</v>
      </c>
      <c r="W159" s="344"/>
      <c r="X159" s="307"/>
      <c r="Y159" s="2">
        <f t="shared" si="47"/>
        <v>1156</v>
      </c>
      <c r="Z159" s="2">
        <f t="shared" si="46"/>
        <v>1848</v>
      </c>
      <c r="AA159" s="2">
        <f t="shared" si="62"/>
        <v>1381</v>
      </c>
      <c r="AB159" s="2">
        <f t="shared" si="63"/>
        <v>1543</v>
      </c>
      <c r="AC159" s="2">
        <f t="shared" si="54"/>
        <v>1431</v>
      </c>
      <c r="AD159" s="2">
        <f t="shared" si="55"/>
        <v>1489</v>
      </c>
      <c r="AE159" s="2">
        <f t="shared" si="56"/>
        <v>1025</v>
      </c>
      <c r="AF159" s="2">
        <f t="shared" si="57"/>
        <v>1281</v>
      </c>
      <c r="AG159" s="2">
        <f t="shared" si="58"/>
        <v>1539</v>
      </c>
      <c r="AH159" s="271">
        <f t="shared" si="61"/>
        <v>1523</v>
      </c>
      <c r="AI159" s="2">
        <f t="shared" si="59"/>
        <v>1685</v>
      </c>
      <c r="AJ159" s="2">
        <f t="shared" si="60"/>
        <v>1896</v>
      </c>
      <c r="AK159" s="416">
        <v>1</v>
      </c>
      <c r="AL159" s="448">
        <f t="shared" ca="1" si="50"/>
        <v>18784</v>
      </c>
      <c r="AM159" s="311">
        <f t="shared" ca="1" si="51"/>
        <v>20215</v>
      </c>
      <c r="AN159" s="412">
        <f ca="1">IF(AND(Tabla7[[#This Row],[UltLec]]&lt;&gt;0,Tabla7[[#This Row],[PenLect]]&lt;&gt;0),(AM159-AL159)*Tabla7[[#This Row],[RT]],"N/A")</f>
        <v>1431</v>
      </c>
      <c r="AO159" s="273" t="s">
        <v>1135</v>
      </c>
      <c r="AP159" s="392" t="s">
        <v>1190</v>
      </c>
      <c r="AQ159" s="392" t="s">
        <v>1189</v>
      </c>
      <c r="AR159" s="407">
        <f t="shared" si="52"/>
        <v>0</v>
      </c>
      <c r="AT159" s="2">
        <f t="shared" ca="1" si="53"/>
        <v>0.92741412832145176</v>
      </c>
      <c r="AV159">
        <f>IF(ISBLANK(Tabla7[[#This Row],[31/12/2017]]),0,Tabla7[[#This Row],[31/12/2017]])</f>
        <v>12856</v>
      </c>
      <c r="AW159">
        <f>IF(ISBLANK(Tabla7[[#This Row],[15/01/2018]]),0,Tabla7[[#This Row],[15/01/2018]])</f>
        <v>14012</v>
      </c>
      <c r="AX159">
        <f>IF(ISBLANK(Tabla7[[#This Row],[15/02/2018]]),0,Tabla7[[#This Row],[15/02/2018]])</f>
        <v>15860</v>
      </c>
      <c r="AY159">
        <f>IF(ISBLANK(Tabla7[[#This Row],[15/03/2018]]),0,Tabla7[[#This Row],[15/03/2018]])</f>
        <v>17241</v>
      </c>
      <c r="AZ159">
        <f>IF(ISBLANK(Tabla7[[#This Row],[15/04/2018]]),0,Tabla7[[#This Row],[15/04/2018]])</f>
        <v>18784</v>
      </c>
      <c r="BA159">
        <f>IF(ISBLANK(Tabla7[[#This Row],[15/05/2018]]),0,Tabla7[[#This Row],[15/05/2018]])</f>
        <v>20215</v>
      </c>
      <c r="BB159">
        <f>IF(ISBLANK(Tabla7[[#This Row],[15/06/2018]]),0,Tabla7[[#This Row],[15/06/2018]])</f>
        <v>21704</v>
      </c>
      <c r="BC159">
        <f>IF(ISBLANK(Tabla7[[#This Row],[15/07/2018]]),0,Tabla7[[#This Row],[15/07/2018]])</f>
        <v>22729</v>
      </c>
      <c r="BD159">
        <f>IF(ISBLANK(Tabla7[[#This Row],[15/08/2018]]),0,Tabla7[[#This Row],[15/08/2018]])</f>
        <v>24010</v>
      </c>
      <c r="BE159">
        <f>IF(ISBLANK(Tabla7[[#This Row],[15/09/2018]]),0,Tabla7[[#This Row],[15/09/2018]])</f>
        <v>25549</v>
      </c>
      <c r="BF159">
        <f>IF(ISBLANK(Tabla7[[#This Row],[15/10/2018]]),0,Tabla7[[#This Row],[15/10/2018]])</f>
        <v>27072</v>
      </c>
      <c r="BG159">
        <f>IF(ISBLANK(Tabla7[[#This Row],[15/11/2018]]),0,Tabla7[[#This Row],[15/11/2018]])</f>
        <v>28757</v>
      </c>
      <c r="BH159">
        <f>IF(ISBLANK(Tabla7[[#This Row],[15/12/2018]]),0,Tabla7[[#This Row],[15/12/2018]])</f>
        <v>30653</v>
      </c>
      <c r="BI159">
        <f>IF(ISBLANK(Tabla7[[#This Row],[28/12/2018]]),0,Tabla7[[#This Row],[28/12/2018]])</f>
        <v>0</v>
      </c>
      <c r="BN15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('TORRE SUR DOS Nº 5','S','SCT10','39844','VALENCIA TERMINAL EUROPA, S.A.','TORRE SUR DOS Nº 5','','');</v>
      </c>
      <c r="BO159" t="s">
        <v>243</v>
      </c>
      <c r="BP159" s="632" t="str">
        <f>CONCATENATE("insert into lecturas values ","('",Tabla7[[#This Row],[CONTADOR]],"',STR_TO_DATE('",Tabla7[[#Headers],[31/12/2017]],"','%d/%m/%Y'),",AV159,"),","('",Tabla7[[#This Row],[CONTADOR]],"',STR_TO_DATE('",Tabla7[[#Headers],[15/01/2018]],"','%d/%m/%Y'),",AW159,"),","('",Tabla7[[#This Row],[CONTADOR]],"',STR_TO_DATE('",Tabla7[[#Headers],[15/02/2018]],"','%d/%m/%Y'),",AX159,"),","('",Tabla7[[#This Row],[CONTADOR]],"',STR_TO_DATE('",Tabla7[[#Headers],[15/03/2018]],"','%d/%m/%Y'),",AY159,"),","('",Tabla7[[#This Row],[CONTADOR]],"',STR_TO_DATE('",Tabla7[[#Headers],[15/04/2018]],"','%d/%m/%Y'),",AZ159,"),","('",Tabla7[[#This Row],[CONTADOR]],"',STR_TO_DATE('",Tabla7[[#Headers],[15/05/2018]],"','%d/%m/%Y'),",BA159,"),","('",Tabla7[[#This Row],[CONTADOR]],"',STR_TO_DATE('",Tabla7[[#Headers],[15/06/2018]],"','%d/%m/%Y'),",BB159,"),","('",Tabla7[[#This Row],[CONTADOR]],"',STR_TO_DATE('",Tabla7[[#Headers],[15/07/2018]],"','%d/%m/%Y'),",BC159,"),","('",Tabla7[[#This Row],[CONTADOR]],"',STR_TO_DATE('",Tabla7[[#Headers],[15/08/2018]],"','%d/%m/%Y'),",BD159,"),","('",Tabla7[[#This Row],[CONTADOR]],"',STR_TO_DATE('",Tabla7[[#Headers],[15/09/2018]],"','%d/%m/%Y'),",BE159,"),","('",Tabla7[[#This Row],[CONTADOR]],"',STR_TO_DATE('",Tabla7[[#Headers],[15/10/2018]],"','%d/%m/%Y'),",BF159,"),","('",Tabla7[[#This Row],[CONTADOR]],"',STR_TO_DATE('",Tabla7[[#Headers],[15/11/2018]],"','%d/%m/%Y'),",BG159,"),","('",Tabla7[[#This Row],[CONTADOR]],"',STR_TO_DATE('",Tabla7[[#Headers],[15/12/2018]],"','%d/%m/%Y'),",BH159,");")</f>
        <v>insert into lecturas values ('TORRE SUR DOS Nº 5',STR_TO_DATE('31/12/2017','%d/%m/%Y'),12856),('TORRE SUR DOS Nº 5',STR_TO_DATE('15/01/2018','%d/%m/%Y'),14012),('TORRE SUR DOS Nº 5',STR_TO_DATE('15/02/2018','%d/%m/%Y'),15860),('TORRE SUR DOS Nº 5',STR_TO_DATE('15/03/2018','%d/%m/%Y'),17241),('TORRE SUR DOS Nº 5',STR_TO_DATE('15/04/2018','%d/%m/%Y'),18784),('TORRE SUR DOS Nº 5',STR_TO_DATE('15/05/2018','%d/%m/%Y'),20215),('TORRE SUR DOS Nº 5',STR_TO_DATE('15/06/2018','%d/%m/%Y'),21704),('TORRE SUR DOS Nº 5',STR_TO_DATE('15/07/2018','%d/%m/%Y'),22729),('TORRE SUR DOS Nº 5',STR_TO_DATE('15/08/2018','%d/%m/%Y'),24010),('TORRE SUR DOS Nº 5',STR_TO_DATE('15/09/2018','%d/%m/%Y'),25549),('TORRE SUR DOS Nº 5',STR_TO_DATE('15/10/2018','%d/%m/%Y'),27072),('TORRE SUR DOS Nº 5',STR_TO_DATE('15/11/2018','%d/%m/%Y'),28757),('TORRE SUR DOS Nº 5',STR_TO_DATE('15/12/2018','%d/%m/%Y'),30653);</v>
      </c>
    </row>
    <row r="160" spans="1:68" ht="18" customHeight="1" x14ac:dyDescent="0.3">
      <c r="A160" s="241" t="s">
        <v>534</v>
      </c>
      <c r="B160" s="60"/>
      <c r="C160" s="455" t="s">
        <v>1292</v>
      </c>
      <c r="D160" s="450" t="s">
        <v>589</v>
      </c>
      <c r="E160" s="258">
        <v>39490</v>
      </c>
      <c r="F160" s="457" t="s">
        <v>146</v>
      </c>
      <c r="G160" s="458" t="s">
        <v>1292</v>
      </c>
      <c r="H160" s="349"/>
      <c r="I160" s="274"/>
      <c r="J160" s="311">
        <v>7878</v>
      </c>
      <c r="K160" s="311">
        <v>9421</v>
      </c>
      <c r="L160" s="311">
        <v>11839</v>
      </c>
      <c r="M160" s="311">
        <v>13626</v>
      </c>
      <c r="N160" s="311">
        <v>15754</v>
      </c>
      <c r="O160" s="311">
        <v>17572</v>
      </c>
      <c r="P160" s="311">
        <v>19430</v>
      </c>
      <c r="Q160" s="307">
        <v>20710</v>
      </c>
      <c r="R160" s="507">
        <v>22409</v>
      </c>
      <c r="S160" s="353">
        <v>24392</v>
      </c>
      <c r="T160" s="353">
        <v>25200</v>
      </c>
      <c r="U160" s="353">
        <v>28786</v>
      </c>
      <c r="V160" s="353">
        <v>31451</v>
      </c>
      <c r="W160" s="344"/>
      <c r="X160" s="307"/>
      <c r="Y160" s="2">
        <f t="shared" si="47"/>
        <v>1543</v>
      </c>
      <c r="Z160" s="2">
        <f t="shared" si="46"/>
        <v>2418</v>
      </c>
      <c r="AA160" s="2">
        <f t="shared" si="62"/>
        <v>1787</v>
      </c>
      <c r="AB160" s="2">
        <f t="shared" si="63"/>
        <v>2128</v>
      </c>
      <c r="AC160" s="2">
        <f t="shared" si="54"/>
        <v>1818</v>
      </c>
      <c r="AD160" s="2">
        <f t="shared" si="55"/>
        <v>1858</v>
      </c>
      <c r="AE160" s="2">
        <f t="shared" si="56"/>
        <v>1280</v>
      </c>
      <c r="AF160" s="2">
        <f t="shared" si="57"/>
        <v>1699</v>
      </c>
      <c r="AG160" s="2">
        <f t="shared" si="58"/>
        <v>1983</v>
      </c>
      <c r="AH160" s="271">
        <f t="shared" si="61"/>
        <v>808</v>
      </c>
      <c r="AI160" s="2">
        <f t="shared" si="59"/>
        <v>3586</v>
      </c>
      <c r="AJ160" s="2">
        <f t="shared" si="60"/>
        <v>2665</v>
      </c>
      <c r="AK160" s="416">
        <v>1</v>
      </c>
      <c r="AL160" s="448">
        <f t="shared" ca="1" si="50"/>
        <v>15754</v>
      </c>
      <c r="AM160" s="311">
        <f t="shared" ca="1" si="51"/>
        <v>17572</v>
      </c>
      <c r="AN160" s="412">
        <f ca="1">IF(AND(Tabla7[[#This Row],[UltLec]]&lt;&gt;0,Tabla7[[#This Row],[PenLect]]&lt;&gt;0),(AM160-AL160)*Tabla7[[#This Row],[RT]],"N/A")</f>
        <v>1818</v>
      </c>
      <c r="AO160" s="273" t="s">
        <v>1135</v>
      </c>
      <c r="AP160" s="392" t="s">
        <v>1190</v>
      </c>
      <c r="AQ160" s="392" t="s">
        <v>1189</v>
      </c>
      <c r="AR160" s="407">
        <f t="shared" si="52"/>
        <v>0</v>
      </c>
      <c r="AT160" s="2">
        <f t="shared" ca="1" si="53"/>
        <v>0.85432330827067671</v>
      </c>
      <c r="AV160">
        <f>IF(ISBLANK(Tabla7[[#This Row],[31/12/2017]]),0,Tabla7[[#This Row],[31/12/2017]])</f>
        <v>7878</v>
      </c>
      <c r="AW160">
        <f>IF(ISBLANK(Tabla7[[#This Row],[15/01/2018]]),0,Tabla7[[#This Row],[15/01/2018]])</f>
        <v>9421</v>
      </c>
      <c r="AX160">
        <f>IF(ISBLANK(Tabla7[[#This Row],[15/02/2018]]),0,Tabla7[[#This Row],[15/02/2018]])</f>
        <v>11839</v>
      </c>
      <c r="AY160">
        <f>IF(ISBLANK(Tabla7[[#This Row],[15/03/2018]]),0,Tabla7[[#This Row],[15/03/2018]])</f>
        <v>13626</v>
      </c>
      <c r="AZ160">
        <f>IF(ISBLANK(Tabla7[[#This Row],[15/04/2018]]),0,Tabla7[[#This Row],[15/04/2018]])</f>
        <v>15754</v>
      </c>
      <c r="BA160">
        <f>IF(ISBLANK(Tabla7[[#This Row],[15/05/2018]]),0,Tabla7[[#This Row],[15/05/2018]])</f>
        <v>17572</v>
      </c>
      <c r="BB160">
        <f>IF(ISBLANK(Tabla7[[#This Row],[15/06/2018]]),0,Tabla7[[#This Row],[15/06/2018]])</f>
        <v>19430</v>
      </c>
      <c r="BC160">
        <f>IF(ISBLANK(Tabla7[[#This Row],[15/07/2018]]),0,Tabla7[[#This Row],[15/07/2018]])</f>
        <v>20710</v>
      </c>
      <c r="BD160">
        <f>IF(ISBLANK(Tabla7[[#This Row],[15/08/2018]]),0,Tabla7[[#This Row],[15/08/2018]])</f>
        <v>22409</v>
      </c>
      <c r="BE160">
        <f>IF(ISBLANK(Tabla7[[#This Row],[15/09/2018]]),0,Tabla7[[#This Row],[15/09/2018]])</f>
        <v>24392</v>
      </c>
      <c r="BF160">
        <f>IF(ISBLANK(Tabla7[[#This Row],[15/10/2018]]),0,Tabla7[[#This Row],[15/10/2018]])</f>
        <v>25200</v>
      </c>
      <c r="BG160">
        <f>IF(ISBLANK(Tabla7[[#This Row],[15/11/2018]]),0,Tabla7[[#This Row],[15/11/2018]])</f>
        <v>28786</v>
      </c>
      <c r="BH160">
        <f>IF(ISBLANK(Tabla7[[#This Row],[15/12/2018]]),0,Tabla7[[#This Row],[15/12/2018]])</f>
        <v>31451</v>
      </c>
      <c r="BI160">
        <f>IF(ISBLANK(Tabla7[[#This Row],[28/12/2018]]),0,Tabla7[[#This Row],[28/12/2018]])</f>
        <v>0</v>
      </c>
      <c r="BN16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('TORRE SUR DOS Nº 6','S','SCT10','39490','VALENCIA TERMINAL EUROPA, S.A.','TORRE SUR DOS Nº 6','','');</v>
      </c>
      <c r="BO160" t="s">
        <v>243</v>
      </c>
      <c r="BP160" s="632" t="str">
        <f>CONCATENATE("insert into lecturas values ","('",Tabla7[[#This Row],[CONTADOR]],"',STR_TO_DATE('",Tabla7[[#Headers],[31/12/2017]],"','%d/%m/%Y'),",AV160,"),","('",Tabla7[[#This Row],[CONTADOR]],"',STR_TO_DATE('",Tabla7[[#Headers],[15/01/2018]],"','%d/%m/%Y'),",AW160,"),","('",Tabla7[[#This Row],[CONTADOR]],"',STR_TO_DATE('",Tabla7[[#Headers],[15/02/2018]],"','%d/%m/%Y'),",AX160,"),","('",Tabla7[[#This Row],[CONTADOR]],"',STR_TO_DATE('",Tabla7[[#Headers],[15/03/2018]],"','%d/%m/%Y'),",AY160,"),","('",Tabla7[[#This Row],[CONTADOR]],"',STR_TO_DATE('",Tabla7[[#Headers],[15/04/2018]],"','%d/%m/%Y'),",AZ160,"),","('",Tabla7[[#This Row],[CONTADOR]],"',STR_TO_DATE('",Tabla7[[#Headers],[15/05/2018]],"','%d/%m/%Y'),",BA160,"),","('",Tabla7[[#This Row],[CONTADOR]],"',STR_TO_DATE('",Tabla7[[#Headers],[15/06/2018]],"','%d/%m/%Y'),",BB160,"),","('",Tabla7[[#This Row],[CONTADOR]],"',STR_TO_DATE('",Tabla7[[#Headers],[15/07/2018]],"','%d/%m/%Y'),",BC160,"),","('",Tabla7[[#This Row],[CONTADOR]],"',STR_TO_DATE('",Tabla7[[#Headers],[15/08/2018]],"','%d/%m/%Y'),",BD160,"),","('",Tabla7[[#This Row],[CONTADOR]],"',STR_TO_DATE('",Tabla7[[#Headers],[15/09/2018]],"','%d/%m/%Y'),",BE160,"),","('",Tabla7[[#This Row],[CONTADOR]],"',STR_TO_DATE('",Tabla7[[#Headers],[15/10/2018]],"','%d/%m/%Y'),",BF160,"),","('",Tabla7[[#This Row],[CONTADOR]],"',STR_TO_DATE('",Tabla7[[#Headers],[15/11/2018]],"','%d/%m/%Y'),",BG160,"),","('",Tabla7[[#This Row],[CONTADOR]],"',STR_TO_DATE('",Tabla7[[#Headers],[15/12/2018]],"','%d/%m/%Y'),",BH160,");")</f>
        <v>insert into lecturas values ('TORRE SUR DOS Nº 6',STR_TO_DATE('31/12/2017','%d/%m/%Y'),7878),('TORRE SUR DOS Nº 6',STR_TO_DATE('15/01/2018','%d/%m/%Y'),9421),('TORRE SUR DOS Nº 6',STR_TO_DATE('15/02/2018','%d/%m/%Y'),11839),('TORRE SUR DOS Nº 6',STR_TO_DATE('15/03/2018','%d/%m/%Y'),13626),('TORRE SUR DOS Nº 6',STR_TO_DATE('15/04/2018','%d/%m/%Y'),15754),('TORRE SUR DOS Nº 6',STR_TO_DATE('15/05/2018','%d/%m/%Y'),17572),('TORRE SUR DOS Nº 6',STR_TO_DATE('15/06/2018','%d/%m/%Y'),19430),('TORRE SUR DOS Nº 6',STR_TO_DATE('15/07/2018','%d/%m/%Y'),20710),('TORRE SUR DOS Nº 6',STR_TO_DATE('15/08/2018','%d/%m/%Y'),22409),('TORRE SUR DOS Nº 6',STR_TO_DATE('15/09/2018','%d/%m/%Y'),24392),('TORRE SUR DOS Nº 6',STR_TO_DATE('15/10/2018','%d/%m/%Y'),25200),('TORRE SUR DOS Nº 6',STR_TO_DATE('15/11/2018','%d/%m/%Y'),28786),('TORRE SUR DOS Nº 6',STR_TO_DATE('15/12/2018','%d/%m/%Y'),31451);</v>
      </c>
    </row>
    <row r="161" spans="1:68" ht="18" customHeight="1" x14ac:dyDescent="0.3">
      <c r="A161" s="241" t="s">
        <v>534</v>
      </c>
      <c r="B161" s="60"/>
      <c r="C161" s="455" t="s">
        <v>1368</v>
      </c>
      <c r="D161" s="450" t="s">
        <v>589</v>
      </c>
      <c r="E161" s="258">
        <v>39306</v>
      </c>
      <c r="F161" s="457" t="s">
        <v>146</v>
      </c>
      <c r="G161" s="458" t="s">
        <v>1293</v>
      </c>
      <c r="H161" s="274"/>
      <c r="I161" s="274"/>
      <c r="J161" s="311"/>
      <c r="K161" s="311"/>
      <c r="L161" s="311"/>
      <c r="M161" s="311">
        <v>665</v>
      </c>
      <c r="N161" s="311">
        <v>1717</v>
      </c>
      <c r="O161" s="311">
        <v>2630</v>
      </c>
      <c r="P161" s="311">
        <v>3563</v>
      </c>
      <c r="Q161" s="307">
        <v>4213</v>
      </c>
      <c r="R161" s="507">
        <v>5107</v>
      </c>
      <c r="S161" s="353">
        <v>6095</v>
      </c>
      <c r="T161" s="353">
        <v>7184</v>
      </c>
      <c r="U161" s="353">
        <v>8355</v>
      </c>
      <c r="V161" s="353">
        <v>9728</v>
      </c>
      <c r="W161" s="344"/>
      <c r="X161" s="307"/>
      <c r="Y161" s="2" t="str">
        <f t="shared" si="47"/>
        <v/>
      </c>
      <c r="Z161" s="2" t="str">
        <f t="shared" si="46"/>
        <v/>
      </c>
      <c r="AA161" s="2" t="str">
        <f t="shared" si="62"/>
        <v/>
      </c>
      <c r="AB161" s="2">
        <f t="shared" si="63"/>
        <v>1052</v>
      </c>
      <c r="AC161" s="2">
        <f t="shared" si="54"/>
        <v>913</v>
      </c>
      <c r="AD161" s="2">
        <f t="shared" si="55"/>
        <v>933</v>
      </c>
      <c r="AE161" s="2">
        <f t="shared" si="56"/>
        <v>650</v>
      </c>
      <c r="AF161" s="2">
        <f t="shared" si="57"/>
        <v>894</v>
      </c>
      <c r="AG161" s="2">
        <f t="shared" si="58"/>
        <v>988</v>
      </c>
      <c r="AH161" s="271">
        <f t="shared" si="61"/>
        <v>1089</v>
      </c>
      <c r="AI161" s="2">
        <f t="shared" si="59"/>
        <v>1171</v>
      </c>
      <c r="AJ161" s="2">
        <f t="shared" si="60"/>
        <v>1373</v>
      </c>
      <c r="AK161" s="416">
        <v>1</v>
      </c>
      <c r="AL161" s="448">
        <f t="shared" ca="1" si="50"/>
        <v>1717</v>
      </c>
      <c r="AM161" s="311">
        <f t="shared" ca="1" si="51"/>
        <v>2630</v>
      </c>
      <c r="AN161" s="412">
        <f ca="1">IF(AND(Tabla7[[#This Row],[UltLec]]&lt;&gt;0,Tabla7[[#This Row],[PenLect]]&lt;&gt;0),(AM161-AL161)*Tabla7[[#This Row],[RT]],"N/A")</f>
        <v>913</v>
      </c>
      <c r="AO161" s="273" t="s">
        <v>1135</v>
      </c>
      <c r="AP161" s="392" t="s">
        <v>1190</v>
      </c>
      <c r="AQ161" s="392" t="s">
        <v>1189</v>
      </c>
      <c r="AR161" s="407">
        <f t="shared" si="52"/>
        <v>0</v>
      </c>
      <c r="AT161" s="2">
        <f t="shared" ca="1" si="53"/>
        <v>0.86787072243346008</v>
      </c>
      <c r="AV161">
        <f>IF(ISBLANK(Tabla7[[#This Row],[31/12/2017]]),0,Tabla7[[#This Row],[31/12/2017]])</f>
        <v>0</v>
      </c>
      <c r="AW161">
        <f>IF(ISBLANK(Tabla7[[#This Row],[15/01/2018]]),0,Tabla7[[#This Row],[15/01/2018]])</f>
        <v>0</v>
      </c>
      <c r="AX161">
        <f>IF(ISBLANK(Tabla7[[#This Row],[15/02/2018]]),0,Tabla7[[#This Row],[15/02/2018]])</f>
        <v>0</v>
      </c>
      <c r="AY161">
        <f>IF(ISBLANK(Tabla7[[#This Row],[15/03/2018]]),0,Tabla7[[#This Row],[15/03/2018]])</f>
        <v>665</v>
      </c>
      <c r="AZ161">
        <f>IF(ISBLANK(Tabla7[[#This Row],[15/04/2018]]),0,Tabla7[[#This Row],[15/04/2018]])</f>
        <v>1717</v>
      </c>
      <c r="BA161">
        <f>IF(ISBLANK(Tabla7[[#This Row],[15/05/2018]]),0,Tabla7[[#This Row],[15/05/2018]])</f>
        <v>2630</v>
      </c>
      <c r="BB161">
        <f>IF(ISBLANK(Tabla7[[#This Row],[15/06/2018]]),0,Tabla7[[#This Row],[15/06/2018]])</f>
        <v>3563</v>
      </c>
      <c r="BC161">
        <f>IF(ISBLANK(Tabla7[[#This Row],[15/07/2018]]),0,Tabla7[[#This Row],[15/07/2018]])</f>
        <v>4213</v>
      </c>
      <c r="BD161">
        <f>IF(ISBLANK(Tabla7[[#This Row],[15/08/2018]]),0,Tabla7[[#This Row],[15/08/2018]])</f>
        <v>5107</v>
      </c>
      <c r="BE161">
        <f>IF(ISBLANK(Tabla7[[#This Row],[15/09/2018]]),0,Tabla7[[#This Row],[15/09/2018]])</f>
        <v>6095</v>
      </c>
      <c r="BF161">
        <f>IF(ISBLANK(Tabla7[[#This Row],[15/10/2018]]),0,Tabla7[[#This Row],[15/10/2018]])</f>
        <v>7184</v>
      </c>
      <c r="BG161">
        <f>IF(ISBLANK(Tabla7[[#This Row],[15/11/2018]]),0,Tabla7[[#This Row],[15/11/2018]])</f>
        <v>8355</v>
      </c>
      <c r="BH161">
        <f>IF(ISBLANK(Tabla7[[#This Row],[15/12/2018]]),0,Tabla7[[#This Row],[15/12/2018]])</f>
        <v>9728</v>
      </c>
      <c r="BI161">
        <f>IF(ISBLANK(Tabla7[[#This Row],[28/12/2018]]),0,Tabla7[[#This Row],[28/12/2018]])</f>
        <v>0</v>
      </c>
      <c r="BN16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('TORRE SUR DOS Nº 7','S','SCT10','39306','VALENCIA TERMINAL EUROPA, S.A.','TORRE SUR DOS Nº7','','');</v>
      </c>
      <c r="BO161" t="s">
        <v>243</v>
      </c>
      <c r="BP161" s="632" t="str">
        <f>CONCATENATE("insert into lecturas values ","('",Tabla7[[#This Row],[CONTADOR]],"',STR_TO_DATE('",Tabla7[[#Headers],[31/12/2017]],"','%d/%m/%Y'),",AV161,"),","('",Tabla7[[#This Row],[CONTADOR]],"',STR_TO_DATE('",Tabla7[[#Headers],[15/01/2018]],"','%d/%m/%Y'),",AW161,"),","('",Tabla7[[#This Row],[CONTADOR]],"',STR_TO_DATE('",Tabla7[[#Headers],[15/02/2018]],"','%d/%m/%Y'),",AX161,"),","('",Tabla7[[#This Row],[CONTADOR]],"',STR_TO_DATE('",Tabla7[[#Headers],[15/03/2018]],"','%d/%m/%Y'),",AY161,"),","('",Tabla7[[#This Row],[CONTADOR]],"',STR_TO_DATE('",Tabla7[[#Headers],[15/04/2018]],"','%d/%m/%Y'),",AZ161,"),","('",Tabla7[[#This Row],[CONTADOR]],"',STR_TO_DATE('",Tabla7[[#Headers],[15/05/2018]],"','%d/%m/%Y'),",BA161,"),","('",Tabla7[[#This Row],[CONTADOR]],"',STR_TO_DATE('",Tabla7[[#Headers],[15/06/2018]],"','%d/%m/%Y'),",BB161,"),","('",Tabla7[[#This Row],[CONTADOR]],"',STR_TO_DATE('",Tabla7[[#Headers],[15/07/2018]],"','%d/%m/%Y'),",BC161,"),","('",Tabla7[[#This Row],[CONTADOR]],"',STR_TO_DATE('",Tabla7[[#Headers],[15/08/2018]],"','%d/%m/%Y'),",BD161,"),","('",Tabla7[[#This Row],[CONTADOR]],"',STR_TO_DATE('",Tabla7[[#Headers],[15/09/2018]],"','%d/%m/%Y'),",BE161,"),","('",Tabla7[[#This Row],[CONTADOR]],"',STR_TO_DATE('",Tabla7[[#Headers],[15/10/2018]],"','%d/%m/%Y'),",BF161,"),","('",Tabla7[[#This Row],[CONTADOR]],"',STR_TO_DATE('",Tabla7[[#Headers],[15/11/2018]],"','%d/%m/%Y'),",BG161,"),","('",Tabla7[[#This Row],[CONTADOR]],"',STR_TO_DATE('",Tabla7[[#Headers],[15/12/2018]],"','%d/%m/%Y'),",BH161,");")</f>
        <v>insert into lecturas values ('TORRE SUR DOS Nº 7',STR_TO_DATE('31/12/2017','%d/%m/%Y'),0),('TORRE SUR DOS Nº 7',STR_TO_DATE('15/01/2018','%d/%m/%Y'),0),('TORRE SUR DOS Nº 7',STR_TO_DATE('15/02/2018','%d/%m/%Y'),0),('TORRE SUR DOS Nº 7',STR_TO_DATE('15/03/2018','%d/%m/%Y'),665),('TORRE SUR DOS Nº 7',STR_TO_DATE('15/04/2018','%d/%m/%Y'),1717),('TORRE SUR DOS Nº 7',STR_TO_DATE('15/05/2018','%d/%m/%Y'),2630),('TORRE SUR DOS Nº 7',STR_TO_DATE('15/06/2018','%d/%m/%Y'),3563),('TORRE SUR DOS Nº 7',STR_TO_DATE('15/07/2018','%d/%m/%Y'),4213),('TORRE SUR DOS Nº 7',STR_TO_DATE('15/08/2018','%d/%m/%Y'),5107),('TORRE SUR DOS Nº 7',STR_TO_DATE('15/09/2018','%d/%m/%Y'),6095),('TORRE SUR DOS Nº 7',STR_TO_DATE('15/10/2018','%d/%m/%Y'),7184),('TORRE SUR DOS Nº 7',STR_TO_DATE('15/11/2018','%d/%m/%Y'),8355),('TORRE SUR DOS Nº 7',STR_TO_DATE('15/12/2018','%d/%m/%Y'),9728);</v>
      </c>
    </row>
    <row r="162" spans="1:68" ht="18" customHeight="1" x14ac:dyDescent="0.3">
      <c r="A162" s="241" t="s">
        <v>534</v>
      </c>
      <c r="B162" s="60"/>
      <c r="C162" s="455" t="s">
        <v>1294</v>
      </c>
      <c r="D162" s="450" t="s">
        <v>589</v>
      </c>
      <c r="E162" s="258">
        <v>39307</v>
      </c>
      <c r="F162" s="457" t="s">
        <v>146</v>
      </c>
      <c r="G162" s="451" t="s">
        <v>1294</v>
      </c>
      <c r="H162" s="274"/>
      <c r="I162" s="274"/>
      <c r="J162" s="311"/>
      <c r="K162" s="311"/>
      <c r="L162" s="311"/>
      <c r="M162" s="311">
        <v>671</v>
      </c>
      <c r="N162" s="311">
        <v>1758</v>
      </c>
      <c r="O162" s="311">
        <v>2701</v>
      </c>
      <c r="P162" s="311">
        <v>3669</v>
      </c>
      <c r="Q162" s="307">
        <v>4343</v>
      </c>
      <c r="R162" s="507">
        <v>5271</v>
      </c>
      <c r="S162" s="353">
        <v>6283</v>
      </c>
      <c r="T162" s="353">
        <v>7399</v>
      </c>
      <c r="U162" s="353">
        <v>8600</v>
      </c>
      <c r="V162" s="353">
        <v>10019</v>
      </c>
      <c r="W162" s="344"/>
      <c r="X162" s="307"/>
      <c r="Y162" s="2" t="str">
        <f t="shared" si="47"/>
        <v/>
      </c>
      <c r="Z162" s="2" t="str">
        <f t="shared" si="46"/>
        <v/>
      </c>
      <c r="AA162" s="2" t="str">
        <f t="shared" si="62"/>
        <v/>
      </c>
      <c r="AB162" s="2">
        <f t="shared" si="63"/>
        <v>1087</v>
      </c>
      <c r="AC162" s="2">
        <f t="shared" si="54"/>
        <v>943</v>
      </c>
      <c r="AD162" s="2">
        <f t="shared" si="55"/>
        <v>968</v>
      </c>
      <c r="AE162" s="2">
        <f t="shared" si="56"/>
        <v>674</v>
      </c>
      <c r="AF162" s="2">
        <f t="shared" si="57"/>
        <v>928</v>
      </c>
      <c r="AG162" s="2">
        <f t="shared" si="58"/>
        <v>1012</v>
      </c>
      <c r="AH162" s="271">
        <f t="shared" si="61"/>
        <v>1116</v>
      </c>
      <c r="AI162" s="2">
        <f t="shared" si="59"/>
        <v>1201</v>
      </c>
      <c r="AJ162" s="2">
        <f t="shared" si="60"/>
        <v>1419</v>
      </c>
      <c r="AK162" s="416">
        <v>1</v>
      </c>
      <c r="AL162" s="448">
        <f t="shared" ca="1" si="50"/>
        <v>1758</v>
      </c>
      <c r="AM162" s="311">
        <f t="shared" ca="1" si="51"/>
        <v>2701</v>
      </c>
      <c r="AN162" s="412">
        <f ca="1">IF(AND(Tabla7[[#This Row],[UltLec]]&lt;&gt;0,Tabla7[[#This Row],[PenLect]]&lt;&gt;0),(AM162-AL162)*Tabla7[[#This Row],[RT]],"N/A")</f>
        <v>943</v>
      </c>
      <c r="AO162" s="273" t="s">
        <v>1135</v>
      </c>
      <c r="AP162" s="392" t="s">
        <v>1190</v>
      </c>
      <c r="AQ162" s="392" t="s">
        <v>1189</v>
      </c>
      <c r="AR162" s="407">
        <f t="shared" si="52"/>
        <v>0</v>
      </c>
      <c r="AT162" s="2">
        <f t="shared" ca="1" si="53"/>
        <v>0.86752529898804043</v>
      </c>
      <c r="AV162">
        <f>IF(ISBLANK(Tabla7[[#This Row],[31/12/2017]]),0,Tabla7[[#This Row],[31/12/2017]])</f>
        <v>0</v>
      </c>
      <c r="AW162">
        <f>IF(ISBLANK(Tabla7[[#This Row],[15/01/2018]]),0,Tabla7[[#This Row],[15/01/2018]])</f>
        <v>0</v>
      </c>
      <c r="AX162">
        <f>IF(ISBLANK(Tabla7[[#This Row],[15/02/2018]]),0,Tabla7[[#This Row],[15/02/2018]])</f>
        <v>0</v>
      </c>
      <c r="AY162">
        <f>IF(ISBLANK(Tabla7[[#This Row],[15/03/2018]]),0,Tabla7[[#This Row],[15/03/2018]])</f>
        <v>671</v>
      </c>
      <c r="AZ162">
        <f>IF(ISBLANK(Tabla7[[#This Row],[15/04/2018]]),0,Tabla7[[#This Row],[15/04/2018]])</f>
        <v>1758</v>
      </c>
      <c r="BA162">
        <f>IF(ISBLANK(Tabla7[[#This Row],[15/05/2018]]),0,Tabla7[[#This Row],[15/05/2018]])</f>
        <v>2701</v>
      </c>
      <c r="BB162">
        <f>IF(ISBLANK(Tabla7[[#This Row],[15/06/2018]]),0,Tabla7[[#This Row],[15/06/2018]])</f>
        <v>3669</v>
      </c>
      <c r="BC162">
        <f>IF(ISBLANK(Tabla7[[#This Row],[15/07/2018]]),0,Tabla7[[#This Row],[15/07/2018]])</f>
        <v>4343</v>
      </c>
      <c r="BD162">
        <f>IF(ISBLANK(Tabla7[[#This Row],[15/08/2018]]),0,Tabla7[[#This Row],[15/08/2018]])</f>
        <v>5271</v>
      </c>
      <c r="BE162">
        <f>IF(ISBLANK(Tabla7[[#This Row],[15/09/2018]]),0,Tabla7[[#This Row],[15/09/2018]])</f>
        <v>6283</v>
      </c>
      <c r="BF162">
        <f>IF(ISBLANK(Tabla7[[#This Row],[15/10/2018]]),0,Tabla7[[#This Row],[15/10/2018]])</f>
        <v>7399</v>
      </c>
      <c r="BG162">
        <f>IF(ISBLANK(Tabla7[[#This Row],[15/11/2018]]),0,Tabla7[[#This Row],[15/11/2018]])</f>
        <v>8600</v>
      </c>
      <c r="BH162">
        <f>IF(ISBLANK(Tabla7[[#This Row],[15/12/2018]]),0,Tabla7[[#This Row],[15/12/2018]])</f>
        <v>10019</v>
      </c>
      <c r="BI162">
        <f>IF(ISBLANK(Tabla7[[#This Row],[28/12/2018]]),0,Tabla7[[#This Row],[28/12/2018]])</f>
        <v>0</v>
      </c>
      <c r="BN16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('TORRE SUR DOS Nº 8','S','SCT10','39307','VALENCIA TERMINAL EUROPA, S.A.','TORRE SUR DOS Nº 8','','');</v>
      </c>
      <c r="BO162" t="s">
        <v>243</v>
      </c>
      <c r="BP162" s="632" t="str">
        <f>CONCATENATE("insert into lecturas values ","('",Tabla7[[#This Row],[CONTADOR]],"',STR_TO_DATE('",Tabla7[[#Headers],[31/12/2017]],"','%d/%m/%Y'),",AV162,"),","('",Tabla7[[#This Row],[CONTADOR]],"',STR_TO_DATE('",Tabla7[[#Headers],[15/01/2018]],"','%d/%m/%Y'),",AW162,"),","('",Tabla7[[#This Row],[CONTADOR]],"',STR_TO_DATE('",Tabla7[[#Headers],[15/02/2018]],"','%d/%m/%Y'),",AX162,"),","('",Tabla7[[#This Row],[CONTADOR]],"',STR_TO_DATE('",Tabla7[[#Headers],[15/03/2018]],"','%d/%m/%Y'),",AY162,"),","('",Tabla7[[#This Row],[CONTADOR]],"',STR_TO_DATE('",Tabla7[[#Headers],[15/04/2018]],"','%d/%m/%Y'),",AZ162,"),","('",Tabla7[[#This Row],[CONTADOR]],"',STR_TO_DATE('",Tabla7[[#Headers],[15/05/2018]],"','%d/%m/%Y'),",BA162,"),","('",Tabla7[[#This Row],[CONTADOR]],"',STR_TO_DATE('",Tabla7[[#Headers],[15/06/2018]],"','%d/%m/%Y'),",BB162,"),","('",Tabla7[[#This Row],[CONTADOR]],"',STR_TO_DATE('",Tabla7[[#Headers],[15/07/2018]],"','%d/%m/%Y'),",BC162,"),","('",Tabla7[[#This Row],[CONTADOR]],"',STR_TO_DATE('",Tabla7[[#Headers],[15/08/2018]],"','%d/%m/%Y'),",BD162,"),","('",Tabla7[[#This Row],[CONTADOR]],"',STR_TO_DATE('",Tabla7[[#Headers],[15/09/2018]],"','%d/%m/%Y'),",BE162,"),","('",Tabla7[[#This Row],[CONTADOR]],"',STR_TO_DATE('",Tabla7[[#Headers],[15/10/2018]],"','%d/%m/%Y'),",BF162,"),","('",Tabla7[[#This Row],[CONTADOR]],"',STR_TO_DATE('",Tabla7[[#Headers],[15/11/2018]],"','%d/%m/%Y'),",BG162,"),","('",Tabla7[[#This Row],[CONTADOR]],"',STR_TO_DATE('",Tabla7[[#Headers],[15/12/2018]],"','%d/%m/%Y'),",BH162,");")</f>
        <v>insert into lecturas values ('TORRE SUR DOS Nº 8',STR_TO_DATE('31/12/2017','%d/%m/%Y'),0),('TORRE SUR DOS Nº 8',STR_TO_DATE('15/01/2018','%d/%m/%Y'),0),('TORRE SUR DOS Nº 8',STR_TO_DATE('15/02/2018','%d/%m/%Y'),0),('TORRE SUR DOS Nº 8',STR_TO_DATE('15/03/2018','%d/%m/%Y'),671),('TORRE SUR DOS Nº 8',STR_TO_DATE('15/04/2018','%d/%m/%Y'),1758),('TORRE SUR DOS Nº 8',STR_TO_DATE('15/05/2018','%d/%m/%Y'),2701),('TORRE SUR DOS Nº 8',STR_TO_DATE('15/06/2018','%d/%m/%Y'),3669),('TORRE SUR DOS Nº 8',STR_TO_DATE('15/07/2018','%d/%m/%Y'),4343),('TORRE SUR DOS Nº 8',STR_TO_DATE('15/08/2018','%d/%m/%Y'),5271),('TORRE SUR DOS Nº 8',STR_TO_DATE('15/09/2018','%d/%m/%Y'),6283),('TORRE SUR DOS Nº 8',STR_TO_DATE('15/10/2018','%d/%m/%Y'),7399),('TORRE SUR DOS Nº 8',STR_TO_DATE('15/11/2018','%d/%m/%Y'),8600),('TORRE SUR DOS Nº 8',STR_TO_DATE('15/12/2018','%d/%m/%Y'),10019);</v>
      </c>
    </row>
    <row r="163" spans="1:68" ht="18" customHeight="1" x14ac:dyDescent="0.25">
      <c r="A163" s="241" t="s">
        <v>534</v>
      </c>
      <c r="B163" s="60"/>
      <c r="C163" s="223">
        <v>5355248</v>
      </c>
      <c r="D163" s="60" t="s">
        <v>591</v>
      </c>
      <c r="E163" s="258">
        <v>2</v>
      </c>
      <c r="F163" s="274" t="s">
        <v>592</v>
      </c>
      <c r="G163" s="349"/>
      <c r="H163" s="274"/>
      <c r="I163" s="274"/>
      <c r="J163" s="311">
        <v>14158</v>
      </c>
      <c r="K163" s="311">
        <v>14217</v>
      </c>
      <c r="L163" s="311">
        <v>14307</v>
      </c>
      <c r="M163" s="311">
        <v>14381</v>
      </c>
      <c r="N163" s="311">
        <v>14460</v>
      </c>
      <c r="O163" s="454">
        <v>14526</v>
      </c>
      <c r="P163" s="311">
        <v>14590</v>
      </c>
      <c r="Q163" s="307">
        <v>14633</v>
      </c>
      <c r="R163" s="505">
        <v>14691</v>
      </c>
      <c r="S163" s="353">
        <v>14765</v>
      </c>
      <c r="T163" s="353">
        <v>14833</v>
      </c>
      <c r="U163" s="353">
        <v>14913</v>
      </c>
      <c r="V163" s="353">
        <v>15007</v>
      </c>
      <c r="W163" s="321"/>
      <c r="X163" s="307"/>
      <c r="Y163" s="2">
        <f t="shared" si="47"/>
        <v>2950</v>
      </c>
      <c r="Z163" s="2">
        <f t="shared" si="46"/>
        <v>4500</v>
      </c>
      <c r="AA163" s="2">
        <f t="shared" si="62"/>
        <v>3700</v>
      </c>
      <c r="AB163" s="2">
        <f t="shared" si="63"/>
        <v>3950</v>
      </c>
      <c r="AC163" s="2">
        <f t="shared" si="54"/>
        <v>3300</v>
      </c>
      <c r="AD163" s="2">
        <f t="shared" si="55"/>
        <v>3200</v>
      </c>
      <c r="AE163" s="2">
        <f t="shared" si="56"/>
        <v>2150</v>
      </c>
      <c r="AF163" s="2">
        <f t="shared" si="57"/>
        <v>2900</v>
      </c>
      <c r="AG163" s="2">
        <f t="shared" si="58"/>
        <v>3700</v>
      </c>
      <c r="AH163" s="2">
        <f t="shared" si="61"/>
        <v>3400</v>
      </c>
      <c r="AI163" s="2">
        <f t="shared" si="59"/>
        <v>4000</v>
      </c>
      <c r="AJ163" s="2">
        <f t="shared" si="60"/>
        <v>4700</v>
      </c>
      <c r="AK163" s="416">
        <v>50</v>
      </c>
      <c r="AL163" s="417">
        <f t="shared" ca="1" si="50"/>
        <v>14460</v>
      </c>
      <c r="AM163" s="311">
        <f t="shared" ca="1" si="51"/>
        <v>14526</v>
      </c>
      <c r="AN163" s="274">
        <f ca="1">IF(AND(Tabla7[[#This Row],[UltLec]]&lt;&gt;0,Tabla7[[#This Row],[PenLect]]&lt;&gt;0),(AM163-AL163)*Tabla7[[#This Row],[RT]],"N/A")</f>
        <v>3300</v>
      </c>
      <c r="AO163" s="273" t="s">
        <v>1135</v>
      </c>
      <c r="AP163" s="441" t="s">
        <v>1190</v>
      </c>
      <c r="AQ163" s="441" t="s">
        <v>1189</v>
      </c>
      <c r="AR163" s="407">
        <f t="shared" si="52"/>
        <v>0</v>
      </c>
      <c r="AT163" s="2">
        <f t="shared" ca="1" si="53"/>
        <v>0.83544303797468356</v>
      </c>
      <c r="AV163">
        <f>IF(ISBLANK(Tabla7[[#This Row],[31/12/2017]]),0,Tabla7[[#This Row],[31/12/2017]])</f>
        <v>14158</v>
      </c>
      <c r="AW163">
        <f>IF(ISBLANK(Tabla7[[#This Row],[15/01/2018]]),0,Tabla7[[#This Row],[15/01/2018]])</f>
        <v>14217</v>
      </c>
      <c r="AX163">
        <f>IF(ISBLANK(Tabla7[[#This Row],[15/02/2018]]),0,Tabla7[[#This Row],[15/02/2018]])</f>
        <v>14307</v>
      </c>
      <c r="AY163">
        <f>IF(ISBLANK(Tabla7[[#This Row],[15/03/2018]]),0,Tabla7[[#This Row],[15/03/2018]])</f>
        <v>14381</v>
      </c>
      <c r="AZ163">
        <f>IF(ISBLANK(Tabla7[[#This Row],[15/04/2018]]),0,Tabla7[[#This Row],[15/04/2018]])</f>
        <v>14460</v>
      </c>
      <c r="BA163">
        <f>IF(ISBLANK(Tabla7[[#This Row],[15/05/2018]]),0,Tabla7[[#This Row],[15/05/2018]])</f>
        <v>14526</v>
      </c>
      <c r="BB163">
        <f>IF(ISBLANK(Tabla7[[#This Row],[15/06/2018]]),0,Tabla7[[#This Row],[15/06/2018]])</f>
        <v>14590</v>
      </c>
      <c r="BC163">
        <f>IF(ISBLANK(Tabla7[[#This Row],[15/07/2018]]),0,Tabla7[[#This Row],[15/07/2018]])</f>
        <v>14633</v>
      </c>
      <c r="BD163">
        <f>IF(ISBLANK(Tabla7[[#This Row],[15/08/2018]]),0,Tabla7[[#This Row],[15/08/2018]])</f>
        <v>14691</v>
      </c>
      <c r="BE163">
        <f>IF(ISBLANK(Tabla7[[#This Row],[15/09/2018]]),0,Tabla7[[#This Row],[15/09/2018]])</f>
        <v>14765</v>
      </c>
      <c r="BF163">
        <f>IF(ISBLANK(Tabla7[[#This Row],[15/10/2018]]),0,Tabla7[[#This Row],[15/10/2018]])</f>
        <v>14833</v>
      </c>
      <c r="BG163">
        <f>IF(ISBLANK(Tabla7[[#This Row],[15/11/2018]]),0,Tabla7[[#This Row],[15/11/2018]])</f>
        <v>14913</v>
      </c>
      <c r="BH163">
        <f>IF(ISBLANK(Tabla7[[#This Row],[15/12/2018]]),0,Tabla7[[#This Row],[15/12/2018]])</f>
        <v>15007</v>
      </c>
      <c r="BI163">
        <f>IF(ISBLANK(Tabla7[[#This Row],[28/12/2018]]),0,Tabla7[[#This Row],[28/12/2018]])</f>
        <v>0</v>
      </c>
      <c r="BN16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('5355248','S','SCT11','2','Alumbrado viales CT11','','','');</v>
      </c>
      <c r="BO163" t="s">
        <v>243</v>
      </c>
      <c r="BP163" s="632" t="str">
        <f>CONCATENATE("insert into lecturas values ","('",Tabla7[[#This Row],[CONTADOR]],"',STR_TO_DATE('",Tabla7[[#Headers],[31/12/2017]],"','%d/%m/%Y'),",AV163,"),","('",Tabla7[[#This Row],[CONTADOR]],"',STR_TO_DATE('",Tabla7[[#Headers],[15/01/2018]],"','%d/%m/%Y'),",AW163,"),","('",Tabla7[[#This Row],[CONTADOR]],"',STR_TO_DATE('",Tabla7[[#Headers],[15/02/2018]],"','%d/%m/%Y'),",AX163,"),","('",Tabla7[[#This Row],[CONTADOR]],"',STR_TO_DATE('",Tabla7[[#Headers],[15/03/2018]],"','%d/%m/%Y'),",AY163,"),","('",Tabla7[[#This Row],[CONTADOR]],"',STR_TO_DATE('",Tabla7[[#Headers],[15/04/2018]],"','%d/%m/%Y'),",AZ163,"),","('",Tabla7[[#This Row],[CONTADOR]],"',STR_TO_DATE('",Tabla7[[#Headers],[15/05/2018]],"','%d/%m/%Y'),",BA163,"),","('",Tabla7[[#This Row],[CONTADOR]],"',STR_TO_DATE('",Tabla7[[#Headers],[15/06/2018]],"','%d/%m/%Y'),",BB163,"),","('",Tabla7[[#This Row],[CONTADOR]],"',STR_TO_DATE('",Tabla7[[#Headers],[15/07/2018]],"','%d/%m/%Y'),",BC163,"),","('",Tabla7[[#This Row],[CONTADOR]],"',STR_TO_DATE('",Tabla7[[#Headers],[15/08/2018]],"','%d/%m/%Y'),",BD163,"),","('",Tabla7[[#This Row],[CONTADOR]],"',STR_TO_DATE('",Tabla7[[#Headers],[15/09/2018]],"','%d/%m/%Y'),",BE163,"),","('",Tabla7[[#This Row],[CONTADOR]],"',STR_TO_DATE('",Tabla7[[#Headers],[15/10/2018]],"','%d/%m/%Y'),",BF163,"),","('",Tabla7[[#This Row],[CONTADOR]],"',STR_TO_DATE('",Tabla7[[#Headers],[15/11/2018]],"','%d/%m/%Y'),",BG163,"),","('",Tabla7[[#This Row],[CONTADOR]],"',STR_TO_DATE('",Tabla7[[#Headers],[15/12/2018]],"','%d/%m/%Y'),",BH163,");")</f>
        <v>insert into lecturas values ('5355248',STR_TO_DATE('31/12/2017','%d/%m/%Y'),14158),('5355248',STR_TO_DATE('15/01/2018','%d/%m/%Y'),14217),('5355248',STR_TO_DATE('15/02/2018','%d/%m/%Y'),14307),('5355248',STR_TO_DATE('15/03/2018','%d/%m/%Y'),14381),('5355248',STR_TO_DATE('15/04/2018','%d/%m/%Y'),14460),('5355248',STR_TO_DATE('15/05/2018','%d/%m/%Y'),14526),('5355248',STR_TO_DATE('15/06/2018','%d/%m/%Y'),14590),('5355248',STR_TO_DATE('15/07/2018','%d/%m/%Y'),14633),('5355248',STR_TO_DATE('15/08/2018','%d/%m/%Y'),14691),('5355248',STR_TO_DATE('15/09/2018','%d/%m/%Y'),14765),('5355248',STR_TO_DATE('15/10/2018','%d/%m/%Y'),14833),('5355248',STR_TO_DATE('15/11/2018','%d/%m/%Y'),14913),('5355248',STR_TO_DATE('15/12/2018','%d/%m/%Y'),15007);</v>
      </c>
    </row>
    <row r="164" spans="1:68" ht="18" customHeight="1" x14ac:dyDescent="0.25">
      <c r="A164" s="372" t="s">
        <v>1175</v>
      </c>
      <c r="B164" s="374"/>
      <c r="C164" s="374">
        <v>10121</v>
      </c>
      <c r="D164" s="374" t="s">
        <v>593</v>
      </c>
      <c r="E164" s="375">
        <v>2</v>
      </c>
      <c r="F164" s="433" t="s">
        <v>1089</v>
      </c>
      <c r="G164" s="433" t="s">
        <v>596</v>
      </c>
      <c r="H164" s="433"/>
      <c r="I164" s="433"/>
      <c r="J164" s="433">
        <v>18666</v>
      </c>
      <c r="K164" s="433">
        <v>20744</v>
      </c>
      <c r="L164" s="433">
        <v>24008</v>
      </c>
      <c r="M164" s="433"/>
      <c r="N164" s="433"/>
      <c r="O164" s="433"/>
      <c r="P164" s="433"/>
      <c r="Q164" s="433">
        <v>0</v>
      </c>
      <c r="R164" s="380"/>
      <c r="S164" s="433"/>
      <c r="T164" s="433"/>
      <c r="U164" s="612"/>
      <c r="V164" s="433"/>
      <c r="W164" s="433"/>
      <c r="X164" s="433"/>
      <c r="Y164" s="433">
        <f t="shared" si="47"/>
        <v>2078</v>
      </c>
      <c r="Z164" s="433">
        <f t="shared" si="46"/>
        <v>3264</v>
      </c>
      <c r="AA164" s="433" t="str">
        <f t="shared" si="62"/>
        <v/>
      </c>
      <c r="AB164" s="433" t="str">
        <f t="shared" si="63"/>
        <v/>
      </c>
      <c r="AC164" s="433" t="str">
        <f t="shared" si="54"/>
        <v/>
      </c>
      <c r="AD164" s="433" t="str">
        <f t="shared" si="55"/>
        <v/>
      </c>
      <c r="AE164" s="433" t="str">
        <f t="shared" si="56"/>
        <v/>
      </c>
      <c r="AF164" s="433" t="str">
        <f t="shared" si="57"/>
        <v/>
      </c>
      <c r="AG164" s="433" t="str">
        <f t="shared" si="58"/>
        <v/>
      </c>
      <c r="AH164" s="433" t="str">
        <f t="shared" si="61"/>
        <v/>
      </c>
      <c r="AI164" s="433" t="str">
        <f t="shared" si="59"/>
        <v/>
      </c>
      <c r="AJ164" s="433" t="str">
        <f t="shared" si="60"/>
        <v/>
      </c>
      <c r="AK164" s="591">
        <v>1</v>
      </c>
      <c r="AL164" s="433">
        <f t="shared" ca="1" si="50"/>
        <v>0</v>
      </c>
      <c r="AM164" s="433">
        <f t="shared" ca="1" si="51"/>
        <v>0</v>
      </c>
      <c r="AN164" s="433" t="str">
        <f ca="1">IF(AND(Tabla7[[#This Row],[UltLec]]&lt;&gt;0,Tabla7[[#This Row],[PenLect]]&lt;&gt;0),(AM164-AL164)*Tabla7[[#This Row],[RT]],"N/A")</f>
        <v>N/A</v>
      </c>
      <c r="AO164" s="380" t="s">
        <v>1281</v>
      </c>
      <c r="AP164" s="433" t="s">
        <v>1190</v>
      </c>
      <c r="AQ164" s="433" t="s">
        <v>1189</v>
      </c>
      <c r="AR164" s="594">
        <f t="shared" si="52"/>
        <v>0</v>
      </c>
      <c r="AT164" s="2" t="e">
        <f t="shared" ca="1" si="53"/>
        <v>#VALUE!</v>
      </c>
      <c r="AV164">
        <f>IF(ISBLANK(Tabla7[[#This Row],[31/12/2017]]),0,Tabla7[[#This Row],[31/12/2017]])</f>
        <v>18666</v>
      </c>
      <c r="AW164">
        <f>IF(ISBLANK(Tabla7[[#This Row],[15/01/2018]]),0,Tabla7[[#This Row],[15/01/2018]])</f>
        <v>20744</v>
      </c>
      <c r="AX164">
        <f>IF(ISBLANK(Tabla7[[#This Row],[15/02/2018]]),0,Tabla7[[#This Row],[15/02/2018]])</f>
        <v>24008</v>
      </c>
      <c r="AY164">
        <f>IF(ISBLANK(Tabla7[[#This Row],[15/03/2018]]),0,Tabla7[[#This Row],[15/03/2018]])</f>
        <v>0</v>
      </c>
      <c r="AZ164">
        <f>IF(ISBLANK(Tabla7[[#This Row],[15/04/2018]]),0,Tabla7[[#This Row],[15/04/2018]])</f>
        <v>0</v>
      </c>
      <c r="BA164">
        <f>IF(ISBLANK(Tabla7[[#This Row],[15/05/2018]]),0,Tabla7[[#This Row],[15/05/2018]])</f>
        <v>0</v>
      </c>
      <c r="BB164">
        <f>IF(ISBLANK(Tabla7[[#This Row],[15/06/2018]]),0,Tabla7[[#This Row],[15/06/2018]])</f>
        <v>0</v>
      </c>
      <c r="BC164">
        <f>IF(ISBLANK(Tabla7[[#This Row],[15/07/2018]]),0,Tabla7[[#This Row],[15/07/2018]])</f>
        <v>0</v>
      </c>
      <c r="BD164">
        <f>IF(ISBLANK(Tabla7[[#This Row],[15/08/2018]]),0,Tabla7[[#This Row],[15/08/2018]])</f>
        <v>0</v>
      </c>
      <c r="BE164">
        <f>IF(ISBLANK(Tabla7[[#This Row],[15/09/2018]]),0,Tabla7[[#This Row],[15/09/2018]])</f>
        <v>0</v>
      </c>
      <c r="BF164">
        <f>IF(ISBLANK(Tabla7[[#This Row],[15/10/2018]]),0,Tabla7[[#This Row],[15/10/2018]])</f>
        <v>0</v>
      </c>
      <c r="BG164">
        <f>IF(ISBLANK(Tabla7[[#This Row],[15/11/2018]]),0,Tabla7[[#This Row],[15/11/2018]])</f>
        <v>0</v>
      </c>
      <c r="BH164">
        <f>IF(ISBLANK(Tabla7[[#This Row],[15/12/2018]]),0,Tabla7[[#This Row],[15/12/2018]])</f>
        <v>0</v>
      </c>
      <c r="BI164">
        <f>IF(ISBLANK(Tabla7[[#This Row],[28/12/2018]]),0,Tabla7[[#This Row],[28/12/2018]])</f>
        <v>0</v>
      </c>
      <c r="BN16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('10121','SBAJA','SCT12','2','ALUMBRADO PUBLICO TORRE ','Torre Alumbrado Sur 2 1','','');</v>
      </c>
      <c r="BO164" t="s">
        <v>243</v>
      </c>
      <c r="BP164" s="632" t="str">
        <f>CONCATENATE("insert into lecturas values ","('",Tabla7[[#This Row],[CONTADOR]],"',STR_TO_DATE('",Tabla7[[#Headers],[31/12/2017]],"','%d/%m/%Y'),",AV164,"),","('",Tabla7[[#This Row],[CONTADOR]],"',STR_TO_DATE('",Tabla7[[#Headers],[15/01/2018]],"','%d/%m/%Y'),",AW164,"),","('",Tabla7[[#This Row],[CONTADOR]],"',STR_TO_DATE('",Tabla7[[#Headers],[15/02/2018]],"','%d/%m/%Y'),",AX164,"),","('",Tabla7[[#This Row],[CONTADOR]],"',STR_TO_DATE('",Tabla7[[#Headers],[15/03/2018]],"','%d/%m/%Y'),",AY164,"),","('",Tabla7[[#This Row],[CONTADOR]],"',STR_TO_DATE('",Tabla7[[#Headers],[15/04/2018]],"','%d/%m/%Y'),",AZ164,"),","('",Tabla7[[#This Row],[CONTADOR]],"',STR_TO_DATE('",Tabla7[[#Headers],[15/05/2018]],"','%d/%m/%Y'),",BA164,"),","('",Tabla7[[#This Row],[CONTADOR]],"',STR_TO_DATE('",Tabla7[[#Headers],[15/06/2018]],"','%d/%m/%Y'),",BB164,"),","('",Tabla7[[#This Row],[CONTADOR]],"',STR_TO_DATE('",Tabla7[[#Headers],[15/07/2018]],"','%d/%m/%Y'),",BC164,"),","('",Tabla7[[#This Row],[CONTADOR]],"',STR_TO_DATE('",Tabla7[[#Headers],[15/08/2018]],"','%d/%m/%Y'),",BD164,"),","('",Tabla7[[#This Row],[CONTADOR]],"',STR_TO_DATE('",Tabla7[[#Headers],[15/09/2018]],"','%d/%m/%Y'),",BE164,"),","('",Tabla7[[#This Row],[CONTADOR]],"',STR_TO_DATE('",Tabla7[[#Headers],[15/10/2018]],"','%d/%m/%Y'),",BF164,"),","('",Tabla7[[#This Row],[CONTADOR]],"',STR_TO_DATE('",Tabla7[[#Headers],[15/11/2018]],"','%d/%m/%Y'),",BG164,"),","('",Tabla7[[#This Row],[CONTADOR]],"',STR_TO_DATE('",Tabla7[[#Headers],[15/12/2018]],"','%d/%m/%Y'),",BH164,");")</f>
        <v>insert into lecturas values ('10121',STR_TO_DATE('31/12/2017','%d/%m/%Y'),18666),('10121',STR_TO_DATE('15/01/2018','%d/%m/%Y'),20744),('10121',STR_TO_DATE('15/02/2018','%d/%m/%Y'),24008),('10121',STR_TO_DATE('15/03/2018','%d/%m/%Y'),0),('10121',STR_TO_DATE('15/04/2018','%d/%m/%Y'),0),('10121',STR_TO_DATE('15/05/2018','%d/%m/%Y'),0),('10121',STR_TO_DATE('15/06/2018','%d/%m/%Y'),0),('10121',STR_TO_DATE('15/07/2018','%d/%m/%Y'),0),('10121',STR_TO_DATE('15/08/2018','%d/%m/%Y'),0),('10121',STR_TO_DATE('15/09/2018','%d/%m/%Y'),0),('10121',STR_TO_DATE('15/10/2018','%d/%m/%Y'),0),('10121',STR_TO_DATE('15/11/2018','%d/%m/%Y'),0),('10121',STR_TO_DATE('15/12/2018','%d/%m/%Y'),0);</v>
      </c>
    </row>
    <row r="165" spans="1:68" ht="18" customHeight="1" x14ac:dyDescent="0.25">
      <c r="A165" s="372" t="s">
        <v>1175</v>
      </c>
      <c r="B165" s="372"/>
      <c r="C165" s="372">
        <v>10122</v>
      </c>
      <c r="D165" s="372" t="s">
        <v>593</v>
      </c>
      <c r="E165" s="372">
        <v>2</v>
      </c>
      <c r="F165" s="372" t="s">
        <v>1089</v>
      </c>
      <c r="G165" s="372" t="s">
        <v>594</v>
      </c>
      <c r="H165" s="372"/>
      <c r="I165" s="372"/>
      <c r="J165" s="372">
        <v>17119</v>
      </c>
      <c r="K165" s="372">
        <v>18633</v>
      </c>
      <c r="L165" s="372">
        <v>20975</v>
      </c>
      <c r="M165" s="372"/>
      <c r="N165" s="372"/>
      <c r="O165" s="372"/>
      <c r="P165" s="372"/>
      <c r="Q165" s="372">
        <v>0</v>
      </c>
      <c r="R165" s="372"/>
      <c r="S165" s="372"/>
      <c r="T165" s="372"/>
      <c r="U165" s="611"/>
      <c r="V165" s="372"/>
      <c r="W165" s="372"/>
      <c r="X165" s="372"/>
      <c r="Y165" s="372">
        <f t="shared" si="47"/>
        <v>1514</v>
      </c>
      <c r="Z165" s="372">
        <f t="shared" si="46"/>
        <v>2342</v>
      </c>
      <c r="AA165" s="372" t="str">
        <f t="shared" si="62"/>
        <v/>
      </c>
      <c r="AB165" s="372" t="str">
        <f t="shared" si="63"/>
        <v/>
      </c>
      <c r="AC165" s="372" t="str">
        <f t="shared" si="54"/>
        <v/>
      </c>
      <c r="AD165" s="372" t="str">
        <f t="shared" si="55"/>
        <v/>
      </c>
      <c r="AE165" s="372" t="str">
        <f t="shared" si="56"/>
        <v/>
      </c>
      <c r="AF165" s="372" t="str">
        <f t="shared" si="57"/>
        <v/>
      </c>
      <c r="AG165" s="372" t="str">
        <f t="shared" si="58"/>
        <v/>
      </c>
      <c r="AH165" s="372" t="str">
        <f t="shared" si="61"/>
        <v/>
      </c>
      <c r="AI165" s="372" t="str">
        <f t="shared" si="59"/>
        <v/>
      </c>
      <c r="AJ165" s="372" t="str">
        <f t="shared" si="60"/>
        <v/>
      </c>
      <c r="AK165" s="372">
        <v>1</v>
      </c>
      <c r="AL165" s="372">
        <f t="shared" ca="1" si="50"/>
        <v>0</v>
      </c>
      <c r="AM165" s="372">
        <f t="shared" ca="1" si="51"/>
        <v>0</v>
      </c>
      <c r="AN165" s="372" t="str">
        <f ca="1">IF(AND(Tabla7[[#This Row],[UltLec]]&lt;&gt;0,Tabla7[[#This Row],[PenLect]]&lt;&gt;0),(AM165-AL165)*Tabla7[[#This Row],[RT]],"N/A")</f>
        <v>N/A</v>
      </c>
      <c r="AO165" s="372" t="s">
        <v>1281</v>
      </c>
      <c r="AP165" s="372" t="s">
        <v>1190</v>
      </c>
      <c r="AQ165" s="372" t="s">
        <v>1189</v>
      </c>
      <c r="AR165" s="372">
        <f t="shared" si="52"/>
        <v>0</v>
      </c>
      <c r="AT165" s="2" t="e">
        <f t="shared" ca="1" si="53"/>
        <v>#VALUE!</v>
      </c>
      <c r="AV165">
        <f>IF(ISBLANK(Tabla7[[#This Row],[31/12/2017]]),0,Tabla7[[#This Row],[31/12/2017]])</f>
        <v>17119</v>
      </c>
      <c r="AW165">
        <f>IF(ISBLANK(Tabla7[[#This Row],[15/01/2018]]),0,Tabla7[[#This Row],[15/01/2018]])</f>
        <v>18633</v>
      </c>
      <c r="AX165">
        <f>IF(ISBLANK(Tabla7[[#This Row],[15/02/2018]]),0,Tabla7[[#This Row],[15/02/2018]])</f>
        <v>20975</v>
      </c>
      <c r="AY165">
        <f>IF(ISBLANK(Tabla7[[#This Row],[15/03/2018]]),0,Tabla7[[#This Row],[15/03/2018]])</f>
        <v>0</v>
      </c>
      <c r="AZ165">
        <f>IF(ISBLANK(Tabla7[[#This Row],[15/04/2018]]),0,Tabla7[[#This Row],[15/04/2018]])</f>
        <v>0</v>
      </c>
      <c r="BA165">
        <f>IF(ISBLANK(Tabla7[[#This Row],[15/05/2018]]),0,Tabla7[[#This Row],[15/05/2018]])</f>
        <v>0</v>
      </c>
      <c r="BB165">
        <f>IF(ISBLANK(Tabla7[[#This Row],[15/06/2018]]),0,Tabla7[[#This Row],[15/06/2018]])</f>
        <v>0</v>
      </c>
      <c r="BC165">
        <f>IF(ISBLANK(Tabla7[[#This Row],[15/07/2018]]),0,Tabla7[[#This Row],[15/07/2018]])</f>
        <v>0</v>
      </c>
      <c r="BD165">
        <f>IF(ISBLANK(Tabla7[[#This Row],[15/08/2018]]),0,Tabla7[[#This Row],[15/08/2018]])</f>
        <v>0</v>
      </c>
      <c r="BE165">
        <f>IF(ISBLANK(Tabla7[[#This Row],[15/09/2018]]),0,Tabla7[[#This Row],[15/09/2018]])</f>
        <v>0</v>
      </c>
      <c r="BF165">
        <f>IF(ISBLANK(Tabla7[[#This Row],[15/10/2018]]),0,Tabla7[[#This Row],[15/10/2018]])</f>
        <v>0</v>
      </c>
      <c r="BG165">
        <f>IF(ISBLANK(Tabla7[[#This Row],[15/11/2018]]),0,Tabla7[[#This Row],[15/11/2018]])</f>
        <v>0</v>
      </c>
      <c r="BH165">
        <f>IF(ISBLANK(Tabla7[[#This Row],[15/12/2018]]),0,Tabla7[[#This Row],[15/12/2018]])</f>
        <v>0</v>
      </c>
      <c r="BI165">
        <f>IF(ISBLANK(Tabla7[[#This Row],[28/12/2018]]),0,Tabla7[[#This Row],[28/12/2018]])</f>
        <v>0</v>
      </c>
      <c r="BN16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('10122','SBAJA','SCT12','2','ALUMBRADO PUBLICO TORRE ','Torre Alumbrado Sur 2 2','','');</v>
      </c>
      <c r="BO165" t="s">
        <v>243</v>
      </c>
      <c r="BP165" s="632" t="str">
        <f>CONCATENATE("insert into lecturas values ","('",Tabla7[[#This Row],[CONTADOR]],"',STR_TO_DATE('",Tabla7[[#Headers],[31/12/2017]],"','%d/%m/%Y'),",AV165,"),","('",Tabla7[[#This Row],[CONTADOR]],"',STR_TO_DATE('",Tabla7[[#Headers],[15/01/2018]],"','%d/%m/%Y'),",AW165,"),","('",Tabla7[[#This Row],[CONTADOR]],"',STR_TO_DATE('",Tabla7[[#Headers],[15/02/2018]],"','%d/%m/%Y'),",AX165,"),","('",Tabla7[[#This Row],[CONTADOR]],"',STR_TO_DATE('",Tabla7[[#Headers],[15/03/2018]],"','%d/%m/%Y'),",AY165,"),","('",Tabla7[[#This Row],[CONTADOR]],"',STR_TO_DATE('",Tabla7[[#Headers],[15/04/2018]],"','%d/%m/%Y'),",AZ165,"),","('",Tabla7[[#This Row],[CONTADOR]],"',STR_TO_DATE('",Tabla7[[#Headers],[15/05/2018]],"','%d/%m/%Y'),",BA165,"),","('",Tabla7[[#This Row],[CONTADOR]],"',STR_TO_DATE('",Tabla7[[#Headers],[15/06/2018]],"','%d/%m/%Y'),",BB165,"),","('",Tabla7[[#This Row],[CONTADOR]],"',STR_TO_DATE('",Tabla7[[#Headers],[15/07/2018]],"','%d/%m/%Y'),",BC165,"),","('",Tabla7[[#This Row],[CONTADOR]],"',STR_TO_DATE('",Tabla7[[#Headers],[15/08/2018]],"','%d/%m/%Y'),",BD165,"),","('",Tabla7[[#This Row],[CONTADOR]],"',STR_TO_DATE('",Tabla7[[#Headers],[15/09/2018]],"','%d/%m/%Y'),",BE165,"),","('",Tabla7[[#This Row],[CONTADOR]],"',STR_TO_DATE('",Tabla7[[#Headers],[15/10/2018]],"','%d/%m/%Y'),",BF165,"),","('",Tabla7[[#This Row],[CONTADOR]],"',STR_TO_DATE('",Tabla7[[#Headers],[15/11/2018]],"','%d/%m/%Y'),",BG165,"),","('",Tabla7[[#This Row],[CONTADOR]],"',STR_TO_DATE('",Tabla7[[#Headers],[15/12/2018]],"','%d/%m/%Y'),",BH165,");")</f>
        <v>insert into lecturas values ('10122',STR_TO_DATE('31/12/2017','%d/%m/%Y'),17119),('10122',STR_TO_DATE('15/01/2018','%d/%m/%Y'),18633),('10122',STR_TO_DATE('15/02/2018','%d/%m/%Y'),20975),('10122',STR_TO_DATE('15/03/2018','%d/%m/%Y'),0),('10122',STR_TO_DATE('15/04/2018','%d/%m/%Y'),0),('10122',STR_TO_DATE('15/05/2018','%d/%m/%Y'),0),('10122',STR_TO_DATE('15/06/2018','%d/%m/%Y'),0),('10122',STR_TO_DATE('15/07/2018','%d/%m/%Y'),0),('10122',STR_TO_DATE('15/08/2018','%d/%m/%Y'),0),('10122',STR_TO_DATE('15/09/2018','%d/%m/%Y'),0),('10122',STR_TO_DATE('15/10/2018','%d/%m/%Y'),0),('10122',STR_TO_DATE('15/11/2018','%d/%m/%Y'),0),('10122',STR_TO_DATE('15/12/2018','%d/%m/%Y'),0);</v>
      </c>
    </row>
    <row r="166" spans="1:68" ht="18" customHeight="1" x14ac:dyDescent="0.25">
      <c r="A166" s="241" t="s">
        <v>534</v>
      </c>
      <c r="B166" s="241"/>
      <c r="C166" s="228">
        <v>531109</v>
      </c>
      <c r="D166" s="241" t="s">
        <v>593</v>
      </c>
      <c r="E166" s="241">
        <v>2</v>
      </c>
      <c r="F166" s="121" t="s">
        <v>598</v>
      </c>
      <c r="G166" s="121" t="s">
        <v>124</v>
      </c>
      <c r="H166" s="121"/>
      <c r="I166" s="121"/>
      <c r="J166" s="587">
        <v>5391</v>
      </c>
      <c r="K166" s="587">
        <v>5541</v>
      </c>
      <c r="L166" s="587">
        <v>5769</v>
      </c>
      <c r="M166" s="587">
        <v>5962</v>
      </c>
      <c r="N166" s="587">
        <v>6174</v>
      </c>
      <c r="O166" s="589">
        <v>6356</v>
      </c>
      <c r="P166" s="587">
        <v>6544</v>
      </c>
      <c r="Q166" s="586">
        <v>6672</v>
      </c>
      <c r="R166" s="590">
        <v>6858</v>
      </c>
      <c r="S166" s="588">
        <v>7056</v>
      </c>
      <c r="T166" s="588">
        <v>7264</v>
      </c>
      <c r="U166" s="613">
        <v>7493</v>
      </c>
      <c r="V166" s="353">
        <v>7764</v>
      </c>
      <c r="W166" s="590"/>
      <c r="X166" s="586"/>
      <c r="Y166" s="121">
        <f t="shared" si="47"/>
        <v>7500</v>
      </c>
      <c r="Z166" s="121">
        <f t="shared" si="46"/>
        <v>11400</v>
      </c>
      <c r="AA166" s="121">
        <f t="shared" si="62"/>
        <v>9650</v>
      </c>
      <c r="AB166" s="121">
        <f t="shared" si="63"/>
        <v>10600</v>
      </c>
      <c r="AC166" s="121">
        <f t="shared" si="54"/>
        <v>9100</v>
      </c>
      <c r="AD166" s="121">
        <f t="shared" si="55"/>
        <v>9400</v>
      </c>
      <c r="AE166" s="121">
        <f t="shared" si="56"/>
        <v>6400</v>
      </c>
      <c r="AF166" s="121">
        <f t="shared" si="57"/>
        <v>9300</v>
      </c>
      <c r="AG166" s="121">
        <f t="shared" si="58"/>
        <v>9900</v>
      </c>
      <c r="AH166" s="121">
        <f t="shared" si="61"/>
        <v>10400</v>
      </c>
      <c r="AI166" s="121">
        <f t="shared" si="59"/>
        <v>11450</v>
      </c>
      <c r="AJ166" s="121">
        <f t="shared" si="60"/>
        <v>13550</v>
      </c>
      <c r="AK166" s="592">
        <v>50</v>
      </c>
      <c r="AL166" s="592">
        <f t="shared" ca="1" si="50"/>
        <v>6174</v>
      </c>
      <c r="AM166" s="587">
        <f t="shared" ca="1" si="51"/>
        <v>6356</v>
      </c>
      <c r="AN166" s="121">
        <f ca="1">IF(AND(Tabla7[[#This Row],[UltLec]]&lt;&gt;0,Tabla7[[#This Row],[PenLect]]&lt;&gt;0),(AM166-AL166)*Tabla7[[#This Row],[RT]],"N/A")</f>
        <v>9100</v>
      </c>
      <c r="AO166" s="241" t="s">
        <v>1135</v>
      </c>
      <c r="AP166" s="241" t="s">
        <v>1190</v>
      </c>
      <c r="AQ166" s="241" t="s">
        <v>1189</v>
      </c>
      <c r="AR166" s="121">
        <f t="shared" si="52"/>
        <v>0</v>
      </c>
      <c r="AT166" s="2">
        <f t="shared" ca="1" si="53"/>
        <v>0.85849056603773588</v>
      </c>
      <c r="AV166">
        <f>IF(ISBLANK(Tabla7[[#This Row],[31/12/2017]]),0,Tabla7[[#This Row],[31/12/2017]])</f>
        <v>5391</v>
      </c>
      <c r="AW166">
        <f>IF(ISBLANK(Tabla7[[#This Row],[15/01/2018]]),0,Tabla7[[#This Row],[15/01/2018]])</f>
        <v>5541</v>
      </c>
      <c r="AX166">
        <f>IF(ISBLANK(Tabla7[[#This Row],[15/02/2018]]),0,Tabla7[[#This Row],[15/02/2018]])</f>
        <v>5769</v>
      </c>
      <c r="AY166">
        <f>IF(ISBLANK(Tabla7[[#This Row],[15/03/2018]]),0,Tabla7[[#This Row],[15/03/2018]])</f>
        <v>5962</v>
      </c>
      <c r="AZ166">
        <f>IF(ISBLANK(Tabla7[[#This Row],[15/04/2018]]),0,Tabla7[[#This Row],[15/04/2018]])</f>
        <v>6174</v>
      </c>
      <c r="BA166">
        <f>IF(ISBLANK(Tabla7[[#This Row],[15/05/2018]]),0,Tabla7[[#This Row],[15/05/2018]])</f>
        <v>6356</v>
      </c>
      <c r="BB166">
        <f>IF(ISBLANK(Tabla7[[#This Row],[15/06/2018]]),0,Tabla7[[#This Row],[15/06/2018]])</f>
        <v>6544</v>
      </c>
      <c r="BC166">
        <f>IF(ISBLANK(Tabla7[[#This Row],[15/07/2018]]),0,Tabla7[[#This Row],[15/07/2018]])</f>
        <v>6672</v>
      </c>
      <c r="BD166">
        <f>IF(ISBLANK(Tabla7[[#This Row],[15/08/2018]]),0,Tabla7[[#This Row],[15/08/2018]])</f>
        <v>6858</v>
      </c>
      <c r="BE166">
        <f>IF(ISBLANK(Tabla7[[#This Row],[15/09/2018]]),0,Tabla7[[#This Row],[15/09/2018]])</f>
        <v>7056</v>
      </c>
      <c r="BF166">
        <f>IF(ISBLANK(Tabla7[[#This Row],[15/10/2018]]),0,Tabla7[[#This Row],[15/10/2018]])</f>
        <v>7264</v>
      </c>
      <c r="BG166">
        <f>IF(ISBLANK(Tabla7[[#This Row],[15/11/2018]]),0,Tabla7[[#This Row],[15/11/2018]])</f>
        <v>7493</v>
      </c>
      <c r="BH166">
        <f>IF(ISBLANK(Tabla7[[#This Row],[15/12/2018]]),0,Tabla7[[#This Row],[15/12/2018]])</f>
        <v>7764</v>
      </c>
      <c r="BI166">
        <f>IF(ISBLANK(Tabla7[[#This Row],[28/12/2018]]),0,Tabla7[[#This Row],[28/12/2018]])</f>
        <v>0</v>
      </c>
      <c r="BN16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('531109','S','SCT12','2','Alumbrado torres nº 5-6-7-8 muelle sur dos CT10-2','CENTRALIZACION','','');</v>
      </c>
      <c r="BO166" t="s">
        <v>243</v>
      </c>
      <c r="BP166" s="632" t="str">
        <f>CONCATENATE("insert into lecturas values ","('",Tabla7[[#This Row],[CONTADOR]],"',STR_TO_DATE('",Tabla7[[#Headers],[31/12/2017]],"','%d/%m/%Y'),",AV166,"),","('",Tabla7[[#This Row],[CONTADOR]],"',STR_TO_DATE('",Tabla7[[#Headers],[15/01/2018]],"','%d/%m/%Y'),",AW166,"),","('",Tabla7[[#This Row],[CONTADOR]],"',STR_TO_DATE('",Tabla7[[#Headers],[15/02/2018]],"','%d/%m/%Y'),",AX166,"),","('",Tabla7[[#This Row],[CONTADOR]],"',STR_TO_DATE('",Tabla7[[#Headers],[15/03/2018]],"','%d/%m/%Y'),",AY166,"),","('",Tabla7[[#This Row],[CONTADOR]],"',STR_TO_DATE('",Tabla7[[#Headers],[15/04/2018]],"','%d/%m/%Y'),",AZ166,"),","('",Tabla7[[#This Row],[CONTADOR]],"',STR_TO_DATE('",Tabla7[[#Headers],[15/05/2018]],"','%d/%m/%Y'),",BA166,"),","('",Tabla7[[#This Row],[CONTADOR]],"',STR_TO_DATE('",Tabla7[[#Headers],[15/06/2018]],"','%d/%m/%Y'),",BB166,"),","('",Tabla7[[#This Row],[CONTADOR]],"',STR_TO_DATE('",Tabla7[[#Headers],[15/07/2018]],"','%d/%m/%Y'),",BC166,"),","('",Tabla7[[#This Row],[CONTADOR]],"',STR_TO_DATE('",Tabla7[[#Headers],[15/08/2018]],"','%d/%m/%Y'),",BD166,"),","('",Tabla7[[#This Row],[CONTADOR]],"',STR_TO_DATE('",Tabla7[[#Headers],[15/09/2018]],"','%d/%m/%Y'),",BE166,"),","('",Tabla7[[#This Row],[CONTADOR]],"',STR_TO_DATE('",Tabla7[[#Headers],[15/10/2018]],"','%d/%m/%Y'),",BF166,"),","('",Tabla7[[#This Row],[CONTADOR]],"',STR_TO_DATE('",Tabla7[[#Headers],[15/11/2018]],"','%d/%m/%Y'),",BG166,"),","('",Tabla7[[#This Row],[CONTADOR]],"',STR_TO_DATE('",Tabla7[[#Headers],[15/12/2018]],"','%d/%m/%Y'),",BH166,");")</f>
        <v>insert into lecturas values ('531109',STR_TO_DATE('31/12/2017','%d/%m/%Y'),5391),('531109',STR_TO_DATE('15/01/2018','%d/%m/%Y'),5541),('531109',STR_TO_DATE('15/02/2018','%d/%m/%Y'),5769),('531109',STR_TO_DATE('15/03/2018','%d/%m/%Y'),5962),('531109',STR_TO_DATE('15/04/2018','%d/%m/%Y'),6174),('531109',STR_TO_DATE('15/05/2018','%d/%m/%Y'),6356),('531109',STR_TO_DATE('15/06/2018','%d/%m/%Y'),6544),('531109',STR_TO_DATE('15/07/2018','%d/%m/%Y'),6672),('531109',STR_TO_DATE('15/08/2018','%d/%m/%Y'),6858),('531109',STR_TO_DATE('15/09/2018','%d/%m/%Y'),7056),('531109',STR_TO_DATE('15/10/2018','%d/%m/%Y'),7264),('531109',STR_TO_DATE('15/11/2018','%d/%m/%Y'),7493),('531109',STR_TO_DATE('15/12/2018','%d/%m/%Y'),7764);</v>
      </c>
    </row>
    <row r="167" spans="1:68" ht="18" customHeight="1" x14ac:dyDescent="0.25">
      <c r="A167" s="241" t="s">
        <v>534</v>
      </c>
      <c r="B167" s="60"/>
      <c r="C167" s="223">
        <v>5356220</v>
      </c>
      <c r="D167" s="60" t="s">
        <v>593</v>
      </c>
      <c r="E167" s="258">
        <v>2</v>
      </c>
      <c r="F167" s="274" t="s">
        <v>599</v>
      </c>
      <c r="G167" s="274" t="s">
        <v>1151</v>
      </c>
      <c r="H167" s="274"/>
      <c r="I167" s="274"/>
      <c r="J167" s="311">
        <v>2866</v>
      </c>
      <c r="K167" s="311">
        <v>2881</v>
      </c>
      <c r="L167" s="311">
        <v>2905</v>
      </c>
      <c r="M167" s="311">
        <v>2936</v>
      </c>
      <c r="N167" s="311">
        <v>2973</v>
      </c>
      <c r="O167" s="311">
        <v>3010</v>
      </c>
      <c r="P167" s="311">
        <v>3042</v>
      </c>
      <c r="Q167" s="307">
        <v>3063</v>
      </c>
      <c r="R167" s="505">
        <v>3094</v>
      </c>
      <c r="S167" s="353">
        <v>3135</v>
      </c>
      <c r="T167" s="353">
        <v>3165</v>
      </c>
      <c r="U167" s="555">
        <v>3193</v>
      </c>
      <c r="V167" s="353">
        <v>3227</v>
      </c>
      <c r="W167" s="321"/>
      <c r="X167" s="307"/>
      <c r="Y167" s="274">
        <f t="shared" si="47"/>
        <v>300</v>
      </c>
      <c r="Z167" s="274">
        <f t="shared" si="46"/>
        <v>480</v>
      </c>
      <c r="AA167" s="274">
        <f t="shared" si="62"/>
        <v>620</v>
      </c>
      <c r="AB167" s="274">
        <f t="shared" si="63"/>
        <v>740</v>
      </c>
      <c r="AC167" s="274">
        <f t="shared" si="54"/>
        <v>740</v>
      </c>
      <c r="AD167" s="274">
        <f t="shared" si="55"/>
        <v>640</v>
      </c>
      <c r="AE167" s="274">
        <f t="shared" si="56"/>
        <v>420</v>
      </c>
      <c r="AF167" s="274">
        <f t="shared" si="57"/>
        <v>620</v>
      </c>
      <c r="AG167" s="274">
        <f t="shared" si="58"/>
        <v>820</v>
      </c>
      <c r="AH167" s="274">
        <f t="shared" si="61"/>
        <v>600</v>
      </c>
      <c r="AI167" s="274">
        <f t="shared" si="59"/>
        <v>560</v>
      </c>
      <c r="AJ167" s="274">
        <f t="shared" si="60"/>
        <v>680</v>
      </c>
      <c r="AK167" s="416">
        <v>20</v>
      </c>
      <c r="AL167" s="417">
        <f t="shared" ca="1" si="50"/>
        <v>2973</v>
      </c>
      <c r="AM167" s="311">
        <f t="shared" ca="1" si="51"/>
        <v>3010</v>
      </c>
      <c r="AN167" s="274">
        <f ca="1">IF(AND(Tabla7[[#This Row],[UltLec]]&lt;&gt;0,Tabla7[[#This Row],[PenLect]]&lt;&gt;0),(AM167-AL167)*Tabla7[[#This Row],[RT]],"N/A")</f>
        <v>740</v>
      </c>
      <c r="AO167" s="273" t="s">
        <v>1135</v>
      </c>
      <c r="AP167" s="392" t="s">
        <v>1190</v>
      </c>
      <c r="AQ167" s="392" t="s">
        <v>1189</v>
      </c>
      <c r="AR167" s="407">
        <f t="shared" si="52"/>
        <v>0</v>
      </c>
      <c r="AT167" s="2">
        <f t="shared" ca="1" si="53"/>
        <v>1</v>
      </c>
      <c r="AV167">
        <f>IF(ISBLANK(Tabla7[[#This Row],[31/12/2017]]),0,Tabla7[[#This Row],[31/12/2017]])</f>
        <v>2866</v>
      </c>
      <c r="AW167">
        <f>IF(ISBLANK(Tabla7[[#This Row],[15/01/2018]]),0,Tabla7[[#This Row],[15/01/2018]])</f>
        <v>2881</v>
      </c>
      <c r="AX167">
        <f>IF(ISBLANK(Tabla7[[#This Row],[15/02/2018]]),0,Tabla7[[#This Row],[15/02/2018]])</f>
        <v>2905</v>
      </c>
      <c r="AY167">
        <f>IF(ISBLANK(Tabla7[[#This Row],[15/03/2018]]),0,Tabla7[[#This Row],[15/03/2018]])</f>
        <v>2936</v>
      </c>
      <c r="AZ167">
        <f>IF(ISBLANK(Tabla7[[#This Row],[15/04/2018]]),0,Tabla7[[#This Row],[15/04/2018]])</f>
        <v>2973</v>
      </c>
      <c r="BA167">
        <f>IF(ISBLANK(Tabla7[[#This Row],[15/05/2018]]),0,Tabla7[[#This Row],[15/05/2018]])</f>
        <v>3010</v>
      </c>
      <c r="BB167">
        <f>IF(ISBLANK(Tabla7[[#This Row],[15/06/2018]]),0,Tabla7[[#This Row],[15/06/2018]])</f>
        <v>3042</v>
      </c>
      <c r="BC167">
        <f>IF(ISBLANK(Tabla7[[#This Row],[15/07/2018]]),0,Tabla7[[#This Row],[15/07/2018]])</f>
        <v>3063</v>
      </c>
      <c r="BD167">
        <f>IF(ISBLANK(Tabla7[[#This Row],[15/08/2018]]),0,Tabla7[[#This Row],[15/08/2018]])</f>
        <v>3094</v>
      </c>
      <c r="BE167">
        <f>IF(ISBLANK(Tabla7[[#This Row],[15/09/2018]]),0,Tabla7[[#This Row],[15/09/2018]])</f>
        <v>3135</v>
      </c>
      <c r="BF167">
        <f>IF(ISBLANK(Tabla7[[#This Row],[15/10/2018]]),0,Tabla7[[#This Row],[15/10/2018]])</f>
        <v>3165</v>
      </c>
      <c r="BG167">
        <f>IF(ISBLANK(Tabla7[[#This Row],[15/11/2018]]),0,Tabla7[[#This Row],[15/11/2018]])</f>
        <v>3193</v>
      </c>
      <c r="BH167">
        <f>IF(ISBLANK(Tabla7[[#This Row],[15/12/2018]]),0,Tabla7[[#This Row],[15/12/2018]])</f>
        <v>3227</v>
      </c>
      <c r="BI167">
        <f>IF(ISBLANK(Tabla7[[#This Row],[28/12/2018]]),0,Tabla7[[#This Row],[28/12/2018]])</f>
        <v>0</v>
      </c>
      <c r="BN16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('5356220','S','SCT12','2','Sala contraincendios nº 2 ','CENTRALIZACION.Muelle Sur 2','','');</v>
      </c>
      <c r="BO167" t="s">
        <v>243</v>
      </c>
      <c r="BP167" s="632" t="str">
        <f>CONCATENATE("insert into lecturas values ","('",Tabla7[[#This Row],[CONTADOR]],"',STR_TO_DATE('",Tabla7[[#Headers],[31/12/2017]],"','%d/%m/%Y'),",AV167,"),","('",Tabla7[[#This Row],[CONTADOR]],"',STR_TO_DATE('",Tabla7[[#Headers],[15/01/2018]],"','%d/%m/%Y'),",AW167,"),","('",Tabla7[[#This Row],[CONTADOR]],"',STR_TO_DATE('",Tabla7[[#Headers],[15/02/2018]],"','%d/%m/%Y'),",AX167,"),","('",Tabla7[[#This Row],[CONTADOR]],"',STR_TO_DATE('",Tabla7[[#Headers],[15/03/2018]],"','%d/%m/%Y'),",AY167,"),","('",Tabla7[[#This Row],[CONTADOR]],"',STR_TO_DATE('",Tabla7[[#Headers],[15/04/2018]],"','%d/%m/%Y'),",AZ167,"),","('",Tabla7[[#This Row],[CONTADOR]],"',STR_TO_DATE('",Tabla7[[#Headers],[15/05/2018]],"','%d/%m/%Y'),",BA167,"),","('",Tabla7[[#This Row],[CONTADOR]],"',STR_TO_DATE('",Tabla7[[#Headers],[15/06/2018]],"','%d/%m/%Y'),",BB167,"),","('",Tabla7[[#This Row],[CONTADOR]],"',STR_TO_DATE('",Tabla7[[#Headers],[15/07/2018]],"','%d/%m/%Y'),",BC167,"),","('",Tabla7[[#This Row],[CONTADOR]],"',STR_TO_DATE('",Tabla7[[#Headers],[15/08/2018]],"','%d/%m/%Y'),",BD167,"),","('",Tabla7[[#This Row],[CONTADOR]],"',STR_TO_DATE('",Tabla7[[#Headers],[15/09/2018]],"','%d/%m/%Y'),",BE167,"),","('",Tabla7[[#This Row],[CONTADOR]],"',STR_TO_DATE('",Tabla7[[#Headers],[15/10/2018]],"','%d/%m/%Y'),",BF167,"),","('",Tabla7[[#This Row],[CONTADOR]],"',STR_TO_DATE('",Tabla7[[#Headers],[15/11/2018]],"','%d/%m/%Y'),",BG167,"),","('",Tabla7[[#This Row],[CONTADOR]],"',STR_TO_DATE('",Tabla7[[#Headers],[15/12/2018]],"','%d/%m/%Y'),",BH167,");")</f>
        <v>insert into lecturas values ('5356220',STR_TO_DATE('31/12/2017','%d/%m/%Y'),2866),('5356220',STR_TO_DATE('15/01/2018','%d/%m/%Y'),2881),('5356220',STR_TO_DATE('15/02/2018','%d/%m/%Y'),2905),('5356220',STR_TO_DATE('15/03/2018','%d/%m/%Y'),2936),('5356220',STR_TO_DATE('15/04/2018','%d/%m/%Y'),2973),('5356220',STR_TO_DATE('15/05/2018','%d/%m/%Y'),3010),('5356220',STR_TO_DATE('15/06/2018','%d/%m/%Y'),3042),('5356220',STR_TO_DATE('15/07/2018','%d/%m/%Y'),3063),('5356220',STR_TO_DATE('15/08/2018','%d/%m/%Y'),3094),('5356220',STR_TO_DATE('15/09/2018','%d/%m/%Y'),3135),('5356220',STR_TO_DATE('15/10/2018','%d/%m/%Y'),3165),('5356220',STR_TO_DATE('15/11/2018','%d/%m/%Y'),3193),('5356220',STR_TO_DATE('15/12/2018','%d/%m/%Y'),3227);</v>
      </c>
    </row>
    <row r="168" spans="1:68" ht="18" customHeight="1" x14ac:dyDescent="0.25">
      <c r="A168" s="241" t="s">
        <v>534</v>
      </c>
      <c r="B168" s="60"/>
      <c r="C168" s="223">
        <v>5356228</v>
      </c>
      <c r="D168" s="60" t="s">
        <v>593</v>
      </c>
      <c r="E168" s="258">
        <v>2</v>
      </c>
      <c r="F168" s="274" t="s">
        <v>1152</v>
      </c>
      <c r="G168" s="274" t="s">
        <v>124</v>
      </c>
      <c r="H168" s="2"/>
      <c r="I168" s="274"/>
      <c r="J168" s="311">
        <v>11512</v>
      </c>
      <c r="K168" s="311">
        <v>11565</v>
      </c>
      <c r="L168" s="311">
        <v>11646</v>
      </c>
      <c r="M168" s="311">
        <v>11706</v>
      </c>
      <c r="N168" s="311">
        <v>11780</v>
      </c>
      <c r="O168" s="454">
        <v>11844</v>
      </c>
      <c r="P168" s="311">
        <v>11910</v>
      </c>
      <c r="Q168" s="307">
        <v>11952</v>
      </c>
      <c r="R168" s="505">
        <v>12011</v>
      </c>
      <c r="S168" s="353">
        <v>12076</v>
      </c>
      <c r="T168" s="353">
        <v>12148</v>
      </c>
      <c r="U168" s="353">
        <v>12224</v>
      </c>
      <c r="V168" s="353">
        <v>12316</v>
      </c>
      <c r="W168" s="321"/>
      <c r="X168" s="307"/>
      <c r="Y168" s="2">
        <f t="shared" si="47"/>
        <v>1060</v>
      </c>
      <c r="Z168" s="2">
        <f t="shared" si="46"/>
        <v>1620</v>
      </c>
      <c r="AA168" s="2">
        <f t="shared" si="62"/>
        <v>1200</v>
      </c>
      <c r="AB168" s="2">
        <f t="shared" si="63"/>
        <v>1480</v>
      </c>
      <c r="AC168" s="2">
        <f t="shared" si="54"/>
        <v>1280</v>
      </c>
      <c r="AD168" s="2">
        <f t="shared" si="55"/>
        <v>1320</v>
      </c>
      <c r="AE168" s="2">
        <f t="shared" si="56"/>
        <v>840</v>
      </c>
      <c r="AF168" s="2">
        <f t="shared" si="57"/>
        <v>1180</v>
      </c>
      <c r="AG168" s="2">
        <f t="shared" si="58"/>
        <v>1300</v>
      </c>
      <c r="AH168" s="2">
        <f t="shared" si="61"/>
        <v>1440</v>
      </c>
      <c r="AI168" s="2">
        <f t="shared" si="59"/>
        <v>1520</v>
      </c>
      <c r="AJ168" s="2">
        <f t="shared" si="60"/>
        <v>1840</v>
      </c>
      <c r="AK168" s="416">
        <v>20</v>
      </c>
      <c r="AL168" s="417">
        <f t="shared" ca="1" si="50"/>
        <v>11780</v>
      </c>
      <c r="AM168" s="311">
        <f t="shared" ca="1" si="51"/>
        <v>11844</v>
      </c>
      <c r="AN168" s="274">
        <f ca="1">IF(AND(Tabla7[[#This Row],[UltLec]]&lt;&gt;0,Tabla7[[#This Row],[PenLect]]&lt;&gt;0),(AM168-AL168)*Tabla7[[#This Row],[RT]],"N/A")</f>
        <v>1280</v>
      </c>
      <c r="AO168" s="273" t="s">
        <v>1135</v>
      </c>
      <c r="AP168" s="392" t="s">
        <v>1190</v>
      </c>
      <c r="AQ168" s="392" t="s">
        <v>1189</v>
      </c>
      <c r="AR168" s="407">
        <f t="shared" si="52"/>
        <v>0</v>
      </c>
      <c r="AT168" s="2">
        <f t="shared" ca="1" si="53"/>
        <v>0.86486486486486491</v>
      </c>
      <c r="AV168">
        <f>IF(ISBLANK(Tabla7[[#This Row],[31/12/2017]]),0,Tabla7[[#This Row],[31/12/2017]])</f>
        <v>11512</v>
      </c>
      <c r="AW168">
        <f>IF(ISBLANK(Tabla7[[#This Row],[15/01/2018]]),0,Tabla7[[#This Row],[15/01/2018]])</f>
        <v>11565</v>
      </c>
      <c r="AX168">
        <f>IF(ISBLANK(Tabla7[[#This Row],[15/02/2018]]),0,Tabla7[[#This Row],[15/02/2018]])</f>
        <v>11646</v>
      </c>
      <c r="AY168">
        <f>IF(ISBLANK(Tabla7[[#This Row],[15/03/2018]]),0,Tabla7[[#This Row],[15/03/2018]])</f>
        <v>11706</v>
      </c>
      <c r="AZ168">
        <f>IF(ISBLANK(Tabla7[[#This Row],[15/04/2018]]),0,Tabla7[[#This Row],[15/04/2018]])</f>
        <v>11780</v>
      </c>
      <c r="BA168">
        <f>IF(ISBLANK(Tabla7[[#This Row],[15/05/2018]]),0,Tabla7[[#This Row],[15/05/2018]])</f>
        <v>11844</v>
      </c>
      <c r="BB168">
        <f>IF(ISBLANK(Tabla7[[#This Row],[15/06/2018]]),0,Tabla7[[#This Row],[15/06/2018]])</f>
        <v>11910</v>
      </c>
      <c r="BC168">
        <f>IF(ISBLANK(Tabla7[[#This Row],[15/07/2018]]),0,Tabla7[[#This Row],[15/07/2018]])</f>
        <v>11952</v>
      </c>
      <c r="BD168">
        <f>IF(ISBLANK(Tabla7[[#This Row],[15/08/2018]]),0,Tabla7[[#This Row],[15/08/2018]])</f>
        <v>12011</v>
      </c>
      <c r="BE168">
        <f>IF(ISBLANK(Tabla7[[#This Row],[15/09/2018]]),0,Tabla7[[#This Row],[15/09/2018]])</f>
        <v>12076</v>
      </c>
      <c r="BF168">
        <f>IF(ISBLANK(Tabla7[[#This Row],[15/10/2018]]),0,Tabla7[[#This Row],[15/10/2018]])</f>
        <v>12148</v>
      </c>
      <c r="BG168">
        <f>IF(ISBLANK(Tabla7[[#This Row],[15/11/2018]]),0,Tabla7[[#This Row],[15/11/2018]])</f>
        <v>12224</v>
      </c>
      <c r="BH168">
        <f>IF(ISBLANK(Tabla7[[#This Row],[15/12/2018]]),0,Tabla7[[#This Row],[15/12/2018]])</f>
        <v>12316</v>
      </c>
      <c r="BI168">
        <f>IF(ISBLANK(Tabla7[[#This Row],[28/12/2018]]),0,Tabla7[[#This Row],[28/12/2018]])</f>
        <v>0</v>
      </c>
      <c r="BN16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('5356228','S','SCT12','2','Alumbrado viales CT10-1 MUELLE SAGAS','CENTRALIZACION','','');</v>
      </c>
      <c r="BO168" t="s">
        <v>243</v>
      </c>
      <c r="BP168" s="632" t="str">
        <f>CONCATENATE("insert into lecturas values ","('",Tabla7[[#This Row],[CONTADOR]],"',STR_TO_DATE('",Tabla7[[#Headers],[31/12/2017]],"','%d/%m/%Y'),",AV168,"),","('",Tabla7[[#This Row],[CONTADOR]],"',STR_TO_DATE('",Tabla7[[#Headers],[15/01/2018]],"','%d/%m/%Y'),",AW168,"),","('",Tabla7[[#This Row],[CONTADOR]],"',STR_TO_DATE('",Tabla7[[#Headers],[15/02/2018]],"','%d/%m/%Y'),",AX168,"),","('",Tabla7[[#This Row],[CONTADOR]],"',STR_TO_DATE('",Tabla7[[#Headers],[15/03/2018]],"','%d/%m/%Y'),",AY168,"),","('",Tabla7[[#This Row],[CONTADOR]],"',STR_TO_DATE('",Tabla7[[#Headers],[15/04/2018]],"','%d/%m/%Y'),",AZ168,"),","('",Tabla7[[#This Row],[CONTADOR]],"',STR_TO_DATE('",Tabla7[[#Headers],[15/05/2018]],"','%d/%m/%Y'),",BA168,"),","('",Tabla7[[#This Row],[CONTADOR]],"',STR_TO_DATE('",Tabla7[[#Headers],[15/06/2018]],"','%d/%m/%Y'),",BB168,"),","('",Tabla7[[#This Row],[CONTADOR]],"',STR_TO_DATE('",Tabla7[[#Headers],[15/07/2018]],"','%d/%m/%Y'),",BC168,"),","('",Tabla7[[#This Row],[CONTADOR]],"',STR_TO_DATE('",Tabla7[[#Headers],[15/08/2018]],"','%d/%m/%Y'),",BD168,"),","('",Tabla7[[#This Row],[CONTADOR]],"',STR_TO_DATE('",Tabla7[[#Headers],[15/09/2018]],"','%d/%m/%Y'),",BE168,"),","('",Tabla7[[#This Row],[CONTADOR]],"',STR_TO_DATE('",Tabla7[[#Headers],[15/10/2018]],"','%d/%m/%Y'),",BF168,"),","('",Tabla7[[#This Row],[CONTADOR]],"',STR_TO_DATE('",Tabla7[[#Headers],[15/11/2018]],"','%d/%m/%Y'),",BG168,"),","('",Tabla7[[#This Row],[CONTADOR]],"',STR_TO_DATE('",Tabla7[[#Headers],[15/12/2018]],"','%d/%m/%Y'),",BH168,");")</f>
        <v>insert into lecturas values ('5356228',STR_TO_DATE('31/12/2017','%d/%m/%Y'),11512),('5356228',STR_TO_DATE('15/01/2018','%d/%m/%Y'),11565),('5356228',STR_TO_DATE('15/02/2018','%d/%m/%Y'),11646),('5356228',STR_TO_DATE('15/03/2018','%d/%m/%Y'),11706),('5356228',STR_TO_DATE('15/04/2018','%d/%m/%Y'),11780),('5356228',STR_TO_DATE('15/05/2018','%d/%m/%Y'),11844),('5356228',STR_TO_DATE('15/06/2018','%d/%m/%Y'),11910),('5356228',STR_TO_DATE('15/07/2018','%d/%m/%Y'),11952),('5356228',STR_TO_DATE('15/08/2018','%d/%m/%Y'),12011),('5356228',STR_TO_DATE('15/09/2018','%d/%m/%Y'),12076),('5356228',STR_TO_DATE('15/10/2018','%d/%m/%Y'),12148),('5356228',STR_TO_DATE('15/11/2018','%d/%m/%Y'),12224),('5356228',STR_TO_DATE('15/12/2018','%d/%m/%Y'),12316);</v>
      </c>
    </row>
    <row r="169" spans="1:68" ht="18" customHeight="1" x14ac:dyDescent="0.25">
      <c r="A169" s="241" t="s">
        <v>534</v>
      </c>
      <c r="B169" s="60"/>
      <c r="C169" s="223">
        <v>535661921</v>
      </c>
      <c r="D169" s="60" t="s">
        <v>593</v>
      </c>
      <c r="E169" s="258">
        <v>2</v>
      </c>
      <c r="F169" s="274" t="s">
        <v>597</v>
      </c>
      <c r="G169" s="274" t="s">
        <v>124</v>
      </c>
      <c r="H169" s="274"/>
      <c r="I169" s="274"/>
      <c r="J169" s="311">
        <v>9150</v>
      </c>
      <c r="K169" s="311">
        <v>9267</v>
      </c>
      <c r="L169" s="311">
        <v>9504</v>
      </c>
      <c r="M169" s="311">
        <v>9704</v>
      </c>
      <c r="N169" s="311">
        <v>9921</v>
      </c>
      <c r="O169" s="454">
        <v>10108</v>
      </c>
      <c r="P169" s="311">
        <v>10301</v>
      </c>
      <c r="Q169" s="307">
        <v>10429</v>
      </c>
      <c r="R169" s="505">
        <v>10612</v>
      </c>
      <c r="S169" s="353">
        <v>10812</v>
      </c>
      <c r="T169" s="353">
        <v>11017</v>
      </c>
      <c r="U169" s="353">
        <v>11234</v>
      </c>
      <c r="V169" s="353">
        <v>11491</v>
      </c>
      <c r="W169" s="321"/>
      <c r="X169" s="307"/>
      <c r="Y169" s="2">
        <f t="shared" si="47"/>
        <v>5850</v>
      </c>
      <c r="Z169" s="2">
        <f t="shared" si="46"/>
        <v>11850</v>
      </c>
      <c r="AA169" s="2">
        <f t="shared" si="62"/>
        <v>10000</v>
      </c>
      <c r="AB169" s="2">
        <f t="shared" si="63"/>
        <v>10850</v>
      </c>
      <c r="AC169" s="2">
        <f t="shared" si="54"/>
        <v>9350</v>
      </c>
      <c r="AD169" s="2">
        <f t="shared" si="55"/>
        <v>9650</v>
      </c>
      <c r="AE169" s="2">
        <f t="shared" si="56"/>
        <v>6400</v>
      </c>
      <c r="AF169" s="2">
        <f t="shared" si="57"/>
        <v>9150</v>
      </c>
      <c r="AG169" s="2">
        <f t="shared" si="58"/>
        <v>10000</v>
      </c>
      <c r="AH169" s="2">
        <f t="shared" si="61"/>
        <v>10250</v>
      </c>
      <c r="AI169" s="2">
        <f t="shared" si="59"/>
        <v>10850</v>
      </c>
      <c r="AJ169" s="2">
        <f t="shared" si="60"/>
        <v>12850</v>
      </c>
      <c r="AK169" s="416">
        <v>50</v>
      </c>
      <c r="AL169" s="417">
        <f t="shared" ca="1" si="50"/>
        <v>9921</v>
      </c>
      <c r="AM169" s="311">
        <f t="shared" ca="1" si="51"/>
        <v>10108</v>
      </c>
      <c r="AN169" s="274">
        <f ca="1">IF(AND(Tabla7[[#This Row],[UltLec]]&lt;&gt;0,Tabla7[[#This Row],[PenLect]]&lt;&gt;0),(AM169-AL169)*Tabla7[[#This Row],[RT]],"N/A")</f>
        <v>9350</v>
      </c>
      <c r="AO169" s="273" t="s">
        <v>1135</v>
      </c>
      <c r="AP169" s="392" t="s">
        <v>1190</v>
      </c>
      <c r="AQ169" s="392" t="s">
        <v>1189</v>
      </c>
      <c r="AR169" s="407">
        <f t="shared" si="52"/>
        <v>0</v>
      </c>
      <c r="AT169" s="2">
        <f t="shared" ca="1" si="53"/>
        <v>0.86175115207373276</v>
      </c>
      <c r="AV169">
        <f>IF(ISBLANK(Tabla7[[#This Row],[31/12/2017]]),0,Tabla7[[#This Row],[31/12/2017]])</f>
        <v>9150</v>
      </c>
      <c r="AW169">
        <f>IF(ISBLANK(Tabla7[[#This Row],[15/01/2018]]),0,Tabla7[[#This Row],[15/01/2018]])</f>
        <v>9267</v>
      </c>
      <c r="AX169">
        <f>IF(ISBLANK(Tabla7[[#This Row],[15/02/2018]]),0,Tabla7[[#This Row],[15/02/2018]])</f>
        <v>9504</v>
      </c>
      <c r="AY169">
        <f>IF(ISBLANK(Tabla7[[#This Row],[15/03/2018]]),0,Tabla7[[#This Row],[15/03/2018]])</f>
        <v>9704</v>
      </c>
      <c r="AZ169">
        <f>IF(ISBLANK(Tabla7[[#This Row],[15/04/2018]]),0,Tabla7[[#This Row],[15/04/2018]])</f>
        <v>9921</v>
      </c>
      <c r="BA169">
        <f>IF(ISBLANK(Tabla7[[#This Row],[15/05/2018]]),0,Tabla7[[#This Row],[15/05/2018]])</f>
        <v>10108</v>
      </c>
      <c r="BB169">
        <f>IF(ISBLANK(Tabla7[[#This Row],[15/06/2018]]),0,Tabla7[[#This Row],[15/06/2018]])</f>
        <v>10301</v>
      </c>
      <c r="BC169">
        <f>IF(ISBLANK(Tabla7[[#This Row],[15/07/2018]]),0,Tabla7[[#This Row],[15/07/2018]])</f>
        <v>10429</v>
      </c>
      <c r="BD169">
        <f>IF(ISBLANK(Tabla7[[#This Row],[15/08/2018]]),0,Tabla7[[#This Row],[15/08/2018]])</f>
        <v>10612</v>
      </c>
      <c r="BE169">
        <f>IF(ISBLANK(Tabla7[[#This Row],[15/09/2018]]),0,Tabla7[[#This Row],[15/09/2018]])</f>
        <v>10812</v>
      </c>
      <c r="BF169">
        <f>IF(ISBLANK(Tabla7[[#This Row],[15/10/2018]]),0,Tabla7[[#This Row],[15/10/2018]])</f>
        <v>11017</v>
      </c>
      <c r="BG169">
        <f>IF(ISBLANK(Tabla7[[#This Row],[15/11/2018]]),0,Tabla7[[#This Row],[15/11/2018]])</f>
        <v>11234</v>
      </c>
      <c r="BH169">
        <f>IF(ISBLANK(Tabla7[[#This Row],[15/12/2018]]),0,Tabla7[[#This Row],[15/12/2018]])</f>
        <v>11491</v>
      </c>
      <c r="BI169">
        <f>IF(ISBLANK(Tabla7[[#This Row],[28/12/2018]]),0,Tabla7[[#This Row],[28/12/2018]])</f>
        <v>0</v>
      </c>
      <c r="BN16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('535661921','S','SCT12','2','Alumbrado torres nº 1-2-3-4 muelle sur dos CT10-1','CENTRALIZACION','','');</v>
      </c>
      <c r="BO169" t="s">
        <v>243</v>
      </c>
      <c r="BP169" s="632" t="str">
        <f>CONCATENATE("insert into lecturas values ","('",Tabla7[[#This Row],[CONTADOR]],"',STR_TO_DATE('",Tabla7[[#Headers],[31/12/2017]],"','%d/%m/%Y'),",AV169,"),","('",Tabla7[[#This Row],[CONTADOR]],"',STR_TO_DATE('",Tabla7[[#Headers],[15/01/2018]],"','%d/%m/%Y'),",AW169,"),","('",Tabla7[[#This Row],[CONTADOR]],"',STR_TO_DATE('",Tabla7[[#Headers],[15/02/2018]],"','%d/%m/%Y'),",AX169,"),","('",Tabla7[[#This Row],[CONTADOR]],"',STR_TO_DATE('",Tabla7[[#Headers],[15/03/2018]],"','%d/%m/%Y'),",AY169,"),","('",Tabla7[[#This Row],[CONTADOR]],"',STR_TO_DATE('",Tabla7[[#Headers],[15/04/2018]],"','%d/%m/%Y'),",AZ169,"),","('",Tabla7[[#This Row],[CONTADOR]],"',STR_TO_DATE('",Tabla7[[#Headers],[15/05/2018]],"','%d/%m/%Y'),",BA169,"),","('",Tabla7[[#This Row],[CONTADOR]],"',STR_TO_DATE('",Tabla7[[#Headers],[15/06/2018]],"','%d/%m/%Y'),",BB169,"),","('",Tabla7[[#This Row],[CONTADOR]],"',STR_TO_DATE('",Tabla7[[#Headers],[15/07/2018]],"','%d/%m/%Y'),",BC169,"),","('",Tabla7[[#This Row],[CONTADOR]],"',STR_TO_DATE('",Tabla7[[#Headers],[15/08/2018]],"','%d/%m/%Y'),",BD169,"),","('",Tabla7[[#This Row],[CONTADOR]],"',STR_TO_DATE('",Tabla7[[#Headers],[15/09/2018]],"','%d/%m/%Y'),",BE169,"),","('",Tabla7[[#This Row],[CONTADOR]],"',STR_TO_DATE('",Tabla7[[#Headers],[15/10/2018]],"','%d/%m/%Y'),",BF169,"),","('",Tabla7[[#This Row],[CONTADOR]],"',STR_TO_DATE('",Tabla7[[#Headers],[15/11/2018]],"','%d/%m/%Y'),",BG169,"),","('",Tabla7[[#This Row],[CONTADOR]],"',STR_TO_DATE('",Tabla7[[#Headers],[15/12/2018]],"','%d/%m/%Y'),",BH169,");")</f>
        <v>insert into lecturas values ('535661921',STR_TO_DATE('31/12/2017','%d/%m/%Y'),9150),('535661921',STR_TO_DATE('15/01/2018','%d/%m/%Y'),9267),('535661921',STR_TO_DATE('15/02/2018','%d/%m/%Y'),9504),('535661921',STR_TO_DATE('15/03/2018','%d/%m/%Y'),9704),('535661921',STR_TO_DATE('15/04/2018','%d/%m/%Y'),9921),('535661921',STR_TO_DATE('15/05/2018','%d/%m/%Y'),10108),('535661921',STR_TO_DATE('15/06/2018','%d/%m/%Y'),10301),('535661921',STR_TO_DATE('15/07/2018','%d/%m/%Y'),10429),('535661921',STR_TO_DATE('15/08/2018','%d/%m/%Y'),10612),('535661921',STR_TO_DATE('15/09/2018','%d/%m/%Y'),10812),('535661921',STR_TO_DATE('15/10/2018','%d/%m/%Y'),11017),('535661921',STR_TO_DATE('15/11/2018','%d/%m/%Y'),11234),('535661921',STR_TO_DATE('15/12/2018','%d/%m/%Y'),11491);</v>
      </c>
    </row>
    <row r="170" spans="1:68" ht="18" customHeight="1" x14ac:dyDescent="0.3">
      <c r="A170" s="241" t="s">
        <v>534</v>
      </c>
      <c r="B170" s="60"/>
      <c r="C170" s="223" t="s">
        <v>1459</v>
      </c>
      <c r="D170" s="60" t="s">
        <v>593</v>
      </c>
      <c r="E170" s="258">
        <v>39854</v>
      </c>
      <c r="F170" s="274" t="s">
        <v>146</v>
      </c>
      <c r="G170" s="274" t="s">
        <v>1457</v>
      </c>
      <c r="H170" s="274"/>
      <c r="I170" s="274"/>
      <c r="J170" s="311"/>
      <c r="K170" s="311"/>
      <c r="L170" s="311"/>
      <c r="M170" s="311"/>
      <c r="N170" s="311"/>
      <c r="O170" s="454"/>
      <c r="P170" s="463"/>
      <c r="Q170" s="307"/>
      <c r="R170" s="596"/>
      <c r="S170" s="353">
        <v>0</v>
      </c>
      <c r="T170" s="353">
        <v>1176</v>
      </c>
      <c r="U170" s="353">
        <v>1490</v>
      </c>
      <c r="V170" s="353">
        <v>2231</v>
      </c>
      <c r="W170" s="344"/>
      <c r="X170" s="307"/>
      <c r="Y170" s="274" t="str">
        <f t="shared" si="47"/>
        <v/>
      </c>
      <c r="Z170" s="274" t="str">
        <f t="shared" si="46"/>
        <v/>
      </c>
      <c r="AA170" s="274" t="str">
        <f>IF(OR(ISBLANK(#REF!),ISBLANK(L170)),"",IF(AND(#REF!&gt;=L170,#REF!-L170&lt;=#REF!),(#REF!-L170)*$AK170,"!!!!"))</f>
        <v/>
      </c>
      <c r="AB170" s="274" t="str">
        <f>IF(OR(ISBLANK(N170),ISBLANK(#REF!)),"",IF(AND(N170&gt;=#REF!,N170-#REF!&lt;=N170),(N170-#REF!)*$AK170,"!!!!"))</f>
        <v/>
      </c>
      <c r="AC170" s="274" t="str">
        <f t="shared" si="54"/>
        <v/>
      </c>
      <c r="AD170" s="274" t="str">
        <f t="shared" si="55"/>
        <v/>
      </c>
      <c r="AE170" s="274" t="str">
        <f t="shared" si="56"/>
        <v/>
      </c>
      <c r="AF170" s="274" t="str">
        <f t="shared" si="57"/>
        <v/>
      </c>
      <c r="AG170" s="274" t="str">
        <f t="shared" si="58"/>
        <v/>
      </c>
      <c r="AH170" s="412">
        <f t="shared" si="61"/>
        <v>1176</v>
      </c>
      <c r="AI170" s="274">
        <f t="shared" si="59"/>
        <v>314</v>
      </c>
      <c r="AJ170" s="274">
        <f t="shared" si="60"/>
        <v>741</v>
      </c>
      <c r="AK170" s="416">
        <v>1</v>
      </c>
      <c r="AL170" s="448">
        <f t="shared" ca="1" si="50"/>
        <v>0</v>
      </c>
      <c r="AM170" s="412">
        <f t="shared" ca="1" si="51"/>
        <v>0</v>
      </c>
      <c r="AN170" s="412" t="str">
        <f ca="1">IF(AND(Tabla7[[#This Row],[UltLec]]&lt;&gt;0,Tabla7[[#This Row],[PenLect]]&lt;&gt;0),(AM170-AL170)*Tabla7[[#This Row],[RT]],"N/A")</f>
        <v>N/A</v>
      </c>
      <c r="AO170" s="273" t="s">
        <v>1135</v>
      </c>
      <c r="AP170" s="593" t="s">
        <v>1190</v>
      </c>
      <c r="AQ170" s="392" t="s">
        <v>1193</v>
      </c>
      <c r="AR170" s="407">
        <f t="shared" si="52"/>
        <v>0</v>
      </c>
      <c r="AT170" s="2" t="e">
        <f t="shared" ca="1" si="53"/>
        <v>#VALUE!</v>
      </c>
      <c r="AV170">
        <f>IF(ISBLANK(Tabla7[[#This Row],[31/12/2017]]),0,Tabla7[[#This Row],[31/12/2017]])</f>
        <v>0</v>
      </c>
      <c r="AW170">
        <f>IF(ISBLANK(Tabla7[[#This Row],[15/01/2018]]),0,Tabla7[[#This Row],[15/01/2018]])</f>
        <v>0</v>
      </c>
      <c r="AX170">
        <f>IF(ISBLANK(Tabla7[[#This Row],[15/02/2018]]),0,Tabla7[[#This Row],[15/02/2018]])</f>
        <v>0</v>
      </c>
      <c r="AY170">
        <f>IF(ISBLANK(Tabla7[[#This Row],[15/03/2018]]),0,Tabla7[[#This Row],[15/03/2018]])</f>
        <v>0</v>
      </c>
      <c r="AZ170">
        <f>IF(ISBLANK(Tabla7[[#This Row],[15/04/2018]]),0,Tabla7[[#This Row],[15/04/2018]])</f>
        <v>0</v>
      </c>
      <c r="BA170">
        <f>IF(ISBLANK(Tabla7[[#This Row],[15/05/2018]]),0,Tabla7[[#This Row],[15/05/2018]])</f>
        <v>0</v>
      </c>
      <c r="BB170">
        <f>IF(ISBLANK(Tabla7[[#This Row],[15/06/2018]]),0,Tabla7[[#This Row],[15/06/2018]])</f>
        <v>0</v>
      </c>
      <c r="BC170">
        <f>IF(ISBLANK(Tabla7[[#This Row],[15/07/2018]]),0,Tabla7[[#This Row],[15/07/2018]])</f>
        <v>0</v>
      </c>
      <c r="BD170">
        <f>IF(ISBLANK(Tabla7[[#This Row],[15/08/2018]]),0,Tabla7[[#This Row],[15/08/2018]])</f>
        <v>0</v>
      </c>
      <c r="BE170">
        <f>IF(ISBLANK(Tabla7[[#This Row],[15/09/2018]]),0,Tabla7[[#This Row],[15/09/2018]])</f>
        <v>0</v>
      </c>
      <c r="BF170">
        <f>IF(ISBLANK(Tabla7[[#This Row],[15/10/2018]]),0,Tabla7[[#This Row],[15/10/2018]])</f>
        <v>1176</v>
      </c>
      <c r="BG170">
        <f>IF(ISBLANK(Tabla7[[#This Row],[15/11/2018]]),0,Tabla7[[#This Row],[15/11/2018]])</f>
        <v>1490</v>
      </c>
      <c r="BH170">
        <f>IF(ISBLANK(Tabla7[[#This Row],[15/12/2018]]),0,Tabla7[[#This Row],[15/12/2018]])</f>
        <v>2231</v>
      </c>
      <c r="BI170">
        <f>IF(ISBLANK(Tabla7[[#This Row],[28/12/2018]]),0,Tabla7[[#This Row],[28/12/2018]])</f>
        <v>0</v>
      </c>
      <c r="BN17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('A9MEM-2015-CS2','S','SCT12','39854','VALENCIA TERMINAL EUROPA, S.A.','CASETA en Muelle Sur 2','','');</v>
      </c>
      <c r="BO170" t="s">
        <v>243</v>
      </c>
      <c r="BP170" s="632" t="str">
        <f>CONCATENATE("insert into lecturas values ","('",Tabla7[[#This Row],[CONTADOR]],"',STR_TO_DATE('",Tabla7[[#Headers],[31/12/2017]],"','%d/%m/%Y'),",AV170,"),","('",Tabla7[[#This Row],[CONTADOR]],"',STR_TO_DATE('",Tabla7[[#Headers],[15/01/2018]],"','%d/%m/%Y'),",AW170,"),","('",Tabla7[[#This Row],[CONTADOR]],"',STR_TO_DATE('",Tabla7[[#Headers],[15/02/2018]],"','%d/%m/%Y'),",AX170,"),","('",Tabla7[[#This Row],[CONTADOR]],"',STR_TO_DATE('",Tabla7[[#Headers],[15/03/2018]],"','%d/%m/%Y'),",AY170,"),","('",Tabla7[[#This Row],[CONTADOR]],"',STR_TO_DATE('",Tabla7[[#Headers],[15/04/2018]],"','%d/%m/%Y'),",AZ170,"),","('",Tabla7[[#This Row],[CONTADOR]],"',STR_TO_DATE('",Tabla7[[#Headers],[15/05/2018]],"','%d/%m/%Y'),",BA170,"),","('",Tabla7[[#This Row],[CONTADOR]],"',STR_TO_DATE('",Tabla7[[#Headers],[15/06/2018]],"','%d/%m/%Y'),",BB170,"),","('",Tabla7[[#This Row],[CONTADOR]],"',STR_TO_DATE('",Tabla7[[#Headers],[15/07/2018]],"','%d/%m/%Y'),",BC170,"),","('",Tabla7[[#This Row],[CONTADOR]],"',STR_TO_DATE('",Tabla7[[#Headers],[15/08/2018]],"','%d/%m/%Y'),",BD170,"),","('",Tabla7[[#This Row],[CONTADOR]],"',STR_TO_DATE('",Tabla7[[#Headers],[15/09/2018]],"','%d/%m/%Y'),",BE170,"),","('",Tabla7[[#This Row],[CONTADOR]],"',STR_TO_DATE('",Tabla7[[#Headers],[15/10/2018]],"','%d/%m/%Y'),",BF170,"),","('",Tabla7[[#This Row],[CONTADOR]],"',STR_TO_DATE('",Tabla7[[#Headers],[15/11/2018]],"','%d/%m/%Y'),",BG170,"),","('",Tabla7[[#This Row],[CONTADOR]],"',STR_TO_DATE('",Tabla7[[#Headers],[15/12/2018]],"','%d/%m/%Y'),",BH170,");")</f>
        <v>insert into lecturas values ('A9MEM-2015-CS2',STR_TO_DATE('31/12/2017','%d/%m/%Y'),0),('A9MEM-2015-CS2',STR_TO_DATE('15/01/2018','%d/%m/%Y'),0),('A9MEM-2015-CS2',STR_TO_DATE('15/02/2018','%d/%m/%Y'),0),('A9MEM-2015-CS2',STR_TO_DATE('15/03/2018','%d/%m/%Y'),0),('A9MEM-2015-CS2',STR_TO_DATE('15/04/2018','%d/%m/%Y'),0),('A9MEM-2015-CS2',STR_TO_DATE('15/05/2018','%d/%m/%Y'),0),('A9MEM-2015-CS2',STR_TO_DATE('15/06/2018','%d/%m/%Y'),0),('A9MEM-2015-CS2',STR_TO_DATE('15/07/2018','%d/%m/%Y'),0),('A9MEM-2015-CS2',STR_TO_DATE('15/08/2018','%d/%m/%Y'),0),('A9MEM-2015-CS2',STR_TO_DATE('15/09/2018','%d/%m/%Y'),0),('A9MEM-2015-CS2',STR_TO_DATE('15/10/2018','%d/%m/%Y'),1176),('A9MEM-2015-CS2',STR_TO_DATE('15/11/2018','%d/%m/%Y'),1490),('A9MEM-2015-CS2',STR_TO_DATE('15/12/2018','%d/%m/%Y'),2231);</v>
      </c>
    </row>
    <row r="171" spans="1:68" ht="18" customHeight="1" x14ac:dyDescent="0.25">
      <c r="A171" s="241" t="s">
        <v>534</v>
      </c>
      <c r="B171" s="60"/>
      <c r="C171" s="223">
        <v>5355249</v>
      </c>
      <c r="D171" s="60" t="s">
        <v>601</v>
      </c>
      <c r="E171" s="258">
        <v>39992</v>
      </c>
      <c r="F171" s="2" t="s">
        <v>602</v>
      </c>
      <c r="G171" s="2" t="s">
        <v>603</v>
      </c>
      <c r="H171" s="2"/>
      <c r="I171" s="274"/>
      <c r="J171" s="311">
        <v>6025</v>
      </c>
      <c r="K171" s="311">
        <v>6053</v>
      </c>
      <c r="L171" s="311">
        <v>6107</v>
      </c>
      <c r="M171" s="311">
        <v>6156</v>
      </c>
      <c r="N171" s="454">
        <v>6199</v>
      </c>
      <c r="O171" s="454">
        <v>6225</v>
      </c>
      <c r="P171" s="311">
        <v>6262</v>
      </c>
      <c r="Q171" s="274">
        <v>6308</v>
      </c>
      <c r="R171" s="505">
        <v>6379</v>
      </c>
      <c r="S171" s="311">
        <v>6437</v>
      </c>
      <c r="T171" s="353">
        <v>6475</v>
      </c>
      <c r="U171" s="311">
        <v>6510</v>
      </c>
      <c r="V171" s="353">
        <v>6562</v>
      </c>
      <c r="W171" s="321"/>
      <c r="X171" s="2"/>
      <c r="Y171" s="2">
        <f t="shared" si="47"/>
        <v>560</v>
      </c>
      <c r="Z171" s="2">
        <f t="shared" si="46"/>
        <v>1080</v>
      </c>
      <c r="AA171" s="2">
        <f t="shared" ref="AA171:AA191" si="64">IF(OR(ISBLANK(M171),ISBLANK(L171)),"",IF(AND(M171&gt;=L171,M171-L171&lt;=M171),(M171-L171)*$AK171,"!!!!"))</f>
        <v>980</v>
      </c>
      <c r="AB171" s="2">
        <f t="shared" ref="AB171:AB191" si="65">IF(OR(ISBLANK(N171),ISBLANK(M171)),"",IF(AND(N171&gt;=M171,N171-M171&lt;=N171),(N171-M171)*$AK171,"!!!!"))</f>
        <v>860</v>
      </c>
      <c r="AC171" s="2">
        <f t="shared" si="54"/>
        <v>520</v>
      </c>
      <c r="AD171" s="2">
        <f t="shared" si="55"/>
        <v>740</v>
      </c>
      <c r="AE171" s="2">
        <f t="shared" si="56"/>
        <v>920</v>
      </c>
      <c r="AF171" s="2">
        <f t="shared" si="57"/>
        <v>1420</v>
      </c>
      <c r="AG171" s="2">
        <f t="shared" si="58"/>
        <v>1160</v>
      </c>
      <c r="AH171" s="2">
        <f t="shared" si="61"/>
        <v>760</v>
      </c>
      <c r="AI171" s="2">
        <f t="shared" si="59"/>
        <v>700</v>
      </c>
      <c r="AJ171" s="2">
        <f t="shared" si="60"/>
        <v>1040</v>
      </c>
      <c r="AK171" s="416">
        <v>20</v>
      </c>
      <c r="AL171" s="417">
        <f t="shared" ca="1" si="50"/>
        <v>6199</v>
      </c>
      <c r="AM171" s="311">
        <f t="shared" ca="1" si="51"/>
        <v>6225</v>
      </c>
      <c r="AN171" s="274">
        <f ca="1">IF(AND(Tabla7[[#This Row],[UltLec]]&lt;&gt;0,Tabla7[[#This Row],[PenLect]]&lt;&gt;0),(AM171-AL171)*Tabla7[[#This Row],[RT]],"N/A")</f>
        <v>520</v>
      </c>
      <c r="AO171" s="273" t="s">
        <v>1135</v>
      </c>
      <c r="AP171" s="392" t="s">
        <v>1190</v>
      </c>
      <c r="AQ171" s="392" t="s">
        <v>1189</v>
      </c>
      <c r="AR171" s="407">
        <f t="shared" si="52"/>
        <v>0</v>
      </c>
      <c r="AT171" s="2">
        <f t="shared" ca="1" si="53"/>
        <v>0.60465116279069764</v>
      </c>
      <c r="AV171">
        <f>IF(ISBLANK(Tabla7[[#This Row],[31/12/2017]]),0,Tabla7[[#This Row],[31/12/2017]])</f>
        <v>6025</v>
      </c>
      <c r="AW171">
        <f>IF(ISBLANK(Tabla7[[#This Row],[15/01/2018]]),0,Tabla7[[#This Row],[15/01/2018]])</f>
        <v>6053</v>
      </c>
      <c r="AX171">
        <f>IF(ISBLANK(Tabla7[[#This Row],[15/02/2018]]),0,Tabla7[[#This Row],[15/02/2018]])</f>
        <v>6107</v>
      </c>
      <c r="AY171">
        <f>IF(ISBLANK(Tabla7[[#This Row],[15/03/2018]]),0,Tabla7[[#This Row],[15/03/2018]])</f>
        <v>6156</v>
      </c>
      <c r="AZ171">
        <f>IF(ISBLANK(Tabla7[[#This Row],[15/04/2018]]),0,Tabla7[[#This Row],[15/04/2018]])</f>
        <v>6199</v>
      </c>
      <c r="BA171">
        <f>IF(ISBLANK(Tabla7[[#This Row],[15/05/2018]]),0,Tabla7[[#This Row],[15/05/2018]])</f>
        <v>6225</v>
      </c>
      <c r="BB171">
        <f>IF(ISBLANK(Tabla7[[#This Row],[15/06/2018]]),0,Tabla7[[#This Row],[15/06/2018]])</f>
        <v>6262</v>
      </c>
      <c r="BC171">
        <f>IF(ISBLANK(Tabla7[[#This Row],[15/07/2018]]),0,Tabla7[[#This Row],[15/07/2018]])</f>
        <v>6308</v>
      </c>
      <c r="BD171">
        <f>IF(ISBLANK(Tabla7[[#This Row],[15/08/2018]]),0,Tabla7[[#This Row],[15/08/2018]])</f>
        <v>6379</v>
      </c>
      <c r="BE171">
        <f>IF(ISBLANK(Tabla7[[#This Row],[15/09/2018]]),0,Tabla7[[#This Row],[15/09/2018]])</f>
        <v>6437</v>
      </c>
      <c r="BF171">
        <f>IF(ISBLANK(Tabla7[[#This Row],[15/10/2018]]),0,Tabla7[[#This Row],[15/10/2018]])</f>
        <v>6475</v>
      </c>
      <c r="BG171">
        <f>IF(ISBLANK(Tabla7[[#This Row],[15/11/2018]]),0,Tabla7[[#This Row],[15/11/2018]])</f>
        <v>6510</v>
      </c>
      <c r="BH171">
        <f>IF(ISBLANK(Tabla7[[#This Row],[15/12/2018]]),0,Tabla7[[#This Row],[15/12/2018]])</f>
        <v>6562</v>
      </c>
      <c r="BI171">
        <f>IF(ISBLANK(Tabla7[[#This Row],[28/12/2018]]),0,Tabla7[[#This Row],[28/12/2018]])</f>
        <v>0</v>
      </c>
      <c r="BN17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('5355249','S','SCT71','39992','CORPORACION PRACTICOS SGTO,S.L','MUELLE SUR','','');</v>
      </c>
      <c r="BO171" t="s">
        <v>243</v>
      </c>
      <c r="BP171" s="632" t="str">
        <f>CONCATENATE("insert into lecturas values ","('",Tabla7[[#This Row],[CONTADOR]],"',STR_TO_DATE('",Tabla7[[#Headers],[31/12/2017]],"','%d/%m/%Y'),",AV171,"),","('",Tabla7[[#This Row],[CONTADOR]],"',STR_TO_DATE('",Tabla7[[#Headers],[15/01/2018]],"','%d/%m/%Y'),",AW171,"),","('",Tabla7[[#This Row],[CONTADOR]],"',STR_TO_DATE('",Tabla7[[#Headers],[15/02/2018]],"','%d/%m/%Y'),",AX171,"),","('",Tabla7[[#This Row],[CONTADOR]],"',STR_TO_DATE('",Tabla7[[#Headers],[15/03/2018]],"','%d/%m/%Y'),",AY171,"),","('",Tabla7[[#This Row],[CONTADOR]],"',STR_TO_DATE('",Tabla7[[#Headers],[15/04/2018]],"','%d/%m/%Y'),",AZ171,"),","('",Tabla7[[#This Row],[CONTADOR]],"',STR_TO_DATE('",Tabla7[[#Headers],[15/05/2018]],"','%d/%m/%Y'),",BA171,"),","('",Tabla7[[#This Row],[CONTADOR]],"',STR_TO_DATE('",Tabla7[[#Headers],[15/06/2018]],"','%d/%m/%Y'),",BB171,"),","('",Tabla7[[#This Row],[CONTADOR]],"',STR_TO_DATE('",Tabla7[[#Headers],[15/07/2018]],"','%d/%m/%Y'),",BC171,"),","('",Tabla7[[#This Row],[CONTADOR]],"',STR_TO_DATE('",Tabla7[[#Headers],[15/08/2018]],"','%d/%m/%Y'),",BD171,"),","('",Tabla7[[#This Row],[CONTADOR]],"',STR_TO_DATE('",Tabla7[[#Headers],[15/09/2018]],"','%d/%m/%Y'),",BE171,"),","('",Tabla7[[#This Row],[CONTADOR]],"',STR_TO_DATE('",Tabla7[[#Headers],[15/10/2018]],"','%d/%m/%Y'),",BF171,"),","('",Tabla7[[#This Row],[CONTADOR]],"',STR_TO_DATE('",Tabla7[[#Headers],[15/11/2018]],"','%d/%m/%Y'),",BG171,"),","('",Tabla7[[#This Row],[CONTADOR]],"',STR_TO_DATE('",Tabla7[[#Headers],[15/12/2018]],"','%d/%m/%Y'),",BH171,");")</f>
        <v>insert into lecturas values ('5355249',STR_TO_DATE('31/12/2017','%d/%m/%Y'),6025),('5355249',STR_TO_DATE('15/01/2018','%d/%m/%Y'),6053),('5355249',STR_TO_DATE('15/02/2018','%d/%m/%Y'),6107),('5355249',STR_TO_DATE('15/03/2018','%d/%m/%Y'),6156),('5355249',STR_TO_DATE('15/04/2018','%d/%m/%Y'),6199),('5355249',STR_TO_DATE('15/05/2018','%d/%m/%Y'),6225),('5355249',STR_TO_DATE('15/06/2018','%d/%m/%Y'),6262),('5355249',STR_TO_DATE('15/07/2018','%d/%m/%Y'),6308),('5355249',STR_TO_DATE('15/08/2018','%d/%m/%Y'),6379),('5355249',STR_TO_DATE('15/09/2018','%d/%m/%Y'),6437),('5355249',STR_TO_DATE('15/10/2018','%d/%m/%Y'),6475),('5355249',STR_TO_DATE('15/11/2018','%d/%m/%Y'),6510),('5355249',STR_TO_DATE('15/12/2018','%d/%m/%Y'),6562);</v>
      </c>
    </row>
    <row r="172" spans="1:68" ht="18" customHeight="1" x14ac:dyDescent="0.25">
      <c r="A172" s="241" t="s">
        <v>534</v>
      </c>
      <c r="B172" s="60">
        <v>1369</v>
      </c>
      <c r="C172" s="223" t="s">
        <v>432</v>
      </c>
      <c r="D172" s="60" t="s">
        <v>601</v>
      </c>
      <c r="E172" s="258">
        <v>39285</v>
      </c>
      <c r="F172" s="274" t="s">
        <v>608</v>
      </c>
      <c r="G172" s="274" t="s">
        <v>63</v>
      </c>
      <c r="H172" s="274"/>
      <c r="I172" s="274" t="s">
        <v>609</v>
      </c>
      <c r="J172" s="311">
        <v>10175</v>
      </c>
      <c r="K172" s="311">
        <v>10553</v>
      </c>
      <c r="L172" s="311">
        <v>11159</v>
      </c>
      <c r="M172" s="311">
        <v>11724</v>
      </c>
      <c r="N172" s="311">
        <v>12233</v>
      </c>
      <c r="O172" s="311">
        <v>12776</v>
      </c>
      <c r="P172" s="311">
        <v>13474</v>
      </c>
      <c r="Q172" s="307">
        <v>14010</v>
      </c>
      <c r="R172" s="505">
        <v>14716</v>
      </c>
      <c r="S172" s="353">
        <v>15444</v>
      </c>
      <c r="T172" s="353">
        <v>16021</v>
      </c>
      <c r="U172" s="353">
        <v>16534</v>
      </c>
      <c r="V172" s="353">
        <v>17030</v>
      </c>
      <c r="W172" s="321"/>
      <c r="X172" s="307"/>
      <c r="Y172" s="2">
        <f t="shared" si="47"/>
        <v>378</v>
      </c>
      <c r="Z172" s="2">
        <f t="shared" si="46"/>
        <v>606</v>
      </c>
      <c r="AA172" s="2">
        <f t="shared" si="64"/>
        <v>565</v>
      </c>
      <c r="AB172" s="2">
        <f t="shared" si="65"/>
        <v>509</v>
      </c>
      <c r="AC172" s="2">
        <f t="shared" si="54"/>
        <v>543</v>
      </c>
      <c r="AD172" s="2">
        <f t="shared" si="55"/>
        <v>698</v>
      </c>
      <c r="AE172" s="2">
        <f t="shared" si="56"/>
        <v>536</v>
      </c>
      <c r="AF172" s="2">
        <f t="shared" si="57"/>
        <v>706</v>
      </c>
      <c r="AG172" s="2">
        <f t="shared" si="58"/>
        <v>728</v>
      </c>
      <c r="AH172" s="2">
        <f t="shared" si="61"/>
        <v>577</v>
      </c>
      <c r="AI172" s="2">
        <f t="shared" si="59"/>
        <v>513</v>
      </c>
      <c r="AJ172" s="2">
        <f t="shared" si="60"/>
        <v>496</v>
      </c>
      <c r="AK172" s="406">
        <v>1</v>
      </c>
      <c r="AL172" s="274">
        <f t="shared" ca="1" si="50"/>
        <v>12233</v>
      </c>
      <c r="AM172" s="311">
        <f t="shared" ca="1" si="51"/>
        <v>12776</v>
      </c>
      <c r="AN172" s="274">
        <f ca="1">IF(AND(Tabla7[[#This Row],[UltLec]]&lt;&gt;0,Tabla7[[#This Row],[PenLect]]&lt;&gt;0),(AM172-AL172)*Tabla7[[#This Row],[RT]],"N/A")</f>
        <v>543</v>
      </c>
      <c r="AO172" s="273" t="s">
        <v>1135</v>
      </c>
      <c r="AP172" s="392" t="s">
        <v>1190</v>
      </c>
      <c r="AQ172" s="392" t="s">
        <v>1189</v>
      </c>
      <c r="AR172" s="407">
        <f t="shared" si="52"/>
        <v>0</v>
      </c>
      <c r="AT172" s="2">
        <f t="shared" ca="1" si="53"/>
        <v>1.0667976424361494</v>
      </c>
      <c r="AV172">
        <f>IF(ISBLANK(Tabla7[[#This Row],[31/12/2017]]),0,Tabla7[[#This Row],[31/12/2017]])</f>
        <v>10175</v>
      </c>
      <c r="AW172">
        <f>IF(ISBLANK(Tabla7[[#This Row],[15/01/2018]]),0,Tabla7[[#This Row],[15/01/2018]])</f>
        <v>10553</v>
      </c>
      <c r="AX172">
        <f>IF(ISBLANK(Tabla7[[#This Row],[15/02/2018]]),0,Tabla7[[#This Row],[15/02/2018]])</f>
        <v>11159</v>
      </c>
      <c r="AY172">
        <f>IF(ISBLANK(Tabla7[[#This Row],[15/03/2018]]),0,Tabla7[[#This Row],[15/03/2018]])</f>
        <v>11724</v>
      </c>
      <c r="AZ172">
        <f>IF(ISBLANK(Tabla7[[#This Row],[15/04/2018]]),0,Tabla7[[#This Row],[15/04/2018]])</f>
        <v>12233</v>
      </c>
      <c r="BA172">
        <f>IF(ISBLANK(Tabla7[[#This Row],[15/05/2018]]),0,Tabla7[[#This Row],[15/05/2018]])</f>
        <v>12776</v>
      </c>
      <c r="BB172">
        <f>IF(ISBLANK(Tabla7[[#This Row],[15/06/2018]]),0,Tabla7[[#This Row],[15/06/2018]])</f>
        <v>13474</v>
      </c>
      <c r="BC172">
        <f>IF(ISBLANK(Tabla7[[#This Row],[15/07/2018]]),0,Tabla7[[#This Row],[15/07/2018]])</f>
        <v>14010</v>
      </c>
      <c r="BD172">
        <f>IF(ISBLANK(Tabla7[[#This Row],[15/08/2018]]),0,Tabla7[[#This Row],[15/08/2018]])</f>
        <v>14716</v>
      </c>
      <c r="BE172">
        <f>IF(ISBLANK(Tabla7[[#This Row],[15/09/2018]]),0,Tabla7[[#This Row],[15/09/2018]])</f>
        <v>15444</v>
      </c>
      <c r="BF172">
        <f>IF(ISBLANK(Tabla7[[#This Row],[15/10/2018]]),0,Tabla7[[#This Row],[15/10/2018]])</f>
        <v>16021</v>
      </c>
      <c r="BG172">
        <f>IF(ISBLANK(Tabla7[[#This Row],[15/11/2018]]),0,Tabla7[[#This Row],[15/11/2018]])</f>
        <v>16534</v>
      </c>
      <c r="BH172">
        <f>IF(ISBLANK(Tabla7[[#This Row],[15/12/2018]]),0,Tabla7[[#This Row],[15/12/2018]])</f>
        <v>17030</v>
      </c>
      <c r="BI172">
        <f>IF(ISBLANK(Tabla7[[#This Row],[28/12/2018]]),0,Tabla7[[#This Row],[28/12/2018]])</f>
        <v>0</v>
      </c>
      <c r="BN17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('CXPUGBI15051354390','S','SCT71','39285','TAREGA VENDING S.L.','EN CT','','ALTA5/08/2016');</v>
      </c>
      <c r="BO172" t="s">
        <v>243</v>
      </c>
      <c r="BP172" s="632" t="str">
        <f>CONCATENATE("insert into lecturas values ","('",Tabla7[[#This Row],[CONTADOR]],"',STR_TO_DATE('",Tabla7[[#Headers],[31/12/2017]],"','%d/%m/%Y'),",AV172,"),","('",Tabla7[[#This Row],[CONTADOR]],"',STR_TO_DATE('",Tabla7[[#Headers],[15/01/2018]],"','%d/%m/%Y'),",AW172,"),","('",Tabla7[[#This Row],[CONTADOR]],"',STR_TO_DATE('",Tabla7[[#Headers],[15/02/2018]],"','%d/%m/%Y'),",AX172,"),","('",Tabla7[[#This Row],[CONTADOR]],"',STR_TO_DATE('",Tabla7[[#Headers],[15/03/2018]],"','%d/%m/%Y'),",AY172,"),","('",Tabla7[[#This Row],[CONTADOR]],"',STR_TO_DATE('",Tabla7[[#Headers],[15/04/2018]],"','%d/%m/%Y'),",AZ172,"),","('",Tabla7[[#This Row],[CONTADOR]],"',STR_TO_DATE('",Tabla7[[#Headers],[15/05/2018]],"','%d/%m/%Y'),",BA172,"),","('",Tabla7[[#This Row],[CONTADOR]],"',STR_TO_DATE('",Tabla7[[#Headers],[15/06/2018]],"','%d/%m/%Y'),",BB172,"),","('",Tabla7[[#This Row],[CONTADOR]],"',STR_TO_DATE('",Tabla7[[#Headers],[15/07/2018]],"','%d/%m/%Y'),",BC172,"),","('",Tabla7[[#This Row],[CONTADOR]],"',STR_TO_DATE('",Tabla7[[#Headers],[15/08/2018]],"','%d/%m/%Y'),",BD172,"),","('",Tabla7[[#This Row],[CONTADOR]],"',STR_TO_DATE('",Tabla7[[#Headers],[15/09/2018]],"','%d/%m/%Y'),",BE172,"),","('",Tabla7[[#This Row],[CONTADOR]],"',STR_TO_DATE('",Tabla7[[#Headers],[15/10/2018]],"','%d/%m/%Y'),",BF172,"),","('",Tabla7[[#This Row],[CONTADOR]],"',STR_TO_DATE('",Tabla7[[#Headers],[15/11/2018]],"','%d/%m/%Y'),",BG172,"),","('",Tabla7[[#This Row],[CONTADOR]],"',STR_TO_DATE('",Tabla7[[#Headers],[15/12/2018]],"','%d/%m/%Y'),",BH172,");")</f>
        <v>insert into lecturas values ('CXPUGBI15051354390',STR_TO_DATE('31/12/2017','%d/%m/%Y'),10175),('CXPUGBI15051354390',STR_TO_DATE('15/01/2018','%d/%m/%Y'),10553),('CXPUGBI15051354390',STR_TO_DATE('15/02/2018','%d/%m/%Y'),11159),('CXPUGBI15051354390',STR_TO_DATE('15/03/2018','%d/%m/%Y'),11724),('CXPUGBI15051354390',STR_TO_DATE('15/04/2018','%d/%m/%Y'),12233),('CXPUGBI15051354390',STR_TO_DATE('15/05/2018','%d/%m/%Y'),12776),('CXPUGBI15051354390',STR_TO_DATE('15/06/2018','%d/%m/%Y'),13474),('CXPUGBI15051354390',STR_TO_DATE('15/07/2018','%d/%m/%Y'),14010),('CXPUGBI15051354390',STR_TO_DATE('15/08/2018','%d/%m/%Y'),14716),('CXPUGBI15051354390',STR_TO_DATE('15/09/2018','%d/%m/%Y'),15444),('CXPUGBI15051354390',STR_TO_DATE('15/10/2018','%d/%m/%Y'),16021),('CXPUGBI15051354390',STR_TO_DATE('15/11/2018','%d/%m/%Y'),16534),('CXPUGBI15051354390',STR_TO_DATE('15/12/2018','%d/%m/%Y'),17030);</v>
      </c>
    </row>
    <row r="173" spans="1:68" ht="18" customHeight="1" x14ac:dyDescent="0.25">
      <c r="A173" s="241" t="s">
        <v>534</v>
      </c>
      <c r="B173" s="60"/>
      <c r="C173" s="223" t="s">
        <v>399</v>
      </c>
      <c r="D173" s="60" t="s">
        <v>601</v>
      </c>
      <c r="E173" s="258">
        <v>39995</v>
      </c>
      <c r="F173" s="274" t="s">
        <v>606</v>
      </c>
      <c r="G173" s="274" t="s">
        <v>605</v>
      </c>
      <c r="H173" s="274"/>
      <c r="I173" s="274"/>
      <c r="J173" s="311">
        <v>439475</v>
      </c>
      <c r="K173" s="311">
        <v>444756</v>
      </c>
      <c r="L173" s="311">
        <v>452540</v>
      </c>
      <c r="M173" s="311">
        <v>459081</v>
      </c>
      <c r="N173" s="311">
        <v>466189</v>
      </c>
      <c r="O173" s="311">
        <v>473404</v>
      </c>
      <c r="P173" s="311">
        <v>481374</v>
      </c>
      <c r="Q173" s="307">
        <v>491663</v>
      </c>
      <c r="R173" s="505">
        <v>505067</v>
      </c>
      <c r="S173" s="353">
        <v>517699</v>
      </c>
      <c r="T173" s="353">
        <v>524785</v>
      </c>
      <c r="U173" s="353">
        <v>530507</v>
      </c>
      <c r="V173" s="353">
        <v>536691</v>
      </c>
      <c r="W173" s="321"/>
      <c r="X173" s="307"/>
      <c r="Y173" s="2">
        <f t="shared" si="47"/>
        <v>5281</v>
      </c>
      <c r="Z173" s="2">
        <f t="shared" si="46"/>
        <v>7784</v>
      </c>
      <c r="AA173" s="2">
        <f t="shared" si="64"/>
        <v>6541</v>
      </c>
      <c r="AB173" s="2">
        <f t="shared" si="65"/>
        <v>7108</v>
      </c>
      <c r="AC173" s="2">
        <f t="shared" si="54"/>
        <v>7215</v>
      </c>
      <c r="AD173" s="2">
        <f t="shared" si="55"/>
        <v>7970</v>
      </c>
      <c r="AE173" s="2">
        <f t="shared" si="56"/>
        <v>10289</v>
      </c>
      <c r="AF173" s="2">
        <f t="shared" si="57"/>
        <v>13404</v>
      </c>
      <c r="AG173" s="2">
        <f t="shared" si="58"/>
        <v>12632</v>
      </c>
      <c r="AH173" s="2">
        <f t="shared" si="61"/>
        <v>7086</v>
      </c>
      <c r="AI173" s="2">
        <f t="shared" si="59"/>
        <v>5722</v>
      </c>
      <c r="AJ173" s="2">
        <f t="shared" si="60"/>
        <v>6184</v>
      </c>
      <c r="AK173" s="406">
        <v>1</v>
      </c>
      <c r="AL173" s="274">
        <f t="shared" ca="1" si="50"/>
        <v>466189</v>
      </c>
      <c r="AM173" s="311">
        <f t="shared" ca="1" si="51"/>
        <v>473404</v>
      </c>
      <c r="AN173" s="274">
        <f ca="1">IF(AND(Tabla7[[#This Row],[UltLec]]&lt;&gt;0,Tabla7[[#This Row],[PenLect]]&lt;&gt;0),(AM173-AL173)*Tabla7[[#This Row],[RT]],"N/A")</f>
        <v>7215</v>
      </c>
      <c r="AO173" s="273" t="s">
        <v>1135</v>
      </c>
      <c r="AP173" s="392" t="s">
        <v>1190</v>
      </c>
      <c r="AQ173" s="392" t="s">
        <v>1189</v>
      </c>
      <c r="AR173" s="407">
        <f t="shared" si="52"/>
        <v>0</v>
      </c>
      <c r="AT173" s="2">
        <f t="shared" ca="1" si="53"/>
        <v>1.0150534608891391</v>
      </c>
      <c r="AV173">
        <f>IF(ISBLANK(Tabla7[[#This Row],[31/12/2017]]),0,Tabla7[[#This Row],[31/12/2017]])</f>
        <v>439475</v>
      </c>
      <c r="AW173">
        <f>IF(ISBLANK(Tabla7[[#This Row],[15/01/2018]]),0,Tabla7[[#This Row],[15/01/2018]])</f>
        <v>444756</v>
      </c>
      <c r="AX173">
        <f>IF(ISBLANK(Tabla7[[#This Row],[15/02/2018]]),0,Tabla7[[#This Row],[15/02/2018]])</f>
        <v>452540</v>
      </c>
      <c r="AY173">
        <f>IF(ISBLANK(Tabla7[[#This Row],[15/03/2018]]),0,Tabla7[[#This Row],[15/03/2018]])</f>
        <v>459081</v>
      </c>
      <c r="AZ173">
        <f>IF(ISBLANK(Tabla7[[#This Row],[15/04/2018]]),0,Tabla7[[#This Row],[15/04/2018]])</f>
        <v>466189</v>
      </c>
      <c r="BA173">
        <f>IF(ISBLANK(Tabla7[[#This Row],[15/05/2018]]),0,Tabla7[[#This Row],[15/05/2018]])</f>
        <v>473404</v>
      </c>
      <c r="BB173">
        <f>IF(ISBLANK(Tabla7[[#This Row],[15/06/2018]]),0,Tabla7[[#This Row],[15/06/2018]])</f>
        <v>481374</v>
      </c>
      <c r="BC173">
        <f>IF(ISBLANK(Tabla7[[#This Row],[15/07/2018]]),0,Tabla7[[#This Row],[15/07/2018]])</f>
        <v>491663</v>
      </c>
      <c r="BD173">
        <f>IF(ISBLANK(Tabla7[[#This Row],[15/08/2018]]),0,Tabla7[[#This Row],[15/08/2018]])</f>
        <v>505067</v>
      </c>
      <c r="BE173">
        <f>IF(ISBLANK(Tabla7[[#This Row],[15/09/2018]]),0,Tabla7[[#This Row],[15/09/2018]])</f>
        <v>517699</v>
      </c>
      <c r="BF173">
        <f>IF(ISBLANK(Tabla7[[#This Row],[15/10/2018]]),0,Tabla7[[#This Row],[15/10/2018]])</f>
        <v>524785</v>
      </c>
      <c r="BG173">
        <f>IF(ISBLANK(Tabla7[[#This Row],[15/11/2018]]),0,Tabla7[[#This Row],[15/11/2018]])</f>
        <v>530507</v>
      </c>
      <c r="BH173">
        <f>IF(ISBLANK(Tabla7[[#This Row],[15/12/2018]]),0,Tabla7[[#This Row],[15/12/2018]])</f>
        <v>536691</v>
      </c>
      <c r="BI173">
        <f>IF(ISBLANK(Tabla7[[#This Row],[28/12/2018]]),0,Tabla7[[#This Row],[28/12/2018]])</f>
        <v>0</v>
      </c>
      <c r="BN17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('LW00042715','S','SCT71','39995','REMOLCADORES DEL MEDITERRANEO S.A','M.NORESTE','','');</v>
      </c>
      <c r="BO173" t="s">
        <v>243</v>
      </c>
      <c r="BP173" s="632" t="str">
        <f>CONCATENATE("insert into lecturas values ","('",Tabla7[[#This Row],[CONTADOR]],"',STR_TO_DATE('",Tabla7[[#Headers],[31/12/2017]],"','%d/%m/%Y'),",AV173,"),","('",Tabla7[[#This Row],[CONTADOR]],"',STR_TO_DATE('",Tabla7[[#Headers],[15/01/2018]],"','%d/%m/%Y'),",AW173,"),","('",Tabla7[[#This Row],[CONTADOR]],"',STR_TO_DATE('",Tabla7[[#Headers],[15/02/2018]],"','%d/%m/%Y'),",AX173,"),","('",Tabla7[[#This Row],[CONTADOR]],"',STR_TO_DATE('",Tabla7[[#Headers],[15/03/2018]],"','%d/%m/%Y'),",AY173,"),","('",Tabla7[[#This Row],[CONTADOR]],"',STR_TO_DATE('",Tabla7[[#Headers],[15/04/2018]],"','%d/%m/%Y'),",AZ173,"),","('",Tabla7[[#This Row],[CONTADOR]],"',STR_TO_DATE('",Tabla7[[#Headers],[15/05/2018]],"','%d/%m/%Y'),",BA173,"),","('",Tabla7[[#This Row],[CONTADOR]],"',STR_TO_DATE('",Tabla7[[#Headers],[15/06/2018]],"','%d/%m/%Y'),",BB173,"),","('",Tabla7[[#This Row],[CONTADOR]],"',STR_TO_DATE('",Tabla7[[#Headers],[15/07/2018]],"','%d/%m/%Y'),",BC173,"),","('",Tabla7[[#This Row],[CONTADOR]],"',STR_TO_DATE('",Tabla7[[#Headers],[15/08/2018]],"','%d/%m/%Y'),",BD173,"),","('",Tabla7[[#This Row],[CONTADOR]],"',STR_TO_DATE('",Tabla7[[#Headers],[15/09/2018]],"','%d/%m/%Y'),",BE173,"),","('",Tabla7[[#This Row],[CONTADOR]],"',STR_TO_DATE('",Tabla7[[#Headers],[15/10/2018]],"','%d/%m/%Y'),",BF173,"),","('",Tabla7[[#This Row],[CONTADOR]],"',STR_TO_DATE('",Tabla7[[#Headers],[15/11/2018]],"','%d/%m/%Y'),",BG173,"),","('",Tabla7[[#This Row],[CONTADOR]],"',STR_TO_DATE('",Tabla7[[#Headers],[15/12/2018]],"','%d/%m/%Y'),",BH173,");")</f>
        <v>insert into lecturas values ('LW00042715',STR_TO_DATE('31/12/2017','%d/%m/%Y'),439475),('LW00042715',STR_TO_DATE('15/01/2018','%d/%m/%Y'),444756),('LW00042715',STR_TO_DATE('15/02/2018','%d/%m/%Y'),452540),('LW00042715',STR_TO_DATE('15/03/2018','%d/%m/%Y'),459081),('LW00042715',STR_TO_DATE('15/04/2018','%d/%m/%Y'),466189),('LW00042715',STR_TO_DATE('15/05/2018','%d/%m/%Y'),473404),('LW00042715',STR_TO_DATE('15/06/2018','%d/%m/%Y'),481374),('LW00042715',STR_TO_DATE('15/07/2018','%d/%m/%Y'),491663),('LW00042715',STR_TO_DATE('15/08/2018','%d/%m/%Y'),505067),('LW00042715',STR_TO_DATE('15/09/2018','%d/%m/%Y'),517699),('LW00042715',STR_TO_DATE('15/10/2018','%d/%m/%Y'),524785),('LW00042715',STR_TO_DATE('15/11/2018','%d/%m/%Y'),530507),('LW00042715',STR_TO_DATE('15/12/2018','%d/%m/%Y'),536691);</v>
      </c>
    </row>
    <row r="174" spans="1:68" ht="18" customHeight="1" x14ac:dyDescent="0.25">
      <c r="A174" s="241" t="s">
        <v>534</v>
      </c>
      <c r="B174" s="60">
        <v>874</v>
      </c>
      <c r="C174" s="223" t="s">
        <v>398</v>
      </c>
      <c r="D174" s="60" t="s">
        <v>601</v>
      </c>
      <c r="E174" s="258">
        <v>39993</v>
      </c>
      <c r="F174" s="274" t="s">
        <v>604</v>
      </c>
      <c r="G174" s="274" t="s">
        <v>605</v>
      </c>
      <c r="H174" s="2" t="s">
        <v>140</v>
      </c>
      <c r="I174" s="274"/>
      <c r="J174" s="311">
        <v>113519</v>
      </c>
      <c r="K174" s="311">
        <v>114824</v>
      </c>
      <c r="L174" s="311">
        <v>117522</v>
      </c>
      <c r="M174" s="311">
        <v>119765</v>
      </c>
      <c r="N174" s="311">
        <v>121734</v>
      </c>
      <c r="O174" s="454">
        <v>123122</v>
      </c>
      <c r="P174" s="311">
        <v>124630</v>
      </c>
      <c r="Q174" s="307">
        <v>126148</v>
      </c>
      <c r="R174" s="505">
        <v>128211</v>
      </c>
      <c r="S174" s="353">
        <v>130112</v>
      </c>
      <c r="T174" s="353">
        <v>131427</v>
      </c>
      <c r="U174" s="353">
        <v>133052</v>
      </c>
      <c r="V174" s="353">
        <v>135481</v>
      </c>
      <c r="W174" s="321"/>
      <c r="X174" s="307"/>
      <c r="Y174" s="2">
        <f t="shared" si="47"/>
        <v>1305</v>
      </c>
      <c r="Z174" s="2">
        <f t="shared" si="46"/>
        <v>2698</v>
      </c>
      <c r="AA174" s="2">
        <f t="shared" si="64"/>
        <v>2243</v>
      </c>
      <c r="AB174" s="2">
        <f t="shared" si="65"/>
        <v>1969</v>
      </c>
      <c r="AC174" s="2">
        <f t="shared" si="54"/>
        <v>1388</v>
      </c>
      <c r="AD174" s="2">
        <f t="shared" si="55"/>
        <v>1508</v>
      </c>
      <c r="AE174" s="2">
        <f t="shared" si="56"/>
        <v>1518</v>
      </c>
      <c r="AF174" s="2">
        <f t="shared" si="57"/>
        <v>2063</v>
      </c>
      <c r="AG174" s="2">
        <f t="shared" si="58"/>
        <v>1901</v>
      </c>
      <c r="AH174" s="2">
        <f t="shared" si="61"/>
        <v>1315</v>
      </c>
      <c r="AI174" s="2">
        <f t="shared" si="59"/>
        <v>1625</v>
      </c>
      <c r="AJ174" s="2">
        <f t="shared" si="60"/>
        <v>2429</v>
      </c>
      <c r="AK174" s="406">
        <v>1</v>
      </c>
      <c r="AL174" s="274">
        <f t="shared" ca="1" si="50"/>
        <v>121734</v>
      </c>
      <c r="AM174" s="311">
        <f t="shared" ca="1" si="51"/>
        <v>123122</v>
      </c>
      <c r="AN174" s="274">
        <f ca="1">IF(AND(Tabla7[[#This Row],[UltLec]]&lt;&gt;0,Tabla7[[#This Row],[PenLect]]&lt;&gt;0),(AM174-AL174)*Tabla7[[#This Row],[RT]],"N/A")</f>
        <v>1388</v>
      </c>
      <c r="AO174" s="273" t="s">
        <v>1135</v>
      </c>
      <c r="AP174" s="392" t="s">
        <v>1190</v>
      </c>
      <c r="AQ174" s="392" t="s">
        <v>1189</v>
      </c>
      <c r="AR174" s="407">
        <f t="shared" si="52"/>
        <v>0</v>
      </c>
      <c r="AT174" s="2">
        <f t="shared" ca="1" si="53"/>
        <v>0.70492635855764352</v>
      </c>
      <c r="AV174">
        <f>IF(ISBLANK(Tabla7[[#This Row],[31/12/2017]]),0,Tabla7[[#This Row],[31/12/2017]])</f>
        <v>113519</v>
      </c>
      <c r="AW174">
        <f>IF(ISBLANK(Tabla7[[#This Row],[15/01/2018]]),0,Tabla7[[#This Row],[15/01/2018]])</f>
        <v>114824</v>
      </c>
      <c r="AX174">
        <f>IF(ISBLANK(Tabla7[[#This Row],[15/02/2018]]),0,Tabla7[[#This Row],[15/02/2018]])</f>
        <v>117522</v>
      </c>
      <c r="AY174">
        <f>IF(ISBLANK(Tabla7[[#This Row],[15/03/2018]]),0,Tabla7[[#This Row],[15/03/2018]])</f>
        <v>119765</v>
      </c>
      <c r="AZ174">
        <f>IF(ISBLANK(Tabla7[[#This Row],[15/04/2018]]),0,Tabla7[[#This Row],[15/04/2018]])</f>
        <v>121734</v>
      </c>
      <c r="BA174">
        <f>IF(ISBLANK(Tabla7[[#This Row],[15/05/2018]]),0,Tabla7[[#This Row],[15/05/2018]])</f>
        <v>123122</v>
      </c>
      <c r="BB174">
        <f>IF(ISBLANK(Tabla7[[#This Row],[15/06/2018]]),0,Tabla7[[#This Row],[15/06/2018]])</f>
        <v>124630</v>
      </c>
      <c r="BC174">
        <f>IF(ISBLANK(Tabla7[[#This Row],[15/07/2018]]),0,Tabla7[[#This Row],[15/07/2018]])</f>
        <v>126148</v>
      </c>
      <c r="BD174">
        <f>IF(ISBLANK(Tabla7[[#This Row],[15/08/2018]]),0,Tabla7[[#This Row],[15/08/2018]])</f>
        <v>128211</v>
      </c>
      <c r="BE174">
        <f>IF(ISBLANK(Tabla7[[#This Row],[15/09/2018]]),0,Tabla7[[#This Row],[15/09/2018]])</f>
        <v>130112</v>
      </c>
      <c r="BF174">
        <f>IF(ISBLANK(Tabla7[[#This Row],[15/10/2018]]),0,Tabla7[[#This Row],[15/10/2018]])</f>
        <v>131427</v>
      </c>
      <c r="BG174">
        <f>IF(ISBLANK(Tabla7[[#This Row],[15/11/2018]]),0,Tabla7[[#This Row],[15/11/2018]])</f>
        <v>133052</v>
      </c>
      <c r="BH174">
        <f>IF(ISBLANK(Tabla7[[#This Row],[15/12/2018]]),0,Tabla7[[#This Row],[15/12/2018]])</f>
        <v>135481</v>
      </c>
      <c r="BI174">
        <f>IF(ISBLANK(Tabla7[[#This Row],[28/12/2018]]),0,Tabla7[[#This Row],[28/12/2018]])</f>
        <v>0</v>
      </c>
      <c r="BN17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('LW00043067','S','SCT71','39993','AMARRADORES PTO DE SGTO, S.L.U','M.NORESTE','AMARRADORES','');</v>
      </c>
      <c r="BO174" t="s">
        <v>243</v>
      </c>
      <c r="BP174" s="632" t="str">
        <f>CONCATENATE("insert into lecturas values ","('",Tabla7[[#This Row],[CONTADOR]],"',STR_TO_DATE('",Tabla7[[#Headers],[31/12/2017]],"','%d/%m/%Y'),",AV174,"),","('",Tabla7[[#This Row],[CONTADOR]],"',STR_TO_DATE('",Tabla7[[#Headers],[15/01/2018]],"','%d/%m/%Y'),",AW174,"),","('",Tabla7[[#This Row],[CONTADOR]],"',STR_TO_DATE('",Tabla7[[#Headers],[15/02/2018]],"','%d/%m/%Y'),",AX174,"),","('",Tabla7[[#This Row],[CONTADOR]],"',STR_TO_DATE('",Tabla7[[#Headers],[15/03/2018]],"','%d/%m/%Y'),",AY174,"),","('",Tabla7[[#This Row],[CONTADOR]],"',STR_TO_DATE('",Tabla7[[#Headers],[15/04/2018]],"','%d/%m/%Y'),",AZ174,"),","('",Tabla7[[#This Row],[CONTADOR]],"',STR_TO_DATE('",Tabla7[[#Headers],[15/05/2018]],"','%d/%m/%Y'),",BA174,"),","('",Tabla7[[#This Row],[CONTADOR]],"',STR_TO_DATE('",Tabla7[[#Headers],[15/06/2018]],"','%d/%m/%Y'),",BB174,"),","('",Tabla7[[#This Row],[CONTADOR]],"',STR_TO_DATE('",Tabla7[[#Headers],[15/07/2018]],"','%d/%m/%Y'),",BC174,"),","('",Tabla7[[#This Row],[CONTADOR]],"',STR_TO_DATE('",Tabla7[[#Headers],[15/08/2018]],"','%d/%m/%Y'),",BD174,"),","('",Tabla7[[#This Row],[CONTADOR]],"',STR_TO_DATE('",Tabla7[[#Headers],[15/09/2018]],"','%d/%m/%Y'),",BE174,"),","('",Tabla7[[#This Row],[CONTADOR]],"',STR_TO_DATE('",Tabla7[[#Headers],[15/10/2018]],"','%d/%m/%Y'),",BF174,"),","('",Tabla7[[#This Row],[CONTADOR]],"',STR_TO_DATE('",Tabla7[[#Headers],[15/11/2018]],"','%d/%m/%Y'),",BG174,"),","('",Tabla7[[#This Row],[CONTADOR]],"',STR_TO_DATE('",Tabla7[[#Headers],[15/12/2018]],"','%d/%m/%Y'),",BH174,");")</f>
        <v>insert into lecturas values ('LW00043067',STR_TO_DATE('31/12/2017','%d/%m/%Y'),113519),('LW00043067',STR_TO_DATE('15/01/2018','%d/%m/%Y'),114824),('LW00043067',STR_TO_DATE('15/02/2018','%d/%m/%Y'),117522),('LW00043067',STR_TO_DATE('15/03/2018','%d/%m/%Y'),119765),('LW00043067',STR_TO_DATE('15/04/2018','%d/%m/%Y'),121734),('LW00043067',STR_TO_DATE('15/05/2018','%d/%m/%Y'),123122),('LW00043067',STR_TO_DATE('15/06/2018','%d/%m/%Y'),124630),('LW00043067',STR_TO_DATE('15/07/2018','%d/%m/%Y'),126148),('LW00043067',STR_TO_DATE('15/08/2018','%d/%m/%Y'),128211),('LW00043067',STR_TO_DATE('15/09/2018','%d/%m/%Y'),130112),('LW00043067',STR_TO_DATE('15/10/2018','%d/%m/%Y'),131427),('LW00043067',STR_TO_DATE('15/11/2018','%d/%m/%Y'),133052),('LW00043067',STR_TO_DATE('15/12/2018','%d/%m/%Y'),135481);</v>
      </c>
    </row>
    <row r="175" spans="1:68" ht="18" customHeight="1" x14ac:dyDescent="0.25">
      <c r="A175" s="241" t="s">
        <v>534</v>
      </c>
      <c r="B175" s="60"/>
      <c r="C175" s="223"/>
      <c r="D175" s="60" t="s">
        <v>601</v>
      </c>
      <c r="E175" s="258">
        <v>2</v>
      </c>
      <c r="F175" s="2" t="s">
        <v>607</v>
      </c>
      <c r="G175" s="2"/>
      <c r="H175" s="2"/>
      <c r="I175" s="274"/>
      <c r="J175" s="311"/>
      <c r="K175" s="311"/>
      <c r="L175" s="274"/>
      <c r="M175" s="311"/>
      <c r="N175" s="311"/>
      <c r="O175" s="454"/>
      <c r="P175" s="311"/>
      <c r="Q175" s="274">
        <v>0</v>
      </c>
      <c r="R175" s="274"/>
      <c r="S175" s="311"/>
      <c r="T175" s="274"/>
      <c r="U175" s="311">
        <v>0</v>
      </c>
      <c r="V175" s="353"/>
      <c r="W175" s="274"/>
      <c r="X175" s="2"/>
      <c r="Y175" s="2" t="str">
        <f t="shared" si="47"/>
        <v/>
      </c>
      <c r="Z175" s="2" t="str">
        <f t="shared" si="46"/>
        <v/>
      </c>
      <c r="AA175" s="2" t="str">
        <f t="shared" si="64"/>
        <v/>
      </c>
      <c r="AB175" s="2" t="str">
        <f t="shared" si="65"/>
        <v/>
      </c>
      <c r="AC175" s="2" t="str">
        <f t="shared" si="54"/>
        <v/>
      </c>
      <c r="AD175" s="2" t="str">
        <f t="shared" si="55"/>
        <v/>
      </c>
      <c r="AE175" s="2" t="str">
        <f t="shared" si="56"/>
        <v/>
      </c>
      <c r="AF175" s="2" t="str">
        <f t="shared" si="57"/>
        <v/>
      </c>
      <c r="AG175" s="2" t="str">
        <f t="shared" si="58"/>
        <v/>
      </c>
      <c r="AH175" s="2" t="str">
        <f t="shared" si="61"/>
        <v/>
      </c>
      <c r="AI175" s="2" t="str">
        <f t="shared" si="59"/>
        <v/>
      </c>
      <c r="AJ175" s="2" t="str">
        <f t="shared" si="60"/>
        <v/>
      </c>
      <c r="AK175" s="406">
        <v>1</v>
      </c>
      <c r="AL175" s="274">
        <f t="shared" ca="1" si="50"/>
        <v>0</v>
      </c>
      <c r="AM175" s="311">
        <f t="shared" ca="1" si="51"/>
        <v>0</v>
      </c>
      <c r="AN175" s="274" t="str">
        <f ca="1">IF(AND(Tabla7[[#This Row],[UltLec]]&lt;&gt;0,Tabla7[[#This Row],[PenLect]]&lt;&gt;0),(AM175-AL175)*Tabla7[[#This Row],[RT]],"N/A")</f>
        <v>N/A</v>
      </c>
      <c r="AO175" s="273" t="s">
        <v>1135</v>
      </c>
      <c r="AP175" s="392" t="s">
        <v>1190</v>
      </c>
      <c r="AQ175" s="392" t="s">
        <v>1189</v>
      </c>
      <c r="AR175" s="407">
        <f t="shared" si="52"/>
        <v>0</v>
      </c>
      <c r="AT175" s="2" t="e">
        <f t="shared" ca="1" si="53"/>
        <v>#VALUE!</v>
      </c>
      <c r="AV175">
        <f>IF(ISBLANK(Tabla7[[#This Row],[31/12/2017]]),0,Tabla7[[#This Row],[31/12/2017]])</f>
        <v>0</v>
      </c>
      <c r="AW175">
        <f>IF(ISBLANK(Tabla7[[#This Row],[15/01/2018]]),0,Tabla7[[#This Row],[15/01/2018]])</f>
        <v>0</v>
      </c>
      <c r="AX175">
        <f>IF(ISBLANK(Tabla7[[#This Row],[15/02/2018]]),0,Tabla7[[#This Row],[15/02/2018]])</f>
        <v>0</v>
      </c>
      <c r="AY175">
        <f>IF(ISBLANK(Tabla7[[#This Row],[15/03/2018]]),0,Tabla7[[#This Row],[15/03/2018]])</f>
        <v>0</v>
      </c>
      <c r="AZ175">
        <f>IF(ISBLANK(Tabla7[[#This Row],[15/04/2018]]),0,Tabla7[[#This Row],[15/04/2018]])</f>
        <v>0</v>
      </c>
      <c r="BA175">
        <f>IF(ISBLANK(Tabla7[[#This Row],[15/05/2018]]),0,Tabla7[[#This Row],[15/05/2018]])</f>
        <v>0</v>
      </c>
      <c r="BB175">
        <f>IF(ISBLANK(Tabla7[[#This Row],[15/06/2018]]),0,Tabla7[[#This Row],[15/06/2018]])</f>
        <v>0</v>
      </c>
      <c r="BC175">
        <f>IF(ISBLANK(Tabla7[[#This Row],[15/07/2018]]),0,Tabla7[[#This Row],[15/07/2018]])</f>
        <v>0</v>
      </c>
      <c r="BD175">
        <f>IF(ISBLANK(Tabla7[[#This Row],[15/08/2018]]),0,Tabla7[[#This Row],[15/08/2018]])</f>
        <v>0</v>
      </c>
      <c r="BE175">
        <f>IF(ISBLANK(Tabla7[[#This Row],[15/09/2018]]),0,Tabla7[[#This Row],[15/09/2018]])</f>
        <v>0</v>
      </c>
      <c r="BF175">
        <f>IF(ISBLANK(Tabla7[[#This Row],[15/10/2018]]),0,Tabla7[[#This Row],[15/10/2018]])</f>
        <v>0</v>
      </c>
      <c r="BG175">
        <f>IF(ISBLANK(Tabla7[[#This Row],[15/11/2018]]),0,Tabla7[[#This Row],[15/11/2018]])</f>
        <v>0</v>
      </c>
      <c r="BH175">
        <f>IF(ISBLANK(Tabla7[[#This Row],[15/12/2018]]),0,Tabla7[[#This Row],[15/12/2018]])</f>
        <v>0</v>
      </c>
      <c r="BI175">
        <f>IF(ISBLANK(Tabla7[[#This Row],[28/12/2018]]),0,Tabla7[[#This Row],[28/12/2018]])</f>
        <v>0</v>
      </c>
      <c r="BN17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('','S','SCT71','2','Alumbrado torres en muelle Noreste CT7-1','','','');</v>
      </c>
      <c r="BO175" t="s">
        <v>243</v>
      </c>
      <c r="BP175" s="632" t="str">
        <f>CONCATENATE("insert into lecturas values ","('",Tabla7[[#This Row],[CONTADOR]],"',STR_TO_DATE('",Tabla7[[#Headers],[31/12/2017]],"','%d/%m/%Y'),",AV175,"),","('",Tabla7[[#This Row],[CONTADOR]],"',STR_TO_DATE('",Tabla7[[#Headers],[15/01/2018]],"','%d/%m/%Y'),",AW175,"),","('",Tabla7[[#This Row],[CONTADOR]],"',STR_TO_DATE('",Tabla7[[#Headers],[15/02/2018]],"','%d/%m/%Y'),",AX175,"),","('",Tabla7[[#This Row],[CONTADOR]],"',STR_TO_DATE('",Tabla7[[#Headers],[15/03/2018]],"','%d/%m/%Y'),",AY175,"),","('",Tabla7[[#This Row],[CONTADOR]],"',STR_TO_DATE('",Tabla7[[#Headers],[15/04/2018]],"','%d/%m/%Y'),",AZ175,"),","('",Tabla7[[#This Row],[CONTADOR]],"',STR_TO_DATE('",Tabla7[[#Headers],[15/05/2018]],"','%d/%m/%Y'),",BA175,"),","('",Tabla7[[#This Row],[CONTADOR]],"',STR_TO_DATE('",Tabla7[[#Headers],[15/06/2018]],"','%d/%m/%Y'),",BB175,"),","('",Tabla7[[#This Row],[CONTADOR]],"',STR_TO_DATE('",Tabla7[[#Headers],[15/07/2018]],"','%d/%m/%Y'),",BC175,"),","('",Tabla7[[#This Row],[CONTADOR]],"',STR_TO_DATE('",Tabla7[[#Headers],[15/08/2018]],"','%d/%m/%Y'),",BD175,"),","('",Tabla7[[#This Row],[CONTADOR]],"',STR_TO_DATE('",Tabla7[[#Headers],[15/09/2018]],"','%d/%m/%Y'),",BE175,"),","('",Tabla7[[#This Row],[CONTADOR]],"',STR_TO_DATE('",Tabla7[[#Headers],[15/10/2018]],"','%d/%m/%Y'),",BF175,"),","('",Tabla7[[#This Row],[CONTADOR]],"',STR_TO_DATE('",Tabla7[[#Headers],[15/11/2018]],"','%d/%m/%Y'),",BG175,"),","('",Tabla7[[#This Row],[CONTADOR]],"',STR_TO_DATE('",Tabla7[[#Headers],[15/12/2018]],"','%d/%m/%Y'),",BH175,");")</f>
        <v>insert into lecturas values ('',STR_TO_DATE('31/12/2017','%d/%m/%Y'),0),('',STR_TO_DATE('15/01/2018','%d/%m/%Y'),0),('',STR_TO_DATE('15/02/2018','%d/%m/%Y'),0),('',STR_TO_DATE('15/03/2018','%d/%m/%Y'),0),('',STR_TO_DATE('15/04/2018','%d/%m/%Y'),0),('',STR_TO_DATE('15/05/2018','%d/%m/%Y'),0),('',STR_TO_DATE('15/06/2018','%d/%m/%Y'),0),('',STR_TO_DATE('15/07/2018','%d/%m/%Y'),0),('',STR_TO_DATE('15/08/2018','%d/%m/%Y'),0),('',STR_TO_DATE('15/09/2018','%d/%m/%Y'),0),('',STR_TO_DATE('15/10/2018','%d/%m/%Y'),0),('',STR_TO_DATE('15/11/2018','%d/%m/%Y'),0),('',STR_TO_DATE('15/12/2018','%d/%m/%Y'),0);</v>
      </c>
    </row>
    <row r="176" spans="1:68" ht="18" customHeight="1" x14ac:dyDescent="0.25">
      <c r="A176" s="241" t="s">
        <v>534</v>
      </c>
      <c r="B176" s="60"/>
      <c r="C176" s="223">
        <v>114014011</v>
      </c>
      <c r="D176" s="60" t="s">
        <v>610</v>
      </c>
      <c r="E176" s="258">
        <v>2</v>
      </c>
      <c r="F176" s="274" t="s">
        <v>1167</v>
      </c>
      <c r="G176" s="274" t="s">
        <v>1159</v>
      </c>
      <c r="H176" s="274"/>
      <c r="I176" s="274"/>
      <c r="J176" s="311"/>
      <c r="K176" s="311"/>
      <c r="L176" s="274">
        <v>3151</v>
      </c>
      <c r="M176" s="2"/>
      <c r="N176" s="311"/>
      <c r="O176" s="454"/>
      <c r="P176" s="283"/>
      <c r="Q176" s="274">
        <v>0</v>
      </c>
      <c r="R176" s="274"/>
      <c r="S176" s="311"/>
      <c r="T176" s="274"/>
      <c r="U176" s="311">
        <v>0</v>
      </c>
      <c r="V176" s="353"/>
      <c r="W176" s="274"/>
      <c r="X176" s="2"/>
      <c r="Y176" s="2" t="str">
        <f t="shared" si="47"/>
        <v/>
      </c>
      <c r="Z176" s="2" t="str">
        <f t="shared" si="46"/>
        <v/>
      </c>
      <c r="AA176" s="2" t="str">
        <f t="shared" si="64"/>
        <v/>
      </c>
      <c r="AB176" s="2" t="str">
        <f t="shared" si="65"/>
        <v/>
      </c>
      <c r="AC176" s="2" t="str">
        <f t="shared" si="54"/>
        <v/>
      </c>
      <c r="AD176" s="2" t="str">
        <f t="shared" si="55"/>
        <v/>
      </c>
      <c r="AE176" s="2" t="str">
        <f t="shared" si="56"/>
        <v/>
      </c>
      <c r="AF176" s="2" t="str">
        <f t="shared" si="57"/>
        <v/>
      </c>
      <c r="AG176" s="2" t="str">
        <f t="shared" si="58"/>
        <v/>
      </c>
      <c r="AH176" s="271" t="str">
        <f t="shared" si="61"/>
        <v/>
      </c>
      <c r="AI176" s="2" t="str">
        <f t="shared" si="59"/>
        <v/>
      </c>
      <c r="AJ176" s="2" t="str">
        <f t="shared" si="60"/>
        <v/>
      </c>
      <c r="AK176" s="420">
        <v>1</v>
      </c>
      <c r="AL176" s="429">
        <f t="shared" ca="1" si="50"/>
        <v>0</v>
      </c>
      <c r="AM176" s="311">
        <f t="shared" ca="1" si="51"/>
        <v>0</v>
      </c>
      <c r="AN176" s="412" t="str">
        <f ca="1">IF(AND(Tabla7[[#This Row],[UltLec]]&lt;&gt;0,Tabla7[[#This Row],[PenLect]]&lt;&gt;0),(AM176-AL176)*Tabla7[[#This Row],[RT]],"N/A")</f>
        <v>N/A</v>
      </c>
      <c r="AO176" s="273" t="s">
        <v>1135</v>
      </c>
      <c r="AP176" s="392" t="s">
        <v>1190</v>
      </c>
      <c r="AQ176" s="392" t="s">
        <v>1189</v>
      </c>
      <c r="AR176" s="407">
        <f t="shared" si="52"/>
        <v>0</v>
      </c>
      <c r="AT176" s="2" t="e">
        <f t="shared" ca="1" si="53"/>
        <v>#VALUE!</v>
      </c>
      <c r="AV176">
        <f>IF(ISBLANK(Tabla7[[#This Row],[31/12/2017]]),0,Tabla7[[#This Row],[31/12/2017]])</f>
        <v>0</v>
      </c>
      <c r="AW176">
        <f>IF(ISBLANK(Tabla7[[#This Row],[15/01/2018]]),0,Tabla7[[#This Row],[15/01/2018]])</f>
        <v>0</v>
      </c>
      <c r="AX176">
        <f>IF(ISBLANK(Tabla7[[#This Row],[15/02/2018]]),0,Tabla7[[#This Row],[15/02/2018]])</f>
        <v>3151</v>
      </c>
      <c r="AY176">
        <f>IF(ISBLANK(Tabla7[[#This Row],[15/03/2018]]),0,Tabla7[[#This Row],[15/03/2018]])</f>
        <v>0</v>
      </c>
      <c r="AZ176">
        <f>IF(ISBLANK(Tabla7[[#This Row],[15/04/2018]]),0,Tabla7[[#This Row],[15/04/2018]])</f>
        <v>0</v>
      </c>
      <c r="BA176">
        <f>IF(ISBLANK(Tabla7[[#This Row],[15/05/2018]]),0,Tabla7[[#This Row],[15/05/2018]])</f>
        <v>0</v>
      </c>
      <c r="BB176">
        <f>IF(ISBLANK(Tabla7[[#This Row],[15/06/2018]]),0,Tabla7[[#This Row],[15/06/2018]])</f>
        <v>0</v>
      </c>
      <c r="BC176">
        <f>IF(ISBLANK(Tabla7[[#This Row],[15/07/2018]]),0,Tabla7[[#This Row],[15/07/2018]])</f>
        <v>0</v>
      </c>
      <c r="BD176">
        <f>IF(ISBLANK(Tabla7[[#This Row],[15/08/2018]]),0,Tabla7[[#This Row],[15/08/2018]])</f>
        <v>0</v>
      </c>
      <c r="BE176">
        <f>IF(ISBLANK(Tabla7[[#This Row],[15/09/2018]]),0,Tabla7[[#This Row],[15/09/2018]])</f>
        <v>0</v>
      </c>
      <c r="BF176">
        <f>IF(ISBLANK(Tabla7[[#This Row],[15/10/2018]]),0,Tabla7[[#This Row],[15/10/2018]])</f>
        <v>0</v>
      </c>
      <c r="BG176">
        <f>IF(ISBLANK(Tabla7[[#This Row],[15/11/2018]]),0,Tabla7[[#This Row],[15/11/2018]])</f>
        <v>0</v>
      </c>
      <c r="BH176">
        <f>IF(ISBLANK(Tabla7[[#This Row],[15/12/2018]]),0,Tabla7[[#This Row],[15/12/2018]])</f>
        <v>0</v>
      </c>
      <c r="BI176">
        <f>IF(ISBLANK(Tabla7[[#This Row],[28/12/2018]]),0,Tabla7[[#This Row],[28/12/2018]])</f>
        <v>0</v>
      </c>
      <c r="BN17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('114014011','S','SCT72','2','???','INTERIOR CT LADO BAJA','','');</v>
      </c>
      <c r="BO176" t="s">
        <v>243</v>
      </c>
      <c r="BP176" s="632" t="str">
        <f>CONCATENATE("insert into lecturas values ","('",Tabla7[[#This Row],[CONTADOR]],"',STR_TO_DATE('",Tabla7[[#Headers],[31/12/2017]],"','%d/%m/%Y'),",AV176,"),","('",Tabla7[[#This Row],[CONTADOR]],"',STR_TO_DATE('",Tabla7[[#Headers],[15/01/2018]],"','%d/%m/%Y'),",AW176,"),","('",Tabla7[[#This Row],[CONTADOR]],"',STR_TO_DATE('",Tabla7[[#Headers],[15/02/2018]],"','%d/%m/%Y'),",AX176,"),","('",Tabla7[[#This Row],[CONTADOR]],"',STR_TO_DATE('",Tabla7[[#Headers],[15/03/2018]],"','%d/%m/%Y'),",AY176,"),","('",Tabla7[[#This Row],[CONTADOR]],"',STR_TO_DATE('",Tabla7[[#Headers],[15/04/2018]],"','%d/%m/%Y'),",AZ176,"),","('",Tabla7[[#This Row],[CONTADOR]],"',STR_TO_DATE('",Tabla7[[#Headers],[15/05/2018]],"','%d/%m/%Y'),",BA176,"),","('",Tabla7[[#This Row],[CONTADOR]],"',STR_TO_DATE('",Tabla7[[#Headers],[15/06/2018]],"','%d/%m/%Y'),",BB176,"),","('",Tabla7[[#This Row],[CONTADOR]],"',STR_TO_DATE('",Tabla7[[#Headers],[15/07/2018]],"','%d/%m/%Y'),",BC176,"),","('",Tabla7[[#This Row],[CONTADOR]],"',STR_TO_DATE('",Tabla7[[#Headers],[15/08/2018]],"','%d/%m/%Y'),",BD176,"),","('",Tabla7[[#This Row],[CONTADOR]],"',STR_TO_DATE('",Tabla7[[#Headers],[15/09/2018]],"','%d/%m/%Y'),",BE176,"),","('",Tabla7[[#This Row],[CONTADOR]],"',STR_TO_DATE('",Tabla7[[#Headers],[15/10/2018]],"','%d/%m/%Y'),",BF176,"),","('",Tabla7[[#This Row],[CONTADOR]],"',STR_TO_DATE('",Tabla7[[#Headers],[15/11/2018]],"','%d/%m/%Y'),",BG176,"),","('",Tabla7[[#This Row],[CONTADOR]],"',STR_TO_DATE('",Tabla7[[#Headers],[15/12/2018]],"','%d/%m/%Y'),",BH176,");")</f>
        <v>insert into lecturas values ('114014011',STR_TO_DATE('31/12/2017','%d/%m/%Y'),0),('114014011',STR_TO_DATE('15/01/2018','%d/%m/%Y'),0),('114014011',STR_TO_DATE('15/02/2018','%d/%m/%Y'),3151),('114014011',STR_TO_DATE('15/03/2018','%d/%m/%Y'),0),('114014011',STR_TO_DATE('15/04/2018','%d/%m/%Y'),0),('114014011',STR_TO_DATE('15/05/2018','%d/%m/%Y'),0),('114014011',STR_TO_DATE('15/06/2018','%d/%m/%Y'),0),('114014011',STR_TO_DATE('15/07/2018','%d/%m/%Y'),0),('114014011',STR_TO_DATE('15/08/2018','%d/%m/%Y'),0),('114014011',STR_TO_DATE('15/09/2018','%d/%m/%Y'),0),('114014011',STR_TO_DATE('15/10/2018','%d/%m/%Y'),0),('114014011',STR_TO_DATE('15/11/2018','%d/%m/%Y'),0),('114014011',STR_TO_DATE('15/12/2018','%d/%m/%Y'),0);</v>
      </c>
    </row>
    <row r="177" spans="1:68" ht="18" customHeight="1" x14ac:dyDescent="0.25">
      <c r="A177" s="241" t="s">
        <v>534</v>
      </c>
      <c r="B177" s="60"/>
      <c r="C177" s="223" t="s">
        <v>1166</v>
      </c>
      <c r="D177" s="60" t="s">
        <v>610</v>
      </c>
      <c r="E177" s="258">
        <v>2</v>
      </c>
      <c r="F177" s="274" t="s">
        <v>1165</v>
      </c>
      <c r="G177" s="274" t="s">
        <v>1159</v>
      </c>
      <c r="H177" s="274"/>
      <c r="I177" s="274"/>
      <c r="J177" s="311"/>
      <c r="K177" s="311"/>
      <c r="L177" s="274">
        <v>71</v>
      </c>
      <c r="M177" s="2"/>
      <c r="O177" s="454"/>
      <c r="P177" s="1"/>
      <c r="Q177" s="274">
        <v>0</v>
      </c>
      <c r="R177" s="274"/>
      <c r="S177" s="311"/>
      <c r="T177" s="274"/>
      <c r="U177" s="311">
        <v>0</v>
      </c>
      <c r="V177" s="353"/>
      <c r="W177" s="274"/>
      <c r="X177" s="2"/>
      <c r="Y177" s="2" t="str">
        <f t="shared" si="47"/>
        <v/>
      </c>
      <c r="Z177" s="2" t="str">
        <f t="shared" si="46"/>
        <v/>
      </c>
      <c r="AA177" s="2" t="str">
        <f t="shared" si="64"/>
        <v/>
      </c>
      <c r="AB177" s="2" t="str">
        <f t="shared" si="65"/>
        <v/>
      </c>
      <c r="AC177" s="2" t="str">
        <f t="shared" si="54"/>
        <v/>
      </c>
      <c r="AD177" s="2" t="str">
        <f t="shared" si="55"/>
        <v/>
      </c>
      <c r="AE177" s="2" t="str">
        <f t="shared" si="56"/>
        <v/>
      </c>
      <c r="AF177" s="2" t="str">
        <f t="shared" si="57"/>
        <v/>
      </c>
      <c r="AG177" s="2" t="str">
        <f t="shared" si="58"/>
        <v/>
      </c>
      <c r="AH177" s="271" t="str">
        <f t="shared" si="61"/>
        <v/>
      </c>
      <c r="AI177" s="2" t="str">
        <f t="shared" si="59"/>
        <v/>
      </c>
      <c r="AJ177" s="2" t="str">
        <f t="shared" si="60"/>
        <v/>
      </c>
      <c r="AK177" s="420">
        <v>1</v>
      </c>
      <c r="AL177" s="429">
        <f t="shared" ca="1" si="50"/>
        <v>0</v>
      </c>
      <c r="AM177" s="311">
        <f t="shared" ca="1" si="51"/>
        <v>0</v>
      </c>
      <c r="AN177" s="412" t="str">
        <f ca="1">IF(AND(Tabla7[[#This Row],[UltLec]]&lt;&gt;0,Tabla7[[#This Row],[PenLect]]&lt;&gt;0),(AM177-AL177)*Tabla7[[#This Row],[RT]],"N/A")</f>
        <v>N/A</v>
      </c>
      <c r="AO177" s="273" t="s">
        <v>1135</v>
      </c>
      <c r="AP177" s="392" t="s">
        <v>1190</v>
      </c>
      <c r="AQ177" s="392" t="s">
        <v>1189</v>
      </c>
      <c r="AR177" s="407">
        <f t="shared" si="52"/>
        <v>0</v>
      </c>
      <c r="AT177" s="2" t="e">
        <f t="shared" ca="1" si="53"/>
        <v>#VALUE!</v>
      </c>
      <c r="AV177">
        <f>IF(ISBLANK(Tabla7[[#This Row],[31/12/2017]]),0,Tabla7[[#This Row],[31/12/2017]])</f>
        <v>0</v>
      </c>
      <c r="AW177">
        <f>IF(ISBLANK(Tabla7[[#This Row],[15/01/2018]]),0,Tabla7[[#This Row],[15/01/2018]])</f>
        <v>0</v>
      </c>
      <c r="AX177">
        <f>IF(ISBLANK(Tabla7[[#This Row],[15/02/2018]]),0,Tabla7[[#This Row],[15/02/2018]])</f>
        <v>71</v>
      </c>
      <c r="AY177">
        <f>IF(ISBLANK(Tabla7[[#This Row],[15/03/2018]]),0,Tabla7[[#This Row],[15/03/2018]])</f>
        <v>0</v>
      </c>
      <c r="AZ177">
        <f>IF(ISBLANK(Tabla7[[#This Row],[15/04/2018]]),0,Tabla7[[#This Row],[15/04/2018]])</f>
        <v>0</v>
      </c>
      <c r="BA177">
        <f>IF(ISBLANK(Tabla7[[#This Row],[15/05/2018]]),0,Tabla7[[#This Row],[15/05/2018]])</f>
        <v>0</v>
      </c>
      <c r="BB177">
        <f>IF(ISBLANK(Tabla7[[#This Row],[15/06/2018]]),0,Tabla7[[#This Row],[15/06/2018]])</f>
        <v>0</v>
      </c>
      <c r="BC177">
        <f>IF(ISBLANK(Tabla7[[#This Row],[15/07/2018]]),0,Tabla7[[#This Row],[15/07/2018]])</f>
        <v>0</v>
      </c>
      <c r="BD177">
        <f>IF(ISBLANK(Tabla7[[#This Row],[15/08/2018]]),0,Tabla7[[#This Row],[15/08/2018]])</f>
        <v>0</v>
      </c>
      <c r="BE177">
        <f>IF(ISBLANK(Tabla7[[#This Row],[15/09/2018]]),0,Tabla7[[#This Row],[15/09/2018]])</f>
        <v>0</v>
      </c>
      <c r="BF177">
        <f>IF(ISBLANK(Tabla7[[#This Row],[15/10/2018]]),0,Tabla7[[#This Row],[15/10/2018]])</f>
        <v>0</v>
      </c>
      <c r="BG177">
        <f>IF(ISBLANK(Tabla7[[#This Row],[15/11/2018]]),0,Tabla7[[#This Row],[15/11/2018]])</f>
        <v>0</v>
      </c>
      <c r="BH177">
        <f>IF(ISBLANK(Tabla7[[#This Row],[15/12/2018]]),0,Tabla7[[#This Row],[15/12/2018]])</f>
        <v>0</v>
      </c>
      <c r="BI177">
        <f>IF(ISBLANK(Tabla7[[#This Row],[28/12/2018]]),0,Tabla7[[#This Row],[28/12/2018]])</f>
        <v>0</v>
      </c>
      <c r="BN17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('CXRUGBI17040534447','S','SCT72','2','ALUMBRADO TORRE 6','INTERIOR CT LADO BAJA','','');</v>
      </c>
      <c r="BO177" t="s">
        <v>243</v>
      </c>
      <c r="BP177" s="632" t="str">
        <f>CONCATENATE("insert into lecturas values ","('",Tabla7[[#This Row],[CONTADOR]],"',STR_TO_DATE('",Tabla7[[#Headers],[31/12/2017]],"','%d/%m/%Y'),",AV177,"),","('",Tabla7[[#This Row],[CONTADOR]],"',STR_TO_DATE('",Tabla7[[#Headers],[15/01/2018]],"','%d/%m/%Y'),",AW177,"),","('",Tabla7[[#This Row],[CONTADOR]],"',STR_TO_DATE('",Tabla7[[#Headers],[15/02/2018]],"','%d/%m/%Y'),",AX177,"),","('",Tabla7[[#This Row],[CONTADOR]],"',STR_TO_DATE('",Tabla7[[#Headers],[15/03/2018]],"','%d/%m/%Y'),",AY177,"),","('",Tabla7[[#This Row],[CONTADOR]],"',STR_TO_DATE('",Tabla7[[#Headers],[15/04/2018]],"','%d/%m/%Y'),",AZ177,"),","('",Tabla7[[#This Row],[CONTADOR]],"',STR_TO_DATE('",Tabla7[[#Headers],[15/05/2018]],"','%d/%m/%Y'),",BA177,"),","('",Tabla7[[#This Row],[CONTADOR]],"',STR_TO_DATE('",Tabla7[[#Headers],[15/06/2018]],"','%d/%m/%Y'),",BB177,"),","('",Tabla7[[#This Row],[CONTADOR]],"',STR_TO_DATE('",Tabla7[[#Headers],[15/07/2018]],"','%d/%m/%Y'),",BC177,"),","('",Tabla7[[#This Row],[CONTADOR]],"',STR_TO_DATE('",Tabla7[[#Headers],[15/08/2018]],"','%d/%m/%Y'),",BD177,"),","('",Tabla7[[#This Row],[CONTADOR]],"',STR_TO_DATE('",Tabla7[[#Headers],[15/09/2018]],"','%d/%m/%Y'),",BE177,"),","('",Tabla7[[#This Row],[CONTADOR]],"',STR_TO_DATE('",Tabla7[[#Headers],[15/10/2018]],"','%d/%m/%Y'),",BF177,"),","('",Tabla7[[#This Row],[CONTADOR]],"',STR_TO_DATE('",Tabla7[[#Headers],[15/11/2018]],"','%d/%m/%Y'),",BG177,"),","('",Tabla7[[#This Row],[CONTADOR]],"',STR_TO_DATE('",Tabla7[[#Headers],[15/12/2018]],"','%d/%m/%Y'),",BH177,");")</f>
        <v>insert into lecturas values ('CXRUGBI17040534447',STR_TO_DATE('31/12/2017','%d/%m/%Y'),0),('CXRUGBI17040534447',STR_TO_DATE('15/01/2018','%d/%m/%Y'),0),('CXRUGBI17040534447',STR_TO_DATE('15/02/2018','%d/%m/%Y'),71),('CXRUGBI17040534447',STR_TO_DATE('15/03/2018','%d/%m/%Y'),0),('CXRUGBI17040534447',STR_TO_DATE('15/04/2018','%d/%m/%Y'),0),('CXRUGBI17040534447',STR_TO_DATE('15/05/2018','%d/%m/%Y'),0),('CXRUGBI17040534447',STR_TO_DATE('15/06/2018','%d/%m/%Y'),0),('CXRUGBI17040534447',STR_TO_DATE('15/07/2018','%d/%m/%Y'),0),('CXRUGBI17040534447',STR_TO_DATE('15/08/2018','%d/%m/%Y'),0),('CXRUGBI17040534447',STR_TO_DATE('15/09/2018','%d/%m/%Y'),0),('CXRUGBI17040534447',STR_TO_DATE('15/10/2018','%d/%m/%Y'),0),('CXRUGBI17040534447',STR_TO_DATE('15/11/2018','%d/%m/%Y'),0),('CXRUGBI17040534447',STR_TO_DATE('15/12/2018','%d/%m/%Y'),0);</v>
      </c>
    </row>
    <row r="178" spans="1:68" ht="18" customHeight="1" x14ac:dyDescent="0.25">
      <c r="A178" s="241" t="s">
        <v>534</v>
      </c>
      <c r="B178" s="60"/>
      <c r="C178" s="223" t="s">
        <v>1160</v>
      </c>
      <c r="D178" s="60" t="s">
        <v>610</v>
      </c>
      <c r="E178" s="258">
        <v>2</v>
      </c>
      <c r="F178" s="274" t="s">
        <v>1161</v>
      </c>
      <c r="G178" s="274" t="s">
        <v>1159</v>
      </c>
      <c r="H178" s="274"/>
      <c r="I178" s="274"/>
      <c r="J178" s="311"/>
      <c r="K178" s="311"/>
      <c r="L178" s="274">
        <v>6777</v>
      </c>
      <c r="M178" s="2"/>
      <c r="O178" s="454"/>
      <c r="P178" s="1"/>
      <c r="Q178" s="274">
        <v>0</v>
      </c>
      <c r="R178" s="274"/>
      <c r="S178" s="311"/>
      <c r="T178" s="274"/>
      <c r="U178" s="311">
        <v>0</v>
      </c>
      <c r="V178" s="353"/>
      <c r="W178" s="274"/>
      <c r="X178" s="2"/>
      <c r="Y178" s="2" t="str">
        <f t="shared" si="47"/>
        <v/>
      </c>
      <c r="Z178" s="2" t="str">
        <f t="shared" si="46"/>
        <v/>
      </c>
      <c r="AA178" s="2" t="str">
        <f t="shared" si="64"/>
        <v/>
      </c>
      <c r="AB178" s="2" t="str">
        <f t="shared" si="65"/>
        <v/>
      </c>
      <c r="AC178" s="2" t="str">
        <f t="shared" si="54"/>
        <v/>
      </c>
      <c r="AD178" s="2" t="str">
        <f t="shared" si="55"/>
        <v/>
      </c>
      <c r="AE178" s="2" t="str">
        <f t="shared" si="56"/>
        <v/>
      </c>
      <c r="AF178" s="2" t="str">
        <f t="shared" si="57"/>
        <v/>
      </c>
      <c r="AG178" s="2" t="str">
        <f t="shared" si="58"/>
        <v/>
      </c>
      <c r="AH178" s="271" t="str">
        <f t="shared" si="61"/>
        <v/>
      </c>
      <c r="AI178" s="2" t="str">
        <f t="shared" si="59"/>
        <v/>
      </c>
      <c r="AJ178" s="2" t="str">
        <f t="shared" si="60"/>
        <v/>
      </c>
      <c r="AK178" s="420">
        <v>1</v>
      </c>
      <c r="AL178" s="429">
        <f t="shared" ca="1" si="50"/>
        <v>0</v>
      </c>
      <c r="AM178" s="311">
        <f t="shared" ca="1" si="51"/>
        <v>0</v>
      </c>
      <c r="AN178" s="412" t="str">
        <f ca="1">IF(AND(Tabla7[[#This Row],[UltLec]]&lt;&gt;0,Tabla7[[#This Row],[PenLect]]&lt;&gt;0),(AM178-AL178)*Tabla7[[#This Row],[RT]],"N/A")</f>
        <v>N/A</v>
      </c>
      <c r="AO178" s="273" t="s">
        <v>1135</v>
      </c>
      <c r="AP178" s="392" t="s">
        <v>1190</v>
      </c>
      <c r="AQ178" s="392" t="s">
        <v>1189</v>
      </c>
      <c r="AR178" s="407">
        <f t="shared" si="52"/>
        <v>0</v>
      </c>
      <c r="AT178" s="2" t="e">
        <f t="shared" ca="1" si="53"/>
        <v>#VALUE!</v>
      </c>
      <c r="AV178">
        <f>IF(ISBLANK(Tabla7[[#This Row],[31/12/2017]]),0,Tabla7[[#This Row],[31/12/2017]])</f>
        <v>0</v>
      </c>
      <c r="AW178">
        <f>IF(ISBLANK(Tabla7[[#This Row],[15/01/2018]]),0,Tabla7[[#This Row],[15/01/2018]])</f>
        <v>0</v>
      </c>
      <c r="AX178">
        <f>IF(ISBLANK(Tabla7[[#This Row],[15/02/2018]]),0,Tabla7[[#This Row],[15/02/2018]])</f>
        <v>6777</v>
      </c>
      <c r="AY178">
        <f>IF(ISBLANK(Tabla7[[#This Row],[15/03/2018]]),0,Tabla7[[#This Row],[15/03/2018]])</f>
        <v>0</v>
      </c>
      <c r="AZ178">
        <f>IF(ISBLANK(Tabla7[[#This Row],[15/04/2018]]),0,Tabla7[[#This Row],[15/04/2018]])</f>
        <v>0</v>
      </c>
      <c r="BA178">
        <f>IF(ISBLANK(Tabla7[[#This Row],[15/05/2018]]),0,Tabla7[[#This Row],[15/05/2018]])</f>
        <v>0</v>
      </c>
      <c r="BB178">
        <f>IF(ISBLANK(Tabla7[[#This Row],[15/06/2018]]),0,Tabla7[[#This Row],[15/06/2018]])</f>
        <v>0</v>
      </c>
      <c r="BC178">
        <f>IF(ISBLANK(Tabla7[[#This Row],[15/07/2018]]),0,Tabla7[[#This Row],[15/07/2018]])</f>
        <v>0</v>
      </c>
      <c r="BD178">
        <f>IF(ISBLANK(Tabla7[[#This Row],[15/08/2018]]),0,Tabla7[[#This Row],[15/08/2018]])</f>
        <v>0</v>
      </c>
      <c r="BE178">
        <f>IF(ISBLANK(Tabla7[[#This Row],[15/09/2018]]),0,Tabla7[[#This Row],[15/09/2018]])</f>
        <v>0</v>
      </c>
      <c r="BF178">
        <f>IF(ISBLANK(Tabla7[[#This Row],[15/10/2018]]),0,Tabla7[[#This Row],[15/10/2018]])</f>
        <v>0</v>
      </c>
      <c r="BG178">
        <f>IF(ISBLANK(Tabla7[[#This Row],[15/11/2018]]),0,Tabla7[[#This Row],[15/11/2018]])</f>
        <v>0</v>
      </c>
      <c r="BH178">
        <f>IF(ISBLANK(Tabla7[[#This Row],[15/12/2018]]),0,Tabla7[[#This Row],[15/12/2018]])</f>
        <v>0</v>
      </c>
      <c r="BI178">
        <f>IF(ISBLANK(Tabla7[[#This Row],[28/12/2018]]),0,Tabla7[[#This Row],[28/12/2018]])</f>
        <v>0</v>
      </c>
      <c r="BN17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('CXUVFER17038936162','S','SCT72','2','ALUMBRADO TORRE 5','INTERIOR CT LADO BAJA','','');</v>
      </c>
      <c r="BO178" t="s">
        <v>243</v>
      </c>
      <c r="BP178" s="632" t="str">
        <f>CONCATENATE("insert into lecturas values ","('",Tabla7[[#This Row],[CONTADOR]],"',STR_TO_DATE('",Tabla7[[#Headers],[31/12/2017]],"','%d/%m/%Y'),",AV178,"),","('",Tabla7[[#This Row],[CONTADOR]],"',STR_TO_DATE('",Tabla7[[#Headers],[15/01/2018]],"','%d/%m/%Y'),",AW178,"),","('",Tabla7[[#This Row],[CONTADOR]],"',STR_TO_DATE('",Tabla7[[#Headers],[15/02/2018]],"','%d/%m/%Y'),",AX178,"),","('",Tabla7[[#This Row],[CONTADOR]],"',STR_TO_DATE('",Tabla7[[#Headers],[15/03/2018]],"','%d/%m/%Y'),",AY178,"),","('",Tabla7[[#This Row],[CONTADOR]],"',STR_TO_DATE('",Tabla7[[#Headers],[15/04/2018]],"','%d/%m/%Y'),",AZ178,"),","('",Tabla7[[#This Row],[CONTADOR]],"',STR_TO_DATE('",Tabla7[[#Headers],[15/05/2018]],"','%d/%m/%Y'),",BA178,"),","('",Tabla7[[#This Row],[CONTADOR]],"',STR_TO_DATE('",Tabla7[[#Headers],[15/06/2018]],"','%d/%m/%Y'),",BB178,"),","('",Tabla7[[#This Row],[CONTADOR]],"',STR_TO_DATE('",Tabla7[[#Headers],[15/07/2018]],"','%d/%m/%Y'),",BC178,"),","('",Tabla7[[#This Row],[CONTADOR]],"',STR_TO_DATE('",Tabla7[[#Headers],[15/08/2018]],"','%d/%m/%Y'),",BD178,"),","('",Tabla7[[#This Row],[CONTADOR]],"',STR_TO_DATE('",Tabla7[[#Headers],[15/09/2018]],"','%d/%m/%Y'),",BE178,"),","('",Tabla7[[#This Row],[CONTADOR]],"',STR_TO_DATE('",Tabla7[[#Headers],[15/10/2018]],"','%d/%m/%Y'),",BF178,"),","('",Tabla7[[#This Row],[CONTADOR]],"',STR_TO_DATE('",Tabla7[[#Headers],[15/11/2018]],"','%d/%m/%Y'),",BG178,"),","('",Tabla7[[#This Row],[CONTADOR]],"',STR_TO_DATE('",Tabla7[[#Headers],[15/12/2018]],"','%d/%m/%Y'),",BH178,");")</f>
        <v>insert into lecturas values ('CXUVFER17038936162',STR_TO_DATE('31/12/2017','%d/%m/%Y'),0),('CXUVFER17038936162',STR_TO_DATE('15/01/2018','%d/%m/%Y'),0),('CXUVFER17038936162',STR_TO_DATE('15/02/2018','%d/%m/%Y'),6777),('CXUVFER17038936162',STR_TO_DATE('15/03/2018','%d/%m/%Y'),0),('CXUVFER17038936162',STR_TO_DATE('15/04/2018','%d/%m/%Y'),0),('CXUVFER17038936162',STR_TO_DATE('15/05/2018','%d/%m/%Y'),0),('CXUVFER17038936162',STR_TO_DATE('15/06/2018','%d/%m/%Y'),0),('CXUVFER17038936162',STR_TO_DATE('15/07/2018','%d/%m/%Y'),0),('CXUVFER17038936162',STR_TO_DATE('15/08/2018','%d/%m/%Y'),0),('CXUVFER17038936162',STR_TO_DATE('15/09/2018','%d/%m/%Y'),0),('CXUVFER17038936162',STR_TO_DATE('15/10/2018','%d/%m/%Y'),0),('CXUVFER17038936162',STR_TO_DATE('15/11/2018','%d/%m/%Y'),0),('CXUVFER17038936162',STR_TO_DATE('15/12/2018','%d/%m/%Y'),0);</v>
      </c>
    </row>
    <row r="179" spans="1:68" ht="18.75" customHeight="1" x14ac:dyDescent="0.3">
      <c r="A179" s="241" t="s">
        <v>534</v>
      </c>
      <c r="B179" s="60"/>
      <c r="C179" s="223" t="s">
        <v>1162</v>
      </c>
      <c r="D179" s="60" t="s">
        <v>610</v>
      </c>
      <c r="E179" s="258">
        <v>2</v>
      </c>
      <c r="F179" s="274" t="s">
        <v>1163</v>
      </c>
      <c r="G179" s="274" t="s">
        <v>47</v>
      </c>
      <c r="H179" s="2"/>
      <c r="I179" s="274"/>
      <c r="J179" s="311"/>
      <c r="K179" s="311"/>
      <c r="L179" s="311">
        <v>2985</v>
      </c>
      <c r="M179" s="2"/>
      <c r="N179" s="307"/>
      <c r="O179" s="311"/>
      <c r="P179" s="226"/>
      <c r="Q179" s="307">
        <v>0</v>
      </c>
      <c r="R179" s="307"/>
      <c r="S179" s="353"/>
      <c r="T179" s="307"/>
      <c r="U179" s="353">
        <v>0</v>
      </c>
      <c r="V179" s="353"/>
      <c r="W179" s="344"/>
      <c r="X179" s="307"/>
      <c r="Y179" s="2" t="str">
        <f t="shared" si="47"/>
        <v/>
      </c>
      <c r="Z179" s="2" t="str">
        <f t="shared" si="46"/>
        <v/>
      </c>
      <c r="AA179" s="2" t="str">
        <f t="shared" si="64"/>
        <v/>
      </c>
      <c r="AB179" s="2" t="str">
        <f t="shared" si="65"/>
        <v/>
      </c>
      <c r="AC179" s="2" t="str">
        <f t="shared" si="54"/>
        <v/>
      </c>
      <c r="AD179" s="2" t="str">
        <f t="shared" si="55"/>
        <v/>
      </c>
      <c r="AE179" s="2" t="str">
        <f t="shared" si="56"/>
        <v/>
      </c>
      <c r="AF179" s="2" t="str">
        <f t="shared" si="57"/>
        <v/>
      </c>
      <c r="AG179" s="2" t="str">
        <f t="shared" si="58"/>
        <v/>
      </c>
      <c r="AH179" s="271" t="str">
        <f t="shared" si="61"/>
        <v/>
      </c>
      <c r="AI179" s="2" t="str">
        <f t="shared" si="59"/>
        <v/>
      </c>
      <c r="AJ179" s="2" t="str">
        <f t="shared" si="60"/>
        <v/>
      </c>
      <c r="AK179" s="406">
        <v>1</v>
      </c>
      <c r="AL179" s="412">
        <f t="shared" ca="1" si="50"/>
        <v>0</v>
      </c>
      <c r="AM179" s="311">
        <f t="shared" ca="1" si="51"/>
        <v>0</v>
      </c>
      <c r="AN179" s="412" t="str">
        <f ca="1">IF(AND(Tabla7[[#This Row],[UltLec]]&lt;&gt;0,Tabla7[[#This Row],[PenLect]]&lt;&gt;0),(AM179-AL179)*Tabla7[[#This Row],[RT]],"N/A")</f>
        <v>N/A</v>
      </c>
      <c r="AO179" s="273" t="s">
        <v>1135</v>
      </c>
      <c r="AP179" s="392" t="s">
        <v>1190</v>
      </c>
      <c r="AQ179" s="392" t="s">
        <v>1189</v>
      </c>
      <c r="AR179" s="407">
        <f t="shared" si="52"/>
        <v>0</v>
      </c>
      <c r="AT179" s="2" t="e">
        <f t="shared" ca="1" si="53"/>
        <v>#VALUE!</v>
      </c>
      <c r="AV179">
        <f>IF(ISBLANK(Tabla7[[#This Row],[31/12/2017]]),0,Tabla7[[#This Row],[31/12/2017]])</f>
        <v>0</v>
      </c>
      <c r="AW179">
        <f>IF(ISBLANK(Tabla7[[#This Row],[15/01/2018]]),0,Tabla7[[#This Row],[15/01/2018]])</f>
        <v>0</v>
      </c>
      <c r="AX179">
        <f>IF(ISBLANK(Tabla7[[#This Row],[15/02/2018]]),0,Tabla7[[#This Row],[15/02/2018]])</f>
        <v>2985</v>
      </c>
      <c r="AY179">
        <f>IF(ISBLANK(Tabla7[[#This Row],[15/03/2018]]),0,Tabla7[[#This Row],[15/03/2018]])</f>
        <v>0</v>
      </c>
      <c r="AZ179">
        <f>IF(ISBLANK(Tabla7[[#This Row],[15/04/2018]]),0,Tabla7[[#This Row],[15/04/2018]])</f>
        <v>0</v>
      </c>
      <c r="BA179">
        <f>IF(ISBLANK(Tabla7[[#This Row],[15/05/2018]]),0,Tabla7[[#This Row],[15/05/2018]])</f>
        <v>0</v>
      </c>
      <c r="BB179">
        <f>IF(ISBLANK(Tabla7[[#This Row],[15/06/2018]]),0,Tabla7[[#This Row],[15/06/2018]])</f>
        <v>0</v>
      </c>
      <c r="BC179">
        <f>IF(ISBLANK(Tabla7[[#This Row],[15/07/2018]]),0,Tabla7[[#This Row],[15/07/2018]])</f>
        <v>0</v>
      </c>
      <c r="BD179">
        <f>IF(ISBLANK(Tabla7[[#This Row],[15/08/2018]]),0,Tabla7[[#This Row],[15/08/2018]])</f>
        <v>0</v>
      </c>
      <c r="BE179">
        <f>IF(ISBLANK(Tabla7[[#This Row],[15/09/2018]]),0,Tabla7[[#This Row],[15/09/2018]])</f>
        <v>0</v>
      </c>
      <c r="BF179">
        <f>IF(ISBLANK(Tabla7[[#This Row],[15/10/2018]]),0,Tabla7[[#This Row],[15/10/2018]])</f>
        <v>0</v>
      </c>
      <c r="BG179">
        <f>IF(ISBLANK(Tabla7[[#This Row],[15/11/2018]]),0,Tabla7[[#This Row],[15/11/2018]])</f>
        <v>0</v>
      </c>
      <c r="BH179">
        <f>IF(ISBLANK(Tabla7[[#This Row],[15/12/2018]]),0,Tabla7[[#This Row],[15/12/2018]])</f>
        <v>0</v>
      </c>
      <c r="BI179">
        <f>IF(ISBLANK(Tabla7[[#This Row],[28/12/2018]]),0,Tabla7[[#This Row],[28/12/2018]])</f>
        <v>0</v>
      </c>
      <c r="BN17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('CXUVFER17038936164','S','SCT72','2','GENERAL CT 7','INTERIOR CT','','');</v>
      </c>
      <c r="BO179" t="s">
        <v>243</v>
      </c>
      <c r="BP179" s="632" t="str">
        <f>CONCATENATE("insert into lecturas values ","('",Tabla7[[#This Row],[CONTADOR]],"',STR_TO_DATE('",Tabla7[[#Headers],[31/12/2017]],"','%d/%m/%Y'),",AV179,"),","('",Tabla7[[#This Row],[CONTADOR]],"',STR_TO_DATE('",Tabla7[[#Headers],[15/01/2018]],"','%d/%m/%Y'),",AW179,"),","('",Tabla7[[#This Row],[CONTADOR]],"',STR_TO_DATE('",Tabla7[[#Headers],[15/02/2018]],"','%d/%m/%Y'),",AX179,"),","('",Tabla7[[#This Row],[CONTADOR]],"',STR_TO_DATE('",Tabla7[[#Headers],[15/03/2018]],"','%d/%m/%Y'),",AY179,"),","('",Tabla7[[#This Row],[CONTADOR]],"',STR_TO_DATE('",Tabla7[[#Headers],[15/04/2018]],"','%d/%m/%Y'),",AZ179,"),","('",Tabla7[[#This Row],[CONTADOR]],"',STR_TO_DATE('",Tabla7[[#Headers],[15/05/2018]],"','%d/%m/%Y'),",BA179,"),","('",Tabla7[[#This Row],[CONTADOR]],"',STR_TO_DATE('",Tabla7[[#Headers],[15/06/2018]],"','%d/%m/%Y'),",BB179,"),","('",Tabla7[[#This Row],[CONTADOR]],"',STR_TO_DATE('",Tabla7[[#Headers],[15/07/2018]],"','%d/%m/%Y'),",BC179,"),","('",Tabla7[[#This Row],[CONTADOR]],"',STR_TO_DATE('",Tabla7[[#Headers],[15/08/2018]],"','%d/%m/%Y'),",BD179,"),","('",Tabla7[[#This Row],[CONTADOR]],"',STR_TO_DATE('",Tabla7[[#Headers],[15/09/2018]],"','%d/%m/%Y'),",BE179,"),","('",Tabla7[[#This Row],[CONTADOR]],"',STR_TO_DATE('",Tabla7[[#Headers],[15/10/2018]],"','%d/%m/%Y'),",BF179,"),","('",Tabla7[[#This Row],[CONTADOR]],"',STR_TO_DATE('",Tabla7[[#Headers],[15/11/2018]],"','%d/%m/%Y'),",BG179,"),","('",Tabla7[[#This Row],[CONTADOR]],"',STR_TO_DATE('",Tabla7[[#Headers],[15/12/2018]],"','%d/%m/%Y'),",BH179,");")</f>
        <v>insert into lecturas values ('CXUVFER17038936164',STR_TO_DATE('31/12/2017','%d/%m/%Y'),0),('CXUVFER17038936164',STR_TO_DATE('15/01/2018','%d/%m/%Y'),0),('CXUVFER17038936164',STR_TO_DATE('15/02/2018','%d/%m/%Y'),2985),('CXUVFER17038936164',STR_TO_DATE('15/03/2018','%d/%m/%Y'),0),('CXUVFER17038936164',STR_TO_DATE('15/04/2018','%d/%m/%Y'),0),('CXUVFER17038936164',STR_TO_DATE('15/05/2018','%d/%m/%Y'),0),('CXUVFER17038936164',STR_TO_DATE('15/06/2018','%d/%m/%Y'),0),('CXUVFER17038936164',STR_TO_DATE('15/07/2018','%d/%m/%Y'),0),('CXUVFER17038936164',STR_TO_DATE('15/08/2018','%d/%m/%Y'),0),('CXUVFER17038936164',STR_TO_DATE('15/09/2018','%d/%m/%Y'),0),('CXUVFER17038936164',STR_TO_DATE('15/10/2018','%d/%m/%Y'),0),('CXUVFER17038936164',STR_TO_DATE('15/11/2018','%d/%m/%Y'),0),('CXUVFER17038936164',STR_TO_DATE('15/12/2018','%d/%m/%Y'),0);</v>
      </c>
    </row>
    <row r="180" spans="1:68" ht="18" customHeight="1" x14ac:dyDescent="0.3">
      <c r="A180" s="241" t="s">
        <v>534</v>
      </c>
      <c r="B180" s="60"/>
      <c r="C180" s="223" t="s">
        <v>1164</v>
      </c>
      <c r="D180" s="60" t="s">
        <v>610</v>
      </c>
      <c r="E180" s="258">
        <v>2</v>
      </c>
      <c r="F180" s="274" t="s">
        <v>1163</v>
      </c>
      <c r="G180" s="274" t="s">
        <v>1159</v>
      </c>
      <c r="H180" s="274"/>
      <c r="I180" s="274"/>
      <c r="J180" s="311"/>
      <c r="K180" s="311"/>
      <c r="L180" s="311">
        <v>1387901</v>
      </c>
      <c r="M180" s="274"/>
      <c r="N180" s="307"/>
      <c r="O180" s="311"/>
      <c r="P180" s="226"/>
      <c r="Q180" s="307">
        <v>0</v>
      </c>
      <c r="R180" s="307"/>
      <c r="S180" s="353"/>
      <c r="T180" s="307"/>
      <c r="U180" s="353">
        <v>0</v>
      </c>
      <c r="V180" s="353"/>
      <c r="W180" s="344"/>
      <c r="X180" s="307"/>
      <c r="Y180" s="2" t="str">
        <f t="shared" si="47"/>
        <v/>
      </c>
      <c r="Z180" s="2" t="str">
        <f t="shared" si="46"/>
        <v/>
      </c>
      <c r="AA180" s="2" t="str">
        <f t="shared" si="64"/>
        <v/>
      </c>
      <c r="AB180" s="2" t="str">
        <f t="shared" si="65"/>
        <v/>
      </c>
      <c r="AC180" s="2" t="str">
        <f t="shared" si="54"/>
        <v/>
      </c>
      <c r="AD180" s="2" t="str">
        <f t="shared" si="55"/>
        <v/>
      </c>
      <c r="AE180" s="2" t="str">
        <f t="shared" si="56"/>
        <v/>
      </c>
      <c r="AF180" s="2" t="str">
        <f t="shared" si="57"/>
        <v/>
      </c>
      <c r="AG180" s="2" t="str">
        <f t="shared" si="58"/>
        <v/>
      </c>
      <c r="AH180" s="271" t="str">
        <f t="shared" si="61"/>
        <v/>
      </c>
      <c r="AI180" s="2" t="str">
        <f t="shared" si="59"/>
        <v/>
      </c>
      <c r="AJ180" s="2" t="str">
        <f t="shared" si="60"/>
        <v/>
      </c>
      <c r="AK180" s="406">
        <v>1</v>
      </c>
      <c r="AL180" s="412">
        <f t="shared" ca="1" si="50"/>
        <v>0</v>
      </c>
      <c r="AM180" s="311">
        <f t="shared" ca="1" si="51"/>
        <v>0</v>
      </c>
      <c r="AN180" s="412" t="str">
        <f ca="1">IF(AND(Tabla7[[#This Row],[UltLec]]&lt;&gt;0,Tabla7[[#This Row],[PenLect]]&lt;&gt;0),(AM180-AL180)*Tabla7[[#This Row],[RT]],"N/A")</f>
        <v>N/A</v>
      </c>
      <c r="AO180" s="273" t="s">
        <v>1135</v>
      </c>
      <c r="AP180" s="392" t="s">
        <v>1190</v>
      </c>
      <c r="AQ180" s="392" t="s">
        <v>1189</v>
      </c>
      <c r="AR180" s="407">
        <f t="shared" si="52"/>
        <v>0</v>
      </c>
      <c r="AT180" s="2" t="e">
        <f t="shared" ca="1" si="53"/>
        <v>#VALUE!</v>
      </c>
      <c r="AV180">
        <f>IF(ISBLANK(Tabla7[[#This Row],[31/12/2017]]),0,Tabla7[[#This Row],[31/12/2017]])</f>
        <v>0</v>
      </c>
      <c r="AW180">
        <f>IF(ISBLANK(Tabla7[[#This Row],[15/01/2018]]),0,Tabla7[[#This Row],[15/01/2018]])</f>
        <v>0</v>
      </c>
      <c r="AX180">
        <f>IF(ISBLANK(Tabla7[[#This Row],[15/02/2018]]),0,Tabla7[[#This Row],[15/02/2018]])</f>
        <v>1387901</v>
      </c>
      <c r="AY180">
        <f>IF(ISBLANK(Tabla7[[#This Row],[15/03/2018]]),0,Tabla7[[#This Row],[15/03/2018]])</f>
        <v>0</v>
      </c>
      <c r="AZ180">
        <f>IF(ISBLANK(Tabla7[[#This Row],[15/04/2018]]),0,Tabla7[[#This Row],[15/04/2018]])</f>
        <v>0</v>
      </c>
      <c r="BA180">
        <f>IF(ISBLANK(Tabla7[[#This Row],[15/05/2018]]),0,Tabla7[[#This Row],[15/05/2018]])</f>
        <v>0</v>
      </c>
      <c r="BB180">
        <f>IF(ISBLANK(Tabla7[[#This Row],[15/06/2018]]),0,Tabla7[[#This Row],[15/06/2018]])</f>
        <v>0</v>
      </c>
      <c r="BC180">
        <f>IF(ISBLANK(Tabla7[[#This Row],[15/07/2018]]),0,Tabla7[[#This Row],[15/07/2018]])</f>
        <v>0</v>
      </c>
      <c r="BD180">
        <f>IF(ISBLANK(Tabla7[[#This Row],[15/08/2018]]),0,Tabla7[[#This Row],[15/08/2018]])</f>
        <v>0</v>
      </c>
      <c r="BE180">
        <f>IF(ISBLANK(Tabla7[[#This Row],[15/09/2018]]),0,Tabla7[[#This Row],[15/09/2018]])</f>
        <v>0</v>
      </c>
      <c r="BF180">
        <f>IF(ISBLANK(Tabla7[[#This Row],[15/10/2018]]),0,Tabla7[[#This Row],[15/10/2018]])</f>
        <v>0</v>
      </c>
      <c r="BG180">
        <f>IF(ISBLANK(Tabla7[[#This Row],[15/11/2018]]),0,Tabla7[[#This Row],[15/11/2018]])</f>
        <v>0</v>
      </c>
      <c r="BH180">
        <f>IF(ISBLANK(Tabla7[[#This Row],[15/12/2018]]),0,Tabla7[[#This Row],[15/12/2018]])</f>
        <v>0</v>
      </c>
      <c r="BI180">
        <f>IF(ISBLANK(Tabla7[[#This Row],[28/12/2018]]),0,Tabla7[[#This Row],[28/12/2018]])</f>
        <v>0</v>
      </c>
      <c r="BN18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('PM4A3787A2','S','SCT72','2','GENERAL CT 7','INTERIOR CT LADO BAJA','','');</v>
      </c>
      <c r="BO180" t="s">
        <v>243</v>
      </c>
      <c r="BP180" s="632" t="str">
        <f>CONCATENATE("insert into lecturas values ","('",Tabla7[[#This Row],[CONTADOR]],"',STR_TO_DATE('",Tabla7[[#Headers],[31/12/2017]],"','%d/%m/%Y'),",AV180,"),","('",Tabla7[[#This Row],[CONTADOR]],"',STR_TO_DATE('",Tabla7[[#Headers],[15/01/2018]],"','%d/%m/%Y'),",AW180,"),","('",Tabla7[[#This Row],[CONTADOR]],"',STR_TO_DATE('",Tabla7[[#Headers],[15/02/2018]],"','%d/%m/%Y'),",AX180,"),","('",Tabla7[[#This Row],[CONTADOR]],"',STR_TO_DATE('",Tabla7[[#Headers],[15/03/2018]],"','%d/%m/%Y'),",AY180,"),","('",Tabla7[[#This Row],[CONTADOR]],"',STR_TO_DATE('",Tabla7[[#Headers],[15/04/2018]],"','%d/%m/%Y'),",AZ180,"),","('",Tabla7[[#This Row],[CONTADOR]],"',STR_TO_DATE('",Tabla7[[#Headers],[15/05/2018]],"','%d/%m/%Y'),",BA180,"),","('",Tabla7[[#This Row],[CONTADOR]],"',STR_TO_DATE('",Tabla7[[#Headers],[15/06/2018]],"','%d/%m/%Y'),",BB180,"),","('",Tabla7[[#This Row],[CONTADOR]],"',STR_TO_DATE('",Tabla7[[#Headers],[15/07/2018]],"','%d/%m/%Y'),",BC180,"),","('",Tabla7[[#This Row],[CONTADOR]],"',STR_TO_DATE('",Tabla7[[#Headers],[15/08/2018]],"','%d/%m/%Y'),",BD180,"),","('",Tabla7[[#This Row],[CONTADOR]],"',STR_TO_DATE('",Tabla7[[#Headers],[15/09/2018]],"','%d/%m/%Y'),",BE180,"),","('",Tabla7[[#This Row],[CONTADOR]],"',STR_TO_DATE('",Tabla7[[#Headers],[15/10/2018]],"','%d/%m/%Y'),",BF180,"),","('",Tabla7[[#This Row],[CONTADOR]],"',STR_TO_DATE('",Tabla7[[#Headers],[15/11/2018]],"','%d/%m/%Y'),",BG180,"),","('",Tabla7[[#This Row],[CONTADOR]],"',STR_TO_DATE('",Tabla7[[#Headers],[15/12/2018]],"','%d/%m/%Y'),",BH180,");")</f>
        <v>insert into lecturas values ('PM4A3787A2',STR_TO_DATE('31/12/2017','%d/%m/%Y'),0),('PM4A3787A2',STR_TO_DATE('15/01/2018','%d/%m/%Y'),0),('PM4A3787A2',STR_TO_DATE('15/02/2018','%d/%m/%Y'),1387901),('PM4A3787A2',STR_TO_DATE('15/03/2018','%d/%m/%Y'),0),('PM4A3787A2',STR_TO_DATE('15/04/2018','%d/%m/%Y'),0),('PM4A3787A2',STR_TO_DATE('15/05/2018','%d/%m/%Y'),0),('PM4A3787A2',STR_TO_DATE('15/06/2018','%d/%m/%Y'),0),('PM4A3787A2',STR_TO_DATE('15/07/2018','%d/%m/%Y'),0),('PM4A3787A2',STR_TO_DATE('15/08/2018','%d/%m/%Y'),0),('PM4A3787A2',STR_TO_DATE('15/09/2018','%d/%m/%Y'),0),('PM4A3787A2',STR_TO_DATE('15/10/2018','%d/%m/%Y'),0),('PM4A3787A2',STR_TO_DATE('15/11/2018','%d/%m/%Y'),0),('PM4A3787A2',STR_TO_DATE('15/12/2018','%d/%m/%Y'),0);</v>
      </c>
    </row>
    <row r="181" spans="1:68" ht="18" customHeight="1" x14ac:dyDescent="0.25">
      <c r="A181" s="241" t="s">
        <v>534</v>
      </c>
      <c r="B181" s="60"/>
      <c r="C181" s="223" t="s">
        <v>1158</v>
      </c>
      <c r="D181" s="60" t="s">
        <v>610</v>
      </c>
      <c r="E181" s="258">
        <v>2</v>
      </c>
      <c r="F181" s="274" t="s">
        <v>613</v>
      </c>
      <c r="G181" s="274" t="s">
        <v>1159</v>
      </c>
      <c r="H181" s="274"/>
      <c r="I181" s="274"/>
      <c r="J181" s="311"/>
      <c r="K181" s="311"/>
      <c r="L181" s="274">
        <v>334905</v>
      </c>
      <c r="M181" s="274"/>
      <c r="O181" s="454"/>
      <c r="P181" s="283"/>
      <c r="Q181" s="274"/>
      <c r="R181" s="274"/>
      <c r="S181" s="311"/>
      <c r="T181" s="274"/>
      <c r="U181" s="311">
        <v>0</v>
      </c>
      <c r="V181" s="353"/>
      <c r="W181" s="274"/>
      <c r="X181" s="2"/>
      <c r="Y181" s="2" t="str">
        <f t="shared" si="47"/>
        <v/>
      </c>
      <c r="Z181" s="2" t="str">
        <f t="shared" si="46"/>
        <v/>
      </c>
      <c r="AA181" s="2" t="str">
        <f t="shared" si="64"/>
        <v/>
      </c>
      <c r="AB181" s="2" t="str">
        <f t="shared" si="65"/>
        <v/>
      </c>
      <c r="AC181" s="2" t="str">
        <f t="shared" si="54"/>
        <v/>
      </c>
      <c r="AD181" s="2" t="str">
        <f t="shared" si="55"/>
        <v/>
      </c>
      <c r="AE181" s="2" t="str">
        <f t="shared" si="56"/>
        <v/>
      </c>
      <c r="AF181" s="2" t="str">
        <f t="shared" si="57"/>
        <v/>
      </c>
      <c r="AG181" s="2" t="str">
        <f t="shared" si="58"/>
        <v/>
      </c>
      <c r="AH181" s="2" t="str">
        <f t="shared" si="61"/>
        <v/>
      </c>
      <c r="AI181" s="2" t="str">
        <f t="shared" si="59"/>
        <v/>
      </c>
      <c r="AJ181" s="2" t="str">
        <f t="shared" si="60"/>
        <v/>
      </c>
      <c r="AK181" s="420">
        <v>1</v>
      </c>
      <c r="AL181" s="307">
        <f t="shared" ca="1" si="50"/>
        <v>0</v>
      </c>
      <c r="AM181" s="311">
        <f t="shared" ca="1" si="51"/>
        <v>0</v>
      </c>
      <c r="AN181" s="274" t="str">
        <f ca="1">IF(AND(Tabla7[[#This Row],[UltLec]]&lt;&gt;0,Tabla7[[#This Row],[PenLect]]&lt;&gt;0),(AM181-AL181)*Tabla7[[#This Row],[RT]],"N/A")</f>
        <v>N/A</v>
      </c>
      <c r="AO181" s="273" t="s">
        <v>1135</v>
      </c>
      <c r="AP181" s="392" t="s">
        <v>1190</v>
      </c>
      <c r="AQ181" s="392" t="s">
        <v>1189</v>
      </c>
      <c r="AR181" s="407">
        <f t="shared" si="52"/>
        <v>0</v>
      </c>
      <c r="AT181" s="2" t="e">
        <f t="shared" ca="1" si="53"/>
        <v>#VALUE!</v>
      </c>
      <c r="AV181">
        <f>IF(ISBLANK(Tabla7[[#This Row],[31/12/2017]]),0,Tabla7[[#This Row],[31/12/2017]])</f>
        <v>0</v>
      </c>
      <c r="AW181">
        <f>IF(ISBLANK(Tabla7[[#This Row],[15/01/2018]]),0,Tabla7[[#This Row],[15/01/2018]])</f>
        <v>0</v>
      </c>
      <c r="AX181">
        <f>IF(ISBLANK(Tabla7[[#This Row],[15/02/2018]]),0,Tabla7[[#This Row],[15/02/2018]])</f>
        <v>334905</v>
      </c>
      <c r="AY181">
        <f>IF(ISBLANK(Tabla7[[#This Row],[15/03/2018]]),0,Tabla7[[#This Row],[15/03/2018]])</f>
        <v>0</v>
      </c>
      <c r="AZ181">
        <f>IF(ISBLANK(Tabla7[[#This Row],[15/04/2018]]),0,Tabla7[[#This Row],[15/04/2018]])</f>
        <v>0</v>
      </c>
      <c r="BA181">
        <f>IF(ISBLANK(Tabla7[[#This Row],[15/05/2018]]),0,Tabla7[[#This Row],[15/05/2018]])</f>
        <v>0</v>
      </c>
      <c r="BB181">
        <f>IF(ISBLANK(Tabla7[[#This Row],[15/06/2018]]),0,Tabla7[[#This Row],[15/06/2018]])</f>
        <v>0</v>
      </c>
      <c r="BC181">
        <f>IF(ISBLANK(Tabla7[[#This Row],[15/07/2018]]),0,Tabla7[[#This Row],[15/07/2018]])</f>
        <v>0</v>
      </c>
      <c r="BD181">
        <f>IF(ISBLANK(Tabla7[[#This Row],[15/08/2018]]),0,Tabla7[[#This Row],[15/08/2018]])</f>
        <v>0</v>
      </c>
      <c r="BE181">
        <f>IF(ISBLANK(Tabla7[[#This Row],[15/09/2018]]),0,Tabla7[[#This Row],[15/09/2018]])</f>
        <v>0</v>
      </c>
      <c r="BF181">
        <f>IF(ISBLANK(Tabla7[[#This Row],[15/10/2018]]),0,Tabla7[[#This Row],[15/10/2018]])</f>
        <v>0</v>
      </c>
      <c r="BG181">
        <f>IF(ISBLANK(Tabla7[[#This Row],[15/11/2018]]),0,Tabla7[[#This Row],[15/11/2018]])</f>
        <v>0</v>
      </c>
      <c r="BH181">
        <f>IF(ISBLANK(Tabla7[[#This Row],[15/12/2018]]),0,Tabla7[[#This Row],[15/12/2018]])</f>
        <v>0</v>
      </c>
      <c r="BI181">
        <f>IF(ISBLANK(Tabla7[[#This Row],[28/12/2018]]),0,Tabla7[[#This Row],[28/12/2018]])</f>
        <v>0</v>
      </c>
      <c r="BN18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('PM4CD028F0','S','SCT72','2','Alumbrado viales CT7-2','INTERIOR CT LADO BAJA','','');</v>
      </c>
      <c r="BO181" t="s">
        <v>243</v>
      </c>
      <c r="BP181" s="632" t="str">
        <f>CONCATENATE("insert into lecturas values ","('",Tabla7[[#This Row],[CONTADOR]],"',STR_TO_DATE('",Tabla7[[#Headers],[31/12/2017]],"','%d/%m/%Y'),",AV181,"),","('",Tabla7[[#This Row],[CONTADOR]],"',STR_TO_DATE('",Tabla7[[#Headers],[15/01/2018]],"','%d/%m/%Y'),",AW181,"),","('",Tabla7[[#This Row],[CONTADOR]],"',STR_TO_DATE('",Tabla7[[#Headers],[15/02/2018]],"','%d/%m/%Y'),",AX181,"),","('",Tabla7[[#This Row],[CONTADOR]],"',STR_TO_DATE('",Tabla7[[#Headers],[15/03/2018]],"','%d/%m/%Y'),",AY181,"),","('",Tabla7[[#This Row],[CONTADOR]],"',STR_TO_DATE('",Tabla7[[#Headers],[15/04/2018]],"','%d/%m/%Y'),",AZ181,"),","('",Tabla7[[#This Row],[CONTADOR]],"',STR_TO_DATE('",Tabla7[[#Headers],[15/05/2018]],"','%d/%m/%Y'),",BA181,"),","('",Tabla7[[#This Row],[CONTADOR]],"',STR_TO_DATE('",Tabla7[[#Headers],[15/06/2018]],"','%d/%m/%Y'),",BB181,"),","('",Tabla7[[#This Row],[CONTADOR]],"',STR_TO_DATE('",Tabla7[[#Headers],[15/07/2018]],"','%d/%m/%Y'),",BC181,"),","('",Tabla7[[#This Row],[CONTADOR]],"',STR_TO_DATE('",Tabla7[[#Headers],[15/08/2018]],"','%d/%m/%Y'),",BD181,"),","('",Tabla7[[#This Row],[CONTADOR]],"',STR_TO_DATE('",Tabla7[[#Headers],[15/09/2018]],"','%d/%m/%Y'),",BE181,"),","('",Tabla7[[#This Row],[CONTADOR]],"',STR_TO_DATE('",Tabla7[[#Headers],[15/10/2018]],"','%d/%m/%Y'),",BF181,"),","('",Tabla7[[#This Row],[CONTADOR]],"',STR_TO_DATE('",Tabla7[[#Headers],[15/11/2018]],"','%d/%m/%Y'),",BG181,"),","('",Tabla7[[#This Row],[CONTADOR]],"',STR_TO_DATE('",Tabla7[[#Headers],[15/12/2018]],"','%d/%m/%Y'),",BH181,");")</f>
        <v>insert into lecturas values ('PM4CD028F0',STR_TO_DATE('31/12/2017','%d/%m/%Y'),0),('PM4CD028F0',STR_TO_DATE('15/01/2018','%d/%m/%Y'),0),('PM4CD028F0',STR_TO_DATE('15/02/2018','%d/%m/%Y'),334905),('PM4CD028F0',STR_TO_DATE('15/03/2018','%d/%m/%Y'),0),('PM4CD028F0',STR_TO_DATE('15/04/2018','%d/%m/%Y'),0),('PM4CD028F0',STR_TO_DATE('15/05/2018','%d/%m/%Y'),0),('PM4CD028F0',STR_TO_DATE('15/06/2018','%d/%m/%Y'),0),('PM4CD028F0',STR_TO_DATE('15/07/2018','%d/%m/%Y'),0),('PM4CD028F0',STR_TO_DATE('15/08/2018','%d/%m/%Y'),0),('PM4CD028F0',STR_TO_DATE('15/09/2018','%d/%m/%Y'),0),('PM4CD028F0',STR_TO_DATE('15/10/2018','%d/%m/%Y'),0),('PM4CD028F0',STR_TO_DATE('15/11/2018','%d/%m/%Y'),0),('PM4CD028F0',STR_TO_DATE('15/12/2018','%d/%m/%Y'),0);</v>
      </c>
    </row>
    <row r="182" spans="1:68" ht="18" customHeight="1" x14ac:dyDescent="0.25">
      <c r="A182" s="241" t="s">
        <v>534</v>
      </c>
      <c r="B182" s="60"/>
      <c r="C182" s="223"/>
      <c r="D182" s="60" t="s">
        <v>610</v>
      </c>
      <c r="E182" s="258">
        <v>2</v>
      </c>
      <c r="F182" s="274" t="s">
        <v>611</v>
      </c>
      <c r="G182" s="274" t="s">
        <v>612</v>
      </c>
      <c r="H182" s="274"/>
      <c r="I182" s="274"/>
      <c r="J182" s="311"/>
      <c r="K182" s="311"/>
      <c r="L182" s="274"/>
      <c r="M182" s="2"/>
      <c r="O182" s="311"/>
      <c r="P182" s="1"/>
      <c r="Q182" s="274"/>
      <c r="R182" s="274"/>
      <c r="S182" s="274"/>
      <c r="T182" s="274"/>
      <c r="U182" s="311">
        <v>0</v>
      </c>
      <c r="V182" s="353"/>
      <c r="W182" s="274"/>
      <c r="X182" s="2"/>
      <c r="Y182" s="2" t="str">
        <f t="shared" si="47"/>
        <v/>
      </c>
      <c r="Z182" s="2" t="str">
        <f t="shared" si="46"/>
        <v/>
      </c>
      <c r="AA182" s="2" t="str">
        <f t="shared" si="64"/>
        <v/>
      </c>
      <c r="AB182" s="2" t="str">
        <f t="shared" si="65"/>
        <v/>
      </c>
      <c r="AC182" s="2" t="str">
        <f t="shared" si="54"/>
        <v/>
      </c>
      <c r="AD182" s="2" t="str">
        <f t="shared" si="55"/>
        <v/>
      </c>
      <c r="AE182" s="2" t="str">
        <f t="shared" si="56"/>
        <v/>
      </c>
      <c r="AF182" s="2" t="str">
        <f t="shared" si="57"/>
        <v/>
      </c>
      <c r="AG182" s="2" t="str">
        <f t="shared" si="58"/>
        <v/>
      </c>
      <c r="AH182" s="2" t="str">
        <f t="shared" si="61"/>
        <v/>
      </c>
      <c r="AI182" s="2" t="str">
        <f t="shared" si="59"/>
        <v/>
      </c>
      <c r="AJ182" s="2" t="str">
        <f t="shared" si="60"/>
        <v/>
      </c>
      <c r="AK182" s="416">
        <v>20</v>
      </c>
      <c r="AL182" s="417">
        <f t="shared" ca="1" si="50"/>
        <v>0</v>
      </c>
      <c r="AM182" s="311">
        <f t="shared" ca="1" si="51"/>
        <v>0</v>
      </c>
      <c r="AN182" s="274" t="str">
        <f ca="1">IF(AND(Tabla7[[#This Row],[UltLec]]&lt;&gt;0,Tabla7[[#This Row],[PenLect]]&lt;&gt;0),(AM182-AL182)*Tabla7[[#This Row],[RT]],"N/A")</f>
        <v>N/A</v>
      </c>
      <c r="AO182" s="273" t="s">
        <v>1135</v>
      </c>
      <c r="AP182" s="392" t="s">
        <v>1190</v>
      </c>
      <c r="AQ182" s="392" t="s">
        <v>1189</v>
      </c>
      <c r="AR182" s="407">
        <f t="shared" si="52"/>
        <v>0</v>
      </c>
      <c r="AT182" s="2" t="e">
        <f t="shared" ca="1" si="53"/>
        <v>#VALUE!</v>
      </c>
      <c r="AV182">
        <f>IF(ISBLANK(Tabla7[[#This Row],[31/12/2017]]),0,Tabla7[[#This Row],[31/12/2017]])</f>
        <v>0</v>
      </c>
      <c r="AW182">
        <f>IF(ISBLANK(Tabla7[[#This Row],[15/01/2018]]),0,Tabla7[[#This Row],[15/01/2018]])</f>
        <v>0</v>
      </c>
      <c r="AX182">
        <f>IF(ISBLANK(Tabla7[[#This Row],[15/02/2018]]),0,Tabla7[[#This Row],[15/02/2018]])</f>
        <v>0</v>
      </c>
      <c r="AY182">
        <f>IF(ISBLANK(Tabla7[[#This Row],[15/03/2018]]),0,Tabla7[[#This Row],[15/03/2018]])</f>
        <v>0</v>
      </c>
      <c r="AZ182">
        <f>IF(ISBLANK(Tabla7[[#This Row],[15/04/2018]]),0,Tabla7[[#This Row],[15/04/2018]])</f>
        <v>0</v>
      </c>
      <c r="BA182">
        <f>IF(ISBLANK(Tabla7[[#This Row],[15/05/2018]]),0,Tabla7[[#This Row],[15/05/2018]])</f>
        <v>0</v>
      </c>
      <c r="BB182">
        <f>IF(ISBLANK(Tabla7[[#This Row],[15/06/2018]]),0,Tabla7[[#This Row],[15/06/2018]])</f>
        <v>0</v>
      </c>
      <c r="BC182">
        <f>IF(ISBLANK(Tabla7[[#This Row],[15/07/2018]]),0,Tabla7[[#This Row],[15/07/2018]])</f>
        <v>0</v>
      </c>
      <c r="BD182">
        <f>IF(ISBLANK(Tabla7[[#This Row],[15/08/2018]]),0,Tabla7[[#This Row],[15/08/2018]])</f>
        <v>0</v>
      </c>
      <c r="BE182">
        <f>IF(ISBLANK(Tabla7[[#This Row],[15/09/2018]]),0,Tabla7[[#This Row],[15/09/2018]])</f>
        <v>0</v>
      </c>
      <c r="BF182">
        <f>IF(ISBLANK(Tabla7[[#This Row],[15/10/2018]]),0,Tabla7[[#This Row],[15/10/2018]])</f>
        <v>0</v>
      </c>
      <c r="BG182">
        <f>IF(ISBLANK(Tabla7[[#This Row],[15/11/2018]]),0,Tabla7[[#This Row],[15/11/2018]])</f>
        <v>0</v>
      </c>
      <c r="BH182">
        <f>IF(ISBLANK(Tabla7[[#This Row],[15/12/2018]]),0,Tabla7[[#This Row],[15/12/2018]])</f>
        <v>0</v>
      </c>
      <c r="BI182">
        <f>IF(ISBLANK(Tabla7[[#This Row],[28/12/2018]]),0,Tabla7[[#This Row],[28/12/2018]])</f>
        <v>0</v>
      </c>
      <c r="BN18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('','S','SCT72','2','Sala contraincendios nº 3 ','Muelle Noreste','','');</v>
      </c>
      <c r="BO182" t="s">
        <v>243</v>
      </c>
      <c r="BP182" s="632" t="str">
        <f>CONCATENATE("insert into lecturas values ","('",Tabla7[[#This Row],[CONTADOR]],"',STR_TO_DATE('",Tabla7[[#Headers],[31/12/2017]],"','%d/%m/%Y'),",AV182,"),","('",Tabla7[[#This Row],[CONTADOR]],"',STR_TO_DATE('",Tabla7[[#Headers],[15/01/2018]],"','%d/%m/%Y'),",AW182,"),","('",Tabla7[[#This Row],[CONTADOR]],"',STR_TO_DATE('",Tabla7[[#Headers],[15/02/2018]],"','%d/%m/%Y'),",AX182,"),","('",Tabla7[[#This Row],[CONTADOR]],"',STR_TO_DATE('",Tabla7[[#Headers],[15/03/2018]],"','%d/%m/%Y'),",AY182,"),","('",Tabla7[[#This Row],[CONTADOR]],"',STR_TO_DATE('",Tabla7[[#Headers],[15/04/2018]],"','%d/%m/%Y'),",AZ182,"),","('",Tabla7[[#This Row],[CONTADOR]],"',STR_TO_DATE('",Tabla7[[#Headers],[15/05/2018]],"','%d/%m/%Y'),",BA182,"),","('",Tabla7[[#This Row],[CONTADOR]],"',STR_TO_DATE('",Tabla7[[#Headers],[15/06/2018]],"','%d/%m/%Y'),",BB182,"),","('",Tabla7[[#This Row],[CONTADOR]],"',STR_TO_DATE('",Tabla7[[#Headers],[15/07/2018]],"','%d/%m/%Y'),",BC182,"),","('",Tabla7[[#This Row],[CONTADOR]],"',STR_TO_DATE('",Tabla7[[#Headers],[15/08/2018]],"','%d/%m/%Y'),",BD182,"),","('",Tabla7[[#This Row],[CONTADOR]],"',STR_TO_DATE('",Tabla7[[#Headers],[15/09/2018]],"','%d/%m/%Y'),",BE182,"),","('",Tabla7[[#This Row],[CONTADOR]],"',STR_TO_DATE('",Tabla7[[#Headers],[15/10/2018]],"','%d/%m/%Y'),",BF182,"),","('",Tabla7[[#This Row],[CONTADOR]],"',STR_TO_DATE('",Tabla7[[#Headers],[15/11/2018]],"','%d/%m/%Y'),",BG182,"),","('",Tabla7[[#This Row],[CONTADOR]],"',STR_TO_DATE('",Tabla7[[#Headers],[15/12/2018]],"','%d/%m/%Y'),",BH182,");")</f>
        <v>insert into lecturas values ('',STR_TO_DATE('31/12/2017','%d/%m/%Y'),0),('',STR_TO_DATE('15/01/2018','%d/%m/%Y'),0),('',STR_TO_DATE('15/02/2018','%d/%m/%Y'),0),('',STR_TO_DATE('15/03/2018','%d/%m/%Y'),0),('',STR_TO_DATE('15/04/2018','%d/%m/%Y'),0),('',STR_TO_DATE('15/05/2018','%d/%m/%Y'),0),('',STR_TO_DATE('15/06/2018','%d/%m/%Y'),0),('',STR_TO_DATE('15/07/2018','%d/%m/%Y'),0),('',STR_TO_DATE('15/08/2018','%d/%m/%Y'),0),('',STR_TO_DATE('15/09/2018','%d/%m/%Y'),0),('',STR_TO_DATE('15/10/2018','%d/%m/%Y'),0),('',STR_TO_DATE('15/11/2018','%d/%m/%Y'),0),('',STR_TO_DATE('15/12/2018','%d/%m/%Y'),0);</v>
      </c>
    </row>
    <row r="183" spans="1:68" ht="18" customHeight="1" x14ac:dyDescent="0.25">
      <c r="A183" s="314" t="s">
        <v>741</v>
      </c>
      <c r="B183" s="60"/>
      <c r="C183" s="309" t="s">
        <v>316</v>
      </c>
      <c r="D183" s="315" t="s">
        <v>315</v>
      </c>
      <c r="E183" s="316">
        <v>150</v>
      </c>
      <c r="F183" s="264" t="s">
        <v>317</v>
      </c>
      <c r="G183" s="264" t="s">
        <v>318</v>
      </c>
      <c r="H183" s="264" t="s">
        <v>1136</v>
      </c>
      <c r="I183" s="313"/>
      <c r="J183" s="356">
        <v>102140</v>
      </c>
      <c r="K183" s="356">
        <v>102750</v>
      </c>
      <c r="L183" s="356">
        <v>104290</v>
      </c>
      <c r="M183" s="356">
        <v>105490</v>
      </c>
      <c r="N183" s="356">
        <v>106666</v>
      </c>
      <c r="O183" s="356">
        <v>107810</v>
      </c>
      <c r="P183" s="356">
        <v>109132</v>
      </c>
      <c r="Q183" s="356">
        <v>112421</v>
      </c>
      <c r="R183" s="356">
        <v>115310</v>
      </c>
      <c r="S183" s="356">
        <v>117820</v>
      </c>
      <c r="T183" s="356">
        <v>119600</v>
      </c>
      <c r="U183" s="356">
        <v>120840</v>
      </c>
      <c r="V183" s="356">
        <v>122066</v>
      </c>
      <c r="W183" s="313"/>
      <c r="X183" s="264"/>
      <c r="Y183" s="264">
        <f t="shared" si="47"/>
        <v>610</v>
      </c>
      <c r="Z183" s="264">
        <f t="shared" si="46"/>
        <v>1540</v>
      </c>
      <c r="AA183" s="264">
        <f t="shared" si="64"/>
        <v>1200</v>
      </c>
      <c r="AB183" s="264">
        <f t="shared" si="65"/>
        <v>1176</v>
      </c>
      <c r="AC183" s="264">
        <f t="shared" si="54"/>
        <v>1144</v>
      </c>
      <c r="AD183" s="264">
        <f t="shared" si="55"/>
        <v>1322</v>
      </c>
      <c r="AE183" s="264">
        <f t="shared" si="56"/>
        <v>3289</v>
      </c>
      <c r="AF183" s="264">
        <f t="shared" si="57"/>
        <v>2889</v>
      </c>
      <c r="AG183" s="264">
        <f t="shared" si="58"/>
        <v>2510</v>
      </c>
      <c r="AH183" s="264">
        <f t="shared" si="61"/>
        <v>1780</v>
      </c>
      <c r="AI183" s="264">
        <f t="shared" si="59"/>
        <v>1240</v>
      </c>
      <c r="AJ183" s="264">
        <f t="shared" si="60"/>
        <v>1226</v>
      </c>
      <c r="AK183" s="413">
        <v>1</v>
      </c>
      <c r="AL183" s="313">
        <f t="shared" ca="1" si="50"/>
        <v>106666</v>
      </c>
      <c r="AM183" s="356">
        <f t="shared" ca="1" si="51"/>
        <v>107810</v>
      </c>
      <c r="AN183" s="313">
        <f ca="1">IF(AND(Tabla7[[#This Row],[UltLec]]&lt;&gt;0,Tabla7[[#This Row],[PenLect]]&lt;&gt;0),(AM183-AL183)*Tabla7[[#This Row],[RT]],"N/A")</f>
        <v>1144</v>
      </c>
      <c r="AO183" s="437" t="s">
        <v>862</v>
      </c>
      <c r="AP183" s="438" t="s">
        <v>1190</v>
      </c>
      <c r="AQ183" s="438" t="s">
        <v>1189</v>
      </c>
      <c r="AR183" s="421">
        <f t="shared" si="52"/>
        <v>0</v>
      </c>
      <c r="AT183" s="2">
        <f t="shared" ca="1" si="53"/>
        <v>0.97278911564625847</v>
      </c>
      <c r="AV183">
        <f>IF(ISBLANK(Tabla7[[#This Row],[31/12/2017]]),0,Tabla7[[#This Row],[31/12/2017]])</f>
        <v>102140</v>
      </c>
      <c r="AW183">
        <f>IF(ISBLANK(Tabla7[[#This Row],[15/01/2018]]),0,Tabla7[[#This Row],[15/01/2018]])</f>
        <v>102750</v>
      </c>
      <c r="AX183">
        <f>IF(ISBLANK(Tabla7[[#This Row],[15/02/2018]]),0,Tabla7[[#This Row],[15/02/2018]])</f>
        <v>104290</v>
      </c>
      <c r="AY183">
        <f>IF(ISBLANK(Tabla7[[#This Row],[15/03/2018]]),0,Tabla7[[#This Row],[15/03/2018]])</f>
        <v>105490</v>
      </c>
      <c r="AZ183">
        <f>IF(ISBLANK(Tabla7[[#This Row],[15/04/2018]]),0,Tabla7[[#This Row],[15/04/2018]])</f>
        <v>106666</v>
      </c>
      <c r="BA183">
        <f>IF(ISBLANK(Tabla7[[#This Row],[15/05/2018]]),0,Tabla7[[#This Row],[15/05/2018]])</f>
        <v>107810</v>
      </c>
      <c r="BB183">
        <f>IF(ISBLANK(Tabla7[[#This Row],[15/06/2018]]),0,Tabla7[[#This Row],[15/06/2018]])</f>
        <v>109132</v>
      </c>
      <c r="BC183">
        <f>IF(ISBLANK(Tabla7[[#This Row],[15/07/2018]]),0,Tabla7[[#This Row],[15/07/2018]])</f>
        <v>112421</v>
      </c>
      <c r="BD183">
        <f>IF(ISBLANK(Tabla7[[#This Row],[15/08/2018]]),0,Tabla7[[#This Row],[15/08/2018]])</f>
        <v>115310</v>
      </c>
      <c r="BE183">
        <f>IF(ISBLANK(Tabla7[[#This Row],[15/09/2018]]),0,Tabla7[[#This Row],[15/09/2018]])</f>
        <v>117820</v>
      </c>
      <c r="BF183">
        <f>IF(ISBLANK(Tabla7[[#This Row],[15/10/2018]]),0,Tabla7[[#This Row],[15/10/2018]])</f>
        <v>119600</v>
      </c>
      <c r="BG183">
        <f>IF(ISBLANK(Tabla7[[#This Row],[15/11/2018]]),0,Tabla7[[#This Row],[15/11/2018]])</f>
        <v>120840</v>
      </c>
      <c r="BH183">
        <f>IF(ISBLANK(Tabla7[[#This Row],[15/12/2018]]),0,Tabla7[[#This Row],[15/12/2018]])</f>
        <v>122066</v>
      </c>
      <c r="BI183">
        <f>IF(ISBLANK(Tabla7[[#This Row],[28/12/2018]]),0,Tabla7[[#This Row],[28/12/2018]])</f>
        <v>0</v>
      </c>
      <c r="BN18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('Escuela Vela','FACT EXT','VARIOS','150','ESCUELA DE VELA AYUNTAMIENTO','BAJO PUENTE GIRATORIO','Mide GWh','');</v>
      </c>
      <c r="BO183" t="s">
        <v>243</v>
      </c>
      <c r="BP183" s="632" t="str">
        <f>CONCATENATE("insert into lecturas values ","('",Tabla7[[#This Row],[CONTADOR]],"',STR_TO_DATE('",Tabla7[[#Headers],[31/12/2017]],"','%d/%m/%Y'),",AV183,"),","('",Tabla7[[#This Row],[CONTADOR]],"',STR_TO_DATE('",Tabla7[[#Headers],[15/01/2018]],"','%d/%m/%Y'),",AW183,"),","('",Tabla7[[#This Row],[CONTADOR]],"',STR_TO_DATE('",Tabla7[[#Headers],[15/02/2018]],"','%d/%m/%Y'),",AX183,"),","('",Tabla7[[#This Row],[CONTADOR]],"',STR_TO_DATE('",Tabla7[[#Headers],[15/03/2018]],"','%d/%m/%Y'),",AY183,"),","('",Tabla7[[#This Row],[CONTADOR]],"',STR_TO_DATE('",Tabla7[[#Headers],[15/04/2018]],"','%d/%m/%Y'),",AZ183,"),","('",Tabla7[[#This Row],[CONTADOR]],"',STR_TO_DATE('",Tabla7[[#Headers],[15/05/2018]],"','%d/%m/%Y'),",BA183,"),","('",Tabla7[[#This Row],[CONTADOR]],"',STR_TO_DATE('",Tabla7[[#Headers],[15/06/2018]],"','%d/%m/%Y'),",BB183,"),","('",Tabla7[[#This Row],[CONTADOR]],"',STR_TO_DATE('",Tabla7[[#Headers],[15/07/2018]],"','%d/%m/%Y'),",BC183,"),","('",Tabla7[[#This Row],[CONTADOR]],"',STR_TO_DATE('",Tabla7[[#Headers],[15/08/2018]],"','%d/%m/%Y'),",BD183,"),","('",Tabla7[[#This Row],[CONTADOR]],"',STR_TO_DATE('",Tabla7[[#Headers],[15/09/2018]],"','%d/%m/%Y'),",BE183,"),","('",Tabla7[[#This Row],[CONTADOR]],"',STR_TO_DATE('",Tabla7[[#Headers],[15/10/2018]],"','%d/%m/%Y'),",BF183,"),","('",Tabla7[[#This Row],[CONTADOR]],"',STR_TO_DATE('",Tabla7[[#Headers],[15/11/2018]],"','%d/%m/%Y'),",BG183,"),","('",Tabla7[[#This Row],[CONTADOR]],"',STR_TO_DATE('",Tabla7[[#Headers],[15/12/2018]],"','%d/%m/%Y'),",BH183,");")</f>
        <v>insert into lecturas values ('Escuela Vela',STR_TO_DATE('31/12/2017','%d/%m/%Y'),102140),('Escuela Vela',STR_TO_DATE('15/01/2018','%d/%m/%Y'),102750),('Escuela Vela',STR_TO_DATE('15/02/2018','%d/%m/%Y'),104290),('Escuela Vela',STR_TO_DATE('15/03/2018','%d/%m/%Y'),105490),('Escuela Vela',STR_TO_DATE('15/04/2018','%d/%m/%Y'),106666),('Escuela Vela',STR_TO_DATE('15/05/2018','%d/%m/%Y'),107810),('Escuela Vela',STR_TO_DATE('15/06/2018','%d/%m/%Y'),109132),('Escuela Vela',STR_TO_DATE('15/07/2018','%d/%m/%Y'),112421),('Escuela Vela',STR_TO_DATE('15/08/2018','%d/%m/%Y'),115310),('Escuela Vela',STR_TO_DATE('15/09/2018','%d/%m/%Y'),117820),('Escuela Vela',STR_TO_DATE('15/10/2018','%d/%m/%Y'),119600),('Escuela Vela',STR_TO_DATE('15/11/2018','%d/%m/%Y'),120840),('Escuela Vela',STR_TO_DATE('15/12/2018','%d/%m/%Y'),122066);</v>
      </c>
    </row>
    <row r="184" spans="1:68" ht="18.75" customHeight="1" x14ac:dyDescent="0.25">
      <c r="A184" s="241" t="s">
        <v>762</v>
      </c>
      <c r="B184" s="60"/>
      <c r="C184" s="223" t="s">
        <v>319</v>
      </c>
      <c r="D184" s="60" t="s">
        <v>315</v>
      </c>
      <c r="E184" s="258">
        <v>39074</v>
      </c>
      <c r="F184" s="274" t="s">
        <v>320</v>
      </c>
      <c r="G184" s="274" t="s">
        <v>321</v>
      </c>
      <c r="H184" s="2" t="s">
        <v>322</v>
      </c>
      <c r="I184" s="274"/>
      <c r="J184" s="311"/>
      <c r="K184" s="311"/>
      <c r="L184" s="274"/>
      <c r="M184" s="2"/>
      <c r="O184" s="454"/>
      <c r="P184" s="1"/>
      <c r="Q184" s="2"/>
      <c r="R184" s="2"/>
      <c r="S184" s="2"/>
      <c r="U184" s="492"/>
      <c r="V184" s="274"/>
      <c r="W184" s="274"/>
      <c r="X184" s="2"/>
      <c r="Y184" s="2" t="str">
        <f t="shared" si="47"/>
        <v/>
      </c>
      <c r="Z184" s="2" t="str">
        <f t="shared" si="46"/>
        <v/>
      </c>
      <c r="AA184" s="2" t="str">
        <f t="shared" si="64"/>
        <v/>
      </c>
      <c r="AB184" s="2" t="str">
        <f t="shared" si="65"/>
        <v/>
      </c>
      <c r="AC184" s="2" t="str">
        <f t="shared" si="54"/>
        <v/>
      </c>
      <c r="AD184" s="2" t="str">
        <f t="shared" si="55"/>
        <v/>
      </c>
      <c r="AE184" s="2" t="str">
        <f t="shared" si="56"/>
        <v/>
      </c>
      <c r="AF184" s="2" t="str">
        <f t="shared" si="57"/>
        <v/>
      </c>
      <c r="AG184" s="2" t="str">
        <f t="shared" si="58"/>
        <v/>
      </c>
      <c r="AH184" s="2" t="str">
        <f t="shared" si="61"/>
        <v/>
      </c>
      <c r="AI184" s="2" t="str">
        <f t="shared" si="59"/>
        <v/>
      </c>
      <c r="AJ184" s="2" t="str">
        <f t="shared" si="60"/>
        <v/>
      </c>
      <c r="AK184" s="406">
        <v>1</v>
      </c>
      <c r="AL184" s="274">
        <f t="shared" ca="1" si="50"/>
        <v>0</v>
      </c>
      <c r="AM184" s="311">
        <f t="shared" ca="1" si="51"/>
        <v>0</v>
      </c>
      <c r="AN184" s="274" t="str">
        <f ca="1">IF(AND(Tabla7[[#This Row],[UltLec]]&lt;&gt;0,Tabla7[[#This Row],[PenLect]]&lt;&gt;0),(AM184-AL184)*Tabla7[[#This Row],[RT]],"N/A")</f>
        <v>N/A</v>
      </c>
      <c r="AO184" s="273"/>
      <c r="AP184" s="392" t="s">
        <v>1190</v>
      </c>
      <c r="AQ184" s="392" t="s">
        <v>1189</v>
      </c>
      <c r="AR184" s="407">
        <f t="shared" si="52"/>
        <v>0</v>
      </c>
      <c r="AT184" s="2" t="e">
        <f t="shared" ca="1" si="53"/>
        <v>#VALUE!</v>
      </c>
      <c r="AV184">
        <f>IF(ISBLANK(Tabla7[[#This Row],[31/12/2017]]),0,Tabla7[[#This Row],[31/12/2017]])</f>
        <v>0</v>
      </c>
      <c r="AW184">
        <f>IF(ISBLANK(Tabla7[[#This Row],[15/01/2018]]),0,Tabla7[[#This Row],[15/01/2018]])</f>
        <v>0</v>
      </c>
      <c r="AX184">
        <f>IF(ISBLANK(Tabla7[[#This Row],[15/02/2018]]),0,Tabla7[[#This Row],[15/02/2018]])</f>
        <v>0</v>
      </c>
      <c r="AY184">
        <f>IF(ISBLANK(Tabla7[[#This Row],[15/03/2018]]),0,Tabla7[[#This Row],[15/03/2018]])</f>
        <v>0</v>
      </c>
      <c r="AZ184">
        <f>IF(ISBLANK(Tabla7[[#This Row],[15/04/2018]]),0,Tabla7[[#This Row],[15/04/2018]])</f>
        <v>0</v>
      </c>
      <c r="BA184">
        <f>IF(ISBLANK(Tabla7[[#This Row],[15/05/2018]]),0,Tabla7[[#This Row],[15/05/2018]])</f>
        <v>0</v>
      </c>
      <c r="BB184">
        <f>IF(ISBLANK(Tabla7[[#This Row],[15/06/2018]]),0,Tabla7[[#This Row],[15/06/2018]])</f>
        <v>0</v>
      </c>
      <c r="BC184">
        <f>IF(ISBLANK(Tabla7[[#This Row],[15/07/2018]]),0,Tabla7[[#This Row],[15/07/2018]])</f>
        <v>0</v>
      </c>
      <c r="BD184">
        <f>IF(ISBLANK(Tabla7[[#This Row],[15/08/2018]]),0,Tabla7[[#This Row],[15/08/2018]])</f>
        <v>0</v>
      </c>
      <c r="BE184">
        <f>IF(ISBLANK(Tabla7[[#This Row],[15/09/2018]]),0,Tabla7[[#This Row],[15/09/2018]])</f>
        <v>0</v>
      </c>
      <c r="BF184">
        <f>IF(ISBLANK(Tabla7[[#This Row],[15/10/2018]]),0,Tabla7[[#This Row],[15/10/2018]])</f>
        <v>0</v>
      </c>
      <c r="BG184">
        <f>IF(ISBLANK(Tabla7[[#This Row],[15/11/2018]]),0,Tabla7[[#This Row],[15/11/2018]])</f>
        <v>0</v>
      </c>
      <c r="BH184">
        <f>IF(ISBLANK(Tabla7[[#This Row],[15/12/2018]]),0,Tabla7[[#This Row],[15/12/2018]])</f>
        <v>0</v>
      </c>
      <c r="BI184">
        <f>IF(ISBLANK(Tabla7[[#This Row],[28/12/2018]]),0,Tabla7[[#This Row],[28/12/2018]])</f>
        <v>0</v>
      </c>
      <c r="BN18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('Facturación fija','VFIJ','VARIOS','39074','CONSORCIO VALENCIA 2007       ','CTXX A. ED.APV (DIR)','Sin contador, facturación fija','');</v>
      </c>
      <c r="BO184" t="s">
        <v>243</v>
      </c>
      <c r="BP184" s="632" t="str">
        <f>CONCATENATE("insert into lecturas values ","('",Tabla7[[#This Row],[CONTADOR]],"',STR_TO_DATE('",Tabla7[[#Headers],[31/12/2017]],"','%d/%m/%Y'),",AV184,"),","('",Tabla7[[#This Row],[CONTADOR]],"',STR_TO_DATE('",Tabla7[[#Headers],[15/01/2018]],"','%d/%m/%Y'),",AW184,"),","('",Tabla7[[#This Row],[CONTADOR]],"',STR_TO_DATE('",Tabla7[[#Headers],[15/02/2018]],"','%d/%m/%Y'),",AX184,"),","('",Tabla7[[#This Row],[CONTADOR]],"',STR_TO_DATE('",Tabla7[[#Headers],[15/03/2018]],"','%d/%m/%Y'),",AY184,"),","('",Tabla7[[#This Row],[CONTADOR]],"',STR_TO_DATE('",Tabla7[[#Headers],[15/04/2018]],"','%d/%m/%Y'),",AZ184,"),","('",Tabla7[[#This Row],[CONTADOR]],"',STR_TO_DATE('",Tabla7[[#Headers],[15/05/2018]],"','%d/%m/%Y'),",BA184,"),","('",Tabla7[[#This Row],[CONTADOR]],"',STR_TO_DATE('",Tabla7[[#Headers],[15/06/2018]],"','%d/%m/%Y'),",BB184,"),","('",Tabla7[[#This Row],[CONTADOR]],"',STR_TO_DATE('",Tabla7[[#Headers],[15/07/2018]],"','%d/%m/%Y'),",BC184,"),","('",Tabla7[[#This Row],[CONTADOR]],"',STR_TO_DATE('",Tabla7[[#Headers],[15/08/2018]],"','%d/%m/%Y'),",BD184,"),","('",Tabla7[[#This Row],[CONTADOR]],"',STR_TO_DATE('",Tabla7[[#Headers],[15/09/2018]],"','%d/%m/%Y'),",BE184,"),","('",Tabla7[[#This Row],[CONTADOR]],"',STR_TO_DATE('",Tabla7[[#Headers],[15/10/2018]],"','%d/%m/%Y'),",BF184,"),","('",Tabla7[[#This Row],[CONTADOR]],"',STR_TO_DATE('",Tabla7[[#Headers],[15/11/2018]],"','%d/%m/%Y'),",BG184,"),","('",Tabla7[[#This Row],[CONTADOR]],"',STR_TO_DATE('",Tabla7[[#Headers],[15/12/2018]],"','%d/%m/%Y'),",BH184,");")</f>
        <v>insert into lecturas values ('Facturación fija',STR_TO_DATE('31/12/2017','%d/%m/%Y'),0),('Facturación fija',STR_TO_DATE('15/01/2018','%d/%m/%Y'),0),('Facturación fija',STR_TO_DATE('15/02/2018','%d/%m/%Y'),0),('Facturación fija',STR_TO_DATE('15/03/2018','%d/%m/%Y'),0),('Facturación fija',STR_TO_DATE('15/04/2018','%d/%m/%Y'),0),('Facturación fija',STR_TO_DATE('15/05/2018','%d/%m/%Y'),0),('Facturación fija',STR_TO_DATE('15/06/2018','%d/%m/%Y'),0),('Facturación fija',STR_TO_DATE('15/07/2018','%d/%m/%Y'),0),('Facturación fija',STR_TO_DATE('15/08/2018','%d/%m/%Y'),0),('Facturación fija',STR_TO_DATE('15/09/2018','%d/%m/%Y'),0),('Facturación fija',STR_TO_DATE('15/10/2018','%d/%m/%Y'),0),('Facturación fija',STR_TO_DATE('15/11/2018','%d/%m/%Y'),0),('Facturación fija',STR_TO_DATE('15/12/2018','%d/%m/%Y'),0);</v>
      </c>
    </row>
    <row r="185" spans="1:68" ht="18.75" customHeight="1" x14ac:dyDescent="0.25">
      <c r="A185" s="362" t="s">
        <v>739</v>
      </c>
      <c r="B185" s="60"/>
      <c r="C185" s="342">
        <v>5900984</v>
      </c>
      <c r="D185" s="364" t="s">
        <v>323</v>
      </c>
      <c r="E185" s="365">
        <v>1</v>
      </c>
      <c r="F185" s="366" t="s">
        <v>335</v>
      </c>
      <c r="G185" s="367" t="s">
        <v>336</v>
      </c>
      <c r="H185" s="367"/>
      <c r="I185" s="366"/>
      <c r="J185" s="368"/>
      <c r="K185" s="368"/>
      <c r="L185" s="368"/>
      <c r="M185" s="366">
        <v>181251</v>
      </c>
      <c r="N185" s="366">
        <v>181500</v>
      </c>
      <c r="O185" s="369">
        <v>181700</v>
      </c>
      <c r="P185" s="369">
        <v>182049</v>
      </c>
      <c r="Q185" s="366"/>
      <c r="R185" s="366"/>
      <c r="S185" s="368">
        <v>18334</v>
      </c>
      <c r="T185" s="558"/>
      <c r="U185" s="614">
        <v>0</v>
      </c>
      <c r="V185" s="366">
        <v>184363</v>
      </c>
      <c r="W185" s="367"/>
      <c r="X185" s="367"/>
      <c r="Y185" s="367" t="str">
        <f t="shared" si="47"/>
        <v/>
      </c>
      <c r="Z185" s="367" t="str">
        <f t="shared" ref="Z185:Z248" si="66">IF(OR(ISBLANK(L185),ISBLANK(K185)),"",IF(AND(L185&gt;=K185,L185-K185&lt;=L185),(L185-K185)*$AK185,"!!!!"))</f>
        <v/>
      </c>
      <c r="AA185" s="367" t="str">
        <f t="shared" si="64"/>
        <v/>
      </c>
      <c r="AB185" s="367">
        <f t="shared" si="65"/>
        <v>249</v>
      </c>
      <c r="AC185" s="367">
        <f t="shared" si="54"/>
        <v>200</v>
      </c>
      <c r="AD185" s="367">
        <f t="shared" si="55"/>
        <v>349</v>
      </c>
      <c r="AE185" s="367" t="str">
        <f t="shared" si="56"/>
        <v/>
      </c>
      <c r="AF185" s="367" t="str">
        <f t="shared" si="57"/>
        <v/>
      </c>
      <c r="AG185" s="367" t="str">
        <f t="shared" si="58"/>
        <v/>
      </c>
      <c r="AH185" s="367" t="str">
        <f t="shared" si="61"/>
        <v/>
      </c>
      <c r="AI185" s="367" t="str">
        <f t="shared" si="59"/>
        <v/>
      </c>
      <c r="AJ185" s="367">
        <f t="shared" si="60"/>
        <v>184363</v>
      </c>
      <c r="AK185" s="414">
        <v>1</v>
      </c>
      <c r="AL185" s="366">
        <f t="shared" ca="1" si="50"/>
        <v>181500</v>
      </c>
      <c r="AM185" s="368">
        <f t="shared" ca="1" si="51"/>
        <v>181700</v>
      </c>
      <c r="AN185" s="366">
        <f ca="1">IF(AND(Tabla7[[#This Row],[UltLec]]&lt;&gt;0,Tabla7[[#This Row],[PenLect]]&lt;&gt;0),(AM185-AL185)*Tabla7[[#This Row],[RT]],"N/A")</f>
        <v>200</v>
      </c>
      <c r="AO185" s="370" t="s">
        <v>862</v>
      </c>
      <c r="AP185" s="601" t="s">
        <v>1190</v>
      </c>
      <c r="AQ185" s="601" t="s">
        <v>1189</v>
      </c>
      <c r="AR185" s="415">
        <f t="shared" si="52"/>
        <v>0</v>
      </c>
      <c r="AT185" s="2">
        <f t="shared" ca="1" si="53"/>
        <v>0.80321285140562249</v>
      </c>
      <c r="AV185">
        <f>IF(ISBLANK(Tabla7[[#This Row],[31/12/2017]]),0,Tabla7[[#This Row],[31/12/2017]])</f>
        <v>0</v>
      </c>
      <c r="AW185">
        <f>IF(ISBLANK(Tabla7[[#This Row],[15/01/2018]]),0,Tabla7[[#This Row],[15/01/2018]])</f>
        <v>0</v>
      </c>
      <c r="AX185">
        <f>IF(ISBLANK(Tabla7[[#This Row],[15/02/2018]]),0,Tabla7[[#This Row],[15/02/2018]])</f>
        <v>0</v>
      </c>
      <c r="AY185">
        <f>IF(ISBLANK(Tabla7[[#This Row],[15/03/2018]]),0,Tabla7[[#This Row],[15/03/2018]])</f>
        <v>181251</v>
      </c>
      <c r="AZ185">
        <f>IF(ISBLANK(Tabla7[[#This Row],[15/04/2018]]),0,Tabla7[[#This Row],[15/04/2018]])</f>
        <v>181500</v>
      </c>
      <c r="BA185">
        <f>IF(ISBLANK(Tabla7[[#This Row],[15/05/2018]]),0,Tabla7[[#This Row],[15/05/2018]])</f>
        <v>181700</v>
      </c>
      <c r="BB185">
        <f>IF(ISBLANK(Tabla7[[#This Row],[15/06/2018]]),0,Tabla7[[#This Row],[15/06/2018]])</f>
        <v>182049</v>
      </c>
      <c r="BC185">
        <f>IF(ISBLANK(Tabla7[[#This Row],[15/07/2018]]),0,Tabla7[[#This Row],[15/07/2018]])</f>
        <v>0</v>
      </c>
      <c r="BD185">
        <f>IF(ISBLANK(Tabla7[[#This Row],[15/08/2018]]),0,Tabla7[[#This Row],[15/08/2018]])</f>
        <v>0</v>
      </c>
      <c r="BE185">
        <f>IF(ISBLANK(Tabla7[[#This Row],[15/09/2018]]),0,Tabla7[[#This Row],[15/09/2018]])</f>
        <v>18334</v>
      </c>
      <c r="BF185">
        <f>IF(ISBLANK(Tabla7[[#This Row],[15/10/2018]]),0,Tabla7[[#This Row],[15/10/2018]])</f>
        <v>0</v>
      </c>
      <c r="BG185">
        <f>IF(ISBLANK(Tabla7[[#This Row],[15/11/2018]]),0,Tabla7[[#This Row],[15/11/2018]])</f>
        <v>0</v>
      </c>
      <c r="BH185">
        <f>IF(ISBLANK(Tabla7[[#This Row],[15/12/2018]]),0,Tabla7[[#This Row],[15/12/2018]])</f>
        <v>184363</v>
      </c>
      <c r="BI185">
        <f>IF(ISBLANK(Tabla7[[#This Row],[28/12/2018]]),0,Tabla7[[#This Row],[28/12/2018]])</f>
        <v>0</v>
      </c>
      <c r="BN18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('5900984','VREP','VCDD','1','Ascensor Escalera y C .D.E.','C. CONTADORES EDIF .V','','');</v>
      </c>
      <c r="BO185" t="s">
        <v>243</v>
      </c>
      <c r="BP185" s="632" t="str">
        <f>CONCATENATE("insert into lecturas values ","('",Tabla7[[#This Row],[CONTADOR]],"',STR_TO_DATE('",Tabla7[[#Headers],[31/12/2017]],"','%d/%m/%Y'),",AV185,"),","('",Tabla7[[#This Row],[CONTADOR]],"',STR_TO_DATE('",Tabla7[[#Headers],[15/01/2018]],"','%d/%m/%Y'),",AW185,"),","('",Tabla7[[#This Row],[CONTADOR]],"',STR_TO_DATE('",Tabla7[[#Headers],[15/02/2018]],"','%d/%m/%Y'),",AX185,"),","('",Tabla7[[#This Row],[CONTADOR]],"',STR_TO_DATE('",Tabla7[[#Headers],[15/03/2018]],"','%d/%m/%Y'),",AY185,"),","('",Tabla7[[#This Row],[CONTADOR]],"',STR_TO_DATE('",Tabla7[[#Headers],[15/04/2018]],"','%d/%m/%Y'),",AZ185,"),","('",Tabla7[[#This Row],[CONTADOR]],"',STR_TO_DATE('",Tabla7[[#Headers],[15/05/2018]],"','%d/%m/%Y'),",BA185,"),","('",Tabla7[[#This Row],[CONTADOR]],"',STR_TO_DATE('",Tabla7[[#Headers],[15/06/2018]],"','%d/%m/%Y'),",BB185,"),","('",Tabla7[[#This Row],[CONTADOR]],"',STR_TO_DATE('",Tabla7[[#Headers],[15/07/2018]],"','%d/%m/%Y'),",BC185,"),","('",Tabla7[[#This Row],[CONTADOR]],"',STR_TO_DATE('",Tabla7[[#Headers],[15/08/2018]],"','%d/%m/%Y'),",BD185,"),","('",Tabla7[[#This Row],[CONTADOR]],"',STR_TO_DATE('",Tabla7[[#Headers],[15/09/2018]],"','%d/%m/%Y'),",BE185,"),","('",Tabla7[[#This Row],[CONTADOR]],"',STR_TO_DATE('",Tabla7[[#Headers],[15/10/2018]],"','%d/%m/%Y'),",BF185,"),","('",Tabla7[[#This Row],[CONTADOR]],"',STR_TO_DATE('",Tabla7[[#Headers],[15/11/2018]],"','%d/%m/%Y'),",BG185,"),","('",Tabla7[[#This Row],[CONTADOR]],"',STR_TO_DATE('",Tabla7[[#Headers],[15/12/2018]],"','%d/%m/%Y'),",BH185,");")</f>
        <v>insert into lecturas values ('5900984',STR_TO_DATE('31/12/2017','%d/%m/%Y'),0),('5900984',STR_TO_DATE('15/01/2018','%d/%m/%Y'),0),('5900984',STR_TO_DATE('15/02/2018','%d/%m/%Y'),0),('5900984',STR_TO_DATE('15/03/2018','%d/%m/%Y'),181251),('5900984',STR_TO_DATE('15/04/2018','%d/%m/%Y'),181500),('5900984',STR_TO_DATE('15/05/2018','%d/%m/%Y'),181700),('5900984',STR_TO_DATE('15/06/2018','%d/%m/%Y'),182049),('5900984',STR_TO_DATE('15/07/2018','%d/%m/%Y'),0),('5900984',STR_TO_DATE('15/08/2018','%d/%m/%Y'),0),('5900984',STR_TO_DATE('15/09/2018','%d/%m/%Y'),18334),('5900984',STR_TO_DATE('15/10/2018','%d/%m/%Y'),0),('5900984',STR_TO_DATE('15/11/2018','%d/%m/%Y'),0),('5900984',STR_TO_DATE('15/12/2018','%d/%m/%Y'),184363);</v>
      </c>
    </row>
    <row r="186" spans="1:68" ht="18.75" customHeight="1" x14ac:dyDescent="0.25">
      <c r="A186" s="372" t="s">
        <v>1196</v>
      </c>
      <c r="B186" s="374"/>
      <c r="C186" s="373">
        <v>11210006</v>
      </c>
      <c r="D186" s="374" t="s">
        <v>323</v>
      </c>
      <c r="E186" s="375">
        <v>39033</v>
      </c>
      <c r="F186" s="376" t="s">
        <v>462</v>
      </c>
      <c r="G186" s="376" t="s">
        <v>1042</v>
      </c>
      <c r="H186" s="376" t="s">
        <v>855</v>
      </c>
      <c r="I186" s="377" t="s">
        <v>798</v>
      </c>
      <c r="J186" s="383">
        <v>33543</v>
      </c>
      <c r="K186" s="383">
        <v>33596</v>
      </c>
      <c r="L186" s="383">
        <v>33700</v>
      </c>
      <c r="M186" s="383">
        <v>33788</v>
      </c>
      <c r="N186" s="383">
        <v>33874</v>
      </c>
      <c r="O186" s="383">
        <v>33958</v>
      </c>
      <c r="P186" s="383"/>
      <c r="Q186" s="383"/>
      <c r="R186" s="383"/>
      <c r="S186" s="368"/>
      <c r="T186" s="376"/>
      <c r="U186" s="519"/>
      <c r="V186" s="376"/>
      <c r="W186" s="377"/>
      <c r="X186" s="376"/>
      <c r="Y186" s="376">
        <f t="shared" ref="Y186:Y249" si="67">IF(OR(ISBLANK(K186),ISBLANK(J186)),"",IF(AND(K186&gt;=J186,K186-J186&lt;=K186),(K186-J186)*$AK186,"!!!!"))</f>
        <v>1060</v>
      </c>
      <c r="Z186" s="376">
        <f t="shared" si="66"/>
        <v>2080</v>
      </c>
      <c r="AA186" s="376">
        <f t="shared" si="64"/>
        <v>1760</v>
      </c>
      <c r="AB186" s="376">
        <f t="shared" si="65"/>
        <v>1720</v>
      </c>
      <c r="AC186" s="376">
        <f t="shared" si="54"/>
        <v>1680</v>
      </c>
      <c r="AD186" s="376" t="str">
        <f t="shared" si="55"/>
        <v/>
      </c>
      <c r="AE186" s="376" t="str">
        <f t="shared" si="56"/>
        <v/>
      </c>
      <c r="AF186" s="376" t="str">
        <f t="shared" si="57"/>
        <v/>
      </c>
      <c r="AG186" s="376" t="str">
        <f t="shared" si="58"/>
        <v/>
      </c>
      <c r="AH186" s="376" t="str">
        <f t="shared" si="61"/>
        <v/>
      </c>
      <c r="AI186" s="376" t="str">
        <f t="shared" si="59"/>
        <v/>
      </c>
      <c r="AJ186" s="376" t="str">
        <f t="shared" si="60"/>
        <v/>
      </c>
      <c r="AK186" s="408">
        <v>20</v>
      </c>
      <c r="AL186" s="423">
        <f t="shared" ca="1" si="50"/>
        <v>33874</v>
      </c>
      <c r="AM186" s="383">
        <f t="shared" ca="1" si="51"/>
        <v>33958</v>
      </c>
      <c r="AN186" s="377">
        <f ca="1">IF(AND(Tabla7[[#This Row],[UltLec]]&lt;&gt;0,Tabla7[[#This Row],[PenLect]]&lt;&gt;0),(AM186-AL186)*Tabla7[[#This Row],[RT]],"N/A")</f>
        <v>1680</v>
      </c>
      <c r="AO186" s="380" t="s">
        <v>1281</v>
      </c>
      <c r="AP186" s="433" t="s">
        <v>1190</v>
      </c>
      <c r="AQ186" s="433" t="s">
        <v>1189</v>
      </c>
      <c r="AR186" s="409">
        <f t="shared" si="52"/>
        <v>0</v>
      </c>
      <c r="AT186" s="2">
        <f t="shared" ca="1" si="53"/>
        <v>0.97674418604651159</v>
      </c>
      <c r="AV186">
        <f>IF(ISBLANK(Tabla7[[#This Row],[31/12/2017]]),0,Tabla7[[#This Row],[31/12/2017]])</f>
        <v>33543</v>
      </c>
      <c r="AW186">
        <f>IF(ISBLANK(Tabla7[[#This Row],[15/01/2018]]),0,Tabla7[[#This Row],[15/01/2018]])</f>
        <v>33596</v>
      </c>
      <c r="AX186">
        <f>IF(ISBLANK(Tabla7[[#This Row],[15/02/2018]]),0,Tabla7[[#This Row],[15/02/2018]])</f>
        <v>33700</v>
      </c>
      <c r="AY186">
        <f>IF(ISBLANK(Tabla7[[#This Row],[15/03/2018]]),0,Tabla7[[#This Row],[15/03/2018]])</f>
        <v>33788</v>
      </c>
      <c r="AZ186">
        <f>IF(ISBLANK(Tabla7[[#This Row],[15/04/2018]]),0,Tabla7[[#This Row],[15/04/2018]])</f>
        <v>33874</v>
      </c>
      <c r="BA186">
        <f>IF(ISBLANK(Tabla7[[#This Row],[15/05/2018]]),0,Tabla7[[#This Row],[15/05/2018]])</f>
        <v>33958</v>
      </c>
      <c r="BB186">
        <f>IF(ISBLANK(Tabla7[[#This Row],[15/06/2018]]),0,Tabla7[[#This Row],[15/06/2018]])</f>
        <v>0</v>
      </c>
      <c r="BC186">
        <f>IF(ISBLANK(Tabla7[[#This Row],[15/07/2018]]),0,Tabla7[[#This Row],[15/07/2018]])</f>
        <v>0</v>
      </c>
      <c r="BD186">
        <f>IF(ISBLANK(Tabla7[[#This Row],[15/08/2018]]),0,Tabla7[[#This Row],[15/08/2018]])</f>
        <v>0</v>
      </c>
      <c r="BE186">
        <f>IF(ISBLANK(Tabla7[[#This Row],[15/09/2018]]),0,Tabla7[[#This Row],[15/09/2018]])</f>
        <v>0</v>
      </c>
      <c r="BF186">
        <f>IF(ISBLANK(Tabla7[[#This Row],[15/10/2018]]),0,Tabla7[[#This Row],[15/10/2018]])</f>
        <v>0</v>
      </c>
      <c r="BG186">
        <f>IF(ISBLANK(Tabla7[[#This Row],[15/11/2018]]),0,Tabla7[[#This Row],[15/11/2018]])</f>
        <v>0</v>
      </c>
      <c r="BH186">
        <f>IF(ISBLANK(Tabla7[[#This Row],[15/12/2018]]),0,Tabla7[[#This Row],[15/12/2018]])</f>
        <v>0</v>
      </c>
      <c r="BI186">
        <f>IF(ISBLANK(Tabla7[[#This Row],[28/12/2018]]),0,Tabla7[[#This Row],[28/12/2018]])</f>
        <v>0</v>
      </c>
      <c r="BN18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('11210006','VBAJA','VCDD','39033','INFOPORT VALENCIA, S.A.','C. CONTADORES EDIF .V (2)','OFICINA 2ª PLANTA','100/5');</v>
      </c>
      <c r="BO186" t="s">
        <v>243</v>
      </c>
      <c r="BP186" s="632" t="str">
        <f>CONCATENATE("insert into lecturas values ","('",Tabla7[[#This Row],[CONTADOR]],"',STR_TO_DATE('",Tabla7[[#Headers],[31/12/2017]],"','%d/%m/%Y'),",AV186,"),","('",Tabla7[[#This Row],[CONTADOR]],"',STR_TO_DATE('",Tabla7[[#Headers],[15/01/2018]],"','%d/%m/%Y'),",AW186,"),","('",Tabla7[[#This Row],[CONTADOR]],"',STR_TO_DATE('",Tabla7[[#Headers],[15/02/2018]],"','%d/%m/%Y'),",AX186,"),","('",Tabla7[[#This Row],[CONTADOR]],"',STR_TO_DATE('",Tabla7[[#Headers],[15/03/2018]],"','%d/%m/%Y'),",AY186,"),","('",Tabla7[[#This Row],[CONTADOR]],"',STR_TO_DATE('",Tabla7[[#Headers],[15/04/2018]],"','%d/%m/%Y'),",AZ186,"),","('",Tabla7[[#This Row],[CONTADOR]],"',STR_TO_DATE('",Tabla7[[#Headers],[15/05/2018]],"','%d/%m/%Y'),",BA186,"),","('",Tabla7[[#This Row],[CONTADOR]],"',STR_TO_DATE('",Tabla7[[#Headers],[15/06/2018]],"','%d/%m/%Y'),",BB186,"),","('",Tabla7[[#This Row],[CONTADOR]],"',STR_TO_DATE('",Tabla7[[#Headers],[15/07/2018]],"','%d/%m/%Y'),",BC186,"),","('",Tabla7[[#This Row],[CONTADOR]],"',STR_TO_DATE('",Tabla7[[#Headers],[15/08/2018]],"','%d/%m/%Y'),",BD186,"),","('",Tabla7[[#This Row],[CONTADOR]],"',STR_TO_DATE('",Tabla7[[#Headers],[15/09/2018]],"','%d/%m/%Y'),",BE186,"),","('",Tabla7[[#This Row],[CONTADOR]],"',STR_TO_DATE('",Tabla7[[#Headers],[15/10/2018]],"','%d/%m/%Y'),",BF186,"),","('",Tabla7[[#This Row],[CONTADOR]],"',STR_TO_DATE('",Tabla7[[#Headers],[15/11/2018]],"','%d/%m/%Y'),",BG186,"),","('",Tabla7[[#This Row],[CONTADOR]],"',STR_TO_DATE('",Tabla7[[#Headers],[15/12/2018]],"','%d/%m/%Y'),",BH186,");")</f>
        <v>insert into lecturas values ('11210006',STR_TO_DATE('31/12/2017','%d/%m/%Y'),33543),('11210006',STR_TO_DATE('15/01/2018','%d/%m/%Y'),33596),('11210006',STR_TO_DATE('15/02/2018','%d/%m/%Y'),33700),('11210006',STR_TO_DATE('15/03/2018','%d/%m/%Y'),33788),('11210006',STR_TO_DATE('15/04/2018','%d/%m/%Y'),33874),('11210006',STR_TO_DATE('15/05/2018','%d/%m/%Y'),33958),('11210006',STR_TO_DATE('15/06/2018','%d/%m/%Y'),0),('11210006',STR_TO_DATE('15/07/2018','%d/%m/%Y'),0),('11210006',STR_TO_DATE('15/08/2018','%d/%m/%Y'),0),('11210006',STR_TO_DATE('15/09/2018','%d/%m/%Y'),0),('11210006',STR_TO_DATE('15/10/2018','%d/%m/%Y'),0),('11210006',STR_TO_DATE('15/11/2018','%d/%m/%Y'),0),('11210006',STR_TO_DATE('15/12/2018','%d/%m/%Y'),0);</v>
      </c>
    </row>
    <row r="187" spans="1:68" ht="18.75" customHeight="1" x14ac:dyDescent="0.25">
      <c r="A187" s="372" t="s">
        <v>1196</v>
      </c>
      <c r="B187" s="374"/>
      <c r="C187" s="373">
        <v>11210314</v>
      </c>
      <c r="D187" s="374" t="s">
        <v>323</v>
      </c>
      <c r="E187" s="375">
        <v>30000</v>
      </c>
      <c r="F187" s="377" t="s">
        <v>461</v>
      </c>
      <c r="G187" s="376" t="s">
        <v>978</v>
      </c>
      <c r="H187" s="376"/>
      <c r="I187" s="377" t="s">
        <v>797</v>
      </c>
      <c r="J187" s="383">
        <v>24752</v>
      </c>
      <c r="K187" s="383">
        <v>24810</v>
      </c>
      <c r="L187" s="383">
        <v>24997</v>
      </c>
      <c r="M187" s="377">
        <v>25137</v>
      </c>
      <c r="N187" s="377">
        <v>25228</v>
      </c>
      <c r="O187" s="383">
        <v>25282</v>
      </c>
      <c r="P187" s="378"/>
      <c r="Q187" s="377"/>
      <c r="R187" s="377"/>
      <c r="S187" s="368"/>
      <c r="T187" s="376"/>
      <c r="U187" s="519"/>
      <c r="V187" s="376"/>
      <c r="W187" s="377"/>
      <c r="X187" s="376"/>
      <c r="Y187" s="376">
        <f t="shared" si="67"/>
        <v>1160</v>
      </c>
      <c r="Z187" s="376">
        <f t="shared" si="66"/>
        <v>3740</v>
      </c>
      <c r="AA187" s="376">
        <f t="shared" si="64"/>
        <v>2800</v>
      </c>
      <c r="AB187" s="376">
        <f t="shared" si="65"/>
        <v>1820</v>
      </c>
      <c r="AC187" s="376">
        <f t="shared" si="54"/>
        <v>1080</v>
      </c>
      <c r="AD187" s="376" t="str">
        <f t="shared" si="55"/>
        <v/>
      </c>
      <c r="AE187" s="376" t="str">
        <f t="shared" si="56"/>
        <v/>
      </c>
      <c r="AF187" s="376" t="str">
        <f t="shared" si="57"/>
        <v/>
      </c>
      <c r="AG187" s="376" t="str">
        <f t="shared" si="58"/>
        <v/>
      </c>
      <c r="AH187" s="376" t="str">
        <f t="shared" si="61"/>
        <v/>
      </c>
      <c r="AI187" s="376" t="str">
        <f t="shared" si="59"/>
        <v/>
      </c>
      <c r="AJ187" s="376" t="str">
        <f t="shared" si="60"/>
        <v/>
      </c>
      <c r="AK187" s="408">
        <v>20</v>
      </c>
      <c r="AL187" s="377">
        <f t="shared" ca="1" si="50"/>
        <v>25228</v>
      </c>
      <c r="AM187" s="383">
        <f t="shared" ca="1" si="51"/>
        <v>25282</v>
      </c>
      <c r="AN187" s="377">
        <f ca="1">IF(AND(Tabla7[[#This Row],[UltLec]]&lt;&gt;0,Tabla7[[#This Row],[PenLect]]&lt;&gt;0),(AM187-AL187)*Tabla7[[#This Row],[RT]],"N/A")</f>
        <v>1080</v>
      </c>
      <c r="AO187" s="380" t="s">
        <v>1281</v>
      </c>
      <c r="AP187" s="462" t="s">
        <v>1190</v>
      </c>
      <c r="AQ187" s="462" t="s">
        <v>1189</v>
      </c>
      <c r="AR187" s="409">
        <f t="shared" si="52"/>
        <v>0</v>
      </c>
      <c r="AT187" s="2">
        <f t="shared" ca="1" si="53"/>
        <v>0.59340659340659341</v>
      </c>
      <c r="AV187">
        <f>IF(ISBLANK(Tabla7[[#This Row],[31/12/2017]]),0,Tabla7[[#This Row],[31/12/2017]])</f>
        <v>24752</v>
      </c>
      <c r="AW187">
        <f>IF(ISBLANK(Tabla7[[#This Row],[15/01/2018]]),0,Tabla7[[#This Row],[15/01/2018]])</f>
        <v>24810</v>
      </c>
      <c r="AX187">
        <f>IF(ISBLANK(Tabla7[[#This Row],[15/02/2018]]),0,Tabla7[[#This Row],[15/02/2018]])</f>
        <v>24997</v>
      </c>
      <c r="AY187">
        <f>IF(ISBLANK(Tabla7[[#This Row],[15/03/2018]]),0,Tabla7[[#This Row],[15/03/2018]])</f>
        <v>25137</v>
      </c>
      <c r="AZ187">
        <f>IF(ISBLANK(Tabla7[[#This Row],[15/04/2018]]),0,Tabla7[[#This Row],[15/04/2018]])</f>
        <v>25228</v>
      </c>
      <c r="BA187">
        <f>IF(ISBLANK(Tabla7[[#This Row],[15/05/2018]]),0,Tabla7[[#This Row],[15/05/2018]])</f>
        <v>25282</v>
      </c>
      <c r="BB187">
        <f>IF(ISBLANK(Tabla7[[#This Row],[15/06/2018]]),0,Tabla7[[#This Row],[15/06/2018]])</f>
        <v>0</v>
      </c>
      <c r="BC187">
        <f>IF(ISBLANK(Tabla7[[#This Row],[15/07/2018]]),0,Tabla7[[#This Row],[15/07/2018]])</f>
        <v>0</v>
      </c>
      <c r="BD187">
        <f>IF(ISBLANK(Tabla7[[#This Row],[15/08/2018]]),0,Tabla7[[#This Row],[15/08/2018]])</f>
        <v>0</v>
      </c>
      <c r="BE187">
        <f>IF(ISBLANK(Tabla7[[#This Row],[15/09/2018]]),0,Tabla7[[#This Row],[15/09/2018]])</f>
        <v>0</v>
      </c>
      <c r="BF187">
        <f>IF(ISBLANK(Tabla7[[#This Row],[15/10/2018]]),0,Tabla7[[#This Row],[15/10/2018]])</f>
        <v>0</v>
      </c>
      <c r="BG187">
        <f>IF(ISBLANK(Tabla7[[#This Row],[15/11/2018]]),0,Tabla7[[#This Row],[15/11/2018]])</f>
        <v>0</v>
      </c>
      <c r="BH187">
        <f>IF(ISBLANK(Tabla7[[#This Row],[15/12/2018]]),0,Tabla7[[#This Row],[15/12/2018]])</f>
        <v>0</v>
      </c>
      <c r="BI187">
        <f>IF(ISBLANK(Tabla7[[#This Row],[28/12/2018]]),0,Tabla7[[#This Row],[28/12/2018]])</f>
        <v>0</v>
      </c>
      <c r="BN18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('11210314','VBAJA','VCDD','30000','SANIDAD VEGETAL','C. CONTADORES EDIF .V (1)','','ALTA NUEVA EN PROCESO 100/5');</v>
      </c>
      <c r="BO187" t="s">
        <v>243</v>
      </c>
      <c r="BP187" s="632" t="str">
        <f>CONCATENATE("insert into lecturas values ","('",Tabla7[[#This Row],[CONTADOR]],"',STR_TO_DATE('",Tabla7[[#Headers],[31/12/2017]],"','%d/%m/%Y'),",AV187,"),","('",Tabla7[[#This Row],[CONTADOR]],"',STR_TO_DATE('",Tabla7[[#Headers],[15/01/2018]],"','%d/%m/%Y'),",AW187,"),","('",Tabla7[[#This Row],[CONTADOR]],"',STR_TO_DATE('",Tabla7[[#Headers],[15/02/2018]],"','%d/%m/%Y'),",AX187,"),","('",Tabla7[[#This Row],[CONTADOR]],"',STR_TO_DATE('",Tabla7[[#Headers],[15/03/2018]],"','%d/%m/%Y'),",AY187,"),","('",Tabla7[[#This Row],[CONTADOR]],"',STR_TO_DATE('",Tabla7[[#Headers],[15/04/2018]],"','%d/%m/%Y'),",AZ187,"),","('",Tabla7[[#This Row],[CONTADOR]],"',STR_TO_DATE('",Tabla7[[#Headers],[15/05/2018]],"','%d/%m/%Y'),",BA187,"),","('",Tabla7[[#This Row],[CONTADOR]],"',STR_TO_DATE('",Tabla7[[#Headers],[15/06/2018]],"','%d/%m/%Y'),",BB187,"),","('",Tabla7[[#This Row],[CONTADOR]],"',STR_TO_DATE('",Tabla7[[#Headers],[15/07/2018]],"','%d/%m/%Y'),",BC187,"),","('",Tabla7[[#This Row],[CONTADOR]],"',STR_TO_DATE('",Tabla7[[#Headers],[15/08/2018]],"','%d/%m/%Y'),",BD187,"),","('",Tabla7[[#This Row],[CONTADOR]],"',STR_TO_DATE('",Tabla7[[#Headers],[15/09/2018]],"','%d/%m/%Y'),",BE187,"),","('",Tabla7[[#This Row],[CONTADOR]],"',STR_TO_DATE('",Tabla7[[#Headers],[15/10/2018]],"','%d/%m/%Y'),",BF187,"),","('",Tabla7[[#This Row],[CONTADOR]],"',STR_TO_DATE('",Tabla7[[#Headers],[15/11/2018]],"','%d/%m/%Y'),",BG187,"),","('",Tabla7[[#This Row],[CONTADOR]],"',STR_TO_DATE('",Tabla7[[#Headers],[15/12/2018]],"','%d/%m/%Y'),",BH187,");")</f>
        <v>insert into lecturas values ('11210314',STR_TO_DATE('31/12/2017','%d/%m/%Y'),24752),('11210314',STR_TO_DATE('15/01/2018','%d/%m/%Y'),24810),('11210314',STR_TO_DATE('15/02/2018','%d/%m/%Y'),24997),('11210314',STR_TO_DATE('15/03/2018','%d/%m/%Y'),25137),('11210314',STR_TO_DATE('15/04/2018','%d/%m/%Y'),25228),('11210314',STR_TO_DATE('15/05/2018','%d/%m/%Y'),25282),('11210314',STR_TO_DATE('15/06/2018','%d/%m/%Y'),0),('11210314',STR_TO_DATE('15/07/2018','%d/%m/%Y'),0),('11210314',STR_TO_DATE('15/08/2018','%d/%m/%Y'),0),('11210314',STR_TO_DATE('15/09/2018','%d/%m/%Y'),0),('11210314',STR_TO_DATE('15/10/2018','%d/%m/%Y'),0),('11210314',STR_TO_DATE('15/11/2018','%d/%m/%Y'),0),('11210314',STR_TO_DATE('15/12/2018','%d/%m/%Y'),0);</v>
      </c>
    </row>
    <row r="188" spans="1:68" ht="18.75" customHeight="1" x14ac:dyDescent="0.25">
      <c r="A188" s="362" t="s">
        <v>739</v>
      </c>
      <c r="B188" s="60"/>
      <c r="C188" s="342">
        <v>40564523</v>
      </c>
      <c r="D188" s="364" t="s">
        <v>323</v>
      </c>
      <c r="E188" s="365">
        <v>1</v>
      </c>
      <c r="F188" s="366" t="s">
        <v>338</v>
      </c>
      <c r="G188" s="367" t="s">
        <v>979</v>
      </c>
      <c r="H188" s="367"/>
      <c r="I188" s="366"/>
      <c r="J188" s="368">
        <v>21775</v>
      </c>
      <c r="K188" s="368">
        <v>21776</v>
      </c>
      <c r="L188" s="368">
        <v>21778</v>
      </c>
      <c r="M188" s="368">
        <v>21785</v>
      </c>
      <c r="N188" s="368">
        <v>21785</v>
      </c>
      <c r="O188" s="368">
        <v>21821</v>
      </c>
      <c r="P188" s="368">
        <v>21871</v>
      </c>
      <c r="Q188" s="368"/>
      <c r="R188" s="368"/>
      <c r="S188" s="368">
        <v>22124</v>
      </c>
      <c r="T188" s="558"/>
      <c r="U188" s="614">
        <v>0</v>
      </c>
      <c r="V188" s="366">
        <v>22705</v>
      </c>
      <c r="W188" s="367"/>
      <c r="X188" s="367"/>
      <c r="Y188" s="367">
        <f t="shared" si="67"/>
        <v>1</v>
      </c>
      <c r="Z188" s="367">
        <f t="shared" si="66"/>
        <v>2</v>
      </c>
      <c r="AA188" s="367">
        <f t="shared" si="64"/>
        <v>7</v>
      </c>
      <c r="AB188" s="367">
        <f t="shared" si="65"/>
        <v>0</v>
      </c>
      <c r="AC188" s="367">
        <f t="shared" si="54"/>
        <v>36</v>
      </c>
      <c r="AD188" s="367">
        <f t="shared" si="55"/>
        <v>50</v>
      </c>
      <c r="AE188" s="367" t="str">
        <f t="shared" si="56"/>
        <v/>
      </c>
      <c r="AF188" s="367" t="str">
        <f t="shared" si="57"/>
        <v/>
      </c>
      <c r="AG188" s="367" t="str">
        <f t="shared" si="58"/>
        <v/>
      </c>
      <c r="AH188" s="367" t="str">
        <f t="shared" si="61"/>
        <v/>
      </c>
      <c r="AI188" s="367" t="str">
        <f t="shared" si="59"/>
        <v/>
      </c>
      <c r="AJ188" s="367">
        <f t="shared" si="60"/>
        <v>22705</v>
      </c>
      <c r="AK188" s="414">
        <v>1</v>
      </c>
      <c r="AL188" s="366">
        <f t="shared" ca="1" si="50"/>
        <v>21785</v>
      </c>
      <c r="AM188" s="368">
        <f t="shared" ca="1" si="51"/>
        <v>21821</v>
      </c>
      <c r="AN188" s="366">
        <f ca="1">IF(AND(Tabla7[[#This Row],[UltLec]]&lt;&gt;0,Tabla7[[#This Row],[PenLect]]&lt;&gt;0),(AM188-AL188)*Tabla7[[#This Row],[RT]],"N/A")</f>
        <v>36</v>
      </c>
      <c r="AO188" s="370" t="s">
        <v>862</v>
      </c>
      <c r="AP188" s="436" t="s">
        <v>1190</v>
      </c>
      <c r="AQ188" s="436" t="s">
        <v>1189</v>
      </c>
      <c r="AR188" s="415">
        <f t="shared" si="52"/>
        <v>0</v>
      </c>
      <c r="AT188" s="2" t="str">
        <f t="shared" ca="1" si="53"/>
        <v>0</v>
      </c>
      <c r="AV188">
        <f>IF(ISBLANK(Tabla7[[#This Row],[31/12/2017]]),0,Tabla7[[#This Row],[31/12/2017]])</f>
        <v>21775</v>
      </c>
      <c r="AW188">
        <f>IF(ISBLANK(Tabla7[[#This Row],[15/01/2018]]),0,Tabla7[[#This Row],[15/01/2018]])</f>
        <v>21776</v>
      </c>
      <c r="AX188">
        <f>IF(ISBLANK(Tabla7[[#This Row],[15/02/2018]]),0,Tabla7[[#This Row],[15/02/2018]])</f>
        <v>21778</v>
      </c>
      <c r="AY188">
        <f>IF(ISBLANK(Tabla7[[#This Row],[15/03/2018]]),0,Tabla7[[#This Row],[15/03/2018]])</f>
        <v>21785</v>
      </c>
      <c r="AZ188">
        <f>IF(ISBLANK(Tabla7[[#This Row],[15/04/2018]]),0,Tabla7[[#This Row],[15/04/2018]])</f>
        <v>21785</v>
      </c>
      <c r="BA188">
        <f>IF(ISBLANK(Tabla7[[#This Row],[15/05/2018]]),0,Tabla7[[#This Row],[15/05/2018]])</f>
        <v>21821</v>
      </c>
      <c r="BB188">
        <f>IF(ISBLANK(Tabla7[[#This Row],[15/06/2018]]),0,Tabla7[[#This Row],[15/06/2018]])</f>
        <v>21871</v>
      </c>
      <c r="BC188">
        <f>IF(ISBLANK(Tabla7[[#This Row],[15/07/2018]]),0,Tabla7[[#This Row],[15/07/2018]])</f>
        <v>0</v>
      </c>
      <c r="BD188">
        <f>IF(ISBLANK(Tabla7[[#This Row],[15/08/2018]]),0,Tabla7[[#This Row],[15/08/2018]])</f>
        <v>0</v>
      </c>
      <c r="BE188">
        <f>IF(ISBLANK(Tabla7[[#This Row],[15/09/2018]]),0,Tabla7[[#This Row],[15/09/2018]])</f>
        <v>22124</v>
      </c>
      <c r="BF188">
        <f>IF(ISBLANK(Tabla7[[#This Row],[15/10/2018]]),0,Tabla7[[#This Row],[15/10/2018]])</f>
        <v>0</v>
      </c>
      <c r="BG188">
        <f>IF(ISBLANK(Tabla7[[#This Row],[15/11/2018]]),0,Tabla7[[#This Row],[15/11/2018]])</f>
        <v>0</v>
      </c>
      <c r="BH188">
        <f>IF(ISBLANK(Tabla7[[#This Row],[15/12/2018]]),0,Tabla7[[#This Row],[15/12/2018]])</f>
        <v>22705</v>
      </c>
      <c r="BI188">
        <f>IF(ISBLANK(Tabla7[[#This Row],[28/12/2018]]),0,Tabla7[[#This Row],[28/12/2018]])</f>
        <v>0</v>
      </c>
      <c r="BN18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('40564523','VREP','VCDD','1','P. B. MAQUETAS','C. CONTADORES EDIF .V (5)','','');</v>
      </c>
      <c r="BO188" t="s">
        <v>243</v>
      </c>
      <c r="BP188" s="632" t="str">
        <f>CONCATENATE("insert into lecturas values ","('",Tabla7[[#This Row],[CONTADOR]],"',STR_TO_DATE('",Tabla7[[#Headers],[31/12/2017]],"','%d/%m/%Y'),",AV188,"),","('",Tabla7[[#This Row],[CONTADOR]],"',STR_TO_DATE('",Tabla7[[#Headers],[15/01/2018]],"','%d/%m/%Y'),",AW188,"),","('",Tabla7[[#This Row],[CONTADOR]],"',STR_TO_DATE('",Tabla7[[#Headers],[15/02/2018]],"','%d/%m/%Y'),",AX188,"),","('",Tabla7[[#This Row],[CONTADOR]],"',STR_TO_DATE('",Tabla7[[#Headers],[15/03/2018]],"','%d/%m/%Y'),",AY188,"),","('",Tabla7[[#This Row],[CONTADOR]],"',STR_TO_DATE('",Tabla7[[#Headers],[15/04/2018]],"','%d/%m/%Y'),",AZ188,"),","('",Tabla7[[#This Row],[CONTADOR]],"',STR_TO_DATE('",Tabla7[[#Headers],[15/05/2018]],"','%d/%m/%Y'),",BA188,"),","('",Tabla7[[#This Row],[CONTADOR]],"',STR_TO_DATE('",Tabla7[[#Headers],[15/06/2018]],"','%d/%m/%Y'),",BB188,"),","('",Tabla7[[#This Row],[CONTADOR]],"',STR_TO_DATE('",Tabla7[[#Headers],[15/07/2018]],"','%d/%m/%Y'),",BC188,"),","('",Tabla7[[#This Row],[CONTADOR]],"',STR_TO_DATE('",Tabla7[[#Headers],[15/08/2018]],"','%d/%m/%Y'),",BD188,"),","('",Tabla7[[#This Row],[CONTADOR]],"',STR_TO_DATE('",Tabla7[[#Headers],[15/09/2018]],"','%d/%m/%Y'),",BE188,"),","('",Tabla7[[#This Row],[CONTADOR]],"',STR_TO_DATE('",Tabla7[[#Headers],[15/10/2018]],"','%d/%m/%Y'),",BF188,"),","('",Tabla7[[#This Row],[CONTADOR]],"',STR_TO_DATE('",Tabla7[[#Headers],[15/11/2018]],"','%d/%m/%Y'),",BG188,"),","('",Tabla7[[#This Row],[CONTADOR]],"',STR_TO_DATE('",Tabla7[[#Headers],[15/12/2018]],"','%d/%m/%Y'),",BH188,");")</f>
        <v>insert into lecturas values ('40564523',STR_TO_DATE('31/12/2017','%d/%m/%Y'),21775),('40564523',STR_TO_DATE('15/01/2018','%d/%m/%Y'),21776),('40564523',STR_TO_DATE('15/02/2018','%d/%m/%Y'),21778),('40564523',STR_TO_DATE('15/03/2018','%d/%m/%Y'),21785),('40564523',STR_TO_DATE('15/04/2018','%d/%m/%Y'),21785),('40564523',STR_TO_DATE('15/05/2018','%d/%m/%Y'),21821),('40564523',STR_TO_DATE('15/06/2018','%d/%m/%Y'),21871),('40564523',STR_TO_DATE('15/07/2018','%d/%m/%Y'),0),('40564523',STR_TO_DATE('15/08/2018','%d/%m/%Y'),0),('40564523',STR_TO_DATE('15/09/2018','%d/%m/%Y'),22124),('40564523',STR_TO_DATE('15/10/2018','%d/%m/%Y'),0),('40564523',STR_TO_DATE('15/11/2018','%d/%m/%Y'),0),('40564523',STR_TO_DATE('15/12/2018','%d/%m/%Y'),22705);</v>
      </c>
    </row>
    <row r="189" spans="1:68" ht="18.75" customHeight="1" x14ac:dyDescent="0.25">
      <c r="A189" s="372" t="s">
        <v>1196</v>
      </c>
      <c r="B189" s="374">
        <v>1327</v>
      </c>
      <c r="C189" s="373">
        <v>50990019</v>
      </c>
      <c r="D189" s="374" t="s">
        <v>323</v>
      </c>
      <c r="E189" s="375">
        <v>39072</v>
      </c>
      <c r="F189" s="376" t="s">
        <v>462</v>
      </c>
      <c r="G189" s="376" t="s">
        <v>980</v>
      </c>
      <c r="H189" s="376"/>
      <c r="I189" s="377" t="s">
        <v>798</v>
      </c>
      <c r="J189" s="383">
        <v>33199</v>
      </c>
      <c r="K189" s="383">
        <v>33264</v>
      </c>
      <c r="L189" s="383">
        <v>33431</v>
      </c>
      <c r="M189" s="377">
        <v>33550</v>
      </c>
      <c r="N189" s="377">
        <v>33672</v>
      </c>
      <c r="O189" s="383">
        <v>33766</v>
      </c>
      <c r="P189" s="378"/>
      <c r="Q189" s="377"/>
      <c r="R189" s="377"/>
      <c r="S189" s="368"/>
      <c r="T189" s="377"/>
      <c r="U189" s="519"/>
      <c r="V189" s="377"/>
      <c r="W189" s="377"/>
      <c r="X189" s="376"/>
      <c r="Y189" s="376">
        <f t="shared" si="67"/>
        <v>1300</v>
      </c>
      <c r="Z189" s="376">
        <f t="shared" si="66"/>
        <v>3340</v>
      </c>
      <c r="AA189" s="376">
        <f t="shared" si="64"/>
        <v>2380</v>
      </c>
      <c r="AB189" s="376">
        <f t="shared" si="65"/>
        <v>2440</v>
      </c>
      <c r="AC189" s="376">
        <f t="shared" si="54"/>
        <v>1880</v>
      </c>
      <c r="AD189" s="376" t="str">
        <f t="shared" si="55"/>
        <v/>
      </c>
      <c r="AE189" s="376" t="str">
        <f t="shared" si="56"/>
        <v/>
      </c>
      <c r="AF189" s="376" t="str">
        <f t="shared" si="57"/>
        <v/>
      </c>
      <c r="AG189" s="376" t="str">
        <f t="shared" si="58"/>
        <v/>
      </c>
      <c r="AH189" s="376" t="str">
        <f t="shared" si="61"/>
        <v/>
      </c>
      <c r="AI189" s="376" t="str">
        <f t="shared" si="59"/>
        <v/>
      </c>
      <c r="AJ189" s="376" t="str">
        <f t="shared" si="60"/>
        <v/>
      </c>
      <c r="AK189" s="408">
        <v>20</v>
      </c>
      <c r="AL189" s="377">
        <f t="shared" ca="1" si="50"/>
        <v>33672</v>
      </c>
      <c r="AM189" s="383">
        <f t="shared" ca="1" si="51"/>
        <v>33766</v>
      </c>
      <c r="AN189" s="377">
        <f ca="1">IF(AND(Tabla7[[#This Row],[UltLec]]&lt;&gt;0,Tabla7[[#This Row],[PenLect]]&lt;&gt;0),(AM189-AL189)*Tabla7[[#This Row],[RT]],"N/A")</f>
        <v>1880</v>
      </c>
      <c r="AO189" s="380" t="s">
        <v>1281</v>
      </c>
      <c r="AP189" s="433" t="s">
        <v>1190</v>
      </c>
      <c r="AQ189" s="433" t="s">
        <v>1189</v>
      </c>
      <c r="AR189" s="409">
        <f t="shared" si="52"/>
        <v>0</v>
      </c>
      <c r="AT189" s="2">
        <f t="shared" ca="1" si="53"/>
        <v>0.77049180327868849</v>
      </c>
      <c r="AV189">
        <f>IF(ISBLANK(Tabla7[[#This Row],[31/12/2017]]),0,Tabla7[[#This Row],[31/12/2017]])</f>
        <v>33199</v>
      </c>
      <c r="AW189">
        <f>IF(ISBLANK(Tabla7[[#This Row],[15/01/2018]]),0,Tabla7[[#This Row],[15/01/2018]])</f>
        <v>33264</v>
      </c>
      <c r="AX189">
        <f>IF(ISBLANK(Tabla7[[#This Row],[15/02/2018]]),0,Tabla7[[#This Row],[15/02/2018]])</f>
        <v>33431</v>
      </c>
      <c r="AY189">
        <f>IF(ISBLANK(Tabla7[[#This Row],[15/03/2018]]),0,Tabla7[[#This Row],[15/03/2018]])</f>
        <v>33550</v>
      </c>
      <c r="AZ189">
        <f>IF(ISBLANK(Tabla7[[#This Row],[15/04/2018]]),0,Tabla7[[#This Row],[15/04/2018]])</f>
        <v>33672</v>
      </c>
      <c r="BA189">
        <f>IF(ISBLANK(Tabla7[[#This Row],[15/05/2018]]),0,Tabla7[[#This Row],[15/05/2018]])</f>
        <v>33766</v>
      </c>
      <c r="BB189">
        <f>IF(ISBLANK(Tabla7[[#This Row],[15/06/2018]]),0,Tabla7[[#This Row],[15/06/2018]])</f>
        <v>0</v>
      </c>
      <c r="BC189">
        <f>IF(ISBLANK(Tabla7[[#This Row],[15/07/2018]]),0,Tabla7[[#This Row],[15/07/2018]])</f>
        <v>0</v>
      </c>
      <c r="BD189">
        <f>IF(ISBLANK(Tabla7[[#This Row],[15/08/2018]]),0,Tabla7[[#This Row],[15/08/2018]])</f>
        <v>0</v>
      </c>
      <c r="BE189">
        <f>IF(ISBLANK(Tabla7[[#This Row],[15/09/2018]]),0,Tabla7[[#This Row],[15/09/2018]])</f>
        <v>0</v>
      </c>
      <c r="BF189">
        <f>IF(ISBLANK(Tabla7[[#This Row],[15/10/2018]]),0,Tabla7[[#This Row],[15/10/2018]])</f>
        <v>0</v>
      </c>
      <c r="BG189">
        <f>IF(ISBLANK(Tabla7[[#This Row],[15/11/2018]]),0,Tabla7[[#This Row],[15/11/2018]])</f>
        <v>0</v>
      </c>
      <c r="BH189">
        <f>IF(ISBLANK(Tabla7[[#This Row],[15/12/2018]]),0,Tabla7[[#This Row],[15/12/2018]])</f>
        <v>0</v>
      </c>
      <c r="BI189">
        <f>IF(ISBLANK(Tabla7[[#This Row],[28/12/2018]]),0,Tabla7[[#This Row],[28/12/2018]])</f>
        <v>0</v>
      </c>
      <c r="BN18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('50990019','VBAJA','VCDD','39072','INFOPORT VALENCIA, S.A.','C. CONTADORES EDIF .V (3)','','100/5');</v>
      </c>
      <c r="BO189" t="s">
        <v>243</v>
      </c>
      <c r="BP189" s="632" t="str">
        <f>CONCATENATE("insert into lecturas values ","('",Tabla7[[#This Row],[CONTADOR]],"',STR_TO_DATE('",Tabla7[[#Headers],[31/12/2017]],"','%d/%m/%Y'),",AV189,"),","('",Tabla7[[#This Row],[CONTADOR]],"',STR_TO_DATE('",Tabla7[[#Headers],[15/01/2018]],"','%d/%m/%Y'),",AW189,"),","('",Tabla7[[#This Row],[CONTADOR]],"',STR_TO_DATE('",Tabla7[[#Headers],[15/02/2018]],"','%d/%m/%Y'),",AX189,"),","('",Tabla7[[#This Row],[CONTADOR]],"',STR_TO_DATE('",Tabla7[[#Headers],[15/03/2018]],"','%d/%m/%Y'),",AY189,"),","('",Tabla7[[#This Row],[CONTADOR]],"',STR_TO_DATE('",Tabla7[[#Headers],[15/04/2018]],"','%d/%m/%Y'),",AZ189,"),","('",Tabla7[[#This Row],[CONTADOR]],"',STR_TO_DATE('",Tabla7[[#Headers],[15/05/2018]],"','%d/%m/%Y'),",BA189,"),","('",Tabla7[[#This Row],[CONTADOR]],"',STR_TO_DATE('",Tabla7[[#Headers],[15/06/2018]],"','%d/%m/%Y'),",BB189,"),","('",Tabla7[[#This Row],[CONTADOR]],"',STR_TO_DATE('",Tabla7[[#Headers],[15/07/2018]],"','%d/%m/%Y'),",BC189,"),","('",Tabla7[[#This Row],[CONTADOR]],"',STR_TO_DATE('",Tabla7[[#Headers],[15/08/2018]],"','%d/%m/%Y'),",BD189,"),","('",Tabla7[[#This Row],[CONTADOR]],"',STR_TO_DATE('",Tabla7[[#Headers],[15/09/2018]],"','%d/%m/%Y'),",BE189,"),","('",Tabla7[[#This Row],[CONTADOR]],"',STR_TO_DATE('",Tabla7[[#Headers],[15/10/2018]],"','%d/%m/%Y'),",BF189,"),","('",Tabla7[[#This Row],[CONTADOR]],"',STR_TO_DATE('",Tabla7[[#Headers],[15/11/2018]],"','%d/%m/%Y'),",BG189,"),","('",Tabla7[[#This Row],[CONTADOR]],"',STR_TO_DATE('",Tabla7[[#Headers],[15/12/2018]],"','%d/%m/%Y'),",BH189,");")</f>
        <v>insert into lecturas values ('50990019',STR_TO_DATE('31/12/2017','%d/%m/%Y'),33199),('50990019',STR_TO_DATE('15/01/2018','%d/%m/%Y'),33264),('50990019',STR_TO_DATE('15/02/2018','%d/%m/%Y'),33431),('50990019',STR_TO_DATE('15/03/2018','%d/%m/%Y'),33550),('50990019',STR_TO_DATE('15/04/2018','%d/%m/%Y'),33672),('50990019',STR_TO_DATE('15/05/2018','%d/%m/%Y'),33766),('50990019',STR_TO_DATE('15/06/2018','%d/%m/%Y'),0),('50990019',STR_TO_DATE('15/07/2018','%d/%m/%Y'),0),('50990019',STR_TO_DATE('15/08/2018','%d/%m/%Y'),0),('50990019',STR_TO_DATE('15/09/2018','%d/%m/%Y'),0),('50990019',STR_TO_DATE('15/10/2018','%d/%m/%Y'),0),('50990019',STR_TO_DATE('15/11/2018','%d/%m/%Y'),0),('50990019',STR_TO_DATE('15/12/2018','%d/%m/%Y'),0);</v>
      </c>
    </row>
    <row r="190" spans="1:68" ht="18.75" customHeight="1" x14ac:dyDescent="0.25">
      <c r="A190" s="362" t="s">
        <v>739</v>
      </c>
      <c r="B190" s="364">
        <v>1107</v>
      </c>
      <c r="C190" s="342">
        <v>83363213</v>
      </c>
      <c r="D190" s="605" t="s">
        <v>323</v>
      </c>
      <c r="E190" s="365">
        <v>39496</v>
      </c>
      <c r="F190" s="367" t="s">
        <v>337</v>
      </c>
      <c r="G190" s="367" t="s">
        <v>981</v>
      </c>
      <c r="H190" s="367"/>
      <c r="I190" s="366"/>
      <c r="J190" s="368">
        <v>130300</v>
      </c>
      <c r="K190" s="368">
        <v>130873</v>
      </c>
      <c r="L190" s="366">
        <v>131966</v>
      </c>
      <c r="M190" s="366">
        <v>133185</v>
      </c>
      <c r="N190" s="366">
        <v>134428</v>
      </c>
      <c r="O190" s="368">
        <v>135298</v>
      </c>
      <c r="P190" s="368">
        <v>136270</v>
      </c>
      <c r="Q190" s="366">
        <v>137600</v>
      </c>
      <c r="R190" s="366">
        <v>138891</v>
      </c>
      <c r="S190" s="368">
        <v>140211</v>
      </c>
      <c r="T190" s="368">
        <v>141232</v>
      </c>
      <c r="U190" s="614">
        <v>142123</v>
      </c>
      <c r="V190" s="614">
        <v>143051</v>
      </c>
      <c r="W190" s="366"/>
      <c r="X190" s="367"/>
      <c r="Y190" s="367">
        <f t="shared" si="67"/>
        <v>573</v>
      </c>
      <c r="Z190" s="367">
        <f t="shared" si="66"/>
        <v>1093</v>
      </c>
      <c r="AA190" s="367">
        <f t="shared" si="64"/>
        <v>1219</v>
      </c>
      <c r="AB190" s="367">
        <f t="shared" si="65"/>
        <v>1243</v>
      </c>
      <c r="AC190" s="367">
        <f t="shared" si="54"/>
        <v>870</v>
      </c>
      <c r="AD190" s="367">
        <f t="shared" si="55"/>
        <v>972</v>
      </c>
      <c r="AE190" s="367">
        <f t="shared" si="56"/>
        <v>1330</v>
      </c>
      <c r="AF190" s="367">
        <f t="shared" si="57"/>
        <v>1291</v>
      </c>
      <c r="AG190" s="367">
        <f t="shared" si="58"/>
        <v>1320</v>
      </c>
      <c r="AH190" s="367">
        <f t="shared" si="61"/>
        <v>1021</v>
      </c>
      <c r="AI190" s="367">
        <f t="shared" si="59"/>
        <v>891</v>
      </c>
      <c r="AJ190" s="367">
        <f t="shared" si="60"/>
        <v>928</v>
      </c>
      <c r="AK190" s="414">
        <v>1</v>
      </c>
      <c r="AL190" s="366">
        <f t="shared" ca="1" si="50"/>
        <v>134428</v>
      </c>
      <c r="AM190" s="368">
        <f t="shared" ca="1" si="51"/>
        <v>135298</v>
      </c>
      <c r="AN190" s="366">
        <f ca="1">IF(AND(Tabla7[[#This Row],[UltLec]]&lt;&gt;0,Tabla7[[#This Row],[PenLect]]&lt;&gt;0),(AM190-AL190)*Tabla7[[#This Row],[RT]],"N/A")</f>
        <v>870</v>
      </c>
      <c r="AO190" s="370" t="s">
        <v>862</v>
      </c>
      <c r="AP190" s="601" t="s">
        <v>1190</v>
      </c>
      <c r="AQ190" s="601" t="s">
        <v>1189</v>
      </c>
      <c r="AR190" s="415">
        <f t="shared" si="52"/>
        <v>0</v>
      </c>
      <c r="AT190" s="2">
        <f t="shared" ca="1" si="53"/>
        <v>0.69991954947707158</v>
      </c>
      <c r="AV190">
        <f>IF(ISBLANK(Tabla7[[#This Row],[31/12/2017]]),0,Tabla7[[#This Row],[31/12/2017]])</f>
        <v>130300</v>
      </c>
      <c r="AW190">
        <f>IF(ISBLANK(Tabla7[[#This Row],[15/01/2018]]),0,Tabla7[[#This Row],[15/01/2018]])</f>
        <v>130873</v>
      </c>
      <c r="AX190">
        <f>IF(ISBLANK(Tabla7[[#This Row],[15/02/2018]]),0,Tabla7[[#This Row],[15/02/2018]])</f>
        <v>131966</v>
      </c>
      <c r="AY190">
        <f>IF(ISBLANK(Tabla7[[#This Row],[15/03/2018]]),0,Tabla7[[#This Row],[15/03/2018]])</f>
        <v>133185</v>
      </c>
      <c r="AZ190">
        <f>IF(ISBLANK(Tabla7[[#This Row],[15/04/2018]]),0,Tabla7[[#This Row],[15/04/2018]])</f>
        <v>134428</v>
      </c>
      <c r="BA190">
        <f>IF(ISBLANK(Tabla7[[#This Row],[15/05/2018]]),0,Tabla7[[#This Row],[15/05/2018]])</f>
        <v>135298</v>
      </c>
      <c r="BB190">
        <f>IF(ISBLANK(Tabla7[[#This Row],[15/06/2018]]),0,Tabla7[[#This Row],[15/06/2018]])</f>
        <v>136270</v>
      </c>
      <c r="BC190">
        <f>IF(ISBLANK(Tabla7[[#This Row],[15/07/2018]]),0,Tabla7[[#This Row],[15/07/2018]])</f>
        <v>137600</v>
      </c>
      <c r="BD190">
        <f>IF(ISBLANK(Tabla7[[#This Row],[15/08/2018]]),0,Tabla7[[#This Row],[15/08/2018]])</f>
        <v>138891</v>
      </c>
      <c r="BE190">
        <f>IF(ISBLANK(Tabla7[[#This Row],[15/09/2018]]),0,Tabla7[[#This Row],[15/09/2018]])</f>
        <v>140211</v>
      </c>
      <c r="BF190">
        <f>IF(ISBLANK(Tabla7[[#This Row],[15/10/2018]]),0,Tabla7[[#This Row],[15/10/2018]])</f>
        <v>141232</v>
      </c>
      <c r="BG190">
        <f>IF(ISBLANK(Tabla7[[#This Row],[15/11/2018]]),0,Tabla7[[#This Row],[15/11/2018]])</f>
        <v>142123</v>
      </c>
      <c r="BH190">
        <f>IF(ISBLANK(Tabla7[[#This Row],[15/12/2018]]),0,Tabla7[[#This Row],[15/12/2018]])</f>
        <v>143051</v>
      </c>
      <c r="BI190">
        <f>IF(ISBLANK(Tabla7[[#This Row],[28/12/2018]]),0,Tabla7[[#This Row],[28/12/2018]])</f>
        <v>0</v>
      </c>
      <c r="BN19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('83363213','VREP','VCDD','39496','P. B. SOIVRE','C. CONTADORES EDIF .V (4)','','');</v>
      </c>
      <c r="BO190" t="s">
        <v>243</v>
      </c>
      <c r="BP190" s="632" t="str">
        <f>CONCATENATE("insert into lecturas values ","('",Tabla7[[#This Row],[CONTADOR]],"',STR_TO_DATE('",Tabla7[[#Headers],[31/12/2017]],"','%d/%m/%Y'),",AV190,"),","('",Tabla7[[#This Row],[CONTADOR]],"',STR_TO_DATE('",Tabla7[[#Headers],[15/01/2018]],"','%d/%m/%Y'),",AW190,"),","('",Tabla7[[#This Row],[CONTADOR]],"',STR_TO_DATE('",Tabla7[[#Headers],[15/02/2018]],"','%d/%m/%Y'),",AX190,"),","('",Tabla7[[#This Row],[CONTADOR]],"',STR_TO_DATE('",Tabla7[[#Headers],[15/03/2018]],"','%d/%m/%Y'),",AY190,"),","('",Tabla7[[#This Row],[CONTADOR]],"',STR_TO_DATE('",Tabla7[[#Headers],[15/04/2018]],"','%d/%m/%Y'),",AZ190,"),","('",Tabla7[[#This Row],[CONTADOR]],"',STR_TO_DATE('",Tabla7[[#Headers],[15/05/2018]],"','%d/%m/%Y'),",BA190,"),","('",Tabla7[[#This Row],[CONTADOR]],"',STR_TO_DATE('",Tabla7[[#Headers],[15/06/2018]],"','%d/%m/%Y'),",BB190,"),","('",Tabla7[[#This Row],[CONTADOR]],"',STR_TO_DATE('",Tabla7[[#Headers],[15/07/2018]],"','%d/%m/%Y'),",BC190,"),","('",Tabla7[[#This Row],[CONTADOR]],"',STR_TO_DATE('",Tabla7[[#Headers],[15/08/2018]],"','%d/%m/%Y'),",BD190,"),","('",Tabla7[[#This Row],[CONTADOR]],"',STR_TO_DATE('",Tabla7[[#Headers],[15/09/2018]],"','%d/%m/%Y'),",BE190,"),","('",Tabla7[[#This Row],[CONTADOR]],"',STR_TO_DATE('",Tabla7[[#Headers],[15/10/2018]],"','%d/%m/%Y'),",BF190,"),","('",Tabla7[[#This Row],[CONTADOR]],"',STR_TO_DATE('",Tabla7[[#Headers],[15/11/2018]],"','%d/%m/%Y'),",BG190,"),","('",Tabla7[[#This Row],[CONTADOR]],"',STR_TO_DATE('",Tabla7[[#Headers],[15/12/2018]],"','%d/%m/%Y'),",BH190,");")</f>
        <v>insert into lecturas values ('83363213',STR_TO_DATE('31/12/2017','%d/%m/%Y'),130300),('83363213',STR_TO_DATE('15/01/2018','%d/%m/%Y'),130873),('83363213',STR_TO_DATE('15/02/2018','%d/%m/%Y'),131966),('83363213',STR_TO_DATE('15/03/2018','%d/%m/%Y'),133185),('83363213',STR_TO_DATE('15/04/2018','%d/%m/%Y'),134428),('83363213',STR_TO_DATE('15/05/2018','%d/%m/%Y'),135298),('83363213',STR_TO_DATE('15/06/2018','%d/%m/%Y'),136270),('83363213',STR_TO_DATE('15/07/2018','%d/%m/%Y'),137600),('83363213',STR_TO_DATE('15/08/2018','%d/%m/%Y'),138891),('83363213',STR_TO_DATE('15/09/2018','%d/%m/%Y'),140211),('83363213',STR_TO_DATE('15/10/2018','%d/%m/%Y'),141232),('83363213',STR_TO_DATE('15/11/2018','%d/%m/%Y'),142123),('83363213',STR_TO_DATE('15/12/2018','%d/%m/%Y'),143051);</v>
      </c>
    </row>
    <row r="191" spans="1:68" ht="18.75" customHeight="1" x14ac:dyDescent="0.25">
      <c r="A191" s="241" t="s">
        <v>19</v>
      </c>
      <c r="B191" s="60"/>
      <c r="C191" s="342" t="s">
        <v>431</v>
      </c>
      <c r="D191" s="483" t="s">
        <v>323</v>
      </c>
      <c r="E191" s="268">
        <v>30000</v>
      </c>
      <c r="F191" s="2" t="s">
        <v>465</v>
      </c>
      <c r="G191" s="2" t="s">
        <v>854</v>
      </c>
      <c r="H191" s="2" t="s">
        <v>466</v>
      </c>
      <c r="I191" s="274" t="s">
        <v>445</v>
      </c>
      <c r="J191" s="311">
        <v>11301</v>
      </c>
      <c r="K191" s="311">
        <v>11419</v>
      </c>
      <c r="L191" s="311">
        <v>11615</v>
      </c>
      <c r="M191" s="2">
        <v>11784</v>
      </c>
      <c r="N191" s="2">
        <v>11985</v>
      </c>
      <c r="O191" s="311">
        <v>12194</v>
      </c>
      <c r="P191" s="1">
        <v>12432</v>
      </c>
      <c r="Q191" s="2">
        <v>12747</v>
      </c>
      <c r="R191" s="311">
        <v>13079</v>
      </c>
      <c r="S191" s="311">
        <v>13354</v>
      </c>
      <c r="T191" s="311">
        <v>13624</v>
      </c>
      <c r="U191" s="531">
        <v>13766</v>
      </c>
      <c r="V191" s="353">
        <v>13986</v>
      </c>
      <c r="W191" s="275"/>
      <c r="X191" s="275"/>
      <c r="Y191" s="2">
        <f t="shared" si="67"/>
        <v>118</v>
      </c>
      <c r="Z191" s="2">
        <f t="shared" si="66"/>
        <v>196</v>
      </c>
      <c r="AA191" s="2">
        <f t="shared" si="64"/>
        <v>169</v>
      </c>
      <c r="AB191" s="2">
        <f t="shared" si="65"/>
        <v>201</v>
      </c>
      <c r="AC191" s="2">
        <f t="shared" si="54"/>
        <v>209</v>
      </c>
      <c r="AD191" s="2">
        <f t="shared" si="55"/>
        <v>238</v>
      </c>
      <c r="AE191" s="2">
        <f t="shared" si="56"/>
        <v>315</v>
      </c>
      <c r="AF191" s="2">
        <f t="shared" si="57"/>
        <v>332</v>
      </c>
      <c r="AG191" s="2">
        <f t="shared" si="58"/>
        <v>275</v>
      </c>
      <c r="AH191" s="2">
        <f t="shared" si="61"/>
        <v>270</v>
      </c>
      <c r="AI191" s="2">
        <f t="shared" si="59"/>
        <v>142</v>
      </c>
      <c r="AJ191" s="2">
        <f t="shared" si="60"/>
        <v>220</v>
      </c>
      <c r="AK191" s="406">
        <v>1</v>
      </c>
      <c r="AL191" s="274">
        <f t="shared" ca="1" si="50"/>
        <v>11985</v>
      </c>
      <c r="AM191" s="311">
        <f t="shared" ca="1" si="51"/>
        <v>12194</v>
      </c>
      <c r="AN191" s="274">
        <f ca="1">IF(AND(Tabla7[[#This Row],[UltLec]]&lt;&gt;0,Tabla7[[#This Row],[PenLect]]&lt;&gt;0),(AM191-AL191)*Tabla7[[#This Row],[RT]],"N/A")</f>
        <v>209</v>
      </c>
      <c r="AO191" s="273" t="s">
        <v>862</v>
      </c>
      <c r="AP191" s="392" t="s">
        <v>1190</v>
      </c>
      <c r="AQ191" s="392" t="s">
        <v>1189</v>
      </c>
      <c r="AR191" s="407">
        <f t="shared" si="52"/>
        <v>0</v>
      </c>
      <c r="AT191" s="2">
        <f t="shared" ca="1" si="53"/>
        <v>1.0398009950248757</v>
      </c>
      <c r="AV191">
        <f>IF(ISBLANK(Tabla7[[#This Row],[31/12/2017]]),0,Tabla7[[#This Row],[31/12/2017]])</f>
        <v>11301</v>
      </c>
      <c r="AW191">
        <f>IF(ISBLANK(Tabla7[[#This Row],[15/01/2018]]),0,Tabla7[[#This Row],[15/01/2018]])</f>
        <v>11419</v>
      </c>
      <c r="AX191">
        <f>IF(ISBLANK(Tabla7[[#This Row],[15/02/2018]]),0,Tabla7[[#This Row],[15/02/2018]])</f>
        <v>11615</v>
      </c>
      <c r="AY191">
        <f>IF(ISBLANK(Tabla7[[#This Row],[15/03/2018]]),0,Tabla7[[#This Row],[15/03/2018]])</f>
        <v>11784</v>
      </c>
      <c r="AZ191">
        <f>IF(ISBLANK(Tabla7[[#This Row],[15/04/2018]]),0,Tabla7[[#This Row],[15/04/2018]])</f>
        <v>11985</v>
      </c>
      <c r="BA191">
        <f>IF(ISBLANK(Tabla7[[#This Row],[15/05/2018]]),0,Tabla7[[#This Row],[15/05/2018]])</f>
        <v>12194</v>
      </c>
      <c r="BB191">
        <f>IF(ISBLANK(Tabla7[[#This Row],[15/06/2018]]),0,Tabla7[[#This Row],[15/06/2018]])</f>
        <v>12432</v>
      </c>
      <c r="BC191">
        <f>IF(ISBLANK(Tabla7[[#This Row],[15/07/2018]]),0,Tabla7[[#This Row],[15/07/2018]])</f>
        <v>12747</v>
      </c>
      <c r="BD191">
        <f>IF(ISBLANK(Tabla7[[#This Row],[15/08/2018]]),0,Tabla7[[#This Row],[15/08/2018]])</f>
        <v>13079</v>
      </c>
      <c r="BE191">
        <f>IF(ISBLANK(Tabla7[[#This Row],[15/09/2018]]),0,Tabla7[[#This Row],[15/09/2018]])</f>
        <v>13354</v>
      </c>
      <c r="BF191">
        <f>IF(ISBLANK(Tabla7[[#This Row],[15/10/2018]]),0,Tabla7[[#This Row],[15/10/2018]])</f>
        <v>13624</v>
      </c>
      <c r="BG191">
        <f>IF(ISBLANK(Tabla7[[#This Row],[15/11/2018]]),0,Tabla7[[#This Row],[15/11/2018]])</f>
        <v>13766</v>
      </c>
      <c r="BH191">
        <f>IF(ISBLANK(Tabla7[[#This Row],[15/12/2018]]),0,Tabla7[[#This Row],[15/12/2018]])</f>
        <v>13986</v>
      </c>
      <c r="BI191">
        <f>IF(ISBLANK(Tabla7[[#This Row],[28/12/2018]]),0,Tabla7[[#This Row],[28/12/2018]])</f>
        <v>0</v>
      </c>
      <c r="BN19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('COUNTIS E20','V','VCDD','30000','TAREGA BENDING, S.L.','CUADRO TORRE PARKING D','COUNTIS','ALTA NUEVA EN PROCESO');</v>
      </c>
      <c r="BO191" t="s">
        <v>243</v>
      </c>
      <c r="BP191" s="632" t="str">
        <f>CONCATENATE("insert into lecturas values ","('",Tabla7[[#This Row],[CONTADOR]],"',STR_TO_DATE('",Tabla7[[#Headers],[31/12/2017]],"','%d/%m/%Y'),",AV191,"),","('",Tabla7[[#This Row],[CONTADOR]],"',STR_TO_DATE('",Tabla7[[#Headers],[15/01/2018]],"','%d/%m/%Y'),",AW191,"),","('",Tabla7[[#This Row],[CONTADOR]],"',STR_TO_DATE('",Tabla7[[#Headers],[15/02/2018]],"','%d/%m/%Y'),",AX191,"),","('",Tabla7[[#This Row],[CONTADOR]],"',STR_TO_DATE('",Tabla7[[#Headers],[15/03/2018]],"','%d/%m/%Y'),",AY191,"),","('",Tabla7[[#This Row],[CONTADOR]],"',STR_TO_DATE('",Tabla7[[#Headers],[15/04/2018]],"','%d/%m/%Y'),",AZ191,"),","('",Tabla7[[#This Row],[CONTADOR]],"',STR_TO_DATE('",Tabla7[[#Headers],[15/05/2018]],"','%d/%m/%Y'),",BA191,"),","('",Tabla7[[#This Row],[CONTADOR]],"',STR_TO_DATE('",Tabla7[[#Headers],[15/06/2018]],"','%d/%m/%Y'),",BB191,"),","('",Tabla7[[#This Row],[CONTADOR]],"',STR_TO_DATE('",Tabla7[[#Headers],[15/07/2018]],"','%d/%m/%Y'),",BC191,"),","('",Tabla7[[#This Row],[CONTADOR]],"',STR_TO_DATE('",Tabla7[[#Headers],[15/08/2018]],"','%d/%m/%Y'),",BD191,"),","('",Tabla7[[#This Row],[CONTADOR]],"',STR_TO_DATE('",Tabla7[[#Headers],[15/09/2018]],"','%d/%m/%Y'),",BE191,"),","('",Tabla7[[#This Row],[CONTADOR]],"',STR_TO_DATE('",Tabla7[[#Headers],[15/10/2018]],"','%d/%m/%Y'),",BF191,"),","('",Tabla7[[#This Row],[CONTADOR]],"',STR_TO_DATE('",Tabla7[[#Headers],[15/11/2018]],"','%d/%m/%Y'),",BG191,"),","('",Tabla7[[#This Row],[CONTADOR]],"',STR_TO_DATE('",Tabla7[[#Headers],[15/12/2018]],"','%d/%m/%Y'),",BH191,");")</f>
        <v>insert into lecturas values ('COUNTIS E20',STR_TO_DATE('31/12/2017','%d/%m/%Y'),11301),('COUNTIS E20',STR_TO_DATE('15/01/2018','%d/%m/%Y'),11419),('COUNTIS E20',STR_TO_DATE('15/02/2018','%d/%m/%Y'),11615),('COUNTIS E20',STR_TO_DATE('15/03/2018','%d/%m/%Y'),11784),('COUNTIS E20',STR_TO_DATE('15/04/2018','%d/%m/%Y'),11985),('COUNTIS E20',STR_TO_DATE('15/05/2018','%d/%m/%Y'),12194),('COUNTIS E20',STR_TO_DATE('15/06/2018','%d/%m/%Y'),12432),('COUNTIS E20',STR_TO_DATE('15/07/2018','%d/%m/%Y'),12747),('COUNTIS E20',STR_TO_DATE('15/08/2018','%d/%m/%Y'),13079),('COUNTIS E20',STR_TO_DATE('15/09/2018','%d/%m/%Y'),13354),('COUNTIS E20',STR_TO_DATE('15/10/2018','%d/%m/%Y'),13624),('COUNTIS E20',STR_TO_DATE('15/11/2018','%d/%m/%Y'),13766),('COUNTIS E20',STR_TO_DATE('15/12/2018','%d/%m/%Y'),13986);</v>
      </c>
    </row>
    <row r="192" spans="1:68" ht="18.75" customHeight="1" x14ac:dyDescent="0.25">
      <c r="A192" s="241" t="s">
        <v>739</v>
      </c>
      <c r="B192" s="60"/>
      <c r="C192" s="342" t="s">
        <v>1356</v>
      </c>
      <c r="D192" s="483" t="s">
        <v>323</v>
      </c>
      <c r="E192" s="258">
        <v>39033</v>
      </c>
      <c r="F192" s="2" t="s">
        <v>462</v>
      </c>
      <c r="G192" s="2" t="s">
        <v>1042</v>
      </c>
      <c r="H192" s="367" t="s">
        <v>1370</v>
      </c>
      <c r="I192" s="366"/>
      <c r="J192" s="368"/>
      <c r="K192" s="368"/>
      <c r="L192" s="368"/>
      <c r="M192" s="368"/>
      <c r="N192" s="368"/>
      <c r="O192" s="368">
        <v>23</v>
      </c>
      <c r="P192" s="471">
        <v>1961</v>
      </c>
      <c r="Q192" s="368">
        <v>5888</v>
      </c>
      <c r="R192" s="368">
        <v>9491</v>
      </c>
      <c r="S192" s="368">
        <v>12793</v>
      </c>
      <c r="T192" s="368">
        <v>15759</v>
      </c>
      <c r="U192" s="614">
        <v>17705</v>
      </c>
      <c r="V192" s="614">
        <v>19425</v>
      </c>
      <c r="W192" s="366"/>
      <c r="X192" s="367"/>
      <c r="Y192" s="367" t="str">
        <f t="shared" si="67"/>
        <v/>
      </c>
      <c r="Z192" s="367" t="str">
        <f t="shared" si="66"/>
        <v/>
      </c>
      <c r="AA192" s="367" t="str">
        <f>IF(OR(ISBLANK(#REF!),ISBLANK(L192)),"",IF(AND(#REF!&gt;=L192,#REF!-L192&lt;=#REF!),(#REF!-L192)*$AK192,"!!!!"))</f>
        <v/>
      </c>
      <c r="AB192" s="367" t="str">
        <f>IF(OR(ISBLANK(N192),ISBLANK(#REF!)),"",IF(AND(N192&gt;=#REF!,N192-#REF!&lt;=N192),(N192-#REF!)*$AK192,"!!!!"))</f>
        <v/>
      </c>
      <c r="AC192" s="367" t="str">
        <f t="shared" si="54"/>
        <v/>
      </c>
      <c r="AD192" s="367">
        <f t="shared" si="55"/>
        <v>1938</v>
      </c>
      <c r="AE192" s="367">
        <f t="shared" si="56"/>
        <v>3927</v>
      </c>
      <c r="AF192" s="367">
        <f t="shared" si="57"/>
        <v>3603</v>
      </c>
      <c r="AG192" s="367">
        <f t="shared" si="58"/>
        <v>3302</v>
      </c>
      <c r="AH192" s="472">
        <f t="shared" si="61"/>
        <v>2966</v>
      </c>
      <c r="AI192" s="367">
        <f t="shared" si="59"/>
        <v>1946</v>
      </c>
      <c r="AJ192" s="367">
        <f t="shared" si="60"/>
        <v>1720</v>
      </c>
      <c r="AK192" s="413">
        <v>1</v>
      </c>
      <c r="AL192" s="393">
        <f t="shared" ca="1" si="50"/>
        <v>0</v>
      </c>
      <c r="AM192" s="368">
        <f t="shared" ca="1" si="51"/>
        <v>23</v>
      </c>
      <c r="AN192" s="418" t="str">
        <f ca="1">IF(AND(Tabla7[[#This Row],[UltLec]]&lt;&gt;0,Tabla7[[#This Row],[PenLect]]&lt;&gt;0),(AM192-AL192)*Tabla7[[#This Row],[RT]],"N/A")</f>
        <v>N/A</v>
      </c>
      <c r="AO192" s="273" t="s">
        <v>862</v>
      </c>
      <c r="AP192" s="403" t="s">
        <v>1191</v>
      </c>
      <c r="AQ192" s="392" t="s">
        <v>1189</v>
      </c>
      <c r="AR192" s="415">
        <f t="shared" si="52"/>
        <v>0</v>
      </c>
      <c r="AT192" s="2" t="e">
        <f t="shared" ca="1" si="53"/>
        <v>#VALUE!</v>
      </c>
      <c r="AV192">
        <f>IF(ISBLANK(Tabla7[[#This Row],[31/12/2017]]),0,Tabla7[[#This Row],[31/12/2017]])</f>
        <v>0</v>
      </c>
      <c r="AW192">
        <f>IF(ISBLANK(Tabla7[[#This Row],[15/01/2018]]),0,Tabla7[[#This Row],[15/01/2018]])</f>
        <v>0</v>
      </c>
      <c r="AX192">
        <f>IF(ISBLANK(Tabla7[[#This Row],[15/02/2018]]),0,Tabla7[[#This Row],[15/02/2018]])</f>
        <v>0</v>
      </c>
      <c r="AY192">
        <f>IF(ISBLANK(Tabla7[[#This Row],[15/03/2018]]),0,Tabla7[[#This Row],[15/03/2018]])</f>
        <v>0</v>
      </c>
      <c r="AZ192">
        <f>IF(ISBLANK(Tabla7[[#This Row],[15/04/2018]]),0,Tabla7[[#This Row],[15/04/2018]])</f>
        <v>0</v>
      </c>
      <c r="BA192">
        <f>IF(ISBLANK(Tabla7[[#This Row],[15/05/2018]]),0,Tabla7[[#This Row],[15/05/2018]])</f>
        <v>23</v>
      </c>
      <c r="BB192">
        <f>IF(ISBLANK(Tabla7[[#This Row],[15/06/2018]]),0,Tabla7[[#This Row],[15/06/2018]])</f>
        <v>1961</v>
      </c>
      <c r="BC192">
        <f>IF(ISBLANK(Tabla7[[#This Row],[15/07/2018]]),0,Tabla7[[#This Row],[15/07/2018]])</f>
        <v>5888</v>
      </c>
      <c r="BD192">
        <f>IF(ISBLANK(Tabla7[[#This Row],[15/08/2018]]),0,Tabla7[[#This Row],[15/08/2018]])</f>
        <v>9491</v>
      </c>
      <c r="BE192">
        <f>IF(ISBLANK(Tabla7[[#This Row],[15/09/2018]]),0,Tabla7[[#This Row],[15/09/2018]])</f>
        <v>12793</v>
      </c>
      <c r="BF192">
        <f>IF(ISBLANK(Tabla7[[#This Row],[15/10/2018]]),0,Tabla7[[#This Row],[15/10/2018]])</f>
        <v>15759</v>
      </c>
      <c r="BG192">
        <f>IF(ISBLANK(Tabla7[[#This Row],[15/11/2018]]),0,Tabla7[[#This Row],[15/11/2018]])</f>
        <v>17705</v>
      </c>
      <c r="BH192">
        <f>IF(ISBLANK(Tabla7[[#This Row],[15/12/2018]]),0,Tabla7[[#This Row],[15/12/2018]])</f>
        <v>19425</v>
      </c>
      <c r="BI192">
        <f>IF(ISBLANK(Tabla7[[#This Row],[28/12/2018]]),0,Tabla7[[#This Row],[28/12/2018]])</f>
        <v>0</v>
      </c>
      <c r="BN19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('CXUVFER18042586792','VREP','VCDD','39033','INFOPORT VALENCIA, S.A.','C. CONTADORES EDIF .V (2)','Instalacion nueva en Mayo 2018','');</v>
      </c>
      <c r="BO192" t="s">
        <v>243</v>
      </c>
      <c r="BP192" s="632" t="str">
        <f>CONCATENATE("insert into lecturas values ","('",Tabla7[[#This Row],[CONTADOR]],"',STR_TO_DATE('",Tabla7[[#Headers],[31/12/2017]],"','%d/%m/%Y'),",AV192,"),","('",Tabla7[[#This Row],[CONTADOR]],"',STR_TO_DATE('",Tabla7[[#Headers],[15/01/2018]],"','%d/%m/%Y'),",AW192,"),","('",Tabla7[[#This Row],[CONTADOR]],"',STR_TO_DATE('",Tabla7[[#Headers],[15/02/2018]],"','%d/%m/%Y'),",AX192,"),","('",Tabla7[[#This Row],[CONTADOR]],"',STR_TO_DATE('",Tabla7[[#Headers],[15/03/2018]],"','%d/%m/%Y'),",AY192,"),","('",Tabla7[[#This Row],[CONTADOR]],"',STR_TO_DATE('",Tabla7[[#Headers],[15/04/2018]],"','%d/%m/%Y'),",AZ192,"),","('",Tabla7[[#This Row],[CONTADOR]],"',STR_TO_DATE('",Tabla7[[#Headers],[15/05/2018]],"','%d/%m/%Y'),",BA192,"),","('",Tabla7[[#This Row],[CONTADOR]],"',STR_TO_DATE('",Tabla7[[#Headers],[15/06/2018]],"','%d/%m/%Y'),",BB192,"),","('",Tabla7[[#This Row],[CONTADOR]],"',STR_TO_DATE('",Tabla7[[#Headers],[15/07/2018]],"','%d/%m/%Y'),",BC192,"),","('",Tabla7[[#This Row],[CONTADOR]],"',STR_TO_DATE('",Tabla7[[#Headers],[15/08/2018]],"','%d/%m/%Y'),",BD192,"),","('",Tabla7[[#This Row],[CONTADOR]],"',STR_TO_DATE('",Tabla7[[#Headers],[15/09/2018]],"','%d/%m/%Y'),",BE192,"),","('",Tabla7[[#This Row],[CONTADOR]],"',STR_TO_DATE('",Tabla7[[#Headers],[15/10/2018]],"','%d/%m/%Y'),",BF192,"),","('",Tabla7[[#This Row],[CONTADOR]],"',STR_TO_DATE('",Tabla7[[#Headers],[15/11/2018]],"','%d/%m/%Y'),",BG192,"),","('",Tabla7[[#This Row],[CONTADOR]],"',STR_TO_DATE('",Tabla7[[#Headers],[15/12/2018]],"','%d/%m/%Y'),",BH192,");")</f>
        <v>insert into lecturas values ('CXUVFER18042586792',STR_TO_DATE('31/12/2017','%d/%m/%Y'),0),('CXUVFER18042586792',STR_TO_DATE('15/01/2018','%d/%m/%Y'),0),('CXUVFER18042586792',STR_TO_DATE('15/02/2018','%d/%m/%Y'),0),('CXUVFER18042586792',STR_TO_DATE('15/03/2018','%d/%m/%Y'),0),('CXUVFER18042586792',STR_TO_DATE('15/04/2018','%d/%m/%Y'),0),('CXUVFER18042586792',STR_TO_DATE('15/05/2018','%d/%m/%Y'),23),('CXUVFER18042586792',STR_TO_DATE('15/06/2018','%d/%m/%Y'),1961),('CXUVFER18042586792',STR_TO_DATE('15/07/2018','%d/%m/%Y'),5888),('CXUVFER18042586792',STR_TO_DATE('15/08/2018','%d/%m/%Y'),9491),('CXUVFER18042586792',STR_TO_DATE('15/09/2018','%d/%m/%Y'),12793),('CXUVFER18042586792',STR_TO_DATE('15/10/2018','%d/%m/%Y'),15759),('CXUVFER18042586792',STR_TO_DATE('15/11/2018','%d/%m/%Y'),17705),('CXUVFER18042586792',STR_TO_DATE('15/12/2018','%d/%m/%Y'),19425);</v>
      </c>
    </row>
    <row r="193" spans="1:68" ht="18.75" customHeight="1" x14ac:dyDescent="0.25">
      <c r="A193" s="241" t="s">
        <v>739</v>
      </c>
      <c r="B193" s="60"/>
      <c r="C193" s="342" t="s">
        <v>1357</v>
      </c>
      <c r="D193" s="60" t="s">
        <v>323</v>
      </c>
      <c r="E193" s="258">
        <v>39072</v>
      </c>
      <c r="F193" s="2" t="s">
        <v>462</v>
      </c>
      <c r="G193" s="2" t="s">
        <v>980</v>
      </c>
      <c r="H193" s="367"/>
      <c r="I193" s="366"/>
      <c r="J193" s="368"/>
      <c r="K193" s="368"/>
      <c r="L193" s="368"/>
      <c r="M193" s="366"/>
      <c r="N193" s="366"/>
      <c r="O193" s="368">
        <v>23</v>
      </c>
      <c r="P193" s="369">
        <v>1986</v>
      </c>
      <c r="Q193" s="366">
        <v>5500</v>
      </c>
      <c r="R193" s="368">
        <v>8903</v>
      </c>
      <c r="S193" s="368">
        <v>12010</v>
      </c>
      <c r="T193" s="368">
        <v>14678</v>
      </c>
      <c r="U193" s="614">
        <v>16534</v>
      </c>
      <c r="V193" s="614">
        <v>18315</v>
      </c>
      <c r="W193" s="366"/>
      <c r="X193" s="367"/>
      <c r="Y193" s="367" t="str">
        <f t="shared" si="67"/>
        <v/>
      </c>
      <c r="Z193" s="367" t="str">
        <f t="shared" si="66"/>
        <v/>
      </c>
      <c r="AA193" s="367" t="str">
        <f>IF(OR(ISBLANK(#REF!),ISBLANK(L193)),"",IF(AND(#REF!&gt;=L193,#REF!-L193&lt;=#REF!),(#REF!-L193)*$AK193,"!!!!"))</f>
        <v/>
      </c>
      <c r="AB193" s="367" t="str">
        <f>IF(OR(ISBLANK(N193),ISBLANK(#REF!)),"",IF(AND(N193&gt;=#REF!,N193-#REF!&lt;=N193),(N193-#REF!)*$AK193,"!!!!"))</f>
        <v/>
      </c>
      <c r="AC193" s="367" t="str">
        <f t="shared" si="54"/>
        <v/>
      </c>
      <c r="AD193" s="367">
        <f t="shared" si="55"/>
        <v>1963</v>
      </c>
      <c r="AE193" s="367">
        <f t="shared" si="56"/>
        <v>3514</v>
      </c>
      <c r="AF193" s="367">
        <f t="shared" si="57"/>
        <v>3403</v>
      </c>
      <c r="AG193" s="367">
        <f t="shared" si="58"/>
        <v>3107</v>
      </c>
      <c r="AH193" s="472">
        <f t="shared" si="61"/>
        <v>2668</v>
      </c>
      <c r="AI193" s="367">
        <f t="shared" si="59"/>
        <v>1856</v>
      </c>
      <c r="AJ193" s="367">
        <f t="shared" si="60"/>
        <v>1781</v>
      </c>
      <c r="AK193" s="413">
        <v>1</v>
      </c>
      <c r="AL193" s="393">
        <f t="shared" ca="1" si="50"/>
        <v>0</v>
      </c>
      <c r="AM193" s="368">
        <f t="shared" ca="1" si="51"/>
        <v>23</v>
      </c>
      <c r="AN193" s="418" t="str">
        <f ca="1">IF(AND(Tabla7[[#This Row],[UltLec]]&lt;&gt;0,Tabla7[[#This Row],[PenLect]]&lt;&gt;0),(AM193-AL193)*Tabla7[[#This Row],[RT]],"N/A")</f>
        <v>N/A</v>
      </c>
      <c r="AO193" s="273" t="s">
        <v>862</v>
      </c>
      <c r="AP193" s="403" t="s">
        <v>1191</v>
      </c>
      <c r="AQ193" s="392" t="s">
        <v>1189</v>
      </c>
      <c r="AR193" s="415">
        <f t="shared" si="52"/>
        <v>0</v>
      </c>
      <c r="AT193" s="2" t="e">
        <f t="shared" ca="1" si="53"/>
        <v>#VALUE!</v>
      </c>
      <c r="AV193">
        <f>IF(ISBLANK(Tabla7[[#This Row],[31/12/2017]]),0,Tabla7[[#This Row],[31/12/2017]])</f>
        <v>0</v>
      </c>
      <c r="AW193">
        <f>IF(ISBLANK(Tabla7[[#This Row],[15/01/2018]]),0,Tabla7[[#This Row],[15/01/2018]])</f>
        <v>0</v>
      </c>
      <c r="AX193">
        <f>IF(ISBLANK(Tabla7[[#This Row],[15/02/2018]]),0,Tabla7[[#This Row],[15/02/2018]])</f>
        <v>0</v>
      </c>
      <c r="AY193">
        <f>IF(ISBLANK(Tabla7[[#This Row],[15/03/2018]]),0,Tabla7[[#This Row],[15/03/2018]])</f>
        <v>0</v>
      </c>
      <c r="AZ193">
        <f>IF(ISBLANK(Tabla7[[#This Row],[15/04/2018]]),0,Tabla7[[#This Row],[15/04/2018]])</f>
        <v>0</v>
      </c>
      <c r="BA193">
        <f>IF(ISBLANK(Tabla7[[#This Row],[15/05/2018]]),0,Tabla7[[#This Row],[15/05/2018]])</f>
        <v>23</v>
      </c>
      <c r="BB193">
        <f>IF(ISBLANK(Tabla7[[#This Row],[15/06/2018]]),0,Tabla7[[#This Row],[15/06/2018]])</f>
        <v>1986</v>
      </c>
      <c r="BC193">
        <f>IF(ISBLANK(Tabla7[[#This Row],[15/07/2018]]),0,Tabla7[[#This Row],[15/07/2018]])</f>
        <v>5500</v>
      </c>
      <c r="BD193">
        <f>IF(ISBLANK(Tabla7[[#This Row],[15/08/2018]]),0,Tabla7[[#This Row],[15/08/2018]])</f>
        <v>8903</v>
      </c>
      <c r="BE193">
        <f>IF(ISBLANK(Tabla7[[#This Row],[15/09/2018]]),0,Tabla7[[#This Row],[15/09/2018]])</f>
        <v>12010</v>
      </c>
      <c r="BF193">
        <f>IF(ISBLANK(Tabla7[[#This Row],[15/10/2018]]),0,Tabla7[[#This Row],[15/10/2018]])</f>
        <v>14678</v>
      </c>
      <c r="BG193">
        <f>IF(ISBLANK(Tabla7[[#This Row],[15/11/2018]]),0,Tabla7[[#This Row],[15/11/2018]])</f>
        <v>16534</v>
      </c>
      <c r="BH193">
        <f>IF(ISBLANK(Tabla7[[#This Row],[15/12/2018]]),0,Tabla7[[#This Row],[15/12/2018]])</f>
        <v>18315</v>
      </c>
      <c r="BI193">
        <f>IF(ISBLANK(Tabla7[[#This Row],[28/12/2018]]),0,Tabla7[[#This Row],[28/12/2018]])</f>
        <v>0</v>
      </c>
      <c r="BN19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('CXUVFER18042586793','VREP','VCDD','39072','INFOPORT VALENCIA, S.A.','C. CONTADORES EDIF .V (3)','','');</v>
      </c>
      <c r="BO193" t="s">
        <v>243</v>
      </c>
      <c r="BP193" s="632" t="str">
        <f>CONCATENATE("insert into lecturas values ","('",Tabla7[[#This Row],[CONTADOR]],"',STR_TO_DATE('",Tabla7[[#Headers],[31/12/2017]],"','%d/%m/%Y'),",AV193,"),","('",Tabla7[[#This Row],[CONTADOR]],"',STR_TO_DATE('",Tabla7[[#Headers],[15/01/2018]],"','%d/%m/%Y'),",AW193,"),","('",Tabla7[[#This Row],[CONTADOR]],"',STR_TO_DATE('",Tabla7[[#Headers],[15/02/2018]],"','%d/%m/%Y'),",AX193,"),","('",Tabla7[[#This Row],[CONTADOR]],"',STR_TO_DATE('",Tabla7[[#Headers],[15/03/2018]],"','%d/%m/%Y'),",AY193,"),","('",Tabla7[[#This Row],[CONTADOR]],"',STR_TO_DATE('",Tabla7[[#Headers],[15/04/2018]],"','%d/%m/%Y'),",AZ193,"),","('",Tabla7[[#This Row],[CONTADOR]],"',STR_TO_DATE('",Tabla7[[#Headers],[15/05/2018]],"','%d/%m/%Y'),",BA193,"),","('",Tabla7[[#This Row],[CONTADOR]],"',STR_TO_DATE('",Tabla7[[#Headers],[15/06/2018]],"','%d/%m/%Y'),",BB193,"),","('",Tabla7[[#This Row],[CONTADOR]],"',STR_TO_DATE('",Tabla7[[#Headers],[15/07/2018]],"','%d/%m/%Y'),",BC193,"),","('",Tabla7[[#This Row],[CONTADOR]],"',STR_TO_DATE('",Tabla7[[#Headers],[15/08/2018]],"','%d/%m/%Y'),",BD193,"),","('",Tabla7[[#This Row],[CONTADOR]],"',STR_TO_DATE('",Tabla7[[#Headers],[15/09/2018]],"','%d/%m/%Y'),",BE193,"),","('",Tabla7[[#This Row],[CONTADOR]],"',STR_TO_DATE('",Tabla7[[#Headers],[15/10/2018]],"','%d/%m/%Y'),",BF193,"),","('",Tabla7[[#This Row],[CONTADOR]],"',STR_TO_DATE('",Tabla7[[#Headers],[15/11/2018]],"','%d/%m/%Y'),",BG193,"),","('",Tabla7[[#This Row],[CONTADOR]],"',STR_TO_DATE('",Tabla7[[#Headers],[15/12/2018]],"','%d/%m/%Y'),",BH193,");")</f>
        <v>insert into lecturas values ('CXUVFER18042586793',STR_TO_DATE('31/12/2017','%d/%m/%Y'),0),('CXUVFER18042586793',STR_TO_DATE('15/01/2018','%d/%m/%Y'),0),('CXUVFER18042586793',STR_TO_DATE('15/02/2018','%d/%m/%Y'),0),('CXUVFER18042586793',STR_TO_DATE('15/03/2018','%d/%m/%Y'),0),('CXUVFER18042586793',STR_TO_DATE('15/04/2018','%d/%m/%Y'),0),('CXUVFER18042586793',STR_TO_DATE('15/05/2018','%d/%m/%Y'),23),('CXUVFER18042586793',STR_TO_DATE('15/06/2018','%d/%m/%Y'),1986),('CXUVFER18042586793',STR_TO_DATE('15/07/2018','%d/%m/%Y'),5500),('CXUVFER18042586793',STR_TO_DATE('15/08/2018','%d/%m/%Y'),8903),('CXUVFER18042586793',STR_TO_DATE('15/09/2018','%d/%m/%Y'),12010),('CXUVFER18042586793',STR_TO_DATE('15/10/2018','%d/%m/%Y'),14678),('CXUVFER18042586793',STR_TO_DATE('15/11/2018','%d/%m/%Y'),16534),('CXUVFER18042586793',STR_TO_DATE('15/12/2018','%d/%m/%Y'),18315);</v>
      </c>
    </row>
    <row r="194" spans="1:68" ht="18.75" customHeight="1" x14ac:dyDescent="0.25">
      <c r="A194" s="241" t="s">
        <v>739</v>
      </c>
      <c r="B194" s="60"/>
      <c r="C194" s="342" t="s">
        <v>1358</v>
      </c>
      <c r="D194" s="60" t="s">
        <v>323</v>
      </c>
      <c r="E194" s="258">
        <v>30000</v>
      </c>
      <c r="F194" s="2" t="s">
        <v>461</v>
      </c>
      <c r="G194" s="2" t="s">
        <v>978</v>
      </c>
      <c r="H194" s="367"/>
      <c r="I194" s="366"/>
      <c r="J194" s="368"/>
      <c r="K194" s="368"/>
      <c r="L194" s="368"/>
      <c r="M194" s="366"/>
      <c r="N194" s="366"/>
      <c r="O194" s="368">
        <v>23</v>
      </c>
      <c r="P194" s="369">
        <v>1040</v>
      </c>
      <c r="Q194" s="366">
        <v>4631</v>
      </c>
      <c r="R194" s="368">
        <v>8471</v>
      </c>
      <c r="S194" s="368">
        <v>11751</v>
      </c>
      <c r="T194" s="368">
        <v>13740</v>
      </c>
      <c r="U194" s="614">
        <v>15794</v>
      </c>
      <c r="V194" s="614">
        <v>18367</v>
      </c>
      <c r="W194" s="366"/>
      <c r="X194" s="367"/>
      <c r="Y194" s="367" t="str">
        <f t="shared" si="67"/>
        <v/>
      </c>
      <c r="Z194" s="367" t="str">
        <f t="shared" si="66"/>
        <v/>
      </c>
      <c r="AA194" s="367" t="str">
        <f>IF(OR(ISBLANK(#REF!),ISBLANK(L194)),"",IF(AND(#REF!&gt;=L194,#REF!-L194&lt;=#REF!),(#REF!-L194)*$AK194,"!!!!"))</f>
        <v/>
      </c>
      <c r="AB194" s="367" t="str">
        <f>IF(OR(ISBLANK(N194),ISBLANK(#REF!)),"",IF(AND(N194&gt;=#REF!,N194-#REF!&lt;=N194),(N194-#REF!)*$AK194,"!!!!"))</f>
        <v/>
      </c>
      <c r="AC194" s="367" t="str">
        <f t="shared" si="54"/>
        <v/>
      </c>
      <c r="AD194" s="367">
        <f t="shared" si="55"/>
        <v>1017</v>
      </c>
      <c r="AE194" s="367">
        <f t="shared" si="56"/>
        <v>3591</v>
      </c>
      <c r="AF194" s="367">
        <f t="shared" si="57"/>
        <v>3840</v>
      </c>
      <c r="AG194" s="367">
        <f t="shared" si="58"/>
        <v>3280</v>
      </c>
      <c r="AH194" s="472">
        <f t="shared" si="61"/>
        <v>1989</v>
      </c>
      <c r="AI194" s="367">
        <f t="shared" si="59"/>
        <v>2054</v>
      </c>
      <c r="AJ194" s="367">
        <f t="shared" si="60"/>
        <v>2573</v>
      </c>
      <c r="AK194" s="413">
        <v>1</v>
      </c>
      <c r="AL194" s="393">
        <f t="shared" ca="1" si="50"/>
        <v>0</v>
      </c>
      <c r="AM194" s="368">
        <f t="shared" ca="1" si="51"/>
        <v>23</v>
      </c>
      <c r="AN194" s="418" t="str">
        <f ca="1">IF(AND(Tabla7[[#This Row],[UltLec]]&lt;&gt;0,Tabla7[[#This Row],[PenLect]]&lt;&gt;0),(AM194-AL194)*Tabla7[[#This Row],[RT]],"N/A")</f>
        <v>N/A</v>
      </c>
      <c r="AO194" s="273" t="s">
        <v>862</v>
      </c>
      <c r="AP194" s="441" t="s">
        <v>1191</v>
      </c>
      <c r="AQ194" s="441" t="s">
        <v>1189</v>
      </c>
      <c r="AR194" s="415">
        <f t="shared" si="52"/>
        <v>0</v>
      </c>
      <c r="AT194" s="2" t="e">
        <f t="shared" ca="1" si="53"/>
        <v>#VALUE!</v>
      </c>
      <c r="AV194">
        <f>IF(ISBLANK(Tabla7[[#This Row],[31/12/2017]]),0,Tabla7[[#This Row],[31/12/2017]])</f>
        <v>0</v>
      </c>
      <c r="AW194">
        <f>IF(ISBLANK(Tabla7[[#This Row],[15/01/2018]]),0,Tabla7[[#This Row],[15/01/2018]])</f>
        <v>0</v>
      </c>
      <c r="AX194">
        <f>IF(ISBLANK(Tabla7[[#This Row],[15/02/2018]]),0,Tabla7[[#This Row],[15/02/2018]])</f>
        <v>0</v>
      </c>
      <c r="AY194">
        <f>IF(ISBLANK(Tabla7[[#This Row],[15/03/2018]]),0,Tabla7[[#This Row],[15/03/2018]])</f>
        <v>0</v>
      </c>
      <c r="AZ194">
        <f>IF(ISBLANK(Tabla7[[#This Row],[15/04/2018]]),0,Tabla7[[#This Row],[15/04/2018]])</f>
        <v>0</v>
      </c>
      <c r="BA194">
        <f>IF(ISBLANK(Tabla7[[#This Row],[15/05/2018]]),0,Tabla7[[#This Row],[15/05/2018]])</f>
        <v>23</v>
      </c>
      <c r="BB194">
        <f>IF(ISBLANK(Tabla7[[#This Row],[15/06/2018]]),0,Tabla7[[#This Row],[15/06/2018]])</f>
        <v>1040</v>
      </c>
      <c r="BC194">
        <f>IF(ISBLANK(Tabla7[[#This Row],[15/07/2018]]),0,Tabla7[[#This Row],[15/07/2018]])</f>
        <v>4631</v>
      </c>
      <c r="BD194">
        <f>IF(ISBLANK(Tabla7[[#This Row],[15/08/2018]]),0,Tabla7[[#This Row],[15/08/2018]])</f>
        <v>8471</v>
      </c>
      <c r="BE194">
        <f>IF(ISBLANK(Tabla7[[#This Row],[15/09/2018]]),0,Tabla7[[#This Row],[15/09/2018]])</f>
        <v>11751</v>
      </c>
      <c r="BF194">
        <f>IF(ISBLANK(Tabla7[[#This Row],[15/10/2018]]),0,Tabla7[[#This Row],[15/10/2018]])</f>
        <v>13740</v>
      </c>
      <c r="BG194">
        <f>IF(ISBLANK(Tabla7[[#This Row],[15/11/2018]]),0,Tabla7[[#This Row],[15/11/2018]])</f>
        <v>15794</v>
      </c>
      <c r="BH194">
        <f>IF(ISBLANK(Tabla7[[#This Row],[15/12/2018]]),0,Tabla7[[#This Row],[15/12/2018]])</f>
        <v>18367</v>
      </c>
      <c r="BI194">
        <f>IF(ISBLANK(Tabla7[[#This Row],[28/12/2018]]),0,Tabla7[[#This Row],[28/12/2018]])</f>
        <v>0</v>
      </c>
      <c r="BN19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('CXUVFER18042586796','VREP','VCDD','30000','SANIDAD VEGETAL','C. CONTADORES EDIF .V (1)','','');</v>
      </c>
      <c r="BO194" t="s">
        <v>243</v>
      </c>
      <c r="BP194" s="632" t="str">
        <f>CONCATENATE("insert into lecturas values ","('",Tabla7[[#This Row],[CONTADOR]],"',STR_TO_DATE('",Tabla7[[#Headers],[31/12/2017]],"','%d/%m/%Y'),",AV194,"),","('",Tabla7[[#This Row],[CONTADOR]],"',STR_TO_DATE('",Tabla7[[#Headers],[15/01/2018]],"','%d/%m/%Y'),",AW194,"),","('",Tabla7[[#This Row],[CONTADOR]],"',STR_TO_DATE('",Tabla7[[#Headers],[15/02/2018]],"','%d/%m/%Y'),",AX194,"),","('",Tabla7[[#This Row],[CONTADOR]],"',STR_TO_DATE('",Tabla7[[#Headers],[15/03/2018]],"','%d/%m/%Y'),",AY194,"),","('",Tabla7[[#This Row],[CONTADOR]],"',STR_TO_DATE('",Tabla7[[#Headers],[15/04/2018]],"','%d/%m/%Y'),",AZ194,"),","('",Tabla7[[#This Row],[CONTADOR]],"',STR_TO_DATE('",Tabla7[[#Headers],[15/05/2018]],"','%d/%m/%Y'),",BA194,"),","('",Tabla7[[#This Row],[CONTADOR]],"',STR_TO_DATE('",Tabla7[[#Headers],[15/06/2018]],"','%d/%m/%Y'),",BB194,"),","('",Tabla7[[#This Row],[CONTADOR]],"',STR_TO_DATE('",Tabla7[[#Headers],[15/07/2018]],"','%d/%m/%Y'),",BC194,"),","('",Tabla7[[#This Row],[CONTADOR]],"',STR_TO_DATE('",Tabla7[[#Headers],[15/08/2018]],"','%d/%m/%Y'),",BD194,"),","('",Tabla7[[#This Row],[CONTADOR]],"',STR_TO_DATE('",Tabla7[[#Headers],[15/09/2018]],"','%d/%m/%Y'),",BE194,"),","('",Tabla7[[#This Row],[CONTADOR]],"',STR_TO_DATE('",Tabla7[[#Headers],[15/10/2018]],"','%d/%m/%Y'),",BF194,"),","('",Tabla7[[#This Row],[CONTADOR]],"',STR_TO_DATE('",Tabla7[[#Headers],[15/11/2018]],"','%d/%m/%Y'),",BG194,"),","('",Tabla7[[#This Row],[CONTADOR]],"',STR_TO_DATE('",Tabla7[[#Headers],[15/12/2018]],"','%d/%m/%Y'),",BH194,");")</f>
        <v>insert into lecturas values ('CXUVFER18042586796',STR_TO_DATE('31/12/2017','%d/%m/%Y'),0),('CXUVFER18042586796',STR_TO_DATE('15/01/2018','%d/%m/%Y'),0),('CXUVFER18042586796',STR_TO_DATE('15/02/2018','%d/%m/%Y'),0),('CXUVFER18042586796',STR_TO_DATE('15/03/2018','%d/%m/%Y'),0),('CXUVFER18042586796',STR_TO_DATE('15/04/2018','%d/%m/%Y'),0),('CXUVFER18042586796',STR_TO_DATE('15/05/2018','%d/%m/%Y'),23),('CXUVFER18042586796',STR_TO_DATE('15/06/2018','%d/%m/%Y'),1040),('CXUVFER18042586796',STR_TO_DATE('15/07/2018','%d/%m/%Y'),4631),('CXUVFER18042586796',STR_TO_DATE('15/08/2018','%d/%m/%Y'),8471),('CXUVFER18042586796',STR_TO_DATE('15/09/2018','%d/%m/%Y'),11751),('CXUVFER18042586796',STR_TO_DATE('15/10/2018','%d/%m/%Y'),13740),('CXUVFER18042586796',STR_TO_DATE('15/11/2018','%d/%m/%Y'),15794),('CXUVFER18042586796',STR_TO_DATE('15/12/2018','%d/%m/%Y'),18367);</v>
      </c>
    </row>
    <row r="195" spans="1:68" ht="18.75" customHeight="1" x14ac:dyDescent="0.25">
      <c r="A195" s="241" t="s">
        <v>19</v>
      </c>
      <c r="B195" s="60">
        <v>1498</v>
      </c>
      <c r="C195" s="342" t="s">
        <v>354</v>
      </c>
      <c r="D195" s="60" t="s">
        <v>323</v>
      </c>
      <c r="E195" s="258">
        <v>39270</v>
      </c>
      <c r="F195" s="2" t="s">
        <v>355</v>
      </c>
      <c r="G195" s="2" t="s">
        <v>346</v>
      </c>
      <c r="H195" s="2"/>
      <c r="I195" s="274"/>
      <c r="J195" s="311">
        <v>82355</v>
      </c>
      <c r="K195" s="311">
        <v>82769</v>
      </c>
      <c r="L195" s="274">
        <v>83942</v>
      </c>
      <c r="M195" s="2">
        <v>84910</v>
      </c>
      <c r="N195" s="2">
        <v>85527</v>
      </c>
      <c r="O195" s="311">
        <v>86337</v>
      </c>
      <c r="P195" s="1">
        <v>87242</v>
      </c>
      <c r="Q195" s="2">
        <v>89059</v>
      </c>
      <c r="R195" s="311">
        <v>90897</v>
      </c>
      <c r="S195" s="311">
        <v>92341</v>
      </c>
      <c r="T195" s="311">
        <v>93264</v>
      </c>
      <c r="U195" s="531">
        <v>93951</v>
      </c>
      <c r="V195" s="353">
        <v>94620</v>
      </c>
      <c r="W195" s="275"/>
      <c r="X195" s="275"/>
      <c r="Y195" s="2">
        <f t="shared" si="67"/>
        <v>414</v>
      </c>
      <c r="Z195" s="2">
        <f t="shared" si="66"/>
        <v>1173</v>
      </c>
      <c r="AA195" s="2">
        <f>IF(OR(ISBLANK(M195),ISBLANK(L195)),"",IF(AND(M195&gt;=L195,M195-L195&lt;=M195),(M195-L195)*$AK195,"!!!!"))</f>
        <v>968</v>
      </c>
      <c r="AB195" s="2">
        <f>IF(OR(ISBLANK(N195),ISBLANK(M195)),"",IF(AND(N195&gt;=M195,N195-M195&lt;=N195),(N195-M195)*$AK195,"!!!!"))</f>
        <v>617</v>
      </c>
      <c r="AC195" s="2">
        <f t="shared" si="54"/>
        <v>810</v>
      </c>
      <c r="AD195" s="2">
        <f t="shared" si="55"/>
        <v>905</v>
      </c>
      <c r="AE195" s="2">
        <f t="shared" si="56"/>
        <v>1817</v>
      </c>
      <c r="AF195" s="2">
        <f t="shared" si="57"/>
        <v>1838</v>
      </c>
      <c r="AG195" s="2">
        <f t="shared" si="58"/>
        <v>1444</v>
      </c>
      <c r="AH195" s="2">
        <f t="shared" si="61"/>
        <v>923</v>
      </c>
      <c r="AI195" s="2">
        <f t="shared" si="59"/>
        <v>687</v>
      </c>
      <c r="AJ195" s="2">
        <f t="shared" si="60"/>
        <v>669</v>
      </c>
      <c r="AK195" s="406">
        <v>1</v>
      </c>
      <c r="AL195" s="274">
        <f t="shared" ref="AL195:AL258" ca="1" si="68">IF(DAY(TODAY())&lt;16,INDEX(J195:X195,1,MONTH(TODAY())-1),INDEX(J195:X195,1,MONTH(TODAY())))</f>
        <v>85527</v>
      </c>
      <c r="AM195" s="311">
        <f t="shared" ref="AM195:AM258" ca="1" si="69">IF(DAY(TODAY())&lt;16,INDEX(J195:X195,1,MONTH(TODAY())),INDEX(J195:X195,1,MONTH(TODAY())+1))</f>
        <v>86337</v>
      </c>
      <c r="AN195" s="274">
        <f ca="1">IF(AND(Tabla7[[#This Row],[UltLec]]&lt;&gt;0,Tabla7[[#This Row],[PenLect]]&lt;&gt;0),(AM195-AL195)*Tabla7[[#This Row],[RT]],"N/A")</f>
        <v>810</v>
      </c>
      <c r="AO195" s="273" t="s">
        <v>862</v>
      </c>
      <c r="AP195" s="403" t="s">
        <v>1190</v>
      </c>
      <c r="AQ195" s="392" t="s">
        <v>1189</v>
      </c>
      <c r="AR195" s="407">
        <f t="shared" ref="AR195:AR258" si="70">COUNTIF(Y195:AJ195,"!!!!")</f>
        <v>0</v>
      </c>
      <c r="AT195" s="2">
        <f t="shared" ca="1" si="53"/>
        <v>1.3128038897893031</v>
      </c>
      <c r="AV195">
        <f>IF(ISBLANK(Tabla7[[#This Row],[31/12/2017]]),0,Tabla7[[#This Row],[31/12/2017]])</f>
        <v>82355</v>
      </c>
      <c r="AW195">
        <f>IF(ISBLANK(Tabla7[[#This Row],[15/01/2018]]),0,Tabla7[[#This Row],[15/01/2018]])</f>
        <v>82769</v>
      </c>
      <c r="AX195">
        <f>IF(ISBLANK(Tabla7[[#This Row],[15/02/2018]]),0,Tabla7[[#This Row],[15/02/2018]])</f>
        <v>83942</v>
      </c>
      <c r="AY195">
        <f>IF(ISBLANK(Tabla7[[#This Row],[15/03/2018]]),0,Tabla7[[#This Row],[15/03/2018]])</f>
        <v>84910</v>
      </c>
      <c r="AZ195">
        <f>IF(ISBLANK(Tabla7[[#This Row],[15/04/2018]]),0,Tabla7[[#This Row],[15/04/2018]])</f>
        <v>85527</v>
      </c>
      <c r="BA195">
        <f>IF(ISBLANK(Tabla7[[#This Row],[15/05/2018]]),0,Tabla7[[#This Row],[15/05/2018]])</f>
        <v>86337</v>
      </c>
      <c r="BB195">
        <f>IF(ISBLANK(Tabla7[[#This Row],[15/06/2018]]),0,Tabla7[[#This Row],[15/06/2018]])</f>
        <v>87242</v>
      </c>
      <c r="BC195">
        <f>IF(ISBLANK(Tabla7[[#This Row],[15/07/2018]]),0,Tabla7[[#This Row],[15/07/2018]])</f>
        <v>89059</v>
      </c>
      <c r="BD195">
        <f>IF(ISBLANK(Tabla7[[#This Row],[15/08/2018]]),0,Tabla7[[#This Row],[15/08/2018]])</f>
        <v>90897</v>
      </c>
      <c r="BE195">
        <f>IF(ISBLANK(Tabla7[[#This Row],[15/09/2018]]),0,Tabla7[[#This Row],[15/09/2018]])</f>
        <v>92341</v>
      </c>
      <c r="BF195">
        <f>IF(ISBLANK(Tabla7[[#This Row],[15/10/2018]]),0,Tabla7[[#This Row],[15/10/2018]])</f>
        <v>93264</v>
      </c>
      <c r="BG195">
        <f>IF(ISBLANK(Tabla7[[#This Row],[15/11/2018]]),0,Tabla7[[#This Row],[15/11/2018]])</f>
        <v>93951</v>
      </c>
      <c r="BH195">
        <f>IF(ISBLANK(Tabla7[[#This Row],[15/12/2018]]),0,Tabla7[[#This Row],[15/12/2018]])</f>
        <v>94620</v>
      </c>
      <c r="BI195">
        <f>IF(ISBLANK(Tabla7[[#This Row],[28/12/2018]]),0,Tabla7[[#This Row],[28/12/2018]])</f>
        <v>0</v>
      </c>
      <c r="BN19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('LW00012537','V','VCDD','39270','PAVASAL SA (0804)','EXPLANADA ANTIGUO CAUCE RIO TURIA.','','');</v>
      </c>
      <c r="BO195" t="s">
        <v>243</v>
      </c>
      <c r="BP195" s="632" t="str">
        <f>CONCATENATE("insert into lecturas values ","('",Tabla7[[#This Row],[CONTADOR]],"',STR_TO_DATE('",Tabla7[[#Headers],[31/12/2017]],"','%d/%m/%Y'),",AV195,"),","('",Tabla7[[#This Row],[CONTADOR]],"',STR_TO_DATE('",Tabla7[[#Headers],[15/01/2018]],"','%d/%m/%Y'),",AW195,"),","('",Tabla7[[#This Row],[CONTADOR]],"',STR_TO_DATE('",Tabla7[[#Headers],[15/02/2018]],"','%d/%m/%Y'),",AX195,"),","('",Tabla7[[#This Row],[CONTADOR]],"',STR_TO_DATE('",Tabla7[[#Headers],[15/03/2018]],"','%d/%m/%Y'),",AY195,"),","('",Tabla7[[#This Row],[CONTADOR]],"',STR_TO_DATE('",Tabla7[[#Headers],[15/04/2018]],"','%d/%m/%Y'),",AZ195,"),","('",Tabla7[[#This Row],[CONTADOR]],"',STR_TO_DATE('",Tabla7[[#Headers],[15/05/2018]],"','%d/%m/%Y'),",BA195,"),","('",Tabla7[[#This Row],[CONTADOR]],"',STR_TO_DATE('",Tabla7[[#Headers],[15/06/2018]],"','%d/%m/%Y'),",BB195,"),","('",Tabla7[[#This Row],[CONTADOR]],"',STR_TO_DATE('",Tabla7[[#Headers],[15/07/2018]],"','%d/%m/%Y'),",BC195,"),","('",Tabla7[[#This Row],[CONTADOR]],"',STR_TO_DATE('",Tabla7[[#Headers],[15/08/2018]],"','%d/%m/%Y'),",BD195,"),","('",Tabla7[[#This Row],[CONTADOR]],"',STR_TO_DATE('",Tabla7[[#Headers],[15/09/2018]],"','%d/%m/%Y'),",BE195,"),","('",Tabla7[[#This Row],[CONTADOR]],"',STR_TO_DATE('",Tabla7[[#Headers],[15/10/2018]],"','%d/%m/%Y'),",BF195,"),","('",Tabla7[[#This Row],[CONTADOR]],"',STR_TO_DATE('",Tabla7[[#Headers],[15/11/2018]],"','%d/%m/%Y'),",BG195,"),","('",Tabla7[[#This Row],[CONTADOR]],"',STR_TO_DATE('",Tabla7[[#Headers],[15/12/2018]],"','%d/%m/%Y'),",BH195,");")</f>
        <v>insert into lecturas values ('LW00012537',STR_TO_DATE('31/12/2017','%d/%m/%Y'),82355),('LW00012537',STR_TO_DATE('15/01/2018','%d/%m/%Y'),82769),('LW00012537',STR_TO_DATE('15/02/2018','%d/%m/%Y'),83942),('LW00012537',STR_TO_DATE('15/03/2018','%d/%m/%Y'),84910),('LW00012537',STR_TO_DATE('15/04/2018','%d/%m/%Y'),85527),('LW00012537',STR_TO_DATE('15/05/2018','%d/%m/%Y'),86337),('LW00012537',STR_TO_DATE('15/06/2018','%d/%m/%Y'),87242),('LW00012537',STR_TO_DATE('15/07/2018','%d/%m/%Y'),89059),('LW00012537',STR_TO_DATE('15/08/2018','%d/%m/%Y'),90897),('LW00012537',STR_TO_DATE('15/09/2018','%d/%m/%Y'),92341),('LW00012537',STR_TO_DATE('15/10/2018','%d/%m/%Y'),93264),('LW00012537',STR_TO_DATE('15/11/2018','%d/%m/%Y'),93951),('LW00012537',STR_TO_DATE('15/12/2018','%d/%m/%Y'),94620);</v>
      </c>
    </row>
    <row r="196" spans="1:68" ht="18.75" customHeight="1" x14ac:dyDescent="0.25">
      <c r="A196" s="241" t="s">
        <v>19</v>
      </c>
      <c r="B196" s="60">
        <v>1700</v>
      </c>
      <c r="C196" s="223" t="s">
        <v>1383</v>
      </c>
      <c r="D196" s="60" t="s">
        <v>323</v>
      </c>
      <c r="E196" s="258">
        <v>39848</v>
      </c>
      <c r="F196" s="2" t="s">
        <v>1384</v>
      </c>
      <c r="G196" s="2" t="s">
        <v>1385</v>
      </c>
      <c r="H196" s="2"/>
      <c r="I196" s="274" t="s">
        <v>1386</v>
      </c>
      <c r="J196" s="311"/>
      <c r="K196" s="311"/>
      <c r="L196" s="2"/>
      <c r="M196" s="311"/>
      <c r="N196" s="311"/>
      <c r="O196" s="311"/>
      <c r="P196" s="463"/>
      <c r="Q196" s="311"/>
      <c r="R196" s="311">
        <v>15516</v>
      </c>
      <c r="S196" s="311">
        <v>15861</v>
      </c>
      <c r="T196" s="311">
        <v>16268</v>
      </c>
      <c r="U196" s="492">
        <v>16619</v>
      </c>
      <c r="V196" s="353">
        <v>17006</v>
      </c>
      <c r="W196" s="2"/>
      <c r="X196" s="2"/>
      <c r="Y196" s="2" t="str">
        <f t="shared" si="67"/>
        <v/>
      </c>
      <c r="Z196" s="2" t="str">
        <f t="shared" si="66"/>
        <v/>
      </c>
      <c r="AA196" s="2" t="str">
        <f>IF(OR(ISBLANK(#REF!),ISBLANK(L196)),"",IF(AND(#REF!&gt;=L196,#REF!-L196&lt;=#REF!),(#REF!-L196)*$AK196,"!!!!"))</f>
        <v/>
      </c>
      <c r="AB196" s="2" t="str">
        <f>IF(OR(ISBLANK(N196),ISBLANK(#REF!)),"",IF(AND(N196&gt;=#REF!,N196-#REF!&lt;=N196),(N196-#REF!)*$AK196,"!!!!"))</f>
        <v/>
      </c>
      <c r="AC196" s="2" t="str">
        <f t="shared" si="54"/>
        <v/>
      </c>
      <c r="AD196" s="2" t="str">
        <f t="shared" si="55"/>
        <v/>
      </c>
      <c r="AE196" s="2" t="str">
        <f t="shared" si="56"/>
        <v/>
      </c>
      <c r="AF196" s="2" t="str">
        <f t="shared" si="57"/>
        <v/>
      </c>
      <c r="AG196" s="2">
        <f t="shared" si="58"/>
        <v>0</v>
      </c>
      <c r="AH196" s="271">
        <f t="shared" si="61"/>
        <v>0</v>
      </c>
      <c r="AI196" s="2">
        <f t="shared" si="59"/>
        <v>0</v>
      </c>
      <c r="AJ196" s="2">
        <f t="shared" si="60"/>
        <v>0</v>
      </c>
      <c r="AK196" s="406"/>
      <c r="AL196" s="412">
        <f t="shared" ca="1" si="68"/>
        <v>0</v>
      </c>
      <c r="AM196" s="311">
        <f t="shared" ca="1" si="69"/>
        <v>0</v>
      </c>
      <c r="AN196" s="412" t="str">
        <f ca="1">IF(AND(Tabla7[[#This Row],[UltLec]]&lt;&gt;0,Tabla7[[#This Row],[PenLect]]&lt;&gt;0),(AM196-AL196)*Tabla7[[#This Row],[RT]],"N/A")</f>
        <v>N/A</v>
      </c>
      <c r="AO196" s="273" t="s">
        <v>862</v>
      </c>
      <c r="AP196" s="403" t="s">
        <v>1190</v>
      </c>
      <c r="AQ196" s="392" t="s">
        <v>1193</v>
      </c>
      <c r="AR196" s="407">
        <f t="shared" si="70"/>
        <v>0</v>
      </c>
      <c r="AT196" s="2" t="e">
        <f t="shared" ref="AT196:AT260" ca="1" si="71">IF(IF(DAY(TODAY())&gt;15,INDEX($Y196:$AJ196,1,MONTH(TODAY())-1),INDEX($Y196:$AJ196,1,MONTH(TODAY())-2))=0,"0",IF(DAY(TODAY())&gt;15,INDEX($Y196:$AJ196,1,MONTH(TODAY())),INDEX($Y196:$AJ196,1,MONTH(TODAY())-1))/IF(DAY(TODAY())&gt;15,INDEX($Y196:$AJ196,1,MONTH(TODAY())-1),INDEX($Y196:$AJ196,1,MONTH(TODAY())-2)))</f>
        <v>#VALUE!</v>
      </c>
      <c r="AV196">
        <f>IF(ISBLANK(Tabla7[[#This Row],[31/12/2017]]),0,Tabla7[[#This Row],[31/12/2017]])</f>
        <v>0</v>
      </c>
      <c r="AW196">
        <f>IF(ISBLANK(Tabla7[[#This Row],[15/01/2018]]),0,Tabla7[[#This Row],[15/01/2018]])</f>
        <v>0</v>
      </c>
      <c r="AX196">
        <f>IF(ISBLANK(Tabla7[[#This Row],[15/02/2018]]),0,Tabla7[[#This Row],[15/02/2018]])</f>
        <v>0</v>
      </c>
      <c r="AY196">
        <f>IF(ISBLANK(Tabla7[[#This Row],[15/03/2018]]),0,Tabla7[[#This Row],[15/03/2018]])</f>
        <v>0</v>
      </c>
      <c r="AZ196">
        <f>IF(ISBLANK(Tabla7[[#This Row],[15/04/2018]]),0,Tabla7[[#This Row],[15/04/2018]])</f>
        <v>0</v>
      </c>
      <c r="BA196">
        <f>IF(ISBLANK(Tabla7[[#This Row],[15/05/2018]]),0,Tabla7[[#This Row],[15/05/2018]])</f>
        <v>0</v>
      </c>
      <c r="BB196">
        <f>IF(ISBLANK(Tabla7[[#This Row],[15/06/2018]]),0,Tabla7[[#This Row],[15/06/2018]])</f>
        <v>0</v>
      </c>
      <c r="BC196">
        <f>IF(ISBLANK(Tabla7[[#This Row],[15/07/2018]]),0,Tabla7[[#This Row],[15/07/2018]])</f>
        <v>0</v>
      </c>
      <c r="BD196">
        <f>IF(ISBLANK(Tabla7[[#This Row],[15/08/2018]]),0,Tabla7[[#This Row],[15/08/2018]])</f>
        <v>15516</v>
      </c>
      <c r="BE196">
        <f>IF(ISBLANK(Tabla7[[#This Row],[15/09/2018]]),0,Tabla7[[#This Row],[15/09/2018]])</f>
        <v>15861</v>
      </c>
      <c r="BF196">
        <f>IF(ISBLANK(Tabla7[[#This Row],[15/10/2018]]),0,Tabla7[[#This Row],[15/10/2018]])</f>
        <v>16268</v>
      </c>
      <c r="BG196">
        <f>IF(ISBLANK(Tabla7[[#This Row],[15/11/2018]]),0,Tabla7[[#This Row],[15/11/2018]])</f>
        <v>16619</v>
      </c>
      <c r="BH196">
        <f>IF(ISBLANK(Tabla7[[#This Row],[15/12/2018]]),0,Tabla7[[#This Row],[15/12/2018]])</f>
        <v>17006</v>
      </c>
      <c r="BI196">
        <f>IF(ISBLANK(Tabla7[[#This Row],[28/12/2018]]),0,Tabla7[[#This Row],[28/12/2018]])</f>
        <v>0</v>
      </c>
      <c r="BN19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('LW00013687','V','VCDD','39848','DRAVO, S.A.','EXPLANADA ANTIGUO CAUCE RIO TURIA','','ALTA 07/09/2018');</v>
      </c>
      <c r="BO196" t="s">
        <v>243</v>
      </c>
      <c r="BP196" s="632" t="str">
        <f>CONCATENATE("insert into lecturas values ","('",Tabla7[[#This Row],[CONTADOR]],"',STR_TO_DATE('",Tabla7[[#Headers],[31/12/2017]],"','%d/%m/%Y'),",AV196,"),","('",Tabla7[[#This Row],[CONTADOR]],"',STR_TO_DATE('",Tabla7[[#Headers],[15/01/2018]],"','%d/%m/%Y'),",AW196,"),","('",Tabla7[[#This Row],[CONTADOR]],"',STR_TO_DATE('",Tabla7[[#Headers],[15/02/2018]],"','%d/%m/%Y'),",AX196,"),","('",Tabla7[[#This Row],[CONTADOR]],"',STR_TO_DATE('",Tabla7[[#Headers],[15/03/2018]],"','%d/%m/%Y'),",AY196,"),","('",Tabla7[[#This Row],[CONTADOR]],"',STR_TO_DATE('",Tabla7[[#Headers],[15/04/2018]],"','%d/%m/%Y'),",AZ196,"),","('",Tabla7[[#This Row],[CONTADOR]],"',STR_TO_DATE('",Tabla7[[#Headers],[15/05/2018]],"','%d/%m/%Y'),",BA196,"),","('",Tabla7[[#This Row],[CONTADOR]],"',STR_TO_DATE('",Tabla7[[#Headers],[15/06/2018]],"','%d/%m/%Y'),",BB196,"),","('",Tabla7[[#This Row],[CONTADOR]],"',STR_TO_DATE('",Tabla7[[#Headers],[15/07/2018]],"','%d/%m/%Y'),",BC196,"),","('",Tabla7[[#This Row],[CONTADOR]],"',STR_TO_DATE('",Tabla7[[#Headers],[15/08/2018]],"','%d/%m/%Y'),",BD196,"),","('",Tabla7[[#This Row],[CONTADOR]],"',STR_TO_DATE('",Tabla7[[#Headers],[15/09/2018]],"','%d/%m/%Y'),",BE196,"),","('",Tabla7[[#This Row],[CONTADOR]],"',STR_TO_DATE('",Tabla7[[#Headers],[15/10/2018]],"','%d/%m/%Y'),",BF196,"),","('",Tabla7[[#This Row],[CONTADOR]],"',STR_TO_DATE('",Tabla7[[#Headers],[15/11/2018]],"','%d/%m/%Y'),",BG196,"),","('",Tabla7[[#This Row],[CONTADOR]],"',STR_TO_DATE('",Tabla7[[#Headers],[15/12/2018]],"','%d/%m/%Y'),",BH196,");")</f>
        <v>insert into lecturas values ('LW00013687',STR_TO_DATE('31/12/2017','%d/%m/%Y'),0),('LW00013687',STR_TO_DATE('15/01/2018','%d/%m/%Y'),0),('LW00013687',STR_TO_DATE('15/02/2018','%d/%m/%Y'),0),('LW00013687',STR_TO_DATE('15/03/2018','%d/%m/%Y'),0),('LW00013687',STR_TO_DATE('15/04/2018','%d/%m/%Y'),0),('LW00013687',STR_TO_DATE('15/05/2018','%d/%m/%Y'),0),('LW00013687',STR_TO_DATE('15/06/2018','%d/%m/%Y'),0),('LW00013687',STR_TO_DATE('15/07/2018','%d/%m/%Y'),0),('LW00013687',STR_TO_DATE('15/08/2018','%d/%m/%Y'),15516),('LW00013687',STR_TO_DATE('15/09/2018','%d/%m/%Y'),15861),('LW00013687',STR_TO_DATE('15/10/2018','%d/%m/%Y'),16268),('LW00013687',STR_TO_DATE('15/11/2018','%d/%m/%Y'),16619),('LW00013687',STR_TO_DATE('15/12/2018','%d/%m/%Y'),17006);</v>
      </c>
    </row>
    <row r="197" spans="1:68" ht="18.75" customHeight="1" x14ac:dyDescent="0.25">
      <c r="A197" s="241" t="s">
        <v>19</v>
      </c>
      <c r="B197" s="60">
        <v>1727</v>
      </c>
      <c r="C197" s="223" t="s">
        <v>1453</v>
      </c>
      <c r="D197" s="60" t="s">
        <v>323</v>
      </c>
      <c r="E197" s="258">
        <v>39397</v>
      </c>
      <c r="F197" s="2" t="s">
        <v>1454</v>
      </c>
      <c r="G197" s="2" t="s">
        <v>1385</v>
      </c>
      <c r="H197" s="2"/>
      <c r="I197" s="274" t="s">
        <v>1455</v>
      </c>
      <c r="J197" s="311"/>
      <c r="K197" s="311"/>
      <c r="L197" s="274"/>
      <c r="M197" s="2"/>
      <c r="O197" s="311"/>
      <c r="P197" s="1"/>
      <c r="Q197" s="2"/>
      <c r="R197" s="311"/>
      <c r="S197" s="311"/>
      <c r="T197" s="311">
        <v>17882</v>
      </c>
      <c r="U197" s="531">
        <v>18064</v>
      </c>
      <c r="V197" s="353">
        <v>18407</v>
      </c>
      <c r="W197" s="275"/>
      <c r="X197" s="275"/>
      <c r="Y197" s="2" t="str">
        <f t="shared" si="67"/>
        <v/>
      </c>
      <c r="Z197" s="2" t="str">
        <f t="shared" si="66"/>
        <v/>
      </c>
      <c r="AA197" s="2" t="str">
        <f>IF(OR(ISBLANK(#REF!),ISBLANK(L197)),"",IF(AND(#REF!&gt;=L197,#REF!-L197&lt;=#REF!),(#REF!-L197)*$AK197,"!!!!"))</f>
        <v/>
      </c>
      <c r="AB197" s="2" t="str">
        <f>IF(OR(ISBLANK(N197),ISBLANK(#REF!)),"",IF(AND(N197&gt;=#REF!,N197-#REF!&lt;=N197),(N197-#REF!)*$AK197,"!!!!"))</f>
        <v/>
      </c>
      <c r="AC197" s="2" t="str">
        <f t="shared" si="54"/>
        <v/>
      </c>
      <c r="AD197" s="2" t="str">
        <f t="shared" si="55"/>
        <v/>
      </c>
      <c r="AE197" s="2" t="str">
        <f t="shared" si="56"/>
        <v/>
      </c>
      <c r="AF197" s="2" t="str">
        <f t="shared" si="57"/>
        <v/>
      </c>
      <c r="AG197" s="2" t="str">
        <f t="shared" si="58"/>
        <v/>
      </c>
      <c r="AH197" s="271" t="str">
        <f t="shared" si="61"/>
        <v/>
      </c>
      <c r="AI197" s="2">
        <f t="shared" si="59"/>
        <v>182</v>
      </c>
      <c r="AJ197" s="2">
        <f t="shared" si="60"/>
        <v>343</v>
      </c>
      <c r="AK197" s="406">
        <v>1</v>
      </c>
      <c r="AL197" s="412">
        <f t="shared" ca="1" si="68"/>
        <v>0</v>
      </c>
      <c r="AM197" s="412">
        <f t="shared" ca="1" si="69"/>
        <v>0</v>
      </c>
      <c r="AN197" s="412" t="str">
        <f ca="1">IF(AND(Tabla7[[#This Row],[UltLec]]&lt;&gt;0,Tabla7[[#This Row],[PenLect]]&lt;&gt;0),(AM197-AL197)*Tabla7[[#This Row],[RT]],"N/A")</f>
        <v>N/A</v>
      </c>
      <c r="AO197" s="273" t="s">
        <v>862</v>
      </c>
      <c r="AP197" s="595" t="s">
        <v>1190</v>
      </c>
      <c r="AQ197" s="593" t="s">
        <v>1189</v>
      </c>
      <c r="AR197" s="407">
        <f t="shared" si="70"/>
        <v>0</v>
      </c>
      <c r="AT197" s="2" t="e">
        <f t="shared" ca="1" si="71"/>
        <v>#VALUE!</v>
      </c>
      <c r="AV197">
        <f>IF(ISBLANK(Tabla7[[#This Row],[31/12/2017]]),0,Tabla7[[#This Row],[31/12/2017]])</f>
        <v>0</v>
      </c>
      <c r="AW197">
        <f>IF(ISBLANK(Tabla7[[#This Row],[15/01/2018]]),0,Tabla7[[#This Row],[15/01/2018]])</f>
        <v>0</v>
      </c>
      <c r="AX197">
        <f>IF(ISBLANK(Tabla7[[#This Row],[15/02/2018]]),0,Tabla7[[#This Row],[15/02/2018]])</f>
        <v>0</v>
      </c>
      <c r="AY197">
        <f>IF(ISBLANK(Tabla7[[#This Row],[15/03/2018]]),0,Tabla7[[#This Row],[15/03/2018]])</f>
        <v>0</v>
      </c>
      <c r="AZ197">
        <f>IF(ISBLANK(Tabla7[[#This Row],[15/04/2018]]),0,Tabla7[[#This Row],[15/04/2018]])</f>
        <v>0</v>
      </c>
      <c r="BA197">
        <f>IF(ISBLANK(Tabla7[[#This Row],[15/05/2018]]),0,Tabla7[[#This Row],[15/05/2018]])</f>
        <v>0</v>
      </c>
      <c r="BB197">
        <f>IF(ISBLANK(Tabla7[[#This Row],[15/06/2018]]),0,Tabla7[[#This Row],[15/06/2018]])</f>
        <v>0</v>
      </c>
      <c r="BC197">
        <f>IF(ISBLANK(Tabla7[[#This Row],[15/07/2018]]),0,Tabla7[[#This Row],[15/07/2018]])</f>
        <v>0</v>
      </c>
      <c r="BD197">
        <f>IF(ISBLANK(Tabla7[[#This Row],[15/08/2018]]),0,Tabla7[[#This Row],[15/08/2018]])</f>
        <v>0</v>
      </c>
      <c r="BE197">
        <f>IF(ISBLANK(Tabla7[[#This Row],[15/09/2018]]),0,Tabla7[[#This Row],[15/09/2018]])</f>
        <v>0</v>
      </c>
      <c r="BF197">
        <f>IF(ISBLANK(Tabla7[[#This Row],[15/10/2018]]),0,Tabla7[[#This Row],[15/10/2018]])</f>
        <v>17882</v>
      </c>
      <c r="BG197">
        <f>IF(ISBLANK(Tabla7[[#This Row],[15/11/2018]]),0,Tabla7[[#This Row],[15/11/2018]])</f>
        <v>18064</v>
      </c>
      <c r="BH197">
        <f>IF(ISBLANK(Tabla7[[#This Row],[15/12/2018]]),0,Tabla7[[#This Row],[15/12/2018]])</f>
        <v>18407</v>
      </c>
      <c r="BI197">
        <f>IF(ISBLANK(Tabla7[[#This Row],[28/12/2018]]),0,Tabla7[[#This Row],[28/12/2018]])</f>
        <v>0</v>
      </c>
      <c r="BN19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('LW00014175','V','VCDD','39397','ACCIONA CONSTRUCCION, S.A.','EXPLANADA ANTIGUO CAUCE RIO TURIA','','ALTA 07/11/2018, LECTURA INICIAL 17882');</v>
      </c>
      <c r="BO197" t="s">
        <v>243</v>
      </c>
      <c r="BP197" s="632" t="str">
        <f>CONCATENATE("insert into lecturas values ","('",Tabla7[[#This Row],[CONTADOR]],"',STR_TO_DATE('",Tabla7[[#Headers],[31/12/2017]],"','%d/%m/%Y'),",AV197,"),","('",Tabla7[[#This Row],[CONTADOR]],"',STR_TO_DATE('",Tabla7[[#Headers],[15/01/2018]],"','%d/%m/%Y'),",AW197,"),","('",Tabla7[[#This Row],[CONTADOR]],"',STR_TO_DATE('",Tabla7[[#Headers],[15/02/2018]],"','%d/%m/%Y'),",AX197,"),","('",Tabla7[[#This Row],[CONTADOR]],"',STR_TO_DATE('",Tabla7[[#Headers],[15/03/2018]],"','%d/%m/%Y'),",AY197,"),","('",Tabla7[[#This Row],[CONTADOR]],"',STR_TO_DATE('",Tabla7[[#Headers],[15/04/2018]],"','%d/%m/%Y'),",AZ197,"),","('",Tabla7[[#This Row],[CONTADOR]],"',STR_TO_DATE('",Tabla7[[#Headers],[15/05/2018]],"','%d/%m/%Y'),",BA197,"),","('",Tabla7[[#This Row],[CONTADOR]],"',STR_TO_DATE('",Tabla7[[#Headers],[15/06/2018]],"','%d/%m/%Y'),",BB197,"),","('",Tabla7[[#This Row],[CONTADOR]],"',STR_TO_DATE('",Tabla7[[#Headers],[15/07/2018]],"','%d/%m/%Y'),",BC197,"),","('",Tabla7[[#This Row],[CONTADOR]],"',STR_TO_DATE('",Tabla7[[#Headers],[15/08/2018]],"','%d/%m/%Y'),",BD197,"),","('",Tabla7[[#This Row],[CONTADOR]],"',STR_TO_DATE('",Tabla7[[#Headers],[15/09/2018]],"','%d/%m/%Y'),",BE197,"),","('",Tabla7[[#This Row],[CONTADOR]],"',STR_TO_DATE('",Tabla7[[#Headers],[15/10/2018]],"','%d/%m/%Y'),",BF197,"),","('",Tabla7[[#This Row],[CONTADOR]],"',STR_TO_DATE('",Tabla7[[#Headers],[15/11/2018]],"','%d/%m/%Y'),",BG197,"),","('",Tabla7[[#This Row],[CONTADOR]],"',STR_TO_DATE('",Tabla7[[#Headers],[15/12/2018]],"','%d/%m/%Y'),",BH197,");")</f>
        <v>insert into lecturas values ('LW00014175',STR_TO_DATE('31/12/2017','%d/%m/%Y'),0),('LW00014175',STR_TO_DATE('15/01/2018','%d/%m/%Y'),0),('LW00014175',STR_TO_DATE('15/02/2018','%d/%m/%Y'),0),('LW00014175',STR_TO_DATE('15/03/2018','%d/%m/%Y'),0),('LW00014175',STR_TO_DATE('15/04/2018','%d/%m/%Y'),0),('LW00014175',STR_TO_DATE('15/05/2018','%d/%m/%Y'),0),('LW00014175',STR_TO_DATE('15/06/2018','%d/%m/%Y'),0),('LW00014175',STR_TO_DATE('15/07/2018','%d/%m/%Y'),0),('LW00014175',STR_TO_DATE('15/08/2018','%d/%m/%Y'),0),('LW00014175',STR_TO_DATE('15/09/2018','%d/%m/%Y'),0),('LW00014175',STR_TO_DATE('15/10/2018','%d/%m/%Y'),17882),('LW00014175',STR_TO_DATE('15/11/2018','%d/%m/%Y'),18064),('LW00014175',STR_TO_DATE('15/12/2018','%d/%m/%Y'),18407);</v>
      </c>
    </row>
    <row r="198" spans="1:68" ht="18.75" customHeight="1" x14ac:dyDescent="0.25">
      <c r="A198" s="241" t="s">
        <v>19</v>
      </c>
      <c r="B198" s="60">
        <v>769</v>
      </c>
      <c r="C198" s="342" t="s">
        <v>344</v>
      </c>
      <c r="D198" s="60" t="s">
        <v>323</v>
      </c>
      <c r="E198" s="258">
        <v>39358</v>
      </c>
      <c r="F198" s="2" t="s">
        <v>345</v>
      </c>
      <c r="G198" s="2" t="s">
        <v>346</v>
      </c>
      <c r="H198" s="2" t="s">
        <v>347</v>
      </c>
      <c r="I198" s="274"/>
      <c r="J198" s="311">
        <v>74775</v>
      </c>
      <c r="K198" s="311">
        <v>75401</v>
      </c>
      <c r="L198" s="274">
        <v>77029</v>
      </c>
      <c r="M198" s="2">
        <v>78303</v>
      </c>
      <c r="N198" s="2">
        <v>79349</v>
      </c>
      <c r="O198" s="311">
        <v>80142</v>
      </c>
      <c r="P198" s="1">
        <v>81060</v>
      </c>
      <c r="Q198" s="274">
        <v>82672</v>
      </c>
      <c r="R198" s="311">
        <v>84592</v>
      </c>
      <c r="S198" s="311">
        <v>85872</v>
      </c>
      <c r="T198" s="311">
        <v>87037</v>
      </c>
      <c r="U198" s="492">
        <v>88005</v>
      </c>
      <c r="V198" s="353">
        <v>89162</v>
      </c>
      <c r="W198" s="2"/>
      <c r="X198" s="2"/>
      <c r="Y198" s="2">
        <f t="shared" si="67"/>
        <v>626</v>
      </c>
      <c r="Z198" s="2">
        <f t="shared" si="66"/>
        <v>1628</v>
      </c>
      <c r="AA198" s="2">
        <f>IF(OR(ISBLANK(M198),ISBLANK(L198)),"",IF(AND(M198&gt;=L198,M198-L198&lt;=M198),(M198-L198)*$AK198,"!!!!"))</f>
        <v>1274</v>
      </c>
      <c r="AB198" s="2">
        <f>IF(OR(ISBLANK(N198),ISBLANK(M198)),"",IF(AND(N198&gt;=M198,N198-M198&lt;=N198),(N198-M198)*$AK198,"!!!!"))</f>
        <v>1046</v>
      </c>
      <c r="AC198" s="2">
        <f t="shared" ref="AC198:AC261" si="72">IF(OR(ISBLANK(O198),ISBLANK(N198)),"",IF(AND(O198&gt;=N198,O198-N198&lt;=O198),(O198-N198)*$AK198,"!!!!"))</f>
        <v>793</v>
      </c>
      <c r="AD198" s="2">
        <f t="shared" ref="AD198:AD261" si="73">IF(OR(ISBLANK(P198),ISBLANK(O198)),"",IF(AND(P198&gt;=O198,P198-O198&lt;=P198),(P198-O198)*$AK198,"!!!!"))</f>
        <v>918</v>
      </c>
      <c r="AE198" s="2">
        <f t="shared" ref="AE198:AE261" si="74">IF(OR(ISBLANK(Q198),ISBLANK(P198)),"",IF(AND(Q198&gt;=P198,Q198-P198&lt;=Q198),(Q198-P198)*$AK198,"!!!!"))</f>
        <v>1612</v>
      </c>
      <c r="AF198" s="2">
        <f t="shared" ref="AF198:AF261" si="75">IF(OR(ISBLANK(R198),ISBLANK(Q198)),"",IF(AND(R198&gt;=Q198,R198-Q198&lt;=R198),(R198-Q198)*$AK198,"!!!!"))</f>
        <v>1920</v>
      </c>
      <c r="AG198" s="2">
        <f t="shared" ref="AG198:AG261" si="76">IF(OR(ISBLANK(S198),ISBLANK(R198)),"",IF(AND(S198&gt;=R198,S198-R198&lt;=S198),(S198-R198)*$AK198,"!!!!"))</f>
        <v>1280</v>
      </c>
      <c r="AH198" s="2">
        <f t="shared" si="61"/>
        <v>1165</v>
      </c>
      <c r="AI198" s="2">
        <f t="shared" ref="AI198:AI261" si="77">IF(OR(ISBLANK(U198),ISBLANK(T198)),"",IF(AND(U198&gt;=T198,U198-T198&lt;=U198),(U198-T198)*$AK198,"!!!!"))</f>
        <v>968</v>
      </c>
      <c r="AJ198" s="2">
        <f t="shared" ref="AJ198:AJ261" si="78">IF(OR(ISBLANK(V198),ISBLANK(U198)),"",IF(AND(V198&gt;=U198,V198-U198&lt;=V198),(V198-U198)*$AK198,"!!!!"))</f>
        <v>1157</v>
      </c>
      <c r="AK198" s="406">
        <v>1</v>
      </c>
      <c r="AL198" s="274">
        <f t="shared" ca="1" si="68"/>
        <v>79349</v>
      </c>
      <c r="AM198" s="311">
        <f t="shared" ca="1" si="69"/>
        <v>80142</v>
      </c>
      <c r="AN198" s="274">
        <f ca="1">IF(AND(Tabla7[[#This Row],[UltLec]]&lt;&gt;0,Tabla7[[#This Row],[PenLect]]&lt;&gt;0),(AM198-AL198)*Tabla7[[#This Row],[RT]],"N/A")</f>
        <v>793</v>
      </c>
      <c r="AO198" s="273" t="s">
        <v>862</v>
      </c>
      <c r="AP198" s="403" t="s">
        <v>1190</v>
      </c>
      <c r="AQ198" s="392" t="s">
        <v>1189</v>
      </c>
      <c r="AR198" s="407">
        <f t="shared" si="70"/>
        <v>0</v>
      </c>
      <c r="AT198" s="2">
        <f t="shared" ca="1" si="71"/>
        <v>0.75812619502868073</v>
      </c>
      <c r="AV198">
        <f>IF(ISBLANK(Tabla7[[#This Row],[31/12/2017]]),0,Tabla7[[#This Row],[31/12/2017]])</f>
        <v>74775</v>
      </c>
      <c r="AW198">
        <f>IF(ISBLANK(Tabla7[[#This Row],[15/01/2018]]),0,Tabla7[[#This Row],[15/01/2018]])</f>
        <v>75401</v>
      </c>
      <c r="AX198">
        <f>IF(ISBLANK(Tabla7[[#This Row],[15/02/2018]]),0,Tabla7[[#This Row],[15/02/2018]])</f>
        <v>77029</v>
      </c>
      <c r="AY198">
        <f>IF(ISBLANK(Tabla7[[#This Row],[15/03/2018]]),0,Tabla7[[#This Row],[15/03/2018]])</f>
        <v>78303</v>
      </c>
      <c r="AZ198">
        <f>IF(ISBLANK(Tabla7[[#This Row],[15/04/2018]]),0,Tabla7[[#This Row],[15/04/2018]])</f>
        <v>79349</v>
      </c>
      <c r="BA198">
        <f>IF(ISBLANK(Tabla7[[#This Row],[15/05/2018]]),0,Tabla7[[#This Row],[15/05/2018]])</f>
        <v>80142</v>
      </c>
      <c r="BB198">
        <f>IF(ISBLANK(Tabla7[[#This Row],[15/06/2018]]),0,Tabla7[[#This Row],[15/06/2018]])</f>
        <v>81060</v>
      </c>
      <c r="BC198">
        <f>IF(ISBLANK(Tabla7[[#This Row],[15/07/2018]]),0,Tabla7[[#This Row],[15/07/2018]])</f>
        <v>82672</v>
      </c>
      <c r="BD198">
        <f>IF(ISBLANK(Tabla7[[#This Row],[15/08/2018]]),0,Tabla7[[#This Row],[15/08/2018]])</f>
        <v>84592</v>
      </c>
      <c r="BE198">
        <f>IF(ISBLANK(Tabla7[[#This Row],[15/09/2018]]),0,Tabla7[[#This Row],[15/09/2018]])</f>
        <v>85872</v>
      </c>
      <c r="BF198">
        <f>IF(ISBLANK(Tabla7[[#This Row],[15/10/2018]]),0,Tabla7[[#This Row],[15/10/2018]])</f>
        <v>87037</v>
      </c>
      <c r="BG198">
        <f>IF(ISBLANK(Tabla7[[#This Row],[15/11/2018]]),0,Tabla7[[#This Row],[15/11/2018]])</f>
        <v>88005</v>
      </c>
      <c r="BH198">
        <f>IF(ISBLANK(Tabla7[[#This Row],[15/12/2018]]),0,Tabla7[[#This Row],[15/12/2018]])</f>
        <v>89162</v>
      </c>
      <c r="BI198">
        <f>IF(ISBLANK(Tabla7[[#This Row],[28/12/2018]]),0,Tabla7[[#This Row],[28/12/2018]])</f>
        <v>0</v>
      </c>
      <c r="BN19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('LW00042456','V','VCDD','39358','DRAGADOS S.A.','EXPLANADA ANTIGUO CAUCE RIO TURIA.','DRAGADOS','');</v>
      </c>
      <c r="BO198" t="s">
        <v>243</v>
      </c>
      <c r="BP198" s="632" t="str">
        <f>CONCATENATE("insert into lecturas values ","('",Tabla7[[#This Row],[CONTADOR]],"',STR_TO_DATE('",Tabla7[[#Headers],[31/12/2017]],"','%d/%m/%Y'),",AV198,"),","('",Tabla7[[#This Row],[CONTADOR]],"',STR_TO_DATE('",Tabla7[[#Headers],[15/01/2018]],"','%d/%m/%Y'),",AW198,"),","('",Tabla7[[#This Row],[CONTADOR]],"',STR_TO_DATE('",Tabla7[[#Headers],[15/02/2018]],"','%d/%m/%Y'),",AX198,"),","('",Tabla7[[#This Row],[CONTADOR]],"',STR_TO_DATE('",Tabla7[[#Headers],[15/03/2018]],"','%d/%m/%Y'),",AY198,"),","('",Tabla7[[#This Row],[CONTADOR]],"',STR_TO_DATE('",Tabla7[[#Headers],[15/04/2018]],"','%d/%m/%Y'),",AZ198,"),","('",Tabla7[[#This Row],[CONTADOR]],"',STR_TO_DATE('",Tabla7[[#Headers],[15/05/2018]],"','%d/%m/%Y'),",BA198,"),","('",Tabla7[[#This Row],[CONTADOR]],"',STR_TO_DATE('",Tabla7[[#Headers],[15/06/2018]],"','%d/%m/%Y'),",BB198,"),","('",Tabla7[[#This Row],[CONTADOR]],"',STR_TO_DATE('",Tabla7[[#Headers],[15/07/2018]],"','%d/%m/%Y'),",BC198,"),","('",Tabla7[[#This Row],[CONTADOR]],"',STR_TO_DATE('",Tabla7[[#Headers],[15/08/2018]],"','%d/%m/%Y'),",BD198,"),","('",Tabla7[[#This Row],[CONTADOR]],"',STR_TO_DATE('",Tabla7[[#Headers],[15/09/2018]],"','%d/%m/%Y'),",BE198,"),","('",Tabla7[[#This Row],[CONTADOR]],"',STR_TO_DATE('",Tabla7[[#Headers],[15/10/2018]],"','%d/%m/%Y'),",BF198,"),","('",Tabla7[[#This Row],[CONTADOR]],"',STR_TO_DATE('",Tabla7[[#Headers],[15/11/2018]],"','%d/%m/%Y'),",BG198,"),","('",Tabla7[[#This Row],[CONTADOR]],"',STR_TO_DATE('",Tabla7[[#Headers],[15/12/2018]],"','%d/%m/%Y'),",BH198,");")</f>
        <v>insert into lecturas values ('LW00042456',STR_TO_DATE('31/12/2017','%d/%m/%Y'),74775),('LW00042456',STR_TO_DATE('15/01/2018','%d/%m/%Y'),75401),('LW00042456',STR_TO_DATE('15/02/2018','%d/%m/%Y'),77029),('LW00042456',STR_TO_DATE('15/03/2018','%d/%m/%Y'),78303),('LW00042456',STR_TO_DATE('15/04/2018','%d/%m/%Y'),79349),('LW00042456',STR_TO_DATE('15/05/2018','%d/%m/%Y'),80142),('LW00042456',STR_TO_DATE('15/06/2018','%d/%m/%Y'),81060),('LW00042456',STR_TO_DATE('15/07/2018','%d/%m/%Y'),82672),('LW00042456',STR_TO_DATE('15/08/2018','%d/%m/%Y'),84592),('LW00042456',STR_TO_DATE('15/09/2018','%d/%m/%Y'),85872),('LW00042456',STR_TO_DATE('15/10/2018','%d/%m/%Y'),87037),('LW00042456',STR_TO_DATE('15/11/2018','%d/%m/%Y'),88005),('LW00042456',STR_TO_DATE('15/12/2018','%d/%m/%Y'),89162);</v>
      </c>
    </row>
    <row r="199" spans="1:68" ht="18.75" customHeight="1" x14ac:dyDescent="0.25">
      <c r="A199" s="241" t="s">
        <v>19</v>
      </c>
      <c r="B199" s="60">
        <v>1684</v>
      </c>
      <c r="C199" s="342" t="s">
        <v>1371</v>
      </c>
      <c r="D199" s="60" t="s">
        <v>323</v>
      </c>
      <c r="E199" s="258">
        <v>39684</v>
      </c>
      <c r="F199" s="2" t="s">
        <v>1387</v>
      </c>
      <c r="G199" s="2" t="s">
        <v>1385</v>
      </c>
      <c r="H199" s="2"/>
      <c r="I199" s="274"/>
      <c r="J199" s="311"/>
      <c r="K199" s="311"/>
      <c r="L199" s="274"/>
      <c r="M199" s="2"/>
      <c r="O199" s="311"/>
      <c r="P199" s="1">
        <v>3457</v>
      </c>
      <c r="Q199" s="2">
        <v>3457</v>
      </c>
      <c r="R199" s="311">
        <v>3457</v>
      </c>
      <c r="S199" s="311">
        <v>3457</v>
      </c>
      <c r="T199" s="311">
        <v>3457</v>
      </c>
      <c r="U199" s="531">
        <v>3457</v>
      </c>
      <c r="V199" s="353">
        <v>3457</v>
      </c>
      <c r="W199" s="275"/>
      <c r="X199" s="275"/>
      <c r="Y199" s="2" t="str">
        <f t="shared" si="67"/>
        <v/>
      </c>
      <c r="Z199" s="2" t="str">
        <f t="shared" si="66"/>
        <v/>
      </c>
      <c r="AA199" s="2" t="str">
        <f>IF(OR(ISBLANK(#REF!),ISBLANK(L199)),"",IF(AND(#REF!&gt;=L199,#REF!-L199&lt;=#REF!),(#REF!-L199)*$AK199,"!!!!"))</f>
        <v/>
      </c>
      <c r="AB199" s="2" t="str">
        <f>IF(OR(ISBLANK(N199),ISBLANK(#REF!)),"",IF(AND(N199&gt;=#REF!,N199-#REF!&lt;=N199),(N199-#REF!)*$AK199,"!!!!"))</f>
        <v/>
      </c>
      <c r="AC199" s="2" t="str">
        <f t="shared" si="72"/>
        <v/>
      </c>
      <c r="AD199" s="2" t="str">
        <f t="shared" si="73"/>
        <v/>
      </c>
      <c r="AE199" s="2">
        <f t="shared" si="74"/>
        <v>0</v>
      </c>
      <c r="AF199" s="2">
        <f t="shared" si="75"/>
        <v>0</v>
      </c>
      <c r="AG199" s="2">
        <f t="shared" si="76"/>
        <v>0</v>
      </c>
      <c r="AH199" s="271">
        <f t="shared" ref="AH199:AH262" si="79">IF(OR(ISBLANK(T199),ISBLANK(S199)),"",IF(AND(T199&gt;=S199,T199-S199&lt;=T199),(T199-S199)*$AK199,"!!!!"))</f>
        <v>0</v>
      </c>
      <c r="AI199" s="2">
        <f t="shared" si="77"/>
        <v>0</v>
      </c>
      <c r="AJ199" s="2">
        <f t="shared" si="78"/>
        <v>0</v>
      </c>
      <c r="AK199" s="406">
        <v>1</v>
      </c>
      <c r="AL199" s="412">
        <f t="shared" ca="1" si="68"/>
        <v>0</v>
      </c>
      <c r="AM199" s="311">
        <f t="shared" ca="1" si="69"/>
        <v>0</v>
      </c>
      <c r="AN199" s="412" t="str">
        <f ca="1">IF(AND(Tabla7[[#This Row],[UltLec]]&lt;&gt;0,Tabla7[[#This Row],[PenLect]]&lt;&gt;0),(AM199-AL199)*Tabla7[[#This Row],[RT]],"N/A")</f>
        <v>N/A</v>
      </c>
      <c r="AO199" s="273" t="s">
        <v>862</v>
      </c>
      <c r="AP199" s="441" t="s">
        <v>1190</v>
      </c>
      <c r="AQ199" s="441" t="s">
        <v>1193</v>
      </c>
      <c r="AR199" s="407">
        <f t="shared" si="70"/>
        <v>0</v>
      </c>
      <c r="AT199" s="2" t="e">
        <f t="shared" ca="1" si="71"/>
        <v>#VALUE!</v>
      </c>
      <c r="AV199">
        <f>IF(ISBLANK(Tabla7[[#This Row],[31/12/2017]]),0,Tabla7[[#This Row],[31/12/2017]])</f>
        <v>0</v>
      </c>
      <c r="AW199">
        <f>IF(ISBLANK(Tabla7[[#This Row],[15/01/2018]]),0,Tabla7[[#This Row],[15/01/2018]])</f>
        <v>0</v>
      </c>
      <c r="AX199">
        <f>IF(ISBLANK(Tabla7[[#This Row],[15/02/2018]]),0,Tabla7[[#This Row],[15/02/2018]])</f>
        <v>0</v>
      </c>
      <c r="AY199">
        <f>IF(ISBLANK(Tabla7[[#This Row],[15/03/2018]]),0,Tabla7[[#This Row],[15/03/2018]])</f>
        <v>0</v>
      </c>
      <c r="AZ199">
        <f>IF(ISBLANK(Tabla7[[#This Row],[15/04/2018]]),0,Tabla7[[#This Row],[15/04/2018]])</f>
        <v>0</v>
      </c>
      <c r="BA199">
        <f>IF(ISBLANK(Tabla7[[#This Row],[15/05/2018]]),0,Tabla7[[#This Row],[15/05/2018]])</f>
        <v>0</v>
      </c>
      <c r="BB199">
        <f>IF(ISBLANK(Tabla7[[#This Row],[15/06/2018]]),0,Tabla7[[#This Row],[15/06/2018]])</f>
        <v>3457</v>
      </c>
      <c r="BC199">
        <f>IF(ISBLANK(Tabla7[[#This Row],[15/07/2018]]),0,Tabla7[[#This Row],[15/07/2018]])</f>
        <v>3457</v>
      </c>
      <c r="BD199">
        <f>IF(ISBLANK(Tabla7[[#This Row],[15/08/2018]]),0,Tabla7[[#This Row],[15/08/2018]])</f>
        <v>3457</v>
      </c>
      <c r="BE199">
        <f>IF(ISBLANK(Tabla7[[#This Row],[15/09/2018]]),0,Tabla7[[#This Row],[15/09/2018]])</f>
        <v>3457</v>
      </c>
      <c r="BF199">
        <f>IF(ISBLANK(Tabla7[[#This Row],[15/10/2018]]),0,Tabla7[[#This Row],[15/10/2018]])</f>
        <v>3457</v>
      </c>
      <c r="BG199">
        <f>IF(ISBLANK(Tabla7[[#This Row],[15/11/2018]]),0,Tabla7[[#This Row],[15/11/2018]])</f>
        <v>3457</v>
      </c>
      <c r="BH199">
        <f>IF(ISBLANK(Tabla7[[#This Row],[15/12/2018]]),0,Tabla7[[#This Row],[15/12/2018]])</f>
        <v>3457</v>
      </c>
      <c r="BI199">
        <f>IF(ISBLANK(Tabla7[[#This Row],[28/12/2018]]),0,Tabla7[[#This Row],[28/12/2018]])</f>
        <v>0</v>
      </c>
      <c r="BN19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('LW00112199','V','VCDD','39684','OFICINA TECNICA TES, S.L.','EXPLANADA ANTIGUO CAUCE RIO TURIA','','');</v>
      </c>
      <c r="BO199" t="s">
        <v>243</v>
      </c>
      <c r="BP199" s="632" t="str">
        <f>CONCATENATE("insert into lecturas values ","('",Tabla7[[#This Row],[CONTADOR]],"',STR_TO_DATE('",Tabla7[[#Headers],[31/12/2017]],"','%d/%m/%Y'),",AV199,"),","('",Tabla7[[#This Row],[CONTADOR]],"',STR_TO_DATE('",Tabla7[[#Headers],[15/01/2018]],"','%d/%m/%Y'),",AW199,"),","('",Tabla7[[#This Row],[CONTADOR]],"',STR_TO_DATE('",Tabla7[[#Headers],[15/02/2018]],"','%d/%m/%Y'),",AX199,"),","('",Tabla7[[#This Row],[CONTADOR]],"',STR_TO_DATE('",Tabla7[[#Headers],[15/03/2018]],"','%d/%m/%Y'),",AY199,"),","('",Tabla7[[#This Row],[CONTADOR]],"',STR_TO_DATE('",Tabla7[[#Headers],[15/04/2018]],"','%d/%m/%Y'),",AZ199,"),","('",Tabla7[[#This Row],[CONTADOR]],"',STR_TO_DATE('",Tabla7[[#Headers],[15/05/2018]],"','%d/%m/%Y'),",BA199,"),","('",Tabla7[[#This Row],[CONTADOR]],"',STR_TO_DATE('",Tabla7[[#Headers],[15/06/2018]],"','%d/%m/%Y'),",BB199,"),","('",Tabla7[[#This Row],[CONTADOR]],"',STR_TO_DATE('",Tabla7[[#Headers],[15/07/2018]],"','%d/%m/%Y'),",BC199,"),","('",Tabla7[[#This Row],[CONTADOR]],"',STR_TO_DATE('",Tabla7[[#Headers],[15/08/2018]],"','%d/%m/%Y'),",BD199,"),","('",Tabla7[[#This Row],[CONTADOR]],"',STR_TO_DATE('",Tabla7[[#Headers],[15/09/2018]],"','%d/%m/%Y'),",BE199,"),","('",Tabla7[[#This Row],[CONTADOR]],"',STR_TO_DATE('",Tabla7[[#Headers],[15/10/2018]],"','%d/%m/%Y'),",BF199,"),","('",Tabla7[[#This Row],[CONTADOR]],"',STR_TO_DATE('",Tabla7[[#Headers],[15/11/2018]],"','%d/%m/%Y'),",BG199,"),","('",Tabla7[[#This Row],[CONTADOR]],"',STR_TO_DATE('",Tabla7[[#Headers],[15/12/2018]],"','%d/%m/%Y'),",BH199,");")</f>
        <v>insert into lecturas values ('LW00112199',STR_TO_DATE('31/12/2017','%d/%m/%Y'),0),('LW00112199',STR_TO_DATE('15/01/2018','%d/%m/%Y'),0),('LW00112199',STR_TO_DATE('15/02/2018','%d/%m/%Y'),0),('LW00112199',STR_TO_DATE('15/03/2018','%d/%m/%Y'),0),('LW00112199',STR_TO_DATE('15/04/2018','%d/%m/%Y'),0),('LW00112199',STR_TO_DATE('15/05/2018','%d/%m/%Y'),0),('LW00112199',STR_TO_DATE('15/06/2018','%d/%m/%Y'),3457),('LW00112199',STR_TO_DATE('15/07/2018','%d/%m/%Y'),3457),('LW00112199',STR_TO_DATE('15/08/2018','%d/%m/%Y'),3457),('LW00112199',STR_TO_DATE('15/09/2018','%d/%m/%Y'),3457),('LW00112199',STR_TO_DATE('15/10/2018','%d/%m/%Y'),3457),('LW00112199',STR_TO_DATE('15/11/2018','%d/%m/%Y'),3457),('LW00112199',STR_TO_DATE('15/12/2018','%d/%m/%Y'),3457);</v>
      </c>
    </row>
    <row r="200" spans="1:68" ht="18.75" customHeight="1" x14ac:dyDescent="0.25">
      <c r="A200" s="241" t="s">
        <v>19</v>
      </c>
      <c r="B200" s="60"/>
      <c r="C200" s="342" t="s">
        <v>430</v>
      </c>
      <c r="D200" s="60" t="s">
        <v>323</v>
      </c>
      <c r="E200" s="268">
        <v>30000</v>
      </c>
      <c r="F200" s="274" t="s">
        <v>853</v>
      </c>
      <c r="G200" s="2" t="s">
        <v>854</v>
      </c>
      <c r="H200" s="2" t="s">
        <v>463</v>
      </c>
      <c r="I200" s="274" t="s">
        <v>464</v>
      </c>
      <c r="J200" s="311">
        <v>4407</v>
      </c>
      <c r="K200" s="311">
        <v>4474</v>
      </c>
      <c r="L200" s="274">
        <v>4665</v>
      </c>
      <c r="M200" s="2">
        <v>4806</v>
      </c>
      <c r="N200" s="2">
        <v>4945</v>
      </c>
      <c r="O200" s="311">
        <v>5075</v>
      </c>
      <c r="P200" s="1">
        <v>5271</v>
      </c>
      <c r="Q200" s="2">
        <v>5760</v>
      </c>
      <c r="R200" s="311">
        <v>6242</v>
      </c>
      <c r="S200" s="311">
        <v>6707</v>
      </c>
      <c r="T200" s="311">
        <v>7041</v>
      </c>
      <c r="U200" s="531">
        <v>7273</v>
      </c>
      <c r="V200" s="353">
        <v>7514</v>
      </c>
      <c r="W200" s="307"/>
      <c r="X200" s="275"/>
      <c r="Y200" s="2">
        <f t="shared" si="67"/>
        <v>67</v>
      </c>
      <c r="Z200" s="2">
        <f t="shared" si="66"/>
        <v>191</v>
      </c>
      <c r="AA200" s="2">
        <f>IF(OR(ISBLANK(M200),ISBLANK(L200)),"",IF(AND(M200&gt;=L200,M200-L200&lt;=M200),(M200-L200)*$AK200,"!!!!"))</f>
        <v>141</v>
      </c>
      <c r="AB200" s="2">
        <f>IF(OR(ISBLANK(N200),ISBLANK(M200)),"",IF(AND(N200&gt;=M200,N200-M200&lt;=N200),(N200-M200)*$AK200,"!!!!"))</f>
        <v>139</v>
      </c>
      <c r="AC200" s="2">
        <f t="shared" si="72"/>
        <v>130</v>
      </c>
      <c r="AD200" s="2">
        <f t="shared" si="73"/>
        <v>196</v>
      </c>
      <c r="AE200" s="2">
        <f t="shared" si="74"/>
        <v>489</v>
      </c>
      <c r="AF200" s="2">
        <f t="shared" si="75"/>
        <v>482</v>
      </c>
      <c r="AG200" s="2">
        <f t="shared" si="76"/>
        <v>465</v>
      </c>
      <c r="AH200" s="2">
        <f t="shared" si="79"/>
        <v>334</v>
      </c>
      <c r="AI200" s="2">
        <f t="shared" si="77"/>
        <v>232</v>
      </c>
      <c r="AJ200" s="2">
        <f t="shared" si="78"/>
        <v>241</v>
      </c>
      <c r="AK200" s="406">
        <v>1</v>
      </c>
      <c r="AL200" s="274">
        <f t="shared" ca="1" si="68"/>
        <v>4945</v>
      </c>
      <c r="AM200" s="311">
        <f t="shared" ca="1" si="69"/>
        <v>5075</v>
      </c>
      <c r="AN200" s="274">
        <f ca="1">IF(AND(Tabla7[[#This Row],[UltLec]]&lt;&gt;0,Tabla7[[#This Row],[PenLect]]&lt;&gt;0),(AM200-AL200)*Tabla7[[#This Row],[RT]],"N/A")</f>
        <v>130</v>
      </c>
      <c r="AO200" s="273" t="s">
        <v>862</v>
      </c>
      <c r="AP200" s="403" t="s">
        <v>1190</v>
      </c>
      <c r="AQ200" s="392" t="s">
        <v>1189</v>
      </c>
      <c r="AR200" s="407">
        <f t="shared" si="70"/>
        <v>0</v>
      </c>
      <c r="AT200" s="2">
        <f t="shared" ca="1" si="71"/>
        <v>0.93525179856115104</v>
      </c>
      <c r="AV200">
        <f>IF(ISBLANK(Tabla7[[#This Row],[31/12/2017]]),0,Tabla7[[#This Row],[31/12/2017]])</f>
        <v>4407</v>
      </c>
      <c r="AW200">
        <f>IF(ISBLANK(Tabla7[[#This Row],[15/01/2018]]),0,Tabla7[[#This Row],[15/01/2018]])</f>
        <v>4474</v>
      </c>
      <c r="AX200">
        <f>IF(ISBLANK(Tabla7[[#This Row],[15/02/2018]]),0,Tabla7[[#This Row],[15/02/2018]])</f>
        <v>4665</v>
      </c>
      <c r="AY200">
        <f>IF(ISBLANK(Tabla7[[#This Row],[15/03/2018]]),0,Tabla7[[#This Row],[15/03/2018]])</f>
        <v>4806</v>
      </c>
      <c r="AZ200">
        <f>IF(ISBLANK(Tabla7[[#This Row],[15/04/2018]]),0,Tabla7[[#This Row],[15/04/2018]])</f>
        <v>4945</v>
      </c>
      <c r="BA200">
        <f>IF(ISBLANK(Tabla7[[#This Row],[15/05/2018]]),0,Tabla7[[#This Row],[15/05/2018]])</f>
        <v>5075</v>
      </c>
      <c r="BB200">
        <f>IF(ISBLANK(Tabla7[[#This Row],[15/06/2018]]),0,Tabla7[[#This Row],[15/06/2018]])</f>
        <v>5271</v>
      </c>
      <c r="BC200">
        <f>IF(ISBLANK(Tabla7[[#This Row],[15/07/2018]]),0,Tabla7[[#This Row],[15/07/2018]])</f>
        <v>5760</v>
      </c>
      <c r="BD200">
        <f>IF(ISBLANK(Tabla7[[#This Row],[15/08/2018]]),0,Tabla7[[#This Row],[15/08/2018]])</f>
        <v>6242</v>
      </c>
      <c r="BE200">
        <f>IF(ISBLANK(Tabla7[[#This Row],[15/09/2018]]),0,Tabla7[[#This Row],[15/09/2018]])</f>
        <v>6707</v>
      </c>
      <c r="BF200">
        <f>IF(ISBLANK(Tabla7[[#This Row],[15/10/2018]]),0,Tabla7[[#This Row],[15/10/2018]])</f>
        <v>7041</v>
      </c>
      <c r="BG200">
        <f>IF(ISBLANK(Tabla7[[#This Row],[15/11/2018]]),0,Tabla7[[#This Row],[15/11/2018]])</f>
        <v>7273</v>
      </c>
      <c r="BH200">
        <f>IF(ISBLANK(Tabla7[[#This Row],[15/12/2018]]),0,Tabla7[[#This Row],[15/12/2018]])</f>
        <v>7514</v>
      </c>
      <c r="BI200">
        <f>IF(ISBLANK(Tabla7[[#This Row],[28/12/2018]]),0,Tabla7[[#This Row],[28/12/2018]])</f>
        <v>0</v>
      </c>
      <c r="BN20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('MERLIN GERIN','V','VCDD','30000','CASETA BALEARIA','CUADRO TORRE PARKING D','PARKING D (BALEARIA)','ALTA 17/06/2016');</v>
      </c>
      <c r="BO200" t="s">
        <v>243</v>
      </c>
      <c r="BP200" s="632" t="str">
        <f>CONCATENATE("insert into lecturas values ","('",Tabla7[[#This Row],[CONTADOR]],"',STR_TO_DATE('",Tabla7[[#Headers],[31/12/2017]],"','%d/%m/%Y'),",AV200,"),","('",Tabla7[[#This Row],[CONTADOR]],"',STR_TO_DATE('",Tabla7[[#Headers],[15/01/2018]],"','%d/%m/%Y'),",AW200,"),","('",Tabla7[[#This Row],[CONTADOR]],"',STR_TO_DATE('",Tabla7[[#Headers],[15/02/2018]],"','%d/%m/%Y'),",AX200,"),","('",Tabla7[[#This Row],[CONTADOR]],"',STR_TO_DATE('",Tabla7[[#Headers],[15/03/2018]],"','%d/%m/%Y'),",AY200,"),","('",Tabla7[[#This Row],[CONTADOR]],"',STR_TO_DATE('",Tabla7[[#Headers],[15/04/2018]],"','%d/%m/%Y'),",AZ200,"),","('",Tabla7[[#This Row],[CONTADOR]],"',STR_TO_DATE('",Tabla7[[#Headers],[15/05/2018]],"','%d/%m/%Y'),",BA200,"),","('",Tabla7[[#This Row],[CONTADOR]],"',STR_TO_DATE('",Tabla7[[#Headers],[15/06/2018]],"','%d/%m/%Y'),",BB200,"),","('",Tabla7[[#This Row],[CONTADOR]],"',STR_TO_DATE('",Tabla7[[#Headers],[15/07/2018]],"','%d/%m/%Y'),",BC200,"),","('",Tabla7[[#This Row],[CONTADOR]],"',STR_TO_DATE('",Tabla7[[#Headers],[15/08/2018]],"','%d/%m/%Y'),",BD200,"),","('",Tabla7[[#This Row],[CONTADOR]],"',STR_TO_DATE('",Tabla7[[#Headers],[15/09/2018]],"','%d/%m/%Y'),",BE200,"),","('",Tabla7[[#This Row],[CONTADOR]],"',STR_TO_DATE('",Tabla7[[#Headers],[15/10/2018]],"','%d/%m/%Y'),",BF200,"),","('",Tabla7[[#This Row],[CONTADOR]],"',STR_TO_DATE('",Tabla7[[#Headers],[15/11/2018]],"','%d/%m/%Y'),",BG200,"),","('",Tabla7[[#This Row],[CONTADOR]],"',STR_TO_DATE('",Tabla7[[#Headers],[15/12/2018]],"','%d/%m/%Y'),",BH200,");")</f>
        <v>insert into lecturas values ('MERLIN GERIN',STR_TO_DATE('31/12/2017','%d/%m/%Y'),4407),('MERLIN GERIN',STR_TO_DATE('15/01/2018','%d/%m/%Y'),4474),('MERLIN GERIN',STR_TO_DATE('15/02/2018','%d/%m/%Y'),4665),('MERLIN GERIN',STR_TO_DATE('15/03/2018','%d/%m/%Y'),4806),('MERLIN GERIN',STR_TO_DATE('15/04/2018','%d/%m/%Y'),4945),('MERLIN GERIN',STR_TO_DATE('15/05/2018','%d/%m/%Y'),5075),('MERLIN GERIN',STR_TO_DATE('15/06/2018','%d/%m/%Y'),5271),('MERLIN GERIN',STR_TO_DATE('15/07/2018','%d/%m/%Y'),5760),('MERLIN GERIN',STR_TO_DATE('15/08/2018','%d/%m/%Y'),6242),('MERLIN GERIN',STR_TO_DATE('15/09/2018','%d/%m/%Y'),6707),('MERLIN GERIN',STR_TO_DATE('15/10/2018','%d/%m/%Y'),7041),('MERLIN GERIN',STR_TO_DATE('15/11/2018','%d/%m/%Y'),7273),('MERLIN GERIN',STR_TO_DATE('15/12/2018','%d/%m/%Y'),7514);</v>
      </c>
    </row>
    <row r="201" spans="1:68" ht="18" customHeight="1" x14ac:dyDescent="0.25">
      <c r="A201" s="241" t="s">
        <v>19</v>
      </c>
      <c r="B201" s="60"/>
      <c r="C201" s="342" t="s">
        <v>1323</v>
      </c>
      <c r="D201" s="60" t="s">
        <v>323</v>
      </c>
      <c r="E201" s="258">
        <v>121</v>
      </c>
      <c r="F201" s="2" t="s">
        <v>324</v>
      </c>
      <c r="G201" s="2" t="s">
        <v>325</v>
      </c>
      <c r="H201" s="2" t="s">
        <v>326</v>
      </c>
      <c r="I201" s="2"/>
      <c r="J201" s="311">
        <v>8865938</v>
      </c>
      <c r="K201" s="311">
        <v>8897124</v>
      </c>
      <c r="L201" s="311">
        <v>8977016</v>
      </c>
      <c r="M201" s="311">
        <v>9047397</v>
      </c>
      <c r="N201" s="311">
        <v>9123159</v>
      </c>
      <c r="O201" s="311">
        <v>9159218</v>
      </c>
      <c r="P201" s="311">
        <v>9299948</v>
      </c>
      <c r="Q201" s="311">
        <v>9401527</v>
      </c>
      <c r="R201" s="311">
        <v>9524896</v>
      </c>
      <c r="S201" s="311">
        <v>9636139</v>
      </c>
      <c r="T201" s="311">
        <v>9693409</v>
      </c>
      <c r="U201" s="311">
        <v>9746940</v>
      </c>
      <c r="V201" s="353">
        <v>9800986</v>
      </c>
      <c r="W201" s="311"/>
      <c r="X201" s="2"/>
      <c r="Y201" s="2">
        <f t="shared" si="67"/>
        <v>31186</v>
      </c>
      <c r="Z201" s="492">
        <f t="shared" si="66"/>
        <v>79892</v>
      </c>
      <c r="AA201" s="492">
        <f>IF(OR(ISBLANK(M201),ISBLANK(L201)),"",IF(AND(M201&gt;=L201,M201-L201&lt;=M201),(M201-L201)*$AK201,"!!!!"))</f>
        <v>70381</v>
      </c>
      <c r="AB201" s="492">
        <f>IF(OR(ISBLANK(N201),ISBLANK(M201)),"",IF(AND(N201&gt;=M201,N201-M201&lt;=N201),(N201-M201)*$AK201,"!!!!"))</f>
        <v>75762</v>
      </c>
      <c r="AC201" s="492">
        <f t="shared" si="72"/>
        <v>36059</v>
      </c>
      <c r="AD201" s="492">
        <f t="shared" si="73"/>
        <v>140730</v>
      </c>
      <c r="AE201" s="492">
        <f t="shared" si="74"/>
        <v>101579</v>
      </c>
      <c r="AF201" s="492">
        <f t="shared" si="75"/>
        <v>123369</v>
      </c>
      <c r="AG201" s="492">
        <f t="shared" si="76"/>
        <v>111243</v>
      </c>
      <c r="AH201" s="492">
        <f t="shared" si="79"/>
        <v>57270</v>
      </c>
      <c r="AI201" s="492">
        <f t="shared" si="77"/>
        <v>53531</v>
      </c>
      <c r="AJ201" s="492">
        <f t="shared" si="78"/>
        <v>54046</v>
      </c>
      <c r="AK201" s="406">
        <v>1</v>
      </c>
      <c r="AL201" s="274">
        <f t="shared" ca="1" si="68"/>
        <v>9123159</v>
      </c>
      <c r="AM201" s="311">
        <f t="shared" ca="1" si="69"/>
        <v>9159218</v>
      </c>
      <c r="AN201" s="274">
        <f ca="1">IF(AND(Tabla7[[#This Row],[UltLec]]&lt;&gt;0,Tabla7[[#This Row],[PenLect]]&lt;&gt;0),(AM201-AL201)*Tabla7[[#This Row],[RT]],"N/A")</f>
        <v>36059</v>
      </c>
      <c r="AO201" s="273" t="s">
        <v>862</v>
      </c>
      <c r="AP201" s="403" t="s">
        <v>1191</v>
      </c>
      <c r="AQ201" s="392" t="s">
        <v>818</v>
      </c>
      <c r="AR201" s="407">
        <f t="shared" si="70"/>
        <v>0</v>
      </c>
      <c r="AT201" s="2">
        <f t="shared" ca="1" si="71"/>
        <v>0.47595100446133948</v>
      </c>
      <c r="AV201">
        <f>IF(ISBLANK(Tabla7[[#This Row],[31/12/2017]]),0,Tabla7[[#This Row],[31/12/2017]])</f>
        <v>8865938</v>
      </c>
      <c r="AW201">
        <f>IF(ISBLANK(Tabla7[[#This Row],[15/01/2018]]),0,Tabla7[[#This Row],[15/01/2018]])</f>
        <v>8897124</v>
      </c>
      <c r="AX201">
        <f>IF(ISBLANK(Tabla7[[#This Row],[15/02/2018]]),0,Tabla7[[#This Row],[15/02/2018]])</f>
        <v>8977016</v>
      </c>
      <c r="AY201">
        <f>IF(ISBLANK(Tabla7[[#This Row],[15/03/2018]]),0,Tabla7[[#This Row],[15/03/2018]])</f>
        <v>9047397</v>
      </c>
      <c r="AZ201">
        <f>IF(ISBLANK(Tabla7[[#This Row],[15/04/2018]]),0,Tabla7[[#This Row],[15/04/2018]])</f>
        <v>9123159</v>
      </c>
      <c r="BA201">
        <f>IF(ISBLANK(Tabla7[[#This Row],[15/05/2018]]),0,Tabla7[[#This Row],[15/05/2018]])</f>
        <v>9159218</v>
      </c>
      <c r="BB201">
        <f>IF(ISBLANK(Tabla7[[#This Row],[15/06/2018]]),0,Tabla7[[#This Row],[15/06/2018]])</f>
        <v>9299948</v>
      </c>
      <c r="BC201">
        <f>IF(ISBLANK(Tabla7[[#This Row],[15/07/2018]]),0,Tabla7[[#This Row],[15/07/2018]])</f>
        <v>9401527</v>
      </c>
      <c r="BD201">
        <f>IF(ISBLANK(Tabla7[[#This Row],[15/08/2018]]),0,Tabla7[[#This Row],[15/08/2018]])</f>
        <v>9524896</v>
      </c>
      <c r="BE201">
        <f>IF(ISBLANK(Tabla7[[#This Row],[15/09/2018]]),0,Tabla7[[#This Row],[15/09/2018]])</f>
        <v>9636139</v>
      </c>
      <c r="BF201">
        <f>IF(ISBLANK(Tabla7[[#This Row],[15/10/2018]]),0,Tabla7[[#This Row],[15/10/2018]])</f>
        <v>9693409</v>
      </c>
      <c r="BG201">
        <f>IF(ISBLANK(Tabla7[[#This Row],[15/11/2018]]),0,Tabla7[[#This Row],[15/11/2018]])</f>
        <v>9746940</v>
      </c>
      <c r="BH201">
        <f>IF(ISBLANK(Tabla7[[#This Row],[15/12/2018]]),0,Tabla7[[#This Row],[15/12/2018]])</f>
        <v>9800986</v>
      </c>
      <c r="BI201">
        <f>IF(ISBLANK(Tabla7[[#This Row],[28/12/2018]]),0,Tabla7[[#This Row],[28/12/2018]])</f>
        <v>0</v>
      </c>
      <c r="BN20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('PM16093536','V','VCDD','121','PLANTA CLIMA','SALA PLANTA CLIMA','P.CLIMA','');</v>
      </c>
      <c r="BO201" t="s">
        <v>243</v>
      </c>
      <c r="BP201" s="632" t="str">
        <f>CONCATENATE("insert into lecturas values ","('",Tabla7[[#This Row],[CONTADOR]],"',STR_TO_DATE('",Tabla7[[#Headers],[31/12/2017]],"','%d/%m/%Y'),",AV201,"),","('",Tabla7[[#This Row],[CONTADOR]],"',STR_TO_DATE('",Tabla7[[#Headers],[15/01/2018]],"','%d/%m/%Y'),",AW201,"),","('",Tabla7[[#This Row],[CONTADOR]],"',STR_TO_DATE('",Tabla7[[#Headers],[15/02/2018]],"','%d/%m/%Y'),",AX201,"),","('",Tabla7[[#This Row],[CONTADOR]],"',STR_TO_DATE('",Tabla7[[#Headers],[15/03/2018]],"','%d/%m/%Y'),",AY201,"),","('",Tabla7[[#This Row],[CONTADOR]],"',STR_TO_DATE('",Tabla7[[#Headers],[15/04/2018]],"','%d/%m/%Y'),",AZ201,"),","('",Tabla7[[#This Row],[CONTADOR]],"',STR_TO_DATE('",Tabla7[[#Headers],[15/05/2018]],"','%d/%m/%Y'),",BA201,"),","('",Tabla7[[#This Row],[CONTADOR]],"',STR_TO_DATE('",Tabla7[[#Headers],[15/06/2018]],"','%d/%m/%Y'),",BB201,"),","('",Tabla7[[#This Row],[CONTADOR]],"',STR_TO_DATE('",Tabla7[[#Headers],[15/07/2018]],"','%d/%m/%Y'),",BC201,"),","('",Tabla7[[#This Row],[CONTADOR]],"',STR_TO_DATE('",Tabla7[[#Headers],[15/08/2018]],"','%d/%m/%Y'),",BD201,"),","('",Tabla7[[#This Row],[CONTADOR]],"',STR_TO_DATE('",Tabla7[[#Headers],[15/09/2018]],"','%d/%m/%Y'),",BE201,"),","('",Tabla7[[#This Row],[CONTADOR]],"',STR_TO_DATE('",Tabla7[[#Headers],[15/10/2018]],"','%d/%m/%Y'),",BF201,"),","('",Tabla7[[#This Row],[CONTADOR]],"',STR_TO_DATE('",Tabla7[[#Headers],[15/11/2018]],"','%d/%m/%Y'),",BG201,"),","('",Tabla7[[#This Row],[CONTADOR]],"',STR_TO_DATE('",Tabla7[[#Headers],[15/12/2018]],"','%d/%m/%Y'),",BH201,");")</f>
        <v>insert into lecturas values ('PM16093536',STR_TO_DATE('31/12/2017','%d/%m/%Y'),8865938),('PM16093536',STR_TO_DATE('15/01/2018','%d/%m/%Y'),8897124),('PM16093536',STR_TO_DATE('15/02/2018','%d/%m/%Y'),8977016),('PM16093536',STR_TO_DATE('15/03/2018','%d/%m/%Y'),9047397),('PM16093536',STR_TO_DATE('15/04/2018','%d/%m/%Y'),9123159),('PM16093536',STR_TO_DATE('15/05/2018','%d/%m/%Y'),9159218),('PM16093536',STR_TO_DATE('15/06/2018','%d/%m/%Y'),9299948),('PM16093536',STR_TO_DATE('15/07/2018','%d/%m/%Y'),9401527),('PM16093536',STR_TO_DATE('15/08/2018','%d/%m/%Y'),9524896),('PM16093536',STR_TO_DATE('15/09/2018','%d/%m/%Y'),9636139),('PM16093536',STR_TO_DATE('15/10/2018','%d/%m/%Y'),9693409),('PM16093536',STR_TO_DATE('15/11/2018','%d/%m/%Y'),9746940),('PM16093536',STR_TO_DATE('15/12/2018','%d/%m/%Y'),9800986);</v>
      </c>
    </row>
    <row r="202" spans="1:68" ht="18.75" customHeight="1" x14ac:dyDescent="0.25">
      <c r="A202" s="241" t="s">
        <v>739</v>
      </c>
      <c r="B202" s="60"/>
      <c r="C202" s="342" t="s">
        <v>1205</v>
      </c>
      <c r="D202" s="60" t="s">
        <v>323</v>
      </c>
      <c r="E202" s="258">
        <v>0</v>
      </c>
      <c r="F202" s="2" t="s">
        <v>1217</v>
      </c>
      <c r="G202" s="2" t="s">
        <v>327</v>
      </c>
      <c r="H202" s="2"/>
      <c r="I202" s="274"/>
      <c r="J202" s="311"/>
      <c r="K202" s="311"/>
      <c r="L202" s="311"/>
      <c r="M202" s="311">
        <v>25768120</v>
      </c>
      <c r="N202" s="311">
        <v>25864842</v>
      </c>
      <c r="O202" s="311">
        <v>26052200</v>
      </c>
      <c r="P202" s="1">
        <v>26208864</v>
      </c>
      <c r="Q202" s="2">
        <v>26373096</v>
      </c>
      <c r="R202" s="311">
        <v>26540776</v>
      </c>
      <c r="S202" s="311">
        <v>26709272</v>
      </c>
      <c r="T202" s="311">
        <v>26869887</v>
      </c>
      <c r="U202" s="531">
        <v>27041180</v>
      </c>
      <c r="V202" s="353"/>
      <c r="W202" s="275"/>
      <c r="X202" s="275"/>
      <c r="Y202" s="2" t="str">
        <f t="shared" si="67"/>
        <v/>
      </c>
      <c r="Z202" s="2" t="str">
        <f t="shared" si="66"/>
        <v/>
      </c>
      <c r="AA202" s="2" t="str">
        <f>IF(OR(ISBLANK(#REF!),ISBLANK(L202)),"",IF(AND(#REF!&gt;=L202,#REF!-L202&lt;=#REF!),(#REF!-L202)*$AK202,"!!!!"))</f>
        <v/>
      </c>
      <c r="AB202" s="2">
        <f t="shared" ref="AB202:AB214" si="80">IF(OR(ISBLANK(N202),ISBLANK(M202)),"",IF(AND(N202&gt;=M202,N202-M202&lt;=N202),(N202-M202)*$AK202,"!!!!"))</f>
        <v>96722</v>
      </c>
      <c r="AC202" s="2">
        <f t="shared" si="72"/>
        <v>187358</v>
      </c>
      <c r="AD202" s="2">
        <f t="shared" si="73"/>
        <v>156664</v>
      </c>
      <c r="AE202" s="2">
        <f t="shared" si="74"/>
        <v>164232</v>
      </c>
      <c r="AF202" s="2">
        <f t="shared" si="75"/>
        <v>167680</v>
      </c>
      <c r="AG202" s="2">
        <f t="shared" si="76"/>
        <v>168496</v>
      </c>
      <c r="AH202" s="271">
        <f t="shared" si="79"/>
        <v>160615</v>
      </c>
      <c r="AI202" s="2">
        <f t="shared" si="77"/>
        <v>171293</v>
      </c>
      <c r="AJ202" s="2" t="str">
        <f t="shared" si="78"/>
        <v/>
      </c>
      <c r="AK202" s="406">
        <v>1</v>
      </c>
      <c r="AL202" s="412">
        <f t="shared" ca="1" si="68"/>
        <v>25864842</v>
      </c>
      <c r="AM202" s="311">
        <f t="shared" ca="1" si="69"/>
        <v>26052200</v>
      </c>
      <c r="AN202" s="412">
        <f ca="1">IF(AND(Tabla7[[#This Row],[UltLec]]&lt;&gt;0,Tabla7[[#This Row],[PenLect]]&lt;&gt;0),(AM202-AL202)*Tabla7[[#This Row],[RT]],"N/A")</f>
        <v>187358</v>
      </c>
      <c r="AO202" s="273" t="s">
        <v>862</v>
      </c>
      <c r="AP202" s="403" t="s">
        <v>1191</v>
      </c>
      <c r="AQ202" s="392" t="s">
        <v>818</v>
      </c>
      <c r="AR202" s="407">
        <f t="shared" si="70"/>
        <v>0</v>
      </c>
      <c r="AT202" s="2">
        <f t="shared" ca="1" si="71"/>
        <v>1.9370773970761563</v>
      </c>
      <c r="AV202">
        <f>IF(ISBLANK(Tabla7[[#This Row],[31/12/2017]]),0,Tabla7[[#This Row],[31/12/2017]])</f>
        <v>0</v>
      </c>
      <c r="AW202">
        <f>IF(ISBLANK(Tabla7[[#This Row],[15/01/2018]]),0,Tabla7[[#This Row],[15/01/2018]])</f>
        <v>0</v>
      </c>
      <c r="AX202">
        <f>IF(ISBLANK(Tabla7[[#This Row],[15/02/2018]]),0,Tabla7[[#This Row],[15/02/2018]])</f>
        <v>0</v>
      </c>
      <c r="AY202">
        <f>IF(ISBLANK(Tabla7[[#This Row],[15/03/2018]]),0,Tabla7[[#This Row],[15/03/2018]])</f>
        <v>25768120</v>
      </c>
      <c r="AZ202">
        <f>IF(ISBLANK(Tabla7[[#This Row],[15/04/2018]]),0,Tabla7[[#This Row],[15/04/2018]])</f>
        <v>25864842</v>
      </c>
      <c r="BA202">
        <f>IF(ISBLANK(Tabla7[[#This Row],[15/05/2018]]),0,Tabla7[[#This Row],[15/05/2018]])</f>
        <v>26052200</v>
      </c>
      <c r="BB202">
        <f>IF(ISBLANK(Tabla7[[#This Row],[15/06/2018]]),0,Tabla7[[#This Row],[15/06/2018]])</f>
        <v>26208864</v>
      </c>
      <c r="BC202">
        <f>IF(ISBLANK(Tabla7[[#This Row],[15/07/2018]]),0,Tabla7[[#This Row],[15/07/2018]])</f>
        <v>26373096</v>
      </c>
      <c r="BD202">
        <f>IF(ISBLANK(Tabla7[[#This Row],[15/08/2018]]),0,Tabla7[[#This Row],[15/08/2018]])</f>
        <v>26540776</v>
      </c>
      <c r="BE202">
        <f>IF(ISBLANK(Tabla7[[#This Row],[15/09/2018]]),0,Tabla7[[#This Row],[15/09/2018]])</f>
        <v>26709272</v>
      </c>
      <c r="BF202">
        <f>IF(ISBLANK(Tabla7[[#This Row],[15/10/2018]]),0,Tabla7[[#This Row],[15/10/2018]])</f>
        <v>26869887</v>
      </c>
      <c r="BG202">
        <f>IF(ISBLANK(Tabla7[[#This Row],[15/11/2018]]),0,Tabla7[[#This Row],[15/11/2018]])</f>
        <v>27041180</v>
      </c>
      <c r="BH202">
        <f>IF(ISBLANK(Tabla7[[#This Row],[15/12/2018]]),0,Tabla7[[#This Row],[15/12/2018]])</f>
        <v>0</v>
      </c>
      <c r="BI202">
        <f>IF(ISBLANK(Tabla7[[#This Row],[28/12/2018]]),0,Tabla7[[#This Row],[28/12/2018]])</f>
        <v>0</v>
      </c>
      <c r="BN20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('PM36015982','VREP','VCDD','0','Q1 - GENERAL CUADRO OKKEN','CUADRO OKKEN','','');</v>
      </c>
      <c r="BO202" t="s">
        <v>243</v>
      </c>
      <c r="BP202" s="632" t="str">
        <f>CONCATENATE("insert into lecturas values ","('",Tabla7[[#This Row],[CONTADOR]],"',STR_TO_DATE('",Tabla7[[#Headers],[31/12/2017]],"','%d/%m/%Y'),",AV202,"),","('",Tabla7[[#This Row],[CONTADOR]],"',STR_TO_DATE('",Tabla7[[#Headers],[15/01/2018]],"','%d/%m/%Y'),",AW202,"),","('",Tabla7[[#This Row],[CONTADOR]],"',STR_TO_DATE('",Tabla7[[#Headers],[15/02/2018]],"','%d/%m/%Y'),",AX202,"),","('",Tabla7[[#This Row],[CONTADOR]],"',STR_TO_DATE('",Tabla7[[#Headers],[15/03/2018]],"','%d/%m/%Y'),",AY202,"),","('",Tabla7[[#This Row],[CONTADOR]],"',STR_TO_DATE('",Tabla7[[#Headers],[15/04/2018]],"','%d/%m/%Y'),",AZ202,"),","('",Tabla7[[#This Row],[CONTADOR]],"',STR_TO_DATE('",Tabla7[[#Headers],[15/05/2018]],"','%d/%m/%Y'),",BA202,"),","('",Tabla7[[#This Row],[CONTADOR]],"',STR_TO_DATE('",Tabla7[[#Headers],[15/06/2018]],"','%d/%m/%Y'),",BB202,"),","('",Tabla7[[#This Row],[CONTADOR]],"',STR_TO_DATE('",Tabla7[[#Headers],[15/07/2018]],"','%d/%m/%Y'),",BC202,"),","('",Tabla7[[#This Row],[CONTADOR]],"',STR_TO_DATE('",Tabla7[[#Headers],[15/08/2018]],"','%d/%m/%Y'),",BD202,"),","('",Tabla7[[#This Row],[CONTADOR]],"',STR_TO_DATE('",Tabla7[[#Headers],[15/09/2018]],"','%d/%m/%Y'),",BE202,"),","('",Tabla7[[#This Row],[CONTADOR]],"',STR_TO_DATE('",Tabla7[[#Headers],[15/10/2018]],"','%d/%m/%Y'),",BF202,"),","('",Tabla7[[#This Row],[CONTADOR]],"',STR_TO_DATE('",Tabla7[[#Headers],[15/11/2018]],"','%d/%m/%Y'),",BG202,"),","('",Tabla7[[#This Row],[CONTADOR]],"',STR_TO_DATE('",Tabla7[[#Headers],[15/12/2018]],"','%d/%m/%Y'),",BH202,");")</f>
        <v>insert into lecturas values ('PM36015982',STR_TO_DATE('31/12/2017','%d/%m/%Y'),0),('PM36015982',STR_TO_DATE('15/01/2018','%d/%m/%Y'),0),('PM36015982',STR_TO_DATE('15/02/2018','%d/%m/%Y'),0),('PM36015982',STR_TO_DATE('15/03/2018','%d/%m/%Y'),25768120),('PM36015982',STR_TO_DATE('15/04/2018','%d/%m/%Y'),25864842),('PM36015982',STR_TO_DATE('15/05/2018','%d/%m/%Y'),26052200),('PM36015982',STR_TO_DATE('15/06/2018','%d/%m/%Y'),26208864),('PM36015982',STR_TO_DATE('15/07/2018','%d/%m/%Y'),26373096),('PM36015982',STR_TO_DATE('15/08/2018','%d/%m/%Y'),26540776),('PM36015982',STR_TO_DATE('15/09/2018','%d/%m/%Y'),26709272),('PM36015982',STR_TO_DATE('15/10/2018','%d/%m/%Y'),26869887),('PM36015982',STR_TO_DATE('15/11/2018','%d/%m/%Y'),27041180),('PM36015982',STR_TO_DATE('15/12/2018','%d/%m/%Y'),0);</v>
      </c>
    </row>
    <row r="203" spans="1:68" ht="18.75" customHeight="1" x14ac:dyDescent="0.25">
      <c r="A203" s="372" t="s">
        <v>1196</v>
      </c>
      <c r="B203" s="60"/>
      <c r="C203" s="372" t="s">
        <v>1204</v>
      </c>
      <c r="D203" s="372" t="s">
        <v>323</v>
      </c>
      <c r="E203" s="372">
        <v>140</v>
      </c>
      <c r="F203" s="372" t="s">
        <v>1305</v>
      </c>
      <c r="G203" s="372" t="s">
        <v>327</v>
      </c>
      <c r="H203" s="372"/>
      <c r="I203" s="372"/>
      <c r="J203" s="372"/>
      <c r="K203" s="372"/>
      <c r="L203" s="372"/>
      <c r="M203" s="372">
        <v>220937.42</v>
      </c>
      <c r="N203" s="372">
        <v>221965</v>
      </c>
      <c r="O203" s="372">
        <v>223776</v>
      </c>
      <c r="P203" s="372">
        <v>225388</v>
      </c>
      <c r="Q203" s="372">
        <v>227240</v>
      </c>
      <c r="R203" s="372">
        <v>0</v>
      </c>
      <c r="S203" s="372">
        <v>0</v>
      </c>
      <c r="T203" s="372">
        <v>113</v>
      </c>
      <c r="U203" s="611"/>
      <c r="V203" s="372"/>
      <c r="W203" s="372"/>
      <c r="X203" s="372"/>
      <c r="Y203" s="372" t="str">
        <f t="shared" si="67"/>
        <v/>
      </c>
      <c r="Z203" s="372" t="str">
        <f t="shared" si="66"/>
        <v/>
      </c>
      <c r="AA203" s="372" t="str">
        <f>IF(OR(ISBLANK(#REF!),ISBLANK(L203)),"",IF(AND(#REF!&gt;=L203,#REF!-L203&lt;=#REF!),(#REF!-L203)*$AK203,"!!!!"))</f>
        <v/>
      </c>
      <c r="AB203" s="372">
        <f t="shared" si="80"/>
        <v>1027.5799999999872</v>
      </c>
      <c r="AC203" s="372">
        <f t="shared" si="72"/>
        <v>1811</v>
      </c>
      <c r="AD203" s="372">
        <f t="shared" si="73"/>
        <v>1612</v>
      </c>
      <c r="AE203" s="372">
        <f t="shared" si="74"/>
        <v>1852</v>
      </c>
      <c r="AF203" s="372" t="str">
        <f t="shared" si="75"/>
        <v>!!!!</v>
      </c>
      <c r="AG203" s="372">
        <f t="shared" si="76"/>
        <v>0</v>
      </c>
      <c r="AH203" s="372">
        <f t="shared" si="79"/>
        <v>113</v>
      </c>
      <c r="AI203" s="372" t="str">
        <f t="shared" si="77"/>
        <v/>
      </c>
      <c r="AJ203" s="372" t="str">
        <f t="shared" si="78"/>
        <v/>
      </c>
      <c r="AK203" s="372">
        <v>1</v>
      </c>
      <c r="AL203" s="372">
        <f t="shared" ca="1" si="68"/>
        <v>221965</v>
      </c>
      <c r="AM203" s="372">
        <f t="shared" ca="1" si="69"/>
        <v>223776</v>
      </c>
      <c r="AN203" s="372">
        <f ca="1">IF(AND(Tabla7[[#This Row],[UltLec]]&lt;&gt;0,Tabla7[[#This Row],[PenLect]]&lt;&gt;0),(AM203-AL203)*Tabla7[[#This Row],[RT]],"N/A")</f>
        <v>1811</v>
      </c>
      <c r="AO203" s="372" t="s">
        <v>1462</v>
      </c>
      <c r="AP203" s="372" t="s">
        <v>1191</v>
      </c>
      <c r="AQ203" s="372" t="s">
        <v>818</v>
      </c>
      <c r="AR203" s="372">
        <f t="shared" si="70"/>
        <v>1</v>
      </c>
      <c r="AT203" s="2">
        <f t="shared" ca="1" si="71"/>
        <v>1.7623931956636198</v>
      </c>
      <c r="AV203">
        <f>IF(ISBLANK(Tabla7[[#This Row],[31/12/2017]]),0,Tabla7[[#This Row],[31/12/2017]])</f>
        <v>0</v>
      </c>
      <c r="AW203">
        <f>IF(ISBLANK(Tabla7[[#This Row],[15/01/2018]]),0,Tabla7[[#This Row],[15/01/2018]])</f>
        <v>0</v>
      </c>
      <c r="AX203">
        <f>IF(ISBLANK(Tabla7[[#This Row],[15/02/2018]]),0,Tabla7[[#This Row],[15/02/2018]])</f>
        <v>0</v>
      </c>
      <c r="AY203">
        <f>IF(ISBLANK(Tabla7[[#This Row],[15/03/2018]]),0,Tabla7[[#This Row],[15/03/2018]])</f>
        <v>220937.42</v>
      </c>
      <c r="AZ203">
        <f>IF(ISBLANK(Tabla7[[#This Row],[15/04/2018]]),0,Tabla7[[#This Row],[15/04/2018]])</f>
        <v>221965</v>
      </c>
      <c r="BA203">
        <f>IF(ISBLANK(Tabla7[[#This Row],[15/05/2018]]),0,Tabla7[[#This Row],[15/05/2018]])</f>
        <v>223776</v>
      </c>
      <c r="BB203">
        <f>IF(ISBLANK(Tabla7[[#This Row],[15/06/2018]]),0,Tabla7[[#This Row],[15/06/2018]])</f>
        <v>225388</v>
      </c>
      <c r="BC203">
        <f>IF(ISBLANK(Tabla7[[#This Row],[15/07/2018]]),0,Tabla7[[#This Row],[15/07/2018]])</f>
        <v>227240</v>
      </c>
      <c r="BD203">
        <f>IF(ISBLANK(Tabla7[[#This Row],[15/08/2018]]),0,Tabla7[[#This Row],[15/08/2018]])</f>
        <v>0</v>
      </c>
      <c r="BE203">
        <f>IF(ISBLANK(Tabla7[[#This Row],[15/09/2018]]),0,Tabla7[[#This Row],[15/09/2018]])</f>
        <v>0</v>
      </c>
      <c r="BF203">
        <f>IF(ISBLANK(Tabla7[[#This Row],[15/10/2018]]),0,Tabla7[[#This Row],[15/10/2018]])</f>
        <v>113</v>
      </c>
      <c r="BG203">
        <f>IF(ISBLANK(Tabla7[[#This Row],[15/11/2018]]),0,Tabla7[[#This Row],[15/11/2018]])</f>
        <v>0</v>
      </c>
      <c r="BH203">
        <f>IF(ISBLANK(Tabla7[[#This Row],[15/12/2018]]),0,Tabla7[[#This Row],[15/12/2018]])</f>
        <v>0</v>
      </c>
      <c r="BI203">
        <f>IF(ISBLANK(Tabla7[[#This Row],[28/12/2018]]),0,Tabla7[[#This Row],[28/12/2018]])</f>
        <v>0</v>
      </c>
      <c r="BN20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('PM40621114','VBAJA','VCDD','140','Q6.8 PILLER PANEL 3','CUADRO OKKEN','','');</v>
      </c>
      <c r="BO203" t="s">
        <v>243</v>
      </c>
      <c r="BP203" s="632" t="str">
        <f>CONCATENATE("insert into lecturas values ","('",Tabla7[[#This Row],[CONTADOR]],"',STR_TO_DATE('",Tabla7[[#Headers],[31/12/2017]],"','%d/%m/%Y'),",AV203,"),","('",Tabla7[[#This Row],[CONTADOR]],"',STR_TO_DATE('",Tabla7[[#Headers],[15/01/2018]],"','%d/%m/%Y'),",AW203,"),","('",Tabla7[[#This Row],[CONTADOR]],"',STR_TO_DATE('",Tabla7[[#Headers],[15/02/2018]],"','%d/%m/%Y'),",AX203,"),","('",Tabla7[[#This Row],[CONTADOR]],"',STR_TO_DATE('",Tabla7[[#Headers],[15/03/2018]],"','%d/%m/%Y'),",AY203,"),","('",Tabla7[[#This Row],[CONTADOR]],"',STR_TO_DATE('",Tabla7[[#Headers],[15/04/2018]],"','%d/%m/%Y'),",AZ203,"),","('",Tabla7[[#This Row],[CONTADOR]],"',STR_TO_DATE('",Tabla7[[#Headers],[15/05/2018]],"','%d/%m/%Y'),",BA203,"),","('",Tabla7[[#This Row],[CONTADOR]],"',STR_TO_DATE('",Tabla7[[#Headers],[15/06/2018]],"','%d/%m/%Y'),",BB203,"),","('",Tabla7[[#This Row],[CONTADOR]],"',STR_TO_DATE('",Tabla7[[#Headers],[15/07/2018]],"','%d/%m/%Y'),",BC203,"),","('",Tabla7[[#This Row],[CONTADOR]],"',STR_TO_DATE('",Tabla7[[#Headers],[15/08/2018]],"','%d/%m/%Y'),",BD203,"),","('",Tabla7[[#This Row],[CONTADOR]],"',STR_TO_DATE('",Tabla7[[#Headers],[15/09/2018]],"','%d/%m/%Y'),",BE203,"),","('",Tabla7[[#This Row],[CONTADOR]],"',STR_TO_DATE('",Tabla7[[#Headers],[15/10/2018]],"','%d/%m/%Y'),",BF203,"),","('",Tabla7[[#This Row],[CONTADOR]],"',STR_TO_DATE('",Tabla7[[#Headers],[15/11/2018]],"','%d/%m/%Y'),",BG203,"),","('",Tabla7[[#This Row],[CONTADOR]],"',STR_TO_DATE('",Tabla7[[#Headers],[15/12/2018]],"','%d/%m/%Y'),",BH203,");")</f>
        <v>insert into lecturas values ('PM40621114',STR_TO_DATE('31/12/2017','%d/%m/%Y'),0),('PM40621114',STR_TO_DATE('15/01/2018','%d/%m/%Y'),0),('PM40621114',STR_TO_DATE('15/02/2018','%d/%m/%Y'),0),('PM40621114',STR_TO_DATE('15/03/2018','%d/%m/%Y'),220937,42),('PM40621114',STR_TO_DATE('15/04/2018','%d/%m/%Y'),221965),('PM40621114',STR_TO_DATE('15/05/2018','%d/%m/%Y'),223776),('PM40621114',STR_TO_DATE('15/06/2018','%d/%m/%Y'),225388),('PM40621114',STR_TO_DATE('15/07/2018','%d/%m/%Y'),227240),('PM40621114',STR_TO_DATE('15/08/2018','%d/%m/%Y'),0),('PM40621114',STR_TO_DATE('15/09/2018','%d/%m/%Y'),0),('PM40621114',STR_TO_DATE('15/10/2018','%d/%m/%Y'),113),('PM40621114',STR_TO_DATE('15/11/2018','%d/%m/%Y'),0),('PM40621114',STR_TO_DATE('15/12/2018','%d/%m/%Y'),0);</v>
      </c>
    </row>
    <row r="204" spans="1:68" ht="18.75" customHeight="1" x14ac:dyDescent="0.25">
      <c r="A204" s="241" t="s">
        <v>19</v>
      </c>
      <c r="B204" s="60"/>
      <c r="C204" s="342" t="s">
        <v>1223</v>
      </c>
      <c r="D204" s="60" t="s">
        <v>323</v>
      </c>
      <c r="E204" s="258">
        <v>110</v>
      </c>
      <c r="F204" s="2" t="s">
        <v>1210</v>
      </c>
      <c r="G204" s="2" t="s">
        <v>327</v>
      </c>
      <c r="H204" s="2" t="s">
        <v>331</v>
      </c>
      <c r="I204" s="274"/>
      <c r="J204" s="311">
        <v>2010670</v>
      </c>
      <c r="K204" s="311">
        <v>2020731</v>
      </c>
      <c r="L204" s="274">
        <v>2039860</v>
      </c>
      <c r="M204" s="311">
        <v>2057408</v>
      </c>
      <c r="N204" s="311">
        <v>2076990</v>
      </c>
      <c r="O204" s="311">
        <v>2096948</v>
      </c>
      <c r="P204" s="1">
        <v>2115058</v>
      </c>
      <c r="Q204" s="274">
        <v>2132424</v>
      </c>
      <c r="R204" s="311">
        <v>2149297</v>
      </c>
      <c r="S204" s="311">
        <v>2166061</v>
      </c>
      <c r="T204" s="311">
        <v>2166061</v>
      </c>
      <c r="U204" s="531">
        <v>2199940</v>
      </c>
      <c r="V204" s="353">
        <v>2216819</v>
      </c>
      <c r="W204" s="275"/>
      <c r="X204" s="275"/>
      <c r="Y204" s="2">
        <f t="shared" si="67"/>
        <v>10061</v>
      </c>
      <c r="Z204" s="2">
        <f t="shared" si="66"/>
        <v>19129</v>
      </c>
      <c r="AA204" s="2">
        <f>IF(OR(ISBLANK(M204),ISBLANK(L204)),"",IF(AND(M204&gt;=L204,M204-L204&lt;=M204),(M204-L204)*$AK204,"!!!!"))</f>
        <v>17548</v>
      </c>
      <c r="AB204" s="2">
        <f t="shared" si="80"/>
        <v>19582</v>
      </c>
      <c r="AC204" s="2">
        <f t="shared" si="72"/>
        <v>19958</v>
      </c>
      <c r="AD204" s="2">
        <f t="shared" si="73"/>
        <v>18110</v>
      </c>
      <c r="AE204" s="2">
        <f t="shared" si="74"/>
        <v>17366</v>
      </c>
      <c r="AF204" s="2">
        <f t="shared" si="75"/>
        <v>16873</v>
      </c>
      <c r="AG204" s="2">
        <f t="shared" si="76"/>
        <v>16764</v>
      </c>
      <c r="AH204" s="2">
        <f t="shared" si="79"/>
        <v>0</v>
      </c>
      <c r="AI204" s="2">
        <f t="shared" si="77"/>
        <v>33879</v>
      </c>
      <c r="AJ204" s="2">
        <f t="shared" si="78"/>
        <v>16879</v>
      </c>
      <c r="AK204" s="406">
        <v>1</v>
      </c>
      <c r="AL204" s="274">
        <f t="shared" ca="1" si="68"/>
        <v>2076990</v>
      </c>
      <c r="AM204" s="311">
        <f t="shared" ca="1" si="69"/>
        <v>2096948</v>
      </c>
      <c r="AN204" s="274">
        <f ca="1">IF(AND(Tabla7[[#This Row],[UltLec]]&lt;&gt;0,Tabla7[[#This Row],[PenLect]]&lt;&gt;0),(AM204-AL204)*Tabla7[[#This Row],[RT]],"N/A")</f>
        <v>19958</v>
      </c>
      <c r="AO204" s="273" t="s">
        <v>862</v>
      </c>
      <c r="AP204" s="392" t="s">
        <v>1191</v>
      </c>
      <c r="AQ204" s="392" t="s">
        <v>818</v>
      </c>
      <c r="AR204" s="407">
        <f t="shared" si="70"/>
        <v>0</v>
      </c>
      <c r="AT204" s="2">
        <f t="shared" ca="1" si="71"/>
        <v>1.0192013073230517</v>
      </c>
      <c r="AV204">
        <f>IF(ISBLANK(Tabla7[[#This Row],[31/12/2017]]),0,Tabla7[[#This Row],[31/12/2017]])</f>
        <v>2010670</v>
      </c>
      <c r="AW204">
        <f>IF(ISBLANK(Tabla7[[#This Row],[15/01/2018]]),0,Tabla7[[#This Row],[15/01/2018]])</f>
        <v>2020731</v>
      </c>
      <c r="AX204">
        <f>IF(ISBLANK(Tabla7[[#This Row],[15/02/2018]]),0,Tabla7[[#This Row],[15/02/2018]])</f>
        <v>2039860</v>
      </c>
      <c r="AY204">
        <f>IF(ISBLANK(Tabla7[[#This Row],[15/03/2018]]),0,Tabla7[[#This Row],[15/03/2018]])</f>
        <v>2057408</v>
      </c>
      <c r="AZ204">
        <f>IF(ISBLANK(Tabla7[[#This Row],[15/04/2018]]),0,Tabla7[[#This Row],[15/04/2018]])</f>
        <v>2076990</v>
      </c>
      <c r="BA204">
        <f>IF(ISBLANK(Tabla7[[#This Row],[15/05/2018]]),0,Tabla7[[#This Row],[15/05/2018]])</f>
        <v>2096948</v>
      </c>
      <c r="BB204">
        <f>IF(ISBLANK(Tabla7[[#This Row],[15/06/2018]]),0,Tabla7[[#This Row],[15/06/2018]])</f>
        <v>2115058</v>
      </c>
      <c r="BC204">
        <f>IF(ISBLANK(Tabla7[[#This Row],[15/07/2018]]),0,Tabla7[[#This Row],[15/07/2018]])</f>
        <v>2132424</v>
      </c>
      <c r="BD204">
        <f>IF(ISBLANK(Tabla7[[#This Row],[15/08/2018]]),0,Tabla7[[#This Row],[15/08/2018]])</f>
        <v>2149297</v>
      </c>
      <c r="BE204">
        <f>IF(ISBLANK(Tabla7[[#This Row],[15/09/2018]]),0,Tabla7[[#This Row],[15/09/2018]])</f>
        <v>2166061</v>
      </c>
      <c r="BF204">
        <f>IF(ISBLANK(Tabla7[[#This Row],[15/10/2018]]),0,Tabla7[[#This Row],[15/10/2018]])</f>
        <v>2166061</v>
      </c>
      <c r="BG204">
        <f>IF(ISBLANK(Tabla7[[#This Row],[15/11/2018]]),0,Tabla7[[#This Row],[15/11/2018]])</f>
        <v>2199940</v>
      </c>
      <c r="BH204">
        <f>IF(ISBLANK(Tabla7[[#This Row],[15/12/2018]]),0,Tabla7[[#This Row],[15/12/2018]])</f>
        <v>2216819</v>
      </c>
      <c r="BI204">
        <f>IF(ISBLANK(Tabla7[[#This Row],[28/12/2018]]),0,Tabla7[[#This Row],[28/12/2018]])</f>
        <v>0</v>
      </c>
      <c r="BN20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('PM40AF8A4D','V','VCDD','110','Q6.7 - OFICINAS Y FASE IV (SAI)','CUADRO OKKEN','EDIF.IV','');</v>
      </c>
      <c r="BO204" t="s">
        <v>243</v>
      </c>
      <c r="BP204" s="632" t="str">
        <f>CONCATENATE("insert into lecturas values ","('",Tabla7[[#This Row],[CONTADOR]],"',STR_TO_DATE('",Tabla7[[#Headers],[31/12/2017]],"','%d/%m/%Y'),",AV204,"),","('",Tabla7[[#This Row],[CONTADOR]],"',STR_TO_DATE('",Tabla7[[#Headers],[15/01/2018]],"','%d/%m/%Y'),",AW204,"),","('",Tabla7[[#This Row],[CONTADOR]],"',STR_TO_DATE('",Tabla7[[#Headers],[15/02/2018]],"','%d/%m/%Y'),",AX204,"),","('",Tabla7[[#This Row],[CONTADOR]],"',STR_TO_DATE('",Tabla7[[#Headers],[15/03/2018]],"','%d/%m/%Y'),",AY204,"),","('",Tabla7[[#This Row],[CONTADOR]],"',STR_TO_DATE('",Tabla7[[#Headers],[15/04/2018]],"','%d/%m/%Y'),",AZ204,"),","('",Tabla7[[#This Row],[CONTADOR]],"',STR_TO_DATE('",Tabla7[[#Headers],[15/05/2018]],"','%d/%m/%Y'),",BA204,"),","('",Tabla7[[#This Row],[CONTADOR]],"',STR_TO_DATE('",Tabla7[[#Headers],[15/06/2018]],"','%d/%m/%Y'),",BB204,"),","('",Tabla7[[#This Row],[CONTADOR]],"',STR_TO_DATE('",Tabla7[[#Headers],[15/07/2018]],"','%d/%m/%Y'),",BC204,"),","('",Tabla7[[#This Row],[CONTADOR]],"',STR_TO_DATE('",Tabla7[[#Headers],[15/08/2018]],"','%d/%m/%Y'),",BD204,"),","('",Tabla7[[#This Row],[CONTADOR]],"',STR_TO_DATE('",Tabla7[[#Headers],[15/09/2018]],"','%d/%m/%Y'),",BE204,"),","('",Tabla7[[#This Row],[CONTADOR]],"',STR_TO_DATE('",Tabla7[[#Headers],[15/10/2018]],"','%d/%m/%Y'),",BF204,"),","('",Tabla7[[#This Row],[CONTADOR]],"',STR_TO_DATE('",Tabla7[[#Headers],[15/11/2018]],"','%d/%m/%Y'),",BG204,"),","('",Tabla7[[#This Row],[CONTADOR]],"',STR_TO_DATE('",Tabla7[[#Headers],[15/12/2018]],"','%d/%m/%Y'),",BH204,");")</f>
        <v>insert into lecturas values ('PM40AF8A4D',STR_TO_DATE('31/12/2017','%d/%m/%Y'),2010670),('PM40AF8A4D',STR_TO_DATE('15/01/2018','%d/%m/%Y'),2020731),('PM40AF8A4D',STR_TO_DATE('15/02/2018','%d/%m/%Y'),2039860),('PM40AF8A4D',STR_TO_DATE('15/03/2018','%d/%m/%Y'),2057408),('PM40AF8A4D',STR_TO_DATE('15/04/2018','%d/%m/%Y'),2076990),('PM40AF8A4D',STR_TO_DATE('15/05/2018','%d/%m/%Y'),2096948),('PM40AF8A4D',STR_TO_DATE('15/06/2018','%d/%m/%Y'),2115058),('PM40AF8A4D',STR_TO_DATE('15/07/2018','%d/%m/%Y'),2132424),('PM40AF8A4D',STR_TO_DATE('15/08/2018','%d/%m/%Y'),2149297),('PM40AF8A4D',STR_TO_DATE('15/09/2018','%d/%m/%Y'),2166061),('PM40AF8A4D',STR_TO_DATE('15/10/2018','%d/%m/%Y'),2166061),('PM40AF8A4D',STR_TO_DATE('15/11/2018','%d/%m/%Y'),2199940),('PM40AF8A4D',STR_TO_DATE('15/12/2018','%d/%m/%Y'),2216819);</v>
      </c>
    </row>
    <row r="205" spans="1:68" ht="18.75" customHeight="1" x14ac:dyDescent="0.25">
      <c r="A205" s="241" t="s">
        <v>19</v>
      </c>
      <c r="B205" s="60"/>
      <c r="C205" s="342" t="s">
        <v>1326</v>
      </c>
      <c r="D205" s="60" t="s">
        <v>323</v>
      </c>
      <c r="E205" s="258">
        <v>110</v>
      </c>
      <c r="F205" s="274" t="s">
        <v>1215</v>
      </c>
      <c r="G205" s="274" t="s">
        <v>327</v>
      </c>
      <c r="H205" s="274" t="s">
        <v>331</v>
      </c>
      <c r="I205" s="274"/>
      <c r="J205" s="311">
        <v>3458874</v>
      </c>
      <c r="K205" s="311">
        <v>3471592</v>
      </c>
      <c r="L205" s="274">
        <v>3497345</v>
      </c>
      <c r="M205" s="311">
        <v>3520306</v>
      </c>
      <c r="N205" s="311">
        <v>3544786</v>
      </c>
      <c r="O205" s="311">
        <v>3569276</v>
      </c>
      <c r="P205" s="283">
        <v>3588255</v>
      </c>
      <c r="Q205" s="274">
        <v>3606700</v>
      </c>
      <c r="R205" s="311">
        <v>3624470</v>
      </c>
      <c r="S205" s="311">
        <v>3641870</v>
      </c>
      <c r="T205" s="311">
        <v>3657596</v>
      </c>
      <c r="U205" s="353">
        <v>3676535</v>
      </c>
      <c r="V205" s="353">
        <v>3696290</v>
      </c>
      <c r="W205" s="307"/>
      <c r="X205" s="307"/>
      <c r="Y205" s="274">
        <f t="shared" si="67"/>
        <v>12718</v>
      </c>
      <c r="Z205" s="274">
        <f t="shared" si="66"/>
        <v>25753</v>
      </c>
      <c r="AA205" s="274">
        <f>IF(OR(ISBLANK(M205),ISBLANK(L205)),"",IF(AND(M205&gt;=L205,M205-L205&lt;=M205),(M205-L205)*$AK205,"!!!!"))</f>
        <v>22961</v>
      </c>
      <c r="AB205" s="274">
        <f t="shared" si="80"/>
        <v>24480</v>
      </c>
      <c r="AC205" s="274">
        <f t="shared" si="72"/>
        <v>24490</v>
      </c>
      <c r="AD205" s="274">
        <f t="shared" si="73"/>
        <v>18979</v>
      </c>
      <c r="AE205" s="274">
        <f t="shared" si="74"/>
        <v>18445</v>
      </c>
      <c r="AF205" s="274">
        <f t="shared" si="75"/>
        <v>17770</v>
      </c>
      <c r="AG205" s="274">
        <f t="shared" si="76"/>
        <v>17400</v>
      </c>
      <c r="AH205" s="274">
        <f t="shared" si="79"/>
        <v>15726</v>
      </c>
      <c r="AI205" s="274">
        <f t="shared" si="77"/>
        <v>18939</v>
      </c>
      <c r="AJ205" s="274">
        <f t="shared" si="78"/>
        <v>19755</v>
      </c>
      <c r="AK205" s="406">
        <v>1</v>
      </c>
      <c r="AL205" s="274">
        <f t="shared" ca="1" si="68"/>
        <v>3544786</v>
      </c>
      <c r="AM205" s="311">
        <f t="shared" ca="1" si="69"/>
        <v>3569276</v>
      </c>
      <c r="AN205" s="274">
        <f ca="1">IF(AND(Tabla7[[#This Row],[UltLec]]&lt;&gt;0,Tabla7[[#This Row],[PenLect]]&lt;&gt;0),(AM205-AL205)*Tabla7[[#This Row],[RT]],"N/A")</f>
        <v>24490</v>
      </c>
      <c r="AO205" s="273" t="s">
        <v>862</v>
      </c>
      <c r="AP205" s="392" t="s">
        <v>1191</v>
      </c>
      <c r="AQ205" s="392" t="s">
        <v>818</v>
      </c>
      <c r="AR205" s="407">
        <f t="shared" si="70"/>
        <v>0</v>
      </c>
      <c r="AT205" s="2">
        <f t="shared" ca="1" si="71"/>
        <v>1.0004084967320261</v>
      </c>
      <c r="AV205">
        <f>IF(ISBLANK(Tabla7[[#This Row],[31/12/2017]]),0,Tabla7[[#This Row],[31/12/2017]])</f>
        <v>3458874</v>
      </c>
      <c r="AW205">
        <f>IF(ISBLANK(Tabla7[[#This Row],[15/01/2018]]),0,Tabla7[[#This Row],[15/01/2018]])</f>
        <v>3471592</v>
      </c>
      <c r="AX205">
        <f>IF(ISBLANK(Tabla7[[#This Row],[15/02/2018]]),0,Tabla7[[#This Row],[15/02/2018]])</f>
        <v>3497345</v>
      </c>
      <c r="AY205">
        <f>IF(ISBLANK(Tabla7[[#This Row],[15/03/2018]]),0,Tabla7[[#This Row],[15/03/2018]])</f>
        <v>3520306</v>
      </c>
      <c r="AZ205">
        <f>IF(ISBLANK(Tabla7[[#This Row],[15/04/2018]]),0,Tabla7[[#This Row],[15/04/2018]])</f>
        <v>3544786</v>
      </c>
      <c r="BA205">
        <f>IF(ISBLANK(Tabla7[[#This Row],[15/05/2018]]),0,Tabla7[[#This Row],[15/05/2018]])</f>
        <v>3569276</v>
      </c>
      <c r="BB205">
        <f>IF(ISBLANK(Tabla7[[#This Row],[15/06/2018]]),0,Tabla7[[#This Row],[15/06/2018]])</f>
        <v>3588255</v>
      </c>
      <c r="BC205">
        <f>IF(ISBLANK(Tabla7[[#This Row],[15/07/2018]]),0,Tabla7[[#This Row],[15/07/2018]])</f>
        <v>3606700</v>
      </c>
      <c r="BD205">
        <f>IF(ISBLANK(Tabla7[[#This Row],[15/08/2018]]),0,Tabla7[[#This Row],[15/08/2018]])</f>
        <v>3624470</v>
      </c>
      <c r="BE205">
        <f>IF(ISBLANK(Tabla7[[#This Row],[15/09/2018]]),0,Tabla7[[#This Row],[15/09/2018]])</f>
        <v>3641870</v>
      </c>
      <c r="BF205">
        <f>IF(ISBLANK(Tabla7[[#This Row],[15/10/2018]]),0,Tabla7[[#This Row],[15/10/2018]])</f>
        <v>3657596</v>
      </c>
      <c r="BG205">
        <f>IF(ISBLANK(Tabla7[[#This Row],[15/11/2018]]),0,Tabla7[[#This Row],[15/11/2018]])</f>
        <v>3676535</v>
      </c>
      <c r="BH205">
        <f>IF(ISBLANK(Tabla7[[#This Row],[15/12/2018]]),0,Tabla7[[#This Row],[15/12/2018]])</f>
        <v>3696290</v>
      </c>
      <c r="BI205">
        <f>IF(ISBLANK(Tabla7[[#This Row],[28/12/2018]]),0,Tabla7[[#This Row],[28/12/2018]])</f>
        <v>0</v>
      </c>
      <c r="BN20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('PM40B2540D','V','VCDD','110','Q2.4 - OFICINAS Y FASE IV (RED)','CUADRO OKKEN','EDIF.IV','');</v>
      </c>
      <c r="BO205" t="s">
        <v>243</v>
      </c>
      <c r="BP205" s="632" t="str">
        <f>CONCATENATE("insert into lecturas values ","('",Tabla7[[#This Row],[CONTADOR]],"',STR_TO_DATE('",Tabla7[[#Headers],[31/12/2017]],"','%d/%m/%Y'),",AV205,"),","('",Tabla7[[#This Row],[CONTADOR]],"',STR_TO_DATE('",Tabla7[[#Headers],[15/01/2018]],"','%d/%m/%Y'),",AW205,"),","('",Tabla7[[#This Row],[CONTADOR]],"',STR_TO_DATE('",Tabla7[[#Headers],[15/02/2018]],"','%d/%m/%Y'),",AX205,"),","('",Tabla7[[#This Row],[CONTADOR]],"',STR_TO_DATE('",Tabla7[[#Headers],[15/03/2018]],"','%d/%m/%Y'),",AY205,"),","('",Tabla7[[#This Row],[CONTADOR]],"',STR_TO_DATE('",Tabla7[[#Headers],[15/04/2018]],"','%d/%m/%Y'),",AZ205,"),","('",Tabla7[[#This Row],[CONTADOR]],"',STR_TO_DATE('",Tabla7[[#Headers],[15/05/2018]],"','%d/%m/%Y'),",BA205,"),","('",Tabla7[[#This Row],[CONTADOR]],"',STR_TO_DATE('",Tabla7[[#Headers],[15/06/2018]],"','%d/%m/%Y'),",BB205,"),","('",Tabla7[[#This Row],[CONTADOR]],"',STR_TO_DATE('",Tabla7[[#Headers],[15/07/2018]],"','%d/%m/%Y'),",BC205,"),","('",Tabla7[[#This Row],[CONTADOR]],"',STR_TO_DATE('",Tabla7[[#Headers],[15/08/2018]],"','%d/%m/%Y'),",BD205,"),","('",Tabla7[[#This Row],[CONTADOR]],"',STR_TO_DATE('",Tabla7[[#Headers],[15/09/2018]],"','%d/%m/%Y'),",BE205,"),","('",Tabla7[[#This Row],[CONTADOR]],"',STR_TO_DATE('",Tabla7[[#Headers],[15/10/2018]],"','%d/%m/%Y'),",BF205,"),","('",Tabla7[[#This Row],[CONTADOR]],"',STR_TO_DATE('",Tabla7[[#Headers],[15/11/2018]],"','%d/%m/%Y'),",BG205,"),","('",Tabla7[[#This Row],[CONTADOR]],"',STR_TO_DATE('",Tabla7[[#Headers],[15/12/2018]],"','%d/%m/%Y'),",BH205,");")</f>
        <v>insert into lecturas values ('PM40B2540D',STR_TO_DATE('31/12/2017','%d/%m/%Y'),3458874),('PM40B2540D',STR_TO_DATE('15/01/2018','%d/%m/%Y'),3471592),('PM40B2540D',STR_TO_DATE('15/02/2018','%d/%m/%Y'),3497345),('PM40B2540D',STR_TO_DATE('15/03/2018','%d/%m/%Y'),3520306),('PM40B2540D',STR_TO_DATE('15/04/2018','%d/%m/%Y'),3544786),('PM40B2540D',STR_TO_DATE('15/05/2018','%d/%m/%Y'),3569276),('PM40B2540D',STR_TO_DATE('15/06/2018','%d/%m/%Y'),3588255),('PM40B2540D',STR_TO_DATE('15/07/2018','%d/%m/%Y'),3606700),('PM40B2540D',STR_TO_DATE('15/08/2018','%d/%m/%Y'),3624470),('PM40B2540D',STR_TO_DATE('15/09/2018','%d/%m/%Y'),3641870),('PM40B2540D',STR_TO_DATE('15/10/2018','%d/%m/%Y'),3657596),('PM40B2540D',STR_TO_DATE('15/11/2018','%d/%m/%Y'),3676535),('PM40B2540D',STR_TO_DATE('15/12/2018','%d/%m/%Y'),3696290);</v>
      </c>
    </row>
    <row r="206" spans="1:68" ht="18.75" customHeight="1" x14ac:dyDescent="0.25">
      <c r="A206" s="241" t="s">
        <v>19</v>
      </c>
      <c r="B206" s="60"/>
      <c r="C206" s="342" t="s">
        <v>1203</v>
      </c>
      <c r="D206" s="60" t="s">
        <v>323</v>
      </c>
      <c r="E206" s="258">
        <v>140</v>
      </c>
      <c r="F206" s="2" t="s">
        <v>1201</v>
      </c>
      <c r="G206" s="2" t="s">
        <v>327</v>
      </c>
      <c r="H206" s="2"/>
      <c r="I206" s="274"/>
      <c r="J206" s="311"/>
      <c r="K206" s="311"/>
      <c r="L206" s="311"/>
      <c r="M206" s="264">
        <v>358765</v>
      </c>
      <c r="N206" s="264"/>
      <c r="O206" s="356"/>
      <c r="P206" s="1">
        <v>364510</v>
      </c>
      <c r="Q206" s="2">
        <v>368459</v>
      </c>
      <c r="R206" s="311">
        <v>373493</v>
      </c>
      <c r="S206" s="311">
        <v>378554</v>
      </c>
      <c r="T206" s="311">
        <v>382594</v>
      </c>
      <c r="U206" s="531">
        <v>384147</v>
      </c>
      <c r="V206" s="353">
        <v>385835</v>
      </c>
      <c r="W206" s="275"/>
      <c r="X206" s="275"/>
      <c r="Y206" s="2" t="str">
        <f t="shared" si="67"/>
        <v/>
      </c>
      <c r="Z206" s="2" t="str">
        <f t="shared" si="66"/>
        <v/>
      </c>
      <c r="AA206" s="2" t="str">
        <f>IF(OR(ISBLANK(#REF!),ISBLANK(L206)),"",IF(AND(#REF!&gt;=L206,#REF!-L206&lt;=#REF!),(#REF!-L206)*$AK206,"!!!!"))</f>
        <v/>
      </c>
      <c r="AB206" s="2" t="str">
        <f t="shared" si="80"/>
        <v/>
      </c>
      <c r="AC206" s="2" t="str">
        <f t="shared" si="72"/>
        <v/>
      </c>
      <c r="AD206" s="2" t="str">
        <f t="shared" si="73"/>
        <v/>
      </c>
      <c r="AE206" s="2">
        <f t="shared" si="74"/>
        <v>3949</v>
      </c>
      <c r="AF206" s="2">
        <f t="shared" si="75"/>
        <v>5034</v>
      </c>
      <c r="AG206" s="2">
        <f t="shared" si="76"/>
        <v>5061</v>
      </c>
      <c r="AH206" s="271">
        <f t="shared" si="79"/>
        <v>4040</v>
      </c>
      <c r="AI206" s="2">
        <f t="shared" si="77"/>
        <v>1553</v>
      </c>
      <c r="AJ206" s="2">
        <f t="shared" si="78"/>
        <v>1688</v>
      </c>
      <c r="AK206" s="406">
        <v>1</v>
      </c>
      <c r="AL206" s="412">
        <f t="shared" ca="1" si="68"/>
        <v>0</v>
      </c>
      <c r="AM206" s="311">
        <f t="shared" ca="1" si="69"/>
        <v>0</v>
      </c>
      <c r="AN206" s="412" t="str">
        <f ca="1">IF(AND(Tabla7[[#This Row],[UltLec]]&lt;&gt;0,Tabla7[[#This Row],[PenLect]]&lt;&gt;0),(AM206-AL206)*Tabla7[[#This Row],[RT]],"N/A")</f>
        <v>N/A</v>
      </c>
      <c r="AO206" s="273" t="s">
        <v>862</v>
      </c>
      <c r="AP206" s="392" t="s">
        <v>1191</v>
      </c>
      <c r="AQ206" s="392" t="s">
        <v>818</v>
      </c>
      <c r="AR206" s="407">
        <f t="shared" si="70"/>
        <v>0</v>
      </c>
      <c r="AT206" s="2" t="e">
        <f t="shared" ca="1" si="71"/>
        <v>#VALUE!</v>
      </c>
      <c r="AV206">
        <f>IF(ISBLANK(Tabla7[[#This Row],[31/12/2017]]),0,Tabla7[[#This Row],[31/12/2017]])</f>
        <v>0</v>
      </c>
      <c r="AW206">
        <f>IF(ISBLANK(Tabla7[[#This Row],[15/01/2018]]),0,Tabla7[[#This Row],[15/01/2018]])</f>
        <v>0</v>
      </c>
      <c r="AX206">
        <f>IF(ISBLANK(Tabla7[[#This Row],[15/02/2018]]),0,Tabla7[[#This Row],[15/02/2018]])</f>
        <v>0</v>
      </c>
      <c r="AY206">
        <f>IF(ISBLANK(Tabla7[[#This Row],[15/03/2018]]),0,Tabla7[[#This Row],[15/03/2018]])</f>
        <v>358765</v>
      </c>
      <c r="AZ206">
        <f>IF(ISBLANK(Tabla7[[#This Row],[15/04/2018]]),0,Tabla7[[#This Row],[15/04/2018]])</f>
        <v>0</v>
      </c>
      <c r="BA206">
        <f>IF(ISBLANK(Tabla7[[#This Row],[15/05/2018]]),0,Tabla7[[#This Row],[15/05/2018]])</f>
        <v>0</v>
      </c>
      <c r="BB206">
        <f>IF(ISBLANK(Tabla7[[#This Row],[15/06/2018]]),0,Tabla7[[#This Row],[15/06/2018]])</f>
        <v>364510</v>
      </c>
      <c r="BC206">
        <f>IF(ISBLANK(Tabla7[[#This Row],[15/07/2018]]),0,Tabla7[[#This Row],[15/07/2018]])</f>
        <v>368459</v>
      </c>
      <c r="BD206">
        <f>IF(ISBLANK(Tabla7[[#This Row],[15/08/2018]]),0,Tabla7[[#This Row],[15/08/2018]])</f>
        <v>373493</v>
      </c>
      <c r="BE206">
        <f>IF(ISBLANK(Tabla7[[#This Row],[15/09/2018]]),0,Tabla7[[#This Row],[15/09/2018]])</f>
        <v>378554</v>
      </c>
      <c r="BF206">
        <f>IF(ISBLANK(Tabla7[[#This Row],[15/10/2018]]),0,Tabla7[[#This Row],[15/10/2018]])</f>
        <v>382594</v>
      </c>
      <c r="BG206">
        <f>IF(ISBLANK(Tabla7[[#This Row],[15/11/2018]]),0,Tabla7[[#This Row],[15/11/2018]])</f>
        <v>384147</v>
      </c>
      <c r="BH206">
        <f>IF(ISBLANK(Tabla7[[#This Row],[15/12/2018]]),0,Tabla7[[#This Row],[15/12/2018]])</f>
        <v>385835</v>
      </c>
      <c r="BI206">
        <f>IF(ISBLANK(Tabla7[[#This Row],[28/12/2018]]),0,Tabla7[[#This Row],[28/12/2018]])</f>
        <v>0</v>
      </c>
      <c r="BK206" t="s">
        <v>1189</v>
      </c>
      <c r="BL206" t="s">
        <v>1193</v>
      </c>
      <c r="BN20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('PM43541EEE','V','VCDD','140','CUADRO SERVICIOS','CUADRO OKKEN','','');</v>
      </c>
      <c r="BO206" t="s">
        <v>243</v>
      </c>
      <c r="BP206" s="632" t="str">
        <f>CONCATENATE("insert into lecturas values ","('",Tabla7[[#This Row],[CONTADOR]],"',STR_TO_DATE('",Tabla7[[#Headers],[31/12/2017]],"','%d/%m/%Y'),",AV206,"),","('",Tabla7[[#This Row],[CONTADOR]],"',STR_TO_DATE('",Tabla7[[#Headers],[15/01/2018]],"','%d/%m/%Y'),",AW206,"),","('",Tabla7[[#This Row],[CONTADOR]],"',STR_TO_DATE('",Tabla7[[#Headers],[15/02/2018]],"','%d/%m/%Y'),",AX206,"),","('",Tabla7[[#This Row],[CONTADOR]],"',STR_TO_DATE('",Tabla7[[#Headers],[15/03/2018]],"','%d/%m/%Y'),",AY206,"),","('",Tabla7[[#This Row],[CONTADOR]],"',STR_TO_DATE('",Tabla7[[#Headers],[15/04/2018]],"','%d/%m/%Y'),",AZ206,"),","('",Tabla7[[#This Row],[CONTADOR]],"',STR_TO_DATE('",Tabla7[[#Headers],[15/05/2018]],"','%d/%m/%Y'),",BA206,"),","('",Tabla7[[#This Row],[CONTADOR]],"',STR_TO_DATE('",Tabla7[[#Headers],[15/06/2018]],"','%d/%m/%Y'),",BB206,"),","('",Tabla7[[#This Row],[CONTADOR]],"',STR_TO_DATE('",Tabla7[[#Headers],[15/07/2018]],"','%d/%m/%Y'),",BC206,"),","('",Tabla7[[#This Row],[CONTADOR]],"',STR_TO_DATE('",Tabla7[[#Headers],[15/08/2018]],"','%d/%m/%Y'),",BD206,"),","('",Tabla7[[#This Row],[CONTADOR]],"',STR_TO_DATE('",Tabla7[[#Headers],[15/09/2018]],"','%d/%m/%Y'),",BE206,"),","('",Tabla7[[#This Row],[CONTADOR]],"',STR_TO_DATE('",Tabla7[[#Headers],[15/10/2018]],"','%d/%m/%Y'),",BF206,"),","('",Tabla7[[#This Row],[CONTADOR]],"',STR_TO_DATE('",Tabla7[[#Headers],[15/11/2018]],"','%d/%m/%Y'),",BG206,"),","('",Tabla7[[#This Row],[CONTADOR]],"',STR_TO_DATE('",Tabla7[[#Headers],[15/12/2018]],"','%d/%m/%Y'),",BH206,");")</f>
        <v>insert into lecturas values ('PM43541EEE',STR_TO_DATE('31/12/2017','%d/%m/%Y'),0),('PM43541EEE',STR_TO_DATE('15/01/2018','%d/%m/%Y'),0),('PM43541EEE',STR_TO_DATE('15/02/2018','%d/%m/%Y'),0),('PM43541EEE',STR_TO_DATE('15/03/2018','%d/%m/%Y'),358765),('PM43541EEE',STR_TO_DATE('15/04/2018','%d/%m/%Y'),0),('PM43541EEE',STR_TO_DATE('15/05/2018','%d/%m/%Y'),0),('PM43541EEE',STR_TO_DATE('15/06/2018','%d/%m/%Y'),364510),('PM43541EEE',STR_TO_DATE('15/07/2018','%d/%m/%Y'),368459),('PM43541EEE',STR_TO_DATE('15/08/2018','%d/%m/%Y'),373493),('PM43541EEE',STR_TO_DATE('15/09/2018','%d/%m/%Y'),378554),('PM43541EEE',STR_TO_DATE('15/10/2018','%d/%m/%Y'),382594),('PM43541EEE',STR_TO_DATE('15/11/2018','%d/%m/%Y'),384147),('PM43541EEE',STR_TO_DATE('15/12/2018','%d/%m/%Y'),385835);</v>
      </c>
    </row>
    <row r="207" spans="1:68" ht="18.75" customHeight="1" x14ac:dyDescent="0.25">
      <c r="A207" s="372" t="s">
        <v>1196</v>
      </c>
      <c r="B207" s="60"/>
      <c r="C207" s="374" t="s">
        <v>1218</v>
      </c>
      <c r="D207" s="374" t="s">
        <v>323</v>
      </c>
      <c r="E207" s="375">
        <v>39648</v>
      </c>
      <c r="F207" s="433" t="s">
        <v>1335</v>
      </c>
      <c r="G207" s="433" t="s">
        <v>327</v>
      </c>
      <c r="H207" s="433" t="s">
        <v>328</v>
      </c>
      <c r="I207" s="433"/>
      <c r="J207" s="433">
        <v>443033</v>
      </c>
      <c r="K207" s="433">
        <v>444889</v>
      </c>
      <c r="L207" s="433">
        <v>448838</v>
      </c>
      <c r="M207" s="433">
        <v>452687</v>
      </c>
      <c r="N207" s="433">
        <v>456637</v>
      </c>
      <c r="O207" s="433">
        <v>460849</v>
      </c>
      <c r="P207" s="433">
        <v>464417</v>
      </c>
      <c r="Q207" s="433">
        <v>468374</v>
      </c>
      <c r="R207" s="433">
        <v>0</v>
      </c>
      <c r="S207" s="433">
        <v>0</v>
      </c>
      <c r="T207" s="433">
        <v>201</v>
      </c>
      <c r="U207" s="612"/>
      <c r="V207" s="433"/>
      <c r="W207" s="433"/>
      <c r="X207" s="433"/>
      <c r="Y207" s="433">
        <f t="shared" si="67"/>
        <v>1856</v>
      </c>
      <c r="Z207" s="433">
        <f t="shared" si="66"/>
        <v>3949</v>
      </c>
      <c r="AA207" s="433">
        <f t="shared" ref="AA207:AA214" si="81">IF(OR(ISBLANK(M207),ISBLANK(L207)),"",IF(AND(M207&gt;=L207,M207-L207&lt;=M207),(M207-L207)*$AK207,"!!!!"))</f>
        <v>3849</v>
      </c>
      <c r="AB207" s="433">
        <f t="shared" si="80"/>
        <v>3950</v>
      </c>
      <c r="AC207" s="433">
        <f t="shared" si="72"/>
        <v>4212</v>
      </c>
      <c r="AD207" s="433">
        <f t="shared" si="73"/>
        <v>3568</v>
      </c>
      <c r="AE207" s="433">
        <f t="shared" si="74"/>
        <v>3957</v>
      </c>
      <c r="AF207" s="433" t="str">
        <f t="shared" si="75"/>
        <v>!!!!</v>
      </c>
      <c r="AG207" s="433">
        <f t="shared" si="76"/>
        <v>0</v>
      </c>
      <c r="AH207" s="433">
        <f t="shared" si="79"/>
        <v>201</v>
      </c>
      <c r="AI207" s="433" t="str">
        <f t="shared" si="77"/>
        <v/>
      </c>
      <c r="AJ207" s="433" t="str">
        <f t="shared" si="78"/>
        <v/>
      </c>
      <c r="AK207" s="591">
        <v>1</v>
      </c>
      <c r="AL207" s="433">
        <f t="shared" ca="1" si="68"/>
        <v>456637</v>
      </c>
      <c r="AM207" s="433">
        <f t="shared" ca="1" si="69"/>
        <v>460849</v>
      </c>
      <c r="AN207" s="433">
        <f ca="1">IF(AND(Tabla7[[#This Row],[UltLec]]&lt;&gt;0,Tabla7[[#This Row],[PenLect]]&lt;&gt;0),(AM207-AL207)*Tabla7[[#This Row],[RT]],"N/A")</f>
        <v>4212</v>
      </c>
      <c r="AO207" s="380" t="s">
        <v>1462</v>
      </c>
      <c r="AP207" s="433" t="s">
        <v>1191</v>
      </c>
      <c r="AQ207" s="433" t="s">
        <v>818</v>
      </c>
      <c r="AR207" s="594">
        <f t="shared" si="70"/>
        <v>1</v>
      </c>
      <c r="AT207" s="2">
        <f t="shared" ca="1" si="71"/>
        <v>1.0663291139240507</v>
      </c>
      <c r="AV207">
        <f>IF(ISBLANK(Tabla7[[#This Row],[31/12/2017]]),0,Tabla7[[#This Row],[31/12/2017]])</f>
        <v>443033</v>
      </c>
      <c r="AW207">
        <f>IF(ISBLANK(Tabla7[[#This Row],[15/01/2018]]),0,Tabla7[[#This Row],[15/01/2018]])</f>
        <v>444889</v>
      </c>
      <c r="AX207">
        <f>IF(ISBLANK(Tabla7[[#This Row],[15/02/2018]]),0,Tabla7[[#This Row],[15/02/2018]])</f>
        <v>448838</v>
      </c>
      <c r="AY207">
        <f>IF(ISBLANK(Tabla7[[#This Row],[15/03/2018]]),0,Tabla7[[#This Row],[15/03/2018]])</f>
        <v>452687</v>
      </c>
      <c r="AZ207">
        <f>IF(ISBLANK(Tabla7[[#This Row],[15/04/2018]]),0,Tabla7[[#This Row],[15/04/2018]])</f>
        <v>456637</v>
      </c>
      <c r="BA207">
        <f>IF(ISBLANK(Tabla7[[#This Row],[15/05/2018]]),0,Tabla7[[#This Row],[15/05/2018]])</f>
        <v>460849</v>
      </c>
      <c r="BB207">
        <f>IF(ISBLANK(Tabla7[[#This Row],[15/06/2018]]),0,Tabla7[[#This Row],[15/06/2018]])</f>
        <v>464417</v>
      </c>
      <c r="BC207">
        <f>IF(ISBLANK(Tabla7[[#This Row],[15/07/2018]]),0,Tabla7[[#This Row],[15/07/2018]])</f>
        <v>468374</v>
      </c>
      <c r="BD207">
        <f>IF(ISBLANK(Tabla7[[#This Row],[15/08/2018]]),0,Tabla7[[#This Row],[15/08/2018]])</f>
        <v>0</v>
      </c>
      <c r="BE207">
        <f>IF(ISBLANK(Tabla7[[#This Row],[15/09/2018]]),0,Tabla7[[#This Row],[15/09/2018]])</f>
        <v>0</v>
      </c>
      <c r="BF207">
        <f>IF(ISBLANK(Tabla7[[#This Row],[15/10/2018]]),0,Tabla7[[#This Row],[15/10/2018]])</f>
        <v>201</v>
      </c>
      <c r="BG207">
        <f>IF(ISBLANK(Tabla7[[#This Row],[15/11/2018]]),0,Tabla7[[#This Row],[15/11/2018]])</f>
        <v>0</v>
      </c>
      <c r="BH207">
        <f>IF(ISBLANK(Tabla7[[#This Row],[15/12/2018]]),0,Tabla7[[#This Row],[15/12/2018]])</f>
        <v>0</v>
      </c>
      <c r="BI207">
        <f>IF(ISBLANK(Tabla7[[#This Row],[28/12/2018]]),0,Tabla7[[#This Row],[28/12/2018]])</f>
        <v>0</v>
      </c>
      <c r="BN20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('PM45819294','VBAJA','VCDD','39648','V.P.I  Q12 - OFICINAS FASE I (SAI)','CUADRO OKKEN','EDIF.I','');</v>
      </c>
      <c r="BO207" t="s">
        <v>243</v>
      </c>
      <c r="BP207" s="632" t="str">
        <f>CONCATENATE("insert into lecturas values ","('",Tabla7[[#This Row],[CONTADOR]],"',STR_TO_DATE('",Tabla7[[#Headers],[31/12/2017]],"','%d/%m/%Y'),",AV207,"),","('",Tabla7[[#This Row],[CONTADOR]],"',STR_TO_DATE('",Tabla7[[#Headers],[15/01/2018]],"','%d/%m/%Y'),",AW207,"),","('",Tabla7[[#This Row],[CONTADOR]],"',STR_TO_DATE('",Tabla7[[#Headers],[15/02/2018]],"','%d/%m/%Y'),",AX207,"),","('",Tabla7[[#This Row],[CONTADOR]],"',STR_TO_DATE('",Tabla7[[#Headers],[15/03/2018]],"','%d/%m/%Y'),",AY207,"),","('",Tabla7[[#This Row],[CONTADOR]],"',STR_TO_DATE('",Tabla7[[#Headers],[15/04/2018]],"','%d/%m/%Y'),",AZ207,"),","('",Tabla7[[#This Row],[CONTADOR]],"',STR_TO_DATE('",Tabla7[[#Headers],[15/05/2018]],"','%d/%m/%Y'),",BA207,"),","('",Tabla7[[#This Row],[CONTADOR]],"',STR_TO_DATE('",Tabla7[[#Headers],[15/06/2018]],"','%d/%m/%Y'),",BB207,"),","('",Tabla7[[#This Row],[CONTADOR]],"',STR_TO_DATE('",Tabla7[[#Headers],[15/07/2018]],"','%d/%m/%Y'),",BC207,"),","('",Tabla7[[#This Row],[CONTADOR]],"',STR_TO_DATE('",Tabla7[[#Headers],[15/08/2018]],"','%d/%m/%Y'),",BD207,"),","('",Tabla7[[#This Row],[CONTADOR]],"',STR_TO_DATE('",Tabla7[[#Headers],[15/09/2018]],"','%d/%m/%Y'),",BE207,"),","('",Tabla7[[#This Row],[CONTADOR]],"',STR_TO_DATE('",Tabla7[[#Headers],[15/10/2018]],"','%d/%m/%Y'),",BF207,"),","('",Tabla7[[#This Row],[CONTADOR]],"',STR_TO_DATE('",Tabla7[[#Headers],[15/11/2018]],"','%d/%m/%Y'),",BG207,"),","('",Tabla7[[#This Row],[CONTADOR]],"',STR_TO_DATE('",Tabla7[[#Headers],[15/12/2018]],"','%d/%m/%Y'),",BH207,");")</f>
        <v>insert into lecturas values ('PM45819294',STR_TO_DATE('31/12/2017','%d/%m/%Y'),443033),('PM45819294',STR_TO_DATE('15/01/2018','%d/%m/%Y'),444889),('PM45819294',STR_TO_DATE('15/02/2018','%d/%m/%Y'),448838),('PM45819294',STR_TO_DATE('15/03/2018','%d/%m/%Y'),452687),('PM45819294',STR_TO_DATE('15/04/2018','%d/%m/%Y'),456637),('PM45819294',STR_TO_DATE('15/05/2018','%d/%m/%Y'),460849),('PM45819294',STR_TO_DATE('15/06/2018','%d/%m/%Y'),464417),('PM45819294',STR_TO_DATE('15/07/2018','%d/%m/%Y'),468374),('PM45819294',STR_TO_DATE('15/08/2018','%d/%m/%Y'),0),('PM45819294',STR_TO_DATE('15/09/2018','%d/%m/%Y'),0),('PM45819294',STR_TO_DATE('15/10/2018','%d/%m/%Y'),201),('PM45819294',STR_TO_DATE('15/11/2018','%d/%m/%Y'),0),('PM45819294',STR_TO_DATE('15/12/2018','%d/%m/%Y'),0);</v>
      </c>
    </row>
    <row r="208" spans="1:68" ht="18.75" customHeight="1" x14ac:dyDescent="0.25">
      <c r="A208" s="360" t="s">
        <v>19</v>
      </c>
      <c r="B208" s="320"/>
      <c r="C208" s="584" t="s">
        <v>1325</v>
      </c>
      <c r="D208" s="360" t="s">
        <v>323</v>
      </c>
      <c r="E208" s="360">
        <v>110</v>
      </c>
      <c r="F208" s="606" t="s">
        <v>1214</v>
      </c>
      <c r="G208" s="606" t="s">
        <v>327</v>
      </c>
      <c r="H208" s="606" t="s">
        <v>852</v>
      </c>
      <c r="I208" s="606"/>
      <c r="J208" s="607">
        <v>944448</v>
      </c>
      <c r="K208" s="607">
        <v>947210</v>
      </c>
      <c r="L208" s="606">
        <v>953872</v>
      </c>
      <c r="M208" s="606">
        <v>959333</v>
      </c>
      <c r="N208" s="606">
        <v>964168</v>
      </c>
      <c r="O208" s="608">
        <v>968713</v>
      </c>
      <c r="P208" s="608">
        <v>973962</v>
      </c>
      <c r="Q208" s="606">
        <v>981785</v>
      </c>
      <c r="R208" s="607">
        <v>990301</v>
      </c>
      <c r="S208" s="607">
        <v>998070</v>
      </c>
      <c r="T208" s="607">
        <v>1004321</v>
      </c>
      <c r="U208" s="607">
        <v>1004321</v>
      </c>
      <c r="V208" s="607">
        <v>1014415</v>
      </c>
      <c r="W208" s="606"/>
      <c r="X208" s="606"/>
      <c r="Y208" s="606">
        <f t="shared" si="67"/>
        <v>2762</v>
      </c>
      <c r="Z208" s="606">
        <f t="shared" si="66"/>
        <v>6662</v>
      </c>
      <c r="AA208" s="606">
        <f t="shared" si="81"/>
        <v>5461</v>
      </c>
      <c r="AB208" s="606">
        <f t="shared" si="80"/>
        <v>4835</v>
      </c>
      <c r="AC208" s="606">
        <f t="shared" si="72"/>
        <v>4545</v>
      </c>
      <c r="AD208" s="606">
        <f t="shared" si="73"/>
        <v>5249</v>
      </c>
      <c r="AE208" s="606">
        <f t="shared" si="74"/>
        <v>7823</v>
      </c>
      <c r="AF208" s="606">
        <f t="shared" si="75"/>
        <v>8516</v>
      </c>
      <c r="AG208" s="606">
        <f t="shared" si="76"/>
        <v>7769</v>
      </c>
      <c r="AH208" s="606">
        <f t="shared" si="79"/>
        <v>6251</v>
      </c>
      <c r="AI208" s="606">
        <f t="shared" si="77"/>
        <v>0</v>
      </c>
      <c r="AJ208" s="606">
        <f t="shared" si="78"/>
        <v>10094</v>
      </c>
      <c r="AK208" s="606">
        <v>1</v>
      </c>
      <c r="AL208" s="606">
        <f t="shared" ca="1" si="68"/>
        <v>964168</v>
      </c>
      <c r="AM208" s="607">
        <f t="shared" ca="1" si="69"/>
        <v>968713</v>
      </c>
      <c r="AN208" s="606">
        <f ca="1">IF(AND(Tabla7[[#This Row],[UltLec]]&lt;&gt;0,Tabla7[[#This Row],[PenLect]]&lt;&gt;0),(AM208-AL208)*Tabla7[[#This Row],[RT]],"N/A")</f>
        <v>4545</v>
      </c>
      <c r="AO208" s="360" t="s">
        <v>862</v>
      </c>
      <c r="AP208" s="241" t="s">
        <v>1191</v>
      </c>
      <c r="AQ208" s="241" t="s">
        <v>818</v>
      </c>
      <c r="AR208" s="121">
        <f t="shared" si="70"/>
        <v>0</v>
      </c>
      <c r="AT208" s="2">
        <f t="shared" ca="1" si="71"/>
        <v>0.94002068252326787</v>
      </c>
      <c r="AV208">
        <f>IF(ISBLANK(Tabla7[[#This Row],[31/12/2017]]),0,Tabla7[[#This Row],[31/12/2017]])</f>
        <v>944448</v>
      </c>
      <c r="AW208">
        <f>IF(ISBLANK(Tabla7[[#This Row],[15/01/2018]]),0,Tabla7[[#This Row],[15/01/2018]])</f>
        <v>947210</v>
      </c>
      <c r="AX208">
        <f>IF(ISBLANK(Tabla7[[#This Row],[15/02/2018]]),0,Tabla7[[#This Row],[15/02/2018]])</f>
        <v>953872</v>
      </c>
      <c r="AY208">
        <f>IF(ISBLANK(Tabla7[[#This Row],[15/03/2018]]),0,Tabla7[[#This Row],[15/03/2018]])</f>
        <v>959333</v>
      </c>
      <c r="AZ208">
        <f>IF(ISBLANK(Tabla7[[#This Row],[15/04/2018]]),0,Tabla7[[#This Row],[15/04/2018]])</f>
        <v>964168</v>
      </c>
      <c r="BA208">
        <f>IF(ISBLANK(Tabla7[[#This Row],[15/05/2018]]),0,Tabla7[[#This Row],[15/05/2018]])</f>
        <v>968713</v>
      </c>
      <c r="BB208">
        <f>IF(ISBLANK(Tabla7[[#This Row],[15/06/2018]]),0,Tabla7[[#This Row],[15/06/2018]])</f>
        <v>973962</v>
      </c>
      <c r="BC208">
        <f>IF(ISBLANK(Tabla7[[#This Row],[15/07/2018]]),0,Tabla7[[#This Row],[15/07/2018]])</f>
        <v>981785</v>
      </c>
      <c r="BD208">
        <f>IF(ISBLANK(Tabla7[[#This Row],[15/08/2018]]),0,Tabla7[[#This Row],[15/08/2018]])</f>
        <v>990301</v>
      </c>
      <c r="BE208">
        <f>IF(ISBLANK(Tabla7[[#This Row],[15/09/2018]]),0,Tabla7[[#This Row],[15/09/2018]])</f>
        <v>998070</v>
      </c>
      <c r="BF208">
        <f>IF(ISBLANK(Tabla7[[#This Row],[15/10/2018]]),0,Tabla7[[#This Row],[15/10/2018]])</f>
        <v>1004321</v>
      </c>
      <c r="BG208">
        <f>IF(ISBLANK(Tabla7[[#This Row],[15/11/2018]]),0,Tabla7[[#This Row],[15/11/2018]])</f>
        <v>1004321</v>
      </c>
      <c r="BH208">
        <f>IF(ISBLANK(Tabla7[[#This Row],[15/12/2018]]),0,Tabla7[[#This Row],[15/12/2018]])</f>
        <v>1014415</v>
      </c>
      <c r="BI208">
        <f>IF(ISBLANK(Tabla7[[#This Row],[28/12/2018]]),0,Tabla7[[#This Row],[28/12/2018]])</f>
        <v>0</v>
      </c>
      <c r="BN20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('PM45819626','V','VCDD','110','Q17 -  OFICINAS AUXILIARES (RED)','CUADRO OKKEN','Primer digito indica nº vuelta y se añade manualmente. CDD','');</v>
      </c>
      <c r="BO208" t="s">
        <v>243</v>
      </c>
      <c r="BP208" s="632" t="str">
        <f>CONCATENATE("insert into lecturas values ","('",Tabla7[[#This Row],[CONTADOR]],"',STR_TO_DATE('",Tabla7[[#Headers],[31/12/2017]],"','%d/%m/%Y'),",AV208,"),","('",Tabla7[[#This Row],[CONTADOR]],"',STR_TO_DATE('",Tabla7[[#Headers],[15/01/2018]],"','%d/%m/%Y'),",AW208,"),","('",Tabla7[[#This Row],[CONTADOR]],"',STR_TO_DATE('",Tabla7[[#Headers],[15/02/2018]],"','%d/%m/%Y'),",AX208,"),","('",Tabla7[[#This Row],[CONTADOR]],"',STR_TO_DATE('",Tabla7[[#Headers],[15/03/2018]],"','%d/%m/%Y'),",AY208,"),","('",Tabla7[[#This Row],[CONTADOR]],"',STR_TO_DATE('",Tabla7[[#Headers],[15/04/2018]],"','%d/%m/%Y'),",AZ208,"),","('",Tabla7[[#This Row],[CONTADOR]],"',STR_TO_DATE('",Tabla7[[#Headers],[15/05/2018]],"','%d/%m/%Y'),",BA208,"),","('",Tabla7[[#This Row],[CONTADOR]],"',STR_TO_DATE('",Tabla7[[#Headers],[15/06/2018]],"','%d/%m/%Y'),",BB208,"),","('",Tabla7[[#This Row],[CONTADOR]],"',STR_TO_DATE('",Tabla7[[#Headers],[15/07/2018]],"','%d/%m/%Y'),",BC208,"),","('",Tabla7[[#This Row],[CONTADOR]],"',STR_TO_DATE('",Tabla7[[#Headers],[15/08/2018]],"','%d/%m/%Y'),",BD208,"),","('",Tabla7[[#This Row],[CONTADOR]],"',STR_TO_DATE('",Tabla7[[#Headers],[15/09/2018]],"','%d/%m/%Y'),",BE208,"),","('",Tabla7[[#This Row],[CONTADOR]],"',STR_TO_DATE('",Tabla7[[#Headers],[15/10/2018]],"','%d/%m/%Y'),",BF208,"),","('",Tabla7[[#This Row],[CONTADOR]],"',STR_TO_DATE('",Tabla7[[#Headers],[15/11/2018]],"','%d/%m/%Y'),",BG208,"),","('",Tabla7[[#This Row],[CONTADOR]],"',STR_TO_DATE('",Tabla7[[#Headers],[15/12/2018]],"','%d/%m/%Y'),",BH208,");")</f>
        <v>insert into lecturas values ('PM45819626',STR_TO_DATE('31/12/2017','%d/%m/%Y'),944448),('PM45819626',STR_TO_DATE('15/01/2018','%d/%m/%Y'),947210),('PM45819626',STR_TO_DATE('15/02/2018','%d/%m/%Y'),953872),('PM45819626',STR_TO_DATE('15/03/2018','%d/%m/%Y'),959333),('PM45819626',STR_TO_DATE('15/04/2018','%d/%m/%Y'),964168),('PM45819626',STR_TO_DATE('15/05/2018','%d/%m/%Y'),968713),('PM45819626',STR_TO_DATE('15/06/2018','%d/%m/%Y'),973962),('PM45819626',STR_TO_DATE('15/07/2018','%d/%m/%Y'),981785),('PM45819626',STR_TO_DATE('15/08/2018','%d/%m/%Y'),990301),('PM45819626',STR_TO_DATE('15/09/2018','%d/%m/%Y'),998070),('PM45819626',STR_TO_DATE('15/10/2018','%d/%m/%Y'),1004321),('PM45819626',STR_TO_DATE('15/11/2018','%d/%m/%Y'),1004321),('PM45819626',STR_TO_DATE('15/12/2018','%d/%m/%Y'),1014415);</v>
      </c>
    </row>
    <row r="209" spans="1:68" ht="18.75" customHeight="1" x14ac:dyDescent="0.25">
      <c r="A209" s="241" t="s">
        <v>19</v>
      </c>
      <c r="B209" s="60"/>
      <c r="C209" s="342" t="s">
        <v>1222</v>
      </c>
      <c r="D209" s="60" t="s">
        <v>323</v>
      </c>
      <c r="E209" s="258">
        <v>110</v>
      </c>
      <c r="F209" s="2" t="s">
        <v>1209</v>
      </c>
      <c r="G209" s="2" t="s">
        <v>327</v>
      </c>
      <c r="H209" s="2" t="s">
        <v>329</v>
      </c>
      <c r="I209" s="274"/>
      <c r="J209" s="311">
        <v>1611039</v>
      </c>
      <c r="K209" s="311">
        <v>1616295</v>
      </c>
      <c r="L209" s="274">
        <v>1626549</v>
      </c>
      <c r="M209" s="311">
        <v>1635683</v>
      </c>
      <c r="N209" s="311">
        <v>1645408</v>
      </c>
      <c r="O209" s="311">
        <v>1654922</v>
      </c>
      <c r="P209" s="1">
        <v>1661699</v>
      </c>
      <c r="Q209" s="274">
        <v>1670009</v>
      </c>
      <c r="R209" s="531">
        <v>1679155</v>
      </c>
      <c r="S209" s="353">
        <v>1687864</v>
      </c>
      <c r="T209" s="531">
        <v>1695334</v>
      </c>
      <c r="U209" s="531">
        <v>1703162</v>
      </c>
      <c r="V209" s="353">
        <v>1711093</v>
      </c>
      <c r="W209" s="307"/>
      <c r="X209" s="275"/>
      <c r="Y209" s="2">
        <f t="shared" si="67"/>
        <v>5256</v>
      </c>
      <c r="Z209" s="2">
        <f t="shared" si="66"/>
        <v>10254</v>
      </c>
      <c r="AA209" s="2">
        <f t="shared" si="81"/>
        <v>9134</v>
      </c>
      <c r="AB209" s="2">
        <f t="shared" si="80"/>
        <v>9725</v>
      </c>
      <c r="AC209" s="2">
        <f t="shared" si="72"/>
        <v>9514</v>
      </c>
      <c r="AD209" s="2">
        <f t="shared" si="73"/>
        <v>6777</v>
      </c>
      <c r="AE209" s="2">
        <f t="shared" si="74"/>
        <v>8310</v>
      </c>
      <c r="AF209" s="2">
        <f t="shared" si="75"/>
        <v>9146</v>
      </c>
      <c r="AG209" s="2">
        <f t="shared" si="76"/>
        <v>8709</v>
      </c>
      <c r="AH209" s="2">
        <f t="shared" si="79"/>
        <v>7470</v>
      </c>
      <c r="AI209" s="2">
        <f t="shared" si="77"/>
        <v>7828</v>
      </c>
      <c r="AJ209" s="2">
        <f t="shared" si="78"/>
        <v>7931</v>
      </c>
      <c r="AK209" s="406">
        <v>1</v>
      </c>
      <c r="AL209" s="274">
        <f t="shared" ca="1" si="68"/>
        <v>1645408</v>
      </c>
      <c r="AM209" s="311">
        <f t="shared" ca="1" si="69"/>
        <v>1654922</v>
      </c>
      <c r="AN209" s="274">
        <f ca="1">IF(AND(Tabla7[[#This Row],[UltLec]]&lt;&gt;0,Tabla7[[#This Row],[PenLect]]&lt;&gt;0),(AM209-AL209)*Tabla7[[#This Row],[RT]],"N/A")</f>
        <v>9514</v>
      </c>
      <c r="AO209" s="273" t="s">
        <v>862</v>
      </c>
      <c r="AP209" s="392" t="s">
        <v>1191</v>
      </c>
      <c r="AQ209" s="392" t="s">
        <v>818</v>
      </c>
      <c r="AR209" s="407">
        <f t="shared" si="70"/>
        <v>0</v>
      </c>
      <c r="AT209" s="2">
        <f t="shared" ca="1" si="71"/>
        <v>0.97830334190231361</v>
      </c>
      <c r="AV209">
        <f>IF(ISBLANK(Tabla7[[#This Row],[31/12/2017]]),0,Tabla7[[#This Row],[31/12/2017]])</f>
        <v>1611039</v>
      </c>
      <c r="AW209">
        <f>IF(ISBLANK(Tabla7[[#This Row],[15/01/2018]]),0,Tabla7[[#This Row],[15/01/2018]])</f>
        <v>1616295</v>
      </c>
      <c r="AX209">
        <f>IF(ISBLANK(Tabla7[[#This Row],[15/02/2018]]),0,Tabla7[[#This Row],[15/02/2018]])</f>
        <v>1626549</v>
      </c>
      <c r="AY209">
        <f>IF(ISBLANK(Tabla7[[#This Row],[15/03/2018]]),0,Tabla7[[#This Row],[15/03/2018]])</f>
        <v>1635683</v>
      </c>
      <c r="AZ209">
        <f>IF(ISBLANK(Tabla7[[#This Row],[15/04/2018]]),0,Tabla7[[#This Row],[15/04/2018]])</f>
        <v>1645408</v>
      </c>
      <c r="BA209">
        <f>IF(ISBLANK(Tabla7[[#This Row],[15/05/2018]]),0,Tabla7[[#This Row],[15/05/2018]])</f>
        <v>1654922</v>
      </c>
      <c r="BB209">
        <f>IF(ISBLANK(Tabla7[[#This Row],[15/06/2018]]),0,Tabla7[[#This Row],[15/06/2018]])</f>
        <v>1661699</v>
      </c>
      <c r="BC209">
        <f>IF(ISBLANK(Tabla7[[#This Row],[15/07/2018]]),0,Tabla7[[#This Row],[15/07/2018]])</f>
        <v>1670009</v>
      </c>
      <c r="BD209">
        <f>IF(ISBLANK(Tabla7[[#This Row],[15/08/2018]]),0,Tabla7[[#This Row],[15/08/2018]])</f>
        <v>1679155</v>
      </c>
      <c r="BE209">
        <f>IF(ISBLANK(Tabla7[[#This Row],[15/09/2018]]),0,Tabla7[[#This Row],[15/09/2018]])</f>
        <v>1687864</v>
      </c>
      <c r="BF209">
        <f>IF(ISBLANK(Tabla7[[#This Row],[15/10/2018]]),0,Tabla7[[#This Row],[15/10/2018]])</f>
        <v>1695334</v>
      </c>
      <c r="BG209">
        <f>IF(ISBLANK(Tabla7[[#This Row],[15/11/2018]]),0,Tabla7[[#This Row],[15/11/2018]])</f>
        <v>1703162</v>
      </c>
      <c r="BH209">
        <f>IF(ISBLANK(Tabla7[[#This Row],[15/12/2018]]),0,Tabla7[[#This Row],[15/12/2018]])</f>
        <v>1711093</v>
      </c>
      <c r="BI209">
        <f>IF(ISBLANK(Tabla7[[#This Row],[28/12/2018]]),0,Tabla7[[#This Row],[28/12/2018]])</f>
        <v>0</v>
      </c>
      <c r="BN20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('PM4581962F','V','VCDD','110','Q6 - OFICINAS FASE II (RED)','CUADRO OKKEN','EDIF.II','');</v>
      </c>
      <c r="BO209" t="s">
        <v>243</v>
      </c>
      <c r="BP209" s="632" t="str">
        <f>CONCATENATE("insert into lecturas values ","('",Tabla7[[#This Row],[CONTADOR]],"',STR_TO_DATE('",Tabla7[[#Headers],[31/12/2017]],"','%d/%m/%Y'),",AV209,"),","('",Tabla7[[#This Row],[CONTADOR]],"',STR_TO_DATE('",Tabla7[[#Headers],[15/01/2018]],"','%d/%m/%Y'),",AW209,"),","('",Tabla7[[#This Row],[CONTADOR]],"',STR_TO_DATE('",Tabla7[[#Headers],[15/02/2018]],"','%d/%m/%Y'),",AX209,"),","('",Tabla7[[#This Row],[CONTADOR]],"',STR_TO_DATE('",Tabla7[[#Headers],[15/03/2018]],"','%d/%m/%Y'),",AY209,"),","('",Tabla7[[#This Row],[CONTADOR]],"',STR_TO_DATE('",Tabla7[[#Headers],[15/04/2018]],"','%d/%m/%Y'),",AZ209,"),","('",Tabla7[[#This Row],[CONTADOR]],"',STR_TO_DATE('",Tabla7[[#Headers],[15/05/2018]],"','%d/%m/%Y'),",BA209,"),","('",Tabla7[[#This Row],[CONTADOR]],"',STR_TO_DATE('",Tabla7[[#Headers],[15/06/2018]],"','%d/%m/%Y'),",BB209,"),","('",Tabla7[[#This Row],[CONTADOR]],"',STR_TO_DATE('",Tabla7[[#Headers],[15/07/2018]],"','%d/%m/%Y'),",BC209,"),","('",Tabla7[[#This Row],[CONTADOR]],"',STR_TO_DATE('",Tabla7[[#Headers],[15/08/2018]],"','%d/%m/%Y'),",BD209,"),","('",Tabla7[[#This Row],[CONTADOR]],"',STR_TO_DATE('",Tabla7[[#Headers],[15/09/2018]],"','%d/%m/%Y'),",BE209,"),","('",Tabla7[[#This Row],[CONTADOR]],"',STR_TO_DATE('",Tabla7[[#Headers],[15/10/2018]],"','%d/%m/%Y'),",BF209,"),","('",Tabla7[[#This Row],[CONTADOR]],"',STR_TO_DATE('",Tabla7[[#Headers],[15/11/2018]],"','%d/%m/%Y'),",BG209,"),","('",Tabla7[[#This Row],[CONTADOR]],"',STR_TO_DATE('",Tabla7[[#Headers],[15/12/2018]],"','%d/%m/%Y'),",BH209,");")</f>
        <v>insert into lecturas values ('PM4581962F',STR_TO_DATE('31/12/2017','%d/%m/%Y'),1611039),('PM4581962F',STR_TO_DATE('15/01/2018','%d/%m/%Y'),1616295),('PM4581962F',STR_TO_DATE('15/02/2018','%d/%m/%Y'),1626549),('PM4581962F',STR_TO_DATE('15/03/2018','%d/%m/%Y'),1635683),('PM4581962F',STR_TO_DATE('15/04/2018','%d/%m/%Y'),1645408),('PM4581962F',STR_TO_DATE('15/05/2018','%d/%m/%Y'),1654922),('PM4581962F',STR_TO_DATE('15/06/2018','%d/%m/%Y'),1661699),('PM4581962F',STR_TO_DATE('15/07/2018','%d/%m/%Y'),1670009),('PM4581962F',STR_TO_DATE('15/08/2018','%d/%m/%Y'),1679155),('PM4581962F',STR_TO_DATE('15/09/2018','%d/%m/%Y'),1687864),('PM4581962F',STR_TO_DATE('15/10/2018','%d/%m/%Y'),1695334),('PM4581962F',STR_TO_DATE('15/11/2018','%d/%m/%Y'),1703162),('PM4581962F',STR_TO_DATE('15/12/2018','%d/%m/%Y'),1711093);</v>
      </c>
    </row>
    <row r="210" spans="1:68" ht="18.75" customHeight="1" x14ac:dyDescent="0.25">
      <c r="A210" s="241" t="s">
        <v>19</v>
      </c>
      <c r="B210" s="60"/>
      <c r="C210" s="342" t="s">
        <v>1224</v>
      </c>
      <c r="D210" s="60" t="s">
        <v>323</v>
      </c>
      <c r="E210" s="582">
        <v>39648</v>
      </c>
      <c r="F210" s="313" t="s">
        <v>1336</v>
      </c>
      <c r="G210" s="274" t="s">
        <v>327</v>
      </c>
      <c r="H210" s="274" t="s">
        <v>328</v>
      </c>
      <c r="I210" s="274"/>
      <c r="J210" s="311">
        <v>2660317</v>
      </c>
      <c r="K210" s="311">
        <v>2675866</v>
      </c>
      <c r="L210" s="274">
        <v>2708648</v>
      </c>
      <c r="M210" s="311">
        <v>2737739</v>
      </c>
      <c r="N210" s="311">
        <v>2766560</v>
      </c>
      <c r="O210" s="311">
        <v>2792203</v>
      </c>
      <c r="P210" s="283">
        <v>2809657</v>
      </c>
      <c r="Q210" s="274">
        <v>2827584</v>
      </c>
      <c r="R210" s="353">
        <v>2848244</v>
      </c>
      <c r="S210" s="353">
        <v>2866304</v>
      </c>
      <c r="T210" s="353">
        <v>2882484</v>
      </c>
      <c r="U210" s="353">
        <v>2902995</v>
      </c>
      <c r="V210" s="353">
        <v>2927250</v>
      </c>
      <c r="W210" s="307"/>
      <c r="X210" s="307"/>
      <c r="Y210" s="274">
        <f t="shared" si="67"/>
        <v>15549</v>
      </c>
      <c r="Z210" s="274">
        <f t="shared" si="66"/>
        <v>32782</v>
      </c>
      <c r="AA210" s="274">
        <f t="shared" si="81"/>
        <v>29091</v>
      </c>
      <c r="AB210" s="274">
        <f t="shared" si="80"/>
        <v>28821</v>
      </c>
      <c r="AC210" s="274">
        <f t="shared" si="72"/>
        <v>25643</v>
      </c>
      <c r="AD210" s="274">
        <f t="shared" si="73"/>
        <v>17454</v>
      </c>
      <c r="AE210" s="274">
        <f t="shared" si="74"/>
        <v>17927</v>
      </c>
      <c r="AF210" s="274">
        <f t="shared" si="75"/>
        <v>20660</v>
      </c>
      <c r="AG210" s="274">
        <f t="shared" si="76"/>
        <v>18060</v>
      </c>
      <c r="AH210" s="274">
        <f t="shared" si="79"/>
        <v>16180</v>
      </c>
      <c r="AI210" s="274">
        <f t="shared" si="77"/>
        <v>20511</v>
      </c>
      <c r="AJ210" s="274">
        <f t="shared" si="78"/>
        <v>24255</v>
      </c>
      <c r="AK210" s="406">
        <v>1</v>
      </c>
      <c r="AL210" s="274">
        <f t="shared" ca="1" si="68"/>
        <v>2766560</v>
      </c>
      <c r="AM210" s="311">
        <f t="shared" ca="1" si="69"/>
        <v>2792203</v>
      </c>
      <c r="AN210" s="274">
        <f ca="1">IF(AND(Tabla7[[#This Row],[UltLec]]&lt;&gt;0,Tabla7[[#This Row],[PenLect]]&lt;&gt;0),(AM210-AL210)*Tabla7[[#This Row],[RT]],"N/A")</f>
        <v>25643</v>
      </c>
      <c r="AO210" s="273" t="s">
        <v>862</v>
      </c>
      <c r="AP210" s="392" t="s">
        <v>1191</v>
      </c>
      <c r="AQ210" s="392" t="s">
        <v>818</v>
      </c>
      <c r="AR210" s="407">
        <f t="shared" si="70"/>
        <v>0</v>
      </c>
      <c r="AT210" s="2">
        <f t="shared" ca="1" si="71"/>
        <v>0.8897331806668749</v>
      </c>
      <c r="AV210">
        <f>IF(ISBLANK(Tabla7[[#This Row],[31/12/2017]]),0,Tabla7[[#This Row],[31/12/2017]])</f>
        <v>2660317</v>
      </c>
      <c r="AW210">
        <f>IF(ISBLANK(Tabla7[[#This Row],[15/01/2018]]),0,Tabla7[[#This Row],[15/01/2018]])</f>
        <v>2675866</v>
      </c>
      <c r="AX210">
        <f>IF(ISBLANK(Tabla7[[#This Row],[15/02/2018]]),0,Tabla7[[#This Row],[15/02/2018]])</f>
        <v>2708648</v>
      </c>
      <c r="AY210">
        <f>IF(ISBLANK(Tabla7[[#This Row],[15/03/2018]]),0,Tabla7[[#This Row],[15/03/2018]])</f>
        <v>2737739</v>
      </c>
      <c r="AZ210">
        <f>IF(ISBLANK(Tabla7[[#This Row],[15/04/2018]]),0,Tabla7[[#This Row],[15/04/2018]])</f>
        <v>2766560</v>
      </c>
      <c r="BA210">
        <f>IF(ISBLANK(Tabla7[[#This Row],[15/05/2018]]),0,Tabla7[[#This Row],[15/05/2018]])</f>
        <v>2792203</v>
      </c>
      <c r="BB210">
        <f>IF(ISBLANK(Tabla7[[#This Row],[15/06/2018]]),0,Tabla7[[#This Row],[15/06/2018]])</f>
        <v>2809657</v>
      </c>
      <c r="BC210">
        <f>IF(ISBLANK(Tabla7[[#This Row],[15/07/2018]]),0,Tabla7[[#This Row],[15/07/2018]])</f>
        <v>2827584</v>
      </c>
      <c r="BD210">
        <f>IF(ISBLANK(Tabla7[[#This Row],[15/08/2018]]),0,Tabla7[[#This Row],[15/08/2018]])</f>
        <v>2848244</v>
      </c>
      <c r="BE210">
        <f>IF(ISBLANK(Tabla7[[#This Row],[15/09/2018]]),0,Tabla7[[#This Row],[15/09/2018]])</f>
        <v>2866304</v>
      </c>
      <c r="BF210">
        <f>IF(ISBLANK(Tabla7[[#This Row],[15/10/2018]]),0,Tabla7[[#This Row],[15/10/2018]])</f>
        <v>2882484</v>
      </c>
      <c r="BG210">
        <f>IF(ISBLANK(Tabla7[[#This Row],[15/11/2018]]),0,Tabla7[[#This Row],[15/11/2018]])</f>
        <v>2902995</v>
      </c>
      <c r="BH210">
        <f>IF(ISBLANK(Tabla7[[#This Row],[15/12/2018]]),0,Tabla7[[#This Row],[15/12/2018]])</f>
        <v>2927250</v>
      </c>
      <c r="BI210">
        <f>IF(ISBLANK(Tabla7[[#This Row],[28/12/2018]]),0,Tabla7[[#This Row],[28/12/2018]])</f>
        <v>0</v>
      </c>
      <c r="BN21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('PM45819783','V','VCDD','39648','V.P.I  Q7 - OFICINAS FASE I (RED)','CUADRO OKKEN','EDIF.I','');</v>
      </c>
      <c r="BO210" t="s">
        <v>243</v>
      </c>
      <c r="BP210" s="632" t="str">
        <f>CONCATENATE("insert into lecturas values ","('",Tabla7[[#This Row],[CONTADOR]],"',STR_TO_DATE('",Tabla7[[#Headers],[31/12/2017]],"','%d/%m/%Y'),",AV210,"),","('",Tabla7[[#This Row],[CONTADOR]],"',STR_TO_DATE('",Tabla7[[#Headers],[15/01/2018]],"','%d/%m/%Y'),",AW210,"),","('",Tabla7[[#This Row],[CONTADOR]],"',STR_TO_DATE('",Tabla7[[#Headers],[15/02/2018]],"','%d/%m/%Y'),",AX210,"),","('",Tabla7[[#This Row],[CONTADOR]],"',STR_TO_DATE('",Tabla7[[#Headers],[15/03/2018]],"','%d/%m/%Y'),",AY210,"),","('",Tabla7[[#This Row],[CONTADOR]],"',STR_TO_DATE('",Tabla7[[#Headers],[15/04/2018]],"','%d/%m/%Y'),",AZ210,"),","('",Tabla7[[#This Row],[CONTADOR]],"',STR_TO_DATE('",Tabla7[[#Headers],[15/05/2018]],"','%d/%m/%Y'),",BA210,"),","('",Tabla7[[#This Row],[CONTADOR]],"',STR_TO_DATE('",Tabla7[[#Headers],[15/06/2018]],"','%d/%m/%Y'),",BB210,"),","('",Tabla7[[#This Row],[CONTADOR]],"',STR_TO_DATE('",Tabla7[[#Headers],[15/07/2018]],"','%d/%m/%Y'),",BC210,"),","('",Tabla7[[#This Row],[CONTADOR]],"',STR_TO_DATE('",Tabla7[[#Headers],[15/08/2018]],"','%d/%m/%Y'),",BD210,"),","('",Tabla7[[#This Row],[CONTADOR]],"',STR_TO_DATE('",Tabla7[[#Headers],[15/09/2018]],"','%d/%m/%Y'),",BE210,"),","('",Tabla7[[#This Row],[CONTADOR]],"',STR_TO_DATE('",Tabla7[[#Headers],[15/10/2018]],"','%d/%m/%Y'),",BF210,"),","('",Tabla7[[#This Row],[CONTADOR]],"',STR_TO_DATE('",Tabla7[[#Headers],[15/11/2018]],"','%d/%m/%Y'),",BG210,"),","('",Tabla7[[#This Row],[CONTADOR]],"',STR_TO_DATE('",Tabla7[[#Headers],[15/12/2018]],"','%d/%m/%Y'),",BH210,");")</f>
        <v>insert into lecturas values ('PM45819783',STR_TO_DATE('31/12/2017','%d/%m/%Y'),2660317),('PM45819783',STR_TO_DATE('15/01/2018','%d/%m/%Y'),2675866),('PM45819783',STR_TO_DATE('15/02/2018','%d/%m/%Y'),2708648),('PM45819783',STR_TO_DATE('15/03/2018','%d/%m/%Y'),2737739),('PM45819783',STR_TO_DATE('15/04/2018','%d/%m/%Y'),2766560),('PM45819783',STR_TO_DATE('15/05/2018','%d/%m/%Y'),2792203),('PM45819783',STR_TO_DATE('15/06/2018','%d/%m/%Y'),2809657),('PM45819783',STR_TO_DATE('15/07/2018','%d/%m/%Y'),2827584),('PM45819783',STR_TO_DATE('15/08/2018','%d/%m/%Y'),2848244),('PM45819783',STR_TO_DATE('15/09/2018','%d/%m/%Y'),2866304),('PM45819783',STR_TO_DATE('15/10/2018','%d/%m/%Y'),2882484),('PM45819783',STR_TO_DATE('15/11/2018','%d/%m/%Y'),2902995),('PM45819783',STR_TO_DATE('15/12/2018','%d/%m/%Y'),2927250);</v>
      </c>
    </row>
    <row r="211" spans="1:68" ht="18.75" customHeight="1" x14ac:dyDescent="0.25">
      <c r="A211" s="241" t="s">
        <v>19</v>
      </c>
      <c r="B211" s="60"/>
      <c r="C211" s="342" t="s">
        <v>1221</v>
      </c>
      <c r="D211" s="60" t="s">
        <v>323</v>
      </c>
      <c r="E211" s="582">
        <v>39241</v>
      </c>
      <c r="F211" s="488" t="s">
        <v>1337</v>
      </c>
      <c r="G211" s="2" t="s">
        <v>327</v>
      </c>
      <c r="H211" s="2" t="s">
        <v>330</v>
      </c>
      <c r="I211" s="274"/>
      <c r="J211" s="311">
        <v>5435853</v>
      </c>
      <c r="K211" s="311">
        <v>5456763</v>
      </c>
      <c r="L211" s="274">
        <v>5500842</v>
      </c>
      <c r="M211" s="311">
        <v>5541726</v>
      </c>
      <c r="N211" s="311">
        <v>5585381</v>
      </c>
      <c r="O211" s="311">
        <v>5633172</v>
      </c>
      <c r="P211" s="1">
        <v>5673174</v>
      </c>
      <c r="Q211" s="2">
        <v>5710796</v>
      </c>
      <c r="R211" s="531">
        <v>5749734</v>
      </c>
      <c r="S211" s="531">
        <v>5789575</v>
      </c>
      <c r="T211" s="531">
        <v>5830816</v>
      </c>
      <c r="U211" s="531">
        <v>5874671</v>
      </c>
      <c r="V211" s="353">
        <v>5918241</v>
      </c>
      <c r="W211" s="275"/>
      <c r="X211" s="275"/>
      <c r="Y211" s="2">
        <f t="shared" si="67"/>
        <v>20910</v>
      </c>
      <c r="Z211" s="2">
        <f t="shared" si="66"/>
        <v>44079</v>
      </c>
      <c r="AA211" s="2">
        <f t="shared" si="81"/>
        <v>40884</v>
      </c>
      <c r="AB211" s="2">
        <f t="shared" si="80"/>
        <v>43655</v>
      </c>
      <c r="AC211" s="2">
        <f t="shared" si="72"/>
        <v>47791</v>
      </c>
      <c r="AD211" s="2">
        <f t="shared" si="73"/>
        <v>40002</v>
      </c>
      <c r="AE211" s="2">
        <f t="shared" si="74"/>
        <v>37622</v>
      </c>
      <c r="AF211" s="2">
        <f t="shared" si="75"/>
        <v>38938</v>
      </c>
      <c r="AG211" s="2">
        <f t="shared" si="76"/>
        <v>39841</v>
      </c>
      <c r="AH211" s="2">
        <f t="shared" si="79"/>
        <v>41241</v>
      </c>
      <c r="AI211" s="2">
        <f t="shared" si="77"/>
        <v>43855</v>
      </c>
      <c r="AJ211" s="2">
        <f t="shared" si="78"/>
        <v>43570</v>
      </c>
      <c r="AK211" s="406">
        <v>1</v>
      </c>
      <c r="AL211" s="274">
        <f t="shared" ca="1" si="68"/>
        <v>5585381</v>
      </c>
      <c r="AM211" s="311">
        <f t="shared" ca="1" si="69"/>
        <v>5633172</v>
      </c>
      <c r="AN211" s="274">
        <f ca="1">IF(AND(Tabla7[[#This Row],[UltLec]]&lt;&gt;0,Tabla7[[#This Row],[PenLect]]&lt;&gt;0),(AM211-AL211)*Tabla7[[#This Row],[RT]],"N/A")</f>
        <v>47791</v>
      </c>
      <c r="AO211" s="273" t="s">
        <v>862</v>
      </c>
      <c r="AP211" s="392" t="s">
        <v>1191</v>
      </c>
      <c r="AQ211" s="392" t="s">
        <v>818</v>
      </c>
      <c r="AR211" s="407">
        <f t="shared" si="70"/>
        <v>0</v>
      </c>
      <c r="AT211" s="2">
        <f t="shared" ca="1" si="71"/>
        <v>1.0947428702325048</v>
      </c>
      <c r="AV211">
        <f>IF(ISBLANK(Tabla7[[#This Row],[31/12/2017]]),0,Tabla7[[#This Row],[31/12/2017]])</f>
        <v>5435853</v>
      </c>
      <c r="AW211">
        <f>IF(ISBLANK(Tabla7[[#This Row],[15/01/2018]]),0,Tabla7[[#This Row],[15/01/2018]])</f>
        <v>5456763</v>
      </c>
      <c r="AX211">
        <f>IF(ISBLANK(Tabla7[[#This Row],[15/02/2018]]),0,Tabla7[[#This Row],[15/02/2018]])</f>
        <v>5500842</v>
      </c>
      <c r="AY211">
        <f>IF(ISBLANK(Tabla7[[#This Row],[15/03/2018]]),0,Tabla7[[#This Row],[15/03/2018]])</f>
        <v>5541726</v>
      </c>
      <c r="AZ211">
        <f>IF(ISBLANK(Tabla7[[#This Row],[15/04/2018]]),0,Tabla7[[#This Row],[15/04/2018]])</f>
        <v>5585381</v>
      </c>
      <c r="BA211">
        <f>IF(ISBLANK(Tabla7[[#This Row],[15/05/2018]]),0,Tabla7[[#This Row],[15/05/2018]])</f>
        <v>5633172</v>
      </c>
      <c r="BB211">
        <f>IF(ISBLANK(Tabla7[[#This Row],[15/06/2018]]),0,Tabla7[[#This Row],[15/06/2018]])</f>
        <v>5673174</v>
      </c>
      <c r="BC211">
        <f>IF(ISBLANK(Tabla7[[#This Row],[15/07/2018]]),0,Tabla7[[#This Row],[15/07/2018]])</f>
        <v>5710796</v>
      </c>
      <c r="BD211">
        <f>IF(ISBLANK(Tabla7[[#This Row],[15/08/2018]]),0,Tabla7[[#This Row],[15/08/2018]])</f>
        <v>5749734</v>
      </c>
      <c r="BE211">
        <f>IF(ISBLANK(Tabla7[[#This Row],[15/09/2018]]),0,Tabla7[[#This Row],[15/09/2018]])</f>
        <v>5789575</v>
      </c>
      <c r="BF211">
        <f>IF(ISBLANK(Tabla7[[#This Row],[15/10/2018]]),0,Tabla7[[#This Row],[15/10/2018]])</f>
        <v>5830816</v>
      </c>
      <c r="BG211">
        <f>IF(ISBLANK(Tabla7[[#This Row],[15/11/2018]]),0,Tabla7[[#This Row],[15/11/2018]])</f>
        <v>5874671</v>
      </c>
      <c r="BH211">
        <f>IF(ISBLANK(Tabla7[[#This Row],[15/12/2018]]),0,Tabla7[[#This Row],[15/12/2018]])</f>
        <v>5918241</v>
      </c>
      <c r="BI211">
        <f>IF(ISBLANK(Tabla7[[#This Row],[28/12/2018]]),0,Tabla7[[#This Row],[28/12/2018]])</f>
        <v>0</v>
      </c>
      <c r="BN21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('PM4581A6F8','V','VCDD','39241','FUNDACION Q5 - OFICINAS FASE III (RED)','CUADRO OKKEN','EDIF.III','');</v>
      </c>
      <c r="BO211" t="s">
        <v>243</v>
      </c>
      <c r="BP211" s="632" t="str">
        <f>CONCATENATE("insert into lecturas values ","('",Tabla7[[#This Row],[CONTADOR]],"',STR_TO_DATE('",Tabla7[[#Headers],[31/12/2017]],"','%d/%m/%Y'),",AV211,"),","('",Tabla7[[#This Row],[CONTADOR]],"',STR_TO_DATE('",Tabla7[[#Headers],[15/01/2018]],"','%d/%m/%Y'),",AW211,"),","('",Tabla7[[#This Row],[CONTADOR]],"',STR_TO_DATE('",Tabla7[[#Headers],[15/02/2018]],"','%d/%m/%Y'),",AX211,"),","('",Tabla7[[#This Row],[CONTADOR]],"',STR_TO_DATE('",Tabla7[[#Headers],[15/03/2018]],"','%d/%m/%Y'),",AY211,"),","('",Tabla7[[#This Row],[CONTADOR]],"',STR_TO_DATE('",Tabla7[[#Headers],[15/04/2018]],"','%d/%m/%Y'),",AZ211,"),","('",Tabla7[[#This Row],[CONTADOR]],"',STR_TO_DATE('",Tabla7[[#Headers],[15/05/2018]],"','%d/%m/%Y'),",BA211,"),","('",Tabla7[[#This Row],[CONTADOR]],"',STR_TO_DATE('",Tabla7[[#Headers],[15/06/2018]],"','%d/%m/%Y'),",BB211,"),","('",Tabla7[[#This Row],[CONTADOR]],"',STR_TO_DATE('",Tabla7[[#Headers],[15/07/2018]],"','%d/%m/%Y'),",BC211,"),","('",Tabla7[[#This Row],[CONTADOR]],"',STR_TO_DATE('",Tabla7[[#Headers],[15/08/2018]],"','%d/%m/%Y'),",BD211,"),","('",Tabla7[[#This Row],[CONTADOR]],"',STR_TO_DATE('",Tabla7[[#Headers],[15/09/2018]],"','%d/%m/%Y'),",BE211,"),","('",Tabla7[[#This Row],[CONTADOR]],"',STR_TO_DATE('",Tabla7[[#Headers],[15/10/2018]],"','%d/%m/%Y'),",BF211,"),","('",Tabla7[[#This Row],[CONTADOR]],"',STR_TO_DATE('",Tabla7[[#Headers],[15/11/2018]],"','%d/%m/%Y'),",BG211,"),","('",Tabla7[[#This Row],[CONTADOR]],"',STR_TO_DATE('",Tabla7[[#Headers],[15/12/2018]],"','%d/%m/%Y'),",BH211,");")</f>
        <v>insert into lecturas values ('PM4581A6F8',STR_TO_DATE('31/12/2017','%d/%m/%Y'),5435853),('PM4581A6F8',STR_TO_DATE('15/01/2018','%d/%m/%Y'),5456763),('PM4581A6F8',STR_TO_DATE('15/02/2018','%d/%m/%Y'),5500842),('PM4581A6F8',STR_TO_DATE('15/03/2018','%d/%m/%Y'),5541726),('PM4581A6F8',STR_TO_DATE('15/04/2018','%d/%m/%Y'),5585381),('PM4581A6F8',STR_TO_DATE('15/05/2018','%d/%m/%Y'),5633172),('PM4581A6F8',STR_TO_DATE('15/06/2018','%d/%m/%Y'),5673174),('PM4581A6F8',STR_TO_DATE('15/07/2018','%d/%m/%Y'),5710796),('PM4581A6F8',STR_TO_DATE('15/08/2018','%d/%m/%Y'),5749734),('PM4581A6F8',STR_TO_DATE('15/09/2018','%d/%m/%Y'),5789575),('PM4581A6F8',STR_TO_DATE('15/10/2018','%d/%m/%Y'),5830816),('PM4581A6F8',STR_TO_DATE('15/11/2018','%d/%m/%Y'),5874671),('PM4581A6F8',STR_TO_DATE('15/12/2018','%d/%m/%Y'),5918241);</v>
      </c>
    </row>
    <row r="212" spans="1:68" ht="18.75" customHeight="1" x14ac:dyDescent="0.25">
      <c r="A212" s="241" t="s">
        <v>19</v>
      </c>
      <c r="B212" s="60"/>
      <c r="C212" s="342" t="s">
        <v>1220</v>
      </c>
      <c r="D212" s="60" t="s">
        <v>323</v>
      </c>
      <c r="E212" s="468">
        <v>110</v>
      </c>
      <c r="F212" s="274" t="s">
        <v>1212</v>
      </c>
      <c r="G212" s="274" t="s">
        <v>327</v>
      </c>
      <c r="H212" s="274" t="s">
        <v>332</v>
      </c>
      <c r="I212" s="274"/>
      <c r="J212" s="311">
        <v>520520</v>
      </c>
      <c r="K212" s="311">
        <v>522550</v>
      </c>
      <c r="L212" s="274">
        <v>526410</v>
      </c>
      <c r="M212" s="311">
        <v>530051</v>
      </c>
      <c r="N212" s="311">
        <v>534150</v>
      </c>
      <c r="O212" s="311">
        <v>538267</v>
      </c>
      <c r="P212" s="283">
        <v>541700</v>
      </c>
      <c r="Q212" s="274">
        <v>545237</v>
      </c>
      <c r="R212" s="353">
        <v>548532</v>
      </c>
      <c r="S212" s="353">
        <v>551959</v>
      </c>
      <c r="T212" s="353">
        <v>555432</v>
      </c>
      <c r="U212" s="353">
        <v>559039</v>
      </c>
      <c r="V212" s="353">
        <v>562781</v>
      </c>
      <c r="W212" s="307"/>
      <c r="X212" s="307"/>
      <c r="Y212" s="274">
        <f t="shared" si="67"/>
        <v>2030</v>
      </c>
      <c r="Z212" s="274">
        <f t="shared" si="66"/>
        <v>3860</v>
      </c>
      <c r="AA212" s="274">
        <f t="shared" si="81"/>
        <v>3641</v>
      </c>
      <c r="AB212" s="274">
        <f t="shared" si="80"/>
        <v>4099</v>
      </c>
      <c r="AC212" s="274">
        <f t="shared" si="72"/>
        <v>4117</v>
      </c>
      <c r="AD212" s="274">
        <f t="shared" si="73"/>
        <v>3433</v>
      </c>
      <c r="AE212" s="274">
        <f t="shared" si="74"/>
        <v>3537</v>
      </c>
      <c r="AF212" s="274">
        <f t="shared" si="75"/>
        <v>3295</v>
      </c>
      <c r="AG212" s="274">
        <f t="shared" si="76"/>
        <v>3427</v>
      </c>
      <c r="AH212" s="274">
        <f t="shared" si="79"/>
        <v>3473</v>
      </c>
      <c r="AI212" s="274">
        <f t="shared" si="77"/>
        <v>3607</v>
      </c>
      <c r="AJ212" s="274">
        <f t="shared" si="78"/>
        <v>3742</v>
      </c>
      <c r="AK212" s="406">
        <v>1</v>
      </c>
      <c r="AL212" s="274">
        <f t="shared" ca="1" si="68"/>
        <v>534150</v>
      </c>
      <c r="AM212" s="311">
        <f t="shared" ca="1" si="69"/>
        <v>538267</v>
      </c>
      <c r="AN212" s="274">
        <f ca="1">IF(AND(Tabla7[[#This Row],[UltLec]]&lt;&gt;0,Tabla7[[#This Row],[PenLect]]&lt;&gt;0),(AM212-AL212)*Tabla7[[#This Row],[RT]],"N/A")</f>
        <v>4117</v>
      </c>
      <c r="AO212" s="273" t="s">
        <v>862</v>
      </c>
      <c r="AP212" s="392" t="s">
        <v>1191</v>
      </c>
      <c r="AQ212" s="392" t="s">
        <v>818</v>
      </c>
      <c r="AR212" s="407">
        <f t="shared" si="70"/>
        <v>0</v>
      </c>
      <c r="AT212" s="2">
        <f t="shared" ca="1" si="71"/>
        <v>1.0043913149548671</v>
      </c>
      <c r="AV212">
        <f>IF(ISBLANK(Tabla7[[#This Row],[31/12/2017]]),0,Tabla7[[#This Row],[31/12/2017]])</f>
        <v>520520</v>
      </c>
      <c r="AW212">
        <f>IF(ISBLANK(Tabla7[[#This Row],[15/01/2018]]),0,Tabla7[[#This Row],[15/01/2018]])</f>
        <v>522550</v>
      </c>
      <c r="AX212">
        <f>IF(ISBLANK(Tabla7[[#This Row],[15/02/2018]]),0,Tabla7[[#This Row],[15/02/2018]])</f>
        <v>526410</v>
      </c>
      <c r="AY212">
        <f>IF(ISBLANK(Tabla7[[#This Row],[15/03/2018]]),0,Tabla7[[#This Row],[15/03/2018]])</f>
        <v>530051</v>
      </c>
      <c r="AZ212">
        <f>IF(ISBLANK(Tabla7[[#This Row],[15/04/2018]]),0,Tabla7[[#This Row],[15/04/2018]])</f>
        <v>534150</v>
      </c>
      <c r="BA212">
        <f>IF(ISBLANK(Tabla7[[#This Row],[15/05/2018]]),0,Tabla7[[#This Row],[15/05/2018]])</f>
        <v>538267</v>
      </c>
      <c r="BB212">
        <f>IF(ISBLANK(Tabla7[[#This Row],[15/06/2018]]),0,Tabla7[[#This Row],[15/06/2018]])</f>
        <v>541700</v>
      </c>
      <c r="BC212">
        <f>IF(ISBLANK(Tabla7[[#This Row],[15/07/2018]]),0,Tabla7[[#This Row],[15/07/2018]])</f>
        <v>545237</v>
      </c>
      <c r="BD212">
        <f>IF(ISBLANK(Tabla7[[#This Row],[15/08/2018]]),0,Tabla7[[#This Row],[15/08/2018]])</f>
        <v>548532</v>
      </c>
      <c r="BE212">
        <f>IF(ISBLANK(Tabla7[[#This Row],[15/09/2018]]),0,Tabla7[[#This Row],[15/09/2018]])</f>
        <v>551959</v>
      </c>
      <c r="BF212">
        <f>IF(ISBLANK(Tabla7[[#This Row],[15/10/2018]]),0,Tabla7[[#This Row],[15/10/2018]])</f>
        <v>555432</v>
      </c>
      <c r="BG212">
        <f>IF(ISBLANK(Tabla7[[#This Row],[15/11/2018]]),0,Tabla7[[#This Row],[15/11/2018]])</f>
        <v>559039</v>
      </c>
      <c r="BH212">
        <f>IF(ISBLANK(Tabla7[[#This Row],[15/12/2018]]),0,Tabla7[[#This Row],[15/12/2018]])</f>
        <v>562781</v>
      </c>
      <c r="BI212">
        <f>IF(ISBLANK(Tabla7[[#This Row],[28/12/2018]]),0,Tabla7[[#This Row],[28/12/2018]])</f>
        <v>0</v>
      </c>
      <c r="BN21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('PM4581A96D','V','VCDD','110','Q15 - OFICINAS AUXILIARES (SAI)','CUADRO OKKEN','CDD','');</v>
      </c>
      <c r="BO212" t="s">
        <v>243</v>
      </c>
      <c r="BP212" s="632" t="str">
        <f>CONCATENATE("insert into lecturas values ","('",Tabla7[[#This Row],[CONTADOR]],"',STR_TO_DATE('",Tabla7[[#Headers],[31/12/2017]],"','%d/%m/%Y'),",AV212,"),","('",Tabla7[[#This Row],[CONTADOR]],"',STR_TO_DATE('",Tabla7[[#Headers],[15/01/2018]],"','%d/%m/%Y'),",AW212,"),","('",Tabla7[[#This Row],[CONTADOR]],"',STR_TO_DATE('",Tabla7[[#Headers],[15/02/2018]],"','%d/%m/%Y'),",AX212,"),","('",Tabla7[[#This Row],[CONTADOR]],"',STR_TO_DATE('",Tabla7[[#Headers],[15/03/2018]],"','%d/%m/%Y'),",AY212,"),","('",Tabla7[[#This Row],[CONTADOR]],"',STR_TO_DATE('",Tabla7[[#Headers],[15/04/2018]],"','%d/%m/%Y'),",AZ212,"),","('",Tabla7[[#This Row],[CONTADOR]],"',STR_TO_DATE('",Tabla7[[#Headers],[15/05/2018]],"','%d/%m/%Y'),",BA212,"),","('",Tabla7[[#This Row],[CONTADOR]],"',STR_TO_DATE('",Tabla7[[#Headers],[15/06/2018]],"','%d/%m/%Y'),",BB212,"),","('",Tabla7[[#This Row],[CONTADOR]],"',STR_TO_DATE('",Tabla7[[#Headers],[15/07/2018]],"','%d/%m/%Y'),",BC212,"),","('",Tabla7[[#This Row],[CONTADOR]],"',STR_TO_DATE('",Tabla7[[#Headers],[15/08/2018]],"','%d/%m/%Y'),",BD212,"),","('",Tabla7[[#This Row],[CONTADOR]],"',STR_TO_DATE('",Tabla7[[#Headers],[15/09/2018]],"','%d/%m/%Y'),",BE212,"),","('",Tabla7[[#This Row],[CONTADOR]],"',STR_TO_DATE('",Tabla7[[#Headers],[15/10/2018]],"','%d/%m/%Y'),",BF212,"),","('",Tabla7[[#This Row],[CONTADOR]],"',STR_TO_DATE('",Tabla7[[#Headers],[15/11/2018]],"','%d/%m/%Y'),",BG212,"),","('",Tabla7[[#This Row],[CONTADOR]],"',STR_TO_DATE('",Tabla7[[#Headers],[15/12/2018]],"','%d/%m/%Y'),",BH212,");")</f>
        <v>insert into lecturas values ('PM4581A96D',STR_TO_DATE('31/12/2017','%d/%m/%Y'),520520),('PM4581A96D',STR_TO_DATE('15/01/2018','%d/%m/%Y'),522550),('PM4581A96D',STR_TO_DATE('15/02/2018','%d/%m/%Y'),526410),('PM4581A96D',STR_TO_DATE('15/03/2018','%d/%m/%Y'),530051),('PM4581A96D',STR_TO_DATE('15/04/2018','%d/%m/%Y'),534150),('PM4581A96D',STR_TO_DATE('15/05/2018','%d/%m/%Y'),538267),('PM4581A96D',STR_TO_DATE('15/06/2018','%d/%m/%Y'),541700),('PM4581A96D',STR_TO_DATE('15/07/2018','%d/%m/%Y'),545237),('PM4581A96D',STR_TO_DATE('15/08/2018','%d/%m/%Y'),548532),('PM4581A96D',STR_TO_DATE('15/09/2018','%d/%m/%Y'),551959),('PM4581A96D',STR_TO_DATE('15/10/2018','%d/%m/%Y'),555432),('PM4581A96D',STR_TO_DATE('15/11/2018','%d/%m/%Y'),559039),('PM4581A96D',STR_TO_DATE('15/12/2018','%d/%m/%Y'),562781);</v>
      </c>
    </row>
    <row r="213" spans="1:68" ht="18.75" customHeight="1" x14ac:dyDescent="0.25">
      <c r="A213" s="241" t="s">
        <v>19</v>
      </c>
      <c r="B213" s="60"/>
      <c r="C213" s="342" t="s">
        <v>1327</v>
      </c>
      <c r="D213" s="60" t="s">
        <v>323</v>
      </c>
      <c r="E213" s="468">
        <v>110</v>
      </c>
      <c r="F213" s="274" t="s">
        <v>1216</v>
      </c>
      <c r="G213" s="274" t="s">
        <v>327</v>
      </c>
      <c r="H213" s="274" t="s">
        <v>332</v>
      </c>
      <c r="I213" s="274"/>
      <c r="J213" s="311">
        <v>746051</v>
      </c>
      <c r="K213" s="311">
        <v>749653</v>
      </c>
      <c r="L213" s="274">
        <v>756191</v>
      </c>
      <c r="M213" s="311">
        <v>760487</v>
      </c>
      <c r="N213" s="311">
        <v>764858</v>
      </c>
      <c r="O213" s="311">
        <v>769356</v>
      </c>
      <c r="P213" s="283">
        <v>772052</v>
      </c>
      <c r="Q213" s="274">
        <v>776199</v>
      </c>
      <c r="R213" s="353">
        <v>780983</v>
      </c>
      <c r="S213" s="353">
        <v>785896</v>
      </c>
      <c r="T213" s="353">
        <v>790776</v>
      </c>
      <c r="U213" s="353">
        <v>796461</v>
      </c>
      <c r="V213" s="353">
        <v>802130</v>
      </c>
      <c r="W213" s="307"/>
      <c r="X213" s="307"/>
      <c r="Y213" s="274">
        <f t="shared" si="67"/>
        <v>3602</v>
      </c>
      <c r="Z213" s="274">
        <f t="shared" si="66"/>
        <v>6538</v>
      </c>
      <c r="AA213" s="274">
        <f t="shared" si="81"/>
        <v>4296</v>
      </c>
      <c r="AB213" s="274">
        <f t="shared" si="80"/>
        <v>4371</v>
      </c>
      <c r="AC213" s="274">
        <f t="shared" si="72"/>
        <v>4498</v>
      </c>
      <c r="AD213" s="274">
        <f t="shared" si="73"/>
        <v>2696</v>
      </c>
      <c r="AE213" s="274">
        <f t="shared" si="74"/>
        <v>4147</v>
      </c>
      <c r="AF213" s="274">
        <f t="shared" si="75"/>
        <v>4784</v>
      </c>
      <c r="AG213" s="274">
        <f t="shared" si="76"/>
        <v>4913</v>
      </c>
      <c r="AH213" s="274">
        <f t="shared" si="79"/>
        <v>4880</v>
      </c>
      <c r="AI213" s="274">
        <f t="shared" si="77"/>
        <v>5685</v>
      </c>
      <c r="AJ213" s="274">
        <f t="shared" si="78"/>
        <v>5669</v>
      </c>
      <c r="AK213" s="406">
        <v>1</v>
      </c>
      <c r="AL213" s="274">
        <f t="shared" ca="1" si="68"/>
        <v>764858</v>
      </c>
      <c r="AM213" s="311">
        <f t="shared" ca="1" si="69"/>
        <v>769356</v>
      </c>
      <c r="AN213" s="274">
        <f ca="1">IF(AND(Tabla7[[#This Row],[UltLec]]&lt;&gt;0,Tabla7[[#This Row],[PenLect]]&lt;&gt;0),(AM213-AL213)*Tabla7[[#This Row],[RT]],"N/A")</f>
        <v>4498</v>
      </c>
      <c r="AO213" s="273" t="s">
        <v>862</v>
      </c>
      <c r="AP213" s="392" t="s">
        <v>1191</v>
      </c>
      <c r="AQ213" s="392" t="s">
        <v>818</v>
      </c>
      <c r="AR213" s="407">
        <f t="shared" si="70"/>
        <v>0</v>
      </c>
      <c r="AT213" s="2">
        <f t="shared" ca="1" si="71"/>
        <v>1.0290551361244566</v>
      </c>
      <c r="AV213">
        <f>IF(ISBLANK(Tabla7[[#This Row],[31/12/2017]]),0,Tabla7[[#This Row],[31/12/2017]])</f>
        <v>746051</v>
      </c>
      <c r="AW213">
        <f>IF(ISBLANK(Tabla7[[#This Row],[15/01/2018]]),0,Tabla7[[#This Row],[15/01/2018]])</f>
        <v>749653</v>
      </c>
      <c r="AX213">
        <f>IF(ISBLANK(Tabla7[[#This Row],[15/02/2018]]),0,Tabla7[[#This Row],[15/02/2018]])</f>
        <v>756191</v>
      </c>
      <c r="AY213">
        <f>IF(ISBLANK(Tabla7[[#This Row],[15/03/2018]]),0,Tabla7[[#This Row],[15/03/2018]])</f>
        <v>760487</v>
      </c>
      <c r="AZ213">
        <f>IF(ISBLANK(Tabla7[[#This Row],[15/04/2018]]),0,Tabla7[[#This Row],[15/04/2018]])</f>
        <v>764858</v>
      </c>
      <c r="BA213">
        <f>IF(ISBLANK(Tabla7[[#This Row],[15/05/2018]]),0,Tabla7[[#This Row],[15/05/2018]])</f>
        <v>769356</v>
      </c>
      <c r="BB213">
        <f>IF(ISBLANK(Tabla7[[#This Row],[15/06/2018]]),0,Tabla7[[#This Row],[15/06/2018]])</f>
        <v>772052</v>
      </c>
      <c r="BC213">
        <f>IF(ISBLANK(Tabla7[[#This Row],[15/07/2018]]),0,Tabla7[[#This Row],[15/07/2018]])</f>
        <v>776199</v>
      </c>
      <c r="BD213">
        <f>IF(ISBLANK(Tabla7[[#This Row],[15/08/2018]]),0,Tabla7[[#This Row],[15/08/2018]])</f>
        <v>780983</v>
      </c>
      <c r="BE213">
        <f>IF(ISBLANK(Tabla7[[#This Row],[15/09/2018]]),0,Tabla7[[#This Row],[15/09/2018]])</f>
        <v>785896</v>
      </c>
      <c r="BF213">
        <f>IF(ISBLANK(Tabla7[[#This Row],[15/10/2018]]),0,Tabla7[[#This Row],[15/10/2018]])</f>
        <v>790776</v>
      </c>
      <c r="BG213">
        <f>IF(ISBLANK(Tabla7[[#This Row],[15/11/2018]]),0,Tabla7[[#This Row],[15/11/2018]])</f>
        <v>796461</v>
      </c>
      <c r="BH213">
        <f>IF(ISBLANK(Tabla7[[#This Row],[15/12/2018]]),0,Tabla7[[#This Row],[15/12/2018]])</f>
        <v>802130</v>
      </c>
      <c r="BI213">
        <f>IF(ISBLANK(Tabla7[[#This Row],[28/12/2018]]),0,Tabla7[[#This Row],[28/12/2018]])</f>
        <v>0</v>
      </c>
      <c r="BN21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('PM4581AB04','V','VCDD','110','Q3 - PARKING F.III CUADRO OKKEN','CUADRO OKKEN','CDD','');</v>
      </c>
      <c r="BO213" t="s">
        <v>243</v>
      </c>
      <c r="BP213" s="632" t="str">
        <f>CONCATENATE("insert into lecturas values ","('",Tabla7[[#This Row],[CONTADOR]],"',STR_TO_DATE('",Tabla7[[#Headers],[31/12/2017]],"','%d/%m/%Y'),",AV213,"),","('",Tabla7[[#This Row],[CONTADOR]],"',STR_TO_DATE('",Tabla7[[#Headers],[15/01/2018]],"','%d/%m/%Y'),",AW213,"),","('",Tabla7[[#This Row],[CONTADOR]],"',STR_TO_DATE('",Tabla7[[#Headers],[15/02/2018]],"','%d/%m/%Y'),",AX213,"),","('",Tabla7[[#This Row],[CONTADOR]],"',STR_TO_DATE('",Tabla7[[#Headers],[15/03/2018]],"','%d/%m/%Y'),",AY213,"),","('",Tabla7[[#This Row],[CONTADOR]],"',STR_TO_DATE('",Tabla7[[#Headers],[15/04/2018]],"','%d/%m/%Y'),",AZ213,"),","('",Tabla7[[#This Row],[CONTADOR]],"',STR_TO_DATE('",Tabla7[[#Headers],[15/05/2018]],"','%d/%m/%Y'),",BA213,"),","('",Tabla7[[#This Row],[CONTADOR]],"',STR_TO_DATE('",Tabla7[[#Headers],[15/06/2018]],"','%d/%m/%Y'),",BB213,"),","('",Tabla7[[#This Row],[CONTADOR]],"',STR_TO_DATE('",Tabla7[[#Headers],[15/07/2018]],"','%d/%m/%Y'),",BC213,"),","('",Tabla7[[#This Row],[CONTADOR]],"',STR_TO_DATE('",Tabla7[[#Headers],[15/08/2018]],"','%d/%m/%Y'),",BD213,"),","('",Tabla7[[#This Row],[CONTADOR]],"',STR_TO_DATE('",Tabla7[[#Headers],[15/09/2018]],"','%d/%m/%Y'),",BE213,"),","('",Tabla7[[#This Row],[CONTADOR]],"',STR_TO_DATE('",Tabla7[[#Headers],[15/10/2018]],"','%d/%m/%Y'),",BF213,"),","('",Tabla7[[#This Row],[CONTADOR]],"',STR_TO_DATE('",Tabla7[[#Headers],[15/11/2018]],"','%d/%m/%Y'),",BG213,"),","('",Tabla7[[#This Row],[CONTADOR]],"',STR_TO_DATE('",Tabla7[[#Headers],[15/12/2018]],"','%d/%m/%Y'),",BH213,");")</f>
        <v>insert into lecturas values ('PM4581AB04',STR_TO_DATE('31/12/2017','%d/%m/%Y'),746051),('PM4581AB04',STR_TO_DATE('15/01/2018','%d/%m/%Y'),749653),('PM4581AB04',STR_TO_DATE('15/02/2018','%d/%m/%Y'),756191),('PM4581AB04',STR_TO_DATE('15/03/2018','%d/%m/%Y'),760487),('PM4581AB04',STR_TO_DATE('15/04/2018','%d/%m/%Y'),764858),('PM4581AB04',STR_TO_DATE('15/05/2018','%d/%m/%Y'),769356),('PM4581AB04',STR_TO_DATE('15/06/2018','%d/%m/%Y'),772052),('PM4581AB04',STR_TO_DATE('15/07/2018','%d/%m/%Y'),776199),('PM4581AB04',STR_TO_DATE('15/08/2018','%d/%m/%Y'),780983),('PM4581AB04',STR_TO_DATE('15/09/2018','%d/%m/%Y'),785896),('PM4581AB04',STR_TO_DATE('15/10/2018','%d/%m/%Y'),790776),('PM4581AB04',STR_TO_DATE('15/11/2018','%d/%m/%Y'),796461),('PM4581AB04',STR_TO_DATE('15/12/2018','%d/%m/%Y'),802130);</v>
      </c>
    </row>
    <row r="214" spans="1:68" ht="18" customHeight="1" x14ac:dyDescent="0.25">
      <c r="A214" s="241" t="s">
        <v>19</v>
      </c>
      <c r="B214" s="60"/>
      <c r="C214" s="342" t="s">
        <v>1324</v>
      </c>
      <c r="D214" s="60" t="s">
        <v>323</v>
      </c>
      <c r="E214" s="582">
        <v>39241</v>
      </c>
      <c r="F214" s="264" t="s">
        <v>1338</v>
      </c>
      <c r="G214" s="2" t="s">
        <v>327</v>
      </c>
      <c r="H214" s="2" t="s">
        <v>330</v>
      </c>
      <c r="I214" s="274"/>
      <c r="J214" s="311">
        <v>3338321</v>
      </c>
      <c r="K214" s="311">
        <v>3351525</v>
      </c>
      <c r="L214" s="274">
        <v>3379674</v>
      </c>
      <c r="M214" s="311">
        <v>3399489</v>
      </c>
      <c r="N214" s="311">
        <v>3426828</v>
      </c>
      <c r="O214" s="311">
        <v>3454408</v>
      </c>
      <c r="P214" s="1">
        <v>3479447</v>
      </c>
      <c r="Q214" s="274">
        <v>3505159</v>
      </c>
      <c r="R214" s="531">
        <v>3528776</v>
      </c>
      <c r="S214" s="531">
        <v>3555262</v>
      </c>
      <c r="T214" s="531">
        <v>3581750</v>
      </c>
      <c r="U214" s="531">
        <v>3610346</v>
      </c>
      <c r="V214" s="353">
        <v>3639025</v>
      </c>
      <c r="W214" s="275"/>
      <c r="X214" s="275"/>
      <c r="Y214" s="2">
        <f t="shared" si="67"/>
        <v>13204</v>
      </c>
      <c r="Z214" s="2">
        <f t="shared" si="66"/>
        <v>28149</v>
      </c>
      <c r="AA214" s="2">
        <f t="shared" si="81"/>
        <v>19815</v>
      </c>
      <c r="AB214" s="2">
        <f t="shared" si="80"/>
        <v>27339</v>
      </c>
      <c r="AC214" s="2">
        <f t="shared" si="72"/>
        <v>27580</v>
      </c>
      <c r="AD214" s="2">
        <f t="shared" si="73"/>
        <v>25039</v>
      </c>
      <c r="AE214" s="2">
        <f t="shared" si="74"/>
        <v>25712</v>
      </c>
      <c r="AF214" s="2">
        <f t="shared" si="75"/>
        <v>23617</v>
      </c>
      <c r="AG214" s="2">
        <f t="shared" si="76"/>
        <v>26486</v>
      </c>
      <c r="AH214" s="2">
        <f t="shared" si="79"/>
        <v>26488</v>
      </c>
      <c r="AI214" s="2">
        <f t="shared" si="77"/>
        <v>28596</v>
      </c>
      <c r="AJ214" s="2">
        <f t="shared" si="78"/>
        <v>28679</v>
      </c>
      <c r="AK214" s="406">
        <v>1</v>
      </c>
      <c r="AL214" s="274">
        <f t="shared" ca="1" si="68"/>
        <v>3426828</v>
      </c>
      <c r="AM214" s="311">
        <f t="shared" ca="1" si="69"/>
        <v>3454408</v>
      </c>
      <c r="AN214" s="274">
        <f ca="1">IF(AND(Tabla7[[#This Row],[UltLec]]&lt;&gt;0,Tabla7[[#This Row],[PenLect]]&lt;&gt;0),(AM214-AL214)*Tabla7[[#This Row],[RT]],"N/A")</f>
        <v>27580</v>
      </c>
      <c r="AO214" s="273" t="s">
        <v>862</v>
      </c>
      <c r="AP214" s="392" t="s">
        <v>1191</v>
      </c>
      <c r="AQ214" s="392" t="s">
        <v>818</v>
      </c>
      <c r="AR214" s="407">
        <f t="shared" si="70"/>
        <v>0</v>
      </c>
      <c r="AT214" s="2">
        <f t="shared" ca="1" si="71"/>
        <v>1.0088152456198105</v>
      </c>
      <c r="AV214">
        <f>IF(ISBLANK(Tabla7[[#This Row],[31/12/2017]]),0,Tabla7[[#This Row],[31/12/2017]])</f>
        <v>3338321</v>
      </c>
      <c r="AW214">
        <f>IF(ISBLANK(Tabla7[[#This Row],[15/01/2018]]),0,Tabla7[[#This Row],[15/01/2018]])</f>
        <v>3351525</v>
      </c>
      <c r="AX214">
        <f>IF(ISBLANK(Tabla7[[#This Row],[15/02/2018]]),0,Tabla7[[#This Row],[15/02/2018]])</f>
        <v>3379674</v>
      </c>
      <c r="AY214">
        <f>IF(ISBLANK(Tabla7[[#This Row],[15/03/2018]]),0,Tabla7[[#This Row],[15/03/2018]])</f>
        <v>3399489</v>
      </c>
      <c r="AZ214">
        <f>IF(ISBLANK(Tabla7[[#This Row],[15/04/2018]]),0,Tabla7[[#This Row],[15/04/2018]])</f>
        <v>3426828</v>
      </c>
      <c r="BA214">
        <f>IF(ISBLANK(Tabla7[[#This Row],[15/05/2018]]),0,Tabla7[[#This Row],[15/05/2018]])</f>
        <v>3454408</v>
      </c>
      <c r="BB214">
        <f>IF(ISBLANK(Tabla7[[#This Row],[15/06/2018]]),0,Tabla7[[#This Row],[15/06/2018]])</f>
        <v>3479447</v>
      </c>
      <c r="BC214">
        <f>IF(ISBLANK(Tabla7[[#This Row],[15/07/2018]]),0,Tabla7[[#This Row],[15/07/2018]])</f>
        <v>3505159</v>
      </c>
      <c r="BD214">
        <f>IF(ISBLANK(Tabla7[[#This Row],[15/08/2018]]),0,Tabla7[[#This Row],[15/08/2018]])</f>
        <v>3528776</v>
      </c>
      <c r="BE214">
        <f>IF(ISBLANK(Tabla7[[#This Row],[15/09/2018]]),0,Tabla7[[#This Row],[15/09/2018]])</f>
        <v>3555262</v>
      </c>
      <c r="BF214">
        <f>IF(ISBLANK(Tabla7[[#This Row],[15/10/2018]]),0,Tabla7[[#This Row],[15/10/2018]])</f>
        <v>3581750</v>
      </c>
      <c r="BG214">
        <f>IF(ISBLANK(Tabla7[[#This Row],[15/11/2018]]),0,Tabla7[[#This Row],[15/11/2018]])</f>
        <v>3610346</v>
      </c>
      <c r="BH214">
        <f>IF(ISBLANK(Tabla7[[#This Row],[15/12/2018]]),0,Tabla7[[#This Row],[15/12/2018]])</f>
        <v>3639025</v>
      </c>
      <c r="BI214">
        <f>IF(ISBLANK(Tabla7[[#This Row],[28/12/2018]]),0,Tabla7[[#This Row],[28/12/2018]])</f>
        <v>0</v>
      </c>
      <c r="BN21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('PM4581AD1E','V','VCDD','39241','FUNDACION  Q14 - OFICINAS FASE III (SAI)','CUADRO OKKEN','EDIF.III','');</v>
      </c>
      <c r="BO214" t="s">
        <v>243</v>
      </c>
      <c r="BP214" s="632" t="str">
        <f>CONCATENATE("insert into lecturas values ","('",Tabla7[[#This Row],[CONTADOR]],"',STR_TO_DATE('",Tabla7[[#Headers],[31/12/2017]],"','%d/%m/%Y'),",AV214,"),","('",Tabla7[[#This Row],[CONTADOR]],"',STR_TO_DATE('",Tabla7[[#Headers],[15/01/2018]],"','%d/%m/%Y'),",AW214,"),","('",Tabla7[[#This Row],[CONTADOR]],"',STR_TO_DATE('",Tabla7[[#Headers],[15/02/2018]],"','%d/%m/%Y'),",AX214,"),","('",Tabla7[[#This Row],[CONTADOR]],"',STR_TO_DATE('",Tabla7[[#Headers],[15/03/2018]],"','%d/%m/%Y'),",AY214,"),","('",Tabla7[[#This Row],[CONTADOR]],"',STR_TO_DATE('",Tabla7[[#Headers],[15/04/2018]],"','%d/%m/%Y'),",AZ214,"),","('",Tabla7[[#This Row],[CONTADOR]],"',STR_TO_DATE('",Tabla7[[#Headers],[15/05/2018]],"','%d/%m/%Y'),",BA214,"),","('",Tabla7[[#This Row],[CONTADOR]],"',STR_TO_DATE('",Tabla7[[#Headers],[15/06/2018]],"','%d/%m/%Y'),",BB214,"),","('",Tabla7[[#This Row],[CONTADOR]],"',STR_TO_DATE('",Tabla7[[#Headers],[15/07/2018]],"','%d/%m/%Y'),",BC214,"),","('",Tabla7[[#This Row],[CONTADOR]],"',STR_TO_DATE('",Tabla7[[#Headers],[15/08/2018]],"','%d/%m/%Y'),",BD214,"),","('",Tabla7[[#This Row],[CONTADOR]],"',STR_TO_DATE('",Tabla7[[#Headers],[15/09/2018]],"','%d/%m/%Y'),",BE214,"),","('",Tabla7[[#This Row],[CONTADOR]],"',STR_TO_DATE('",Tabla7[[#Headers],[15/10/2018]],"','%d/%m/%Y'),",BF214,"),","('",Tabla7[[#This Row],[CONTADOR]],"',STR_TO_DATE('",Tabla7[[#Headers],[15/11/2018]],"','%d/%m/%Y'),",BG214,"),","('",Tabla7[[#This Row],[CONTADOR]],"',STR_TO_DATE('",Tabla7[[#Headers],[15/12/2018]],"','%d/%m/%Y'),",BH214,");")</f>
        <v>insert into lecturas values ('PM4581AD1E',STR_TO_DATE('31/12/2017','%d/%m/%Y'),3338321),('PM4581AD1E',STR_TO_DATE('15/01/2018','%d/%m/%Y'),3351525),('PM4581AD1E',STR_TO_DATE('15/02/2018','%d/%m/%Y'),3379674),('PM4581AD1E',STR_TO_DATE('15/03/2018','%d/%m/%Y'),3399489),('PM4581AD1E',STR_TO_DATE('15/04/2018','%d/%m/%Y'),3426828),('PM4581AD1E',STR_TO_DATE('15/05/2018','%d/%m/%Y'),3454408),('PM4581AD1E',STR_TO_DATE('15/06/2018','%d/%m/%Y'),3479447),('PM4581AD1E',STR_TO_DATE('15/07/2018','%d/%m/%Y'),3505159),('PM4581AD1E',STR_TO_DATE('15/08/2018','%d/%m/%Y'),3528776),('PM4581AD1E',STR_TO_DATE('15/09/2018','%d/%m/%Y'),3555262),('PM4581AD1E',STR_TO_DATE('15/10/2018','%d/%m/%Y'),3581750),('PM4581AD1E',STR_TO_DATE('15/11/2018','%d/%m/%Y'),3610346),('PM4581AD1E',STR_TO_DATE('15/12/2018','%d/%m/%Y'),3639025);</v>
      </c>
    </row>
    <row r="215" spans="1:68" ht="18" customHeight="1" x14ac:dyDescent="0.25">
      <c r="A215" s="241" t="s">
        <v>19</v>
      </c>
      <c r="B215" s="60"/>
      <c r="C215" s="342" t="s">
        <v>1202</v>
      </c>
      <c r="D215" s="60" t="s">
        <v>323</v>
      </c>
      <c r="E215" s="258">
        <v>140</v>
      </c>
      <c r="F215" s="274" t="s">
        <v>1200</v>
      </c>
      <c r="G215" s="274" t="s">
        <v>327</v>
      </c>
      <c r="H215" s="2"/>
      <c r="I215" s="274"/>
      <c r="J215" s="311"/>
      <c r="K215" s="311"/>
      <c r="L215" s="311"/>
      <c r="M215" s="2">
        <v>156572.95000000001</v>
      </c>
      <c r="O215" s="311"/>
      <c r="P215" s="1">
        <v>156572</v>
      </c>
      <c r="Q215" s="2">
        <v>156572</v>
      </c>
      <c r="R215" s="353">
        <v>156572</v>
      </c>
      <c r="S215" s="531">
        <v>156572</v>
      </c>
      <c r="T215" s="531">
        <v>156572</v>
      </c>
      <c r="U215" s="531">
        <v>156572</v>
      </c>
      <c r="V215" s="353">
        <v>156572</v>
      </c>
      <c r="W215" s="275"/>
      <c r="X215" s="275"/>
      <c r="Y215" s="2" t="str">
        <f t="shared" si="67"/>
        <v/>
      </c>
      <c r="Z215" s="2" t="str">
        <f t="shared" si="66"/>
        <v/>
      </c>
      <c r="AA215" s="2" t="str">
        <f>IF(OR(ISBLANK(#REF!),ISBLANK(L215)),"",IF(AND(#REF!&gt;=L215,#REF!-L215&lt;=#REF!),(#REF!-L215)*$AK215,"!!!!"))</f>
        <v/>
      </c>
      <c r="AB215" s="2" t="str">
        <f>IF(OR(ISBLANK(N215),ISBLANK(#REF!)),"",IF(AND(N215&gt;=#REF!,N215-#REF!&lt;=N215),(N215-#REF!)*$AK215,"!!!!"))</f>
        <v/>
      </c>
      <c r="AC215" s="2" t="str">
        <f t="shared" si="72"/>
        <v/>
      </c>
      <c r="AD215" s="2" t="str">
        <f t="shared" si="73"/>
        <v/>
      </c>
      <c r="AE215" s="2">
        <f t="shared" si="74"/>
        <v>0</v>
      </c>
      <c r="AF215" s="2">
        <f t="shared" si="75"/>
        <v>0</v>
      </c>
      <c r="AG215" s="2">
        <f t="shared" si="76"/>
        <v>0</v>
      </c>
      <c r="AH215" s="271">
        <f t="shared" si="79"/>
        <v>0</v>
      </c>
      <c r="AI215" s="2">
        <f t="shared" si="77"/>
        <v>0</v>
      </c>
      <c r="AJ215" s="2">
        <f t="shared" si="78"/>
        <v>0</v>
      </c>
      <c r="AK215" s="406">
        <v>1</v>
      </c>
      <c r="AL215" s="412">
        <f t="shared" ca="1" si="68"/>
        <v>0</v>
      </c>
      <c r="AM215" s="311">
        <f t="shared" ca="1" si="69"/>
        <v>0</v>
      </c>
      <c r="AN215" s="412" t="str">
        <f ca="1">IF(AND(Tabla7[[#This Row],[UltLec]]&lt;&gt;0,Tabla7[[#This Row],[PenLect]]&lt;&gt;0),(AM215-AL215)*Tabla7[[#This Row],[RT]],"N/A")</f>
        <v>N/A</v>
      </c>
      <c r="AO215" s="273" t="s">
        <v>862</v>
      </c>
      <c r="AP215" s="392" t="s">
        <v>1191</v>
      </c>
      <c r="AQ215" s="392" t="s">
        <v>818</v>
      </c>
      <c r="AR215" s="407">
        <f t="shared" si="70"/>
        <v>0</v>
      </c>
      <c r="AT215" s="2" t="e">
        <f t="shared" ca="1" si="71"/>
        <v>#VALUE!</v>
      </c>
      <c r="AV215">
        <f>IF(ISBLANK(Tabla7[[#This Row],[31/12/2017]]),0,Tabla7[[#This Row],[31/12/2017]])</f>
        <v>0</v>
      </c>
      <c r="AW215">
        <f>IF(ISBLANK(Tabla7[[#This Row],[15/01/2018]]),0,Tabla7[[#This Row],[15/01/2018]])</f>
        <v>0</v>
      </c>
      <c r="AX215">
        <f>IF(ISBLANK(Tabla7[[#This Row],[15/02/2018]]),0,Tabla7[[#This Row],[15/02/2018]])</f>
        <v>0</v>
      </c>
      <c r="AY215">
        <f>IF(ISBLANK(Tabla7[[#This Row],[15/03/2018]]),0,Tabla7[[#This Row],[15/03/2018]])</f>
        <v>156572.95000000001</v>
      </c>
      <c r="AZ215">
        <f>IF(ISBLANK(Tabla7[[#This Row],[15/04/2018]]),0,Tabla7[[#This Row],[15/04/2018]])</f>
        <v>0</v>
      </c>
      <c r="BA215">
        <f>IF(ISBLANK(Tabla7[[#This Row],[15/05/2018]]),0,Tabla7[[#This Row],[15/05/2018]])</f>
        <v>0</v>
      </c>
      <c r="BB215">
        <f>IF(ISBLANK(Tabla7[[#This Row],[15/06/2018]]),0,Tabla7[[#This Row],[15/06/2018]])</f>
        <v>156572</v>
      </c>
      <c r="BC215">
        <f>IF(ISBLANK(Tabla7[[#This Row],[15/07/2018]]),0,Tabla7[[#This Row],[15/07/2018]])</f>
        <v>156572</v>
      </c>
      <c r="BD215">
        <f>IF(ISBLANK(Tabla7[[#This Row],[15/08/2018]]),0,Tabla7[[#This Row],[15/08/2018]])</f>
        <v>156572</v>
      </c>
      <c r="BE215">
        <f>IF(ISBLANK(Tabla7[[#This Row],[15/09/2018]]),0,Tabla7[[#This Row],[15/09/2018]])</f>
        <v>156572</v>
      </c>
      <c r="BF215">
        <f>IF(ISBLANK(Tabla7[[#This Row],[15/10/2018]]),0,Tabla7[[#This Row],[15/10/2018]])</f>
        <v>156572</v>
      </c>
      <c r="BG215">
        <f>IF(ISBLANK(Tabla7[[#This Row],[15/11/2018]]),0,Tabla7[[#This Row],[15/11/2018]])</f>
        <v>156572</v>
      </c>
      <c r="BH215">
        <f>IF(ISBLANK(Tabla7[[#This Row],[15/12/2018]]),0,Tabla7[[#This Row],[15/12/2018]])</f>
        <v>156572</v>
      </c>
      <c r="BI215">
        <f>IF(ISBLANK(Tabla7[[#This Row],[28/12/2018]]),0,Tabla7[[#This Row],[28/12/2018]])</f>
        <v>0</v>
      </c>
      <c r="BN21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('PM4583C54E','V','VCDD','140','Q19 GARAGE POLICIA PORTUARIA','CUADRO OKKEN','','');</v>
      </c>
      <c r="BO215" t="s">
        <v>243</v>
      </c>
      <c r="BP215" s="632" t="str">
        <f>CONCATENATE("insert into lecturas values ","('",Tabla7[[#This Row],[CONTADOR]],"',STR_TO_DATE('",Tabla7[[#Headers],[31/12/2017]],"','%d/%m/%Y'),",AV215,"),","('",Tabla7[[#This Row],[CONTADOR]],"',STR_TO_DATE('",Tabla7[[#Headers],[15/01/2018]],"','%d/%m/%Y'),",AW215,"),","('",Tabla7[[#This Row],[CONTADOR]],"',STR_TO_DATE('",Tabla7[[#Headers],[15/02/2018]],"','%d/%m/%Y'),",AX215,"),","('",Tabla7[[#This Row],[CONTADOR]],"',STR_TO_DATE('",Tabla7[[#Headers],[15/03/2018]],"','%d/%m/%Y'),",AY215,"),","('",Tabla7[[#This Row],[CONTADOR]],"',STR_TO_DATE('",Tabla7[[#Headers],[15/04/2018]],"','%d/%m/%Y'),",AZ215,"),","('",Tabla7[[#This Row],[CONTADOR]],"',STR_TO_DATE('",Tabla7[[#Headers],[15/05/2018]],"','%d/%m/%Y'),",BA215,"),","('",Tabla7[[#This Row],[CONTADOR]],"',STR_TO_DATE('",Tabla7[[#Headers],[15/06/2018]],"','%d/%m/%Y'),",BB215,"),","('",Tabla7[[#This Row],[CONTADOR]],"',STR_TO_DATE('",Tabla7[[#Headers],[15/07/2018]],"','%d/%m/%Y'),",BC215,"),","('",Tabla7[[#This Row],[CONTADOR]],"',STR_TO_DATE('",Tabla7[[#Headers],[15/08/2018]],"','%d/%m/%Y'),",BD215,"),","('",Tabla7[[#This Row],[CONTADOR]],"',STR_TO_DATE('",Tabla7[[#Headers],[15/09/2018]],"','%d/%m/%Y'),",BE215,"),","('",Tabla7[[#This Row],[CONTADOR]],"',STR_TO_DATE('",Tabla7[[#Headers],[15/10/2018]],"','%d/%m/%Y'),",BF215,"),","('",Tabla7[[#This Row],[CONTADOR]],"',STR_TO_DATE('",Tabla7[[#Headers],[15/11/2018]],"','%d/%m/%Y'),",BG215,"),","('",Tabla7[[#This Row],[CONTADOR]],"',STR_TO_DATE('",Tabla7[[#Headers],[15/12/2018]],"','%d/%m/%Y'),",BH215,");")</f>
        <v>insert into lecturas values ('PM4583C54E',STR_TO_DATE('31/12/2017','%d/%m/%Y'),0),('PM4583C54E',STR_TO_DATE('15/01/2018','%d/%m/%Y'),0),('PM4583C54E',STR_TO_DATE('15/02/2018','%d/%m/%Y'),0),('PM4583C54E',STR_TO_DATE('15/03/2018','%d/%m/%Y'),156572,95),('PM4583C54E',STR_TO_DATE('15/04/2018','%d/%m/%Y'),0),('PM4583C54E',STR_TO_DATE('15/05/2018','%d/%m/%Y'),0),('PM4583C54E',STR_TO_DATE('15/06/2018','%d/%m/%Y'),156572),('PM4583C54E',STR_TO_DATE('15/07/2018','%d/%m/%Y'),156572),('PM4583C54E',STR_TO_DATE('15/08/2018','%d/%m/%Y'),156572),('PM4583C54E',STR_TO_DATE('15/09/2018','%d/%m/%Y'),156572),('PM4583C54E',STR_TO_DATE('15/10/2018','%d/%m/%Y'),156572),('PM4583C54E',STR_TO_DATE('15/11/2018','%d/%m/%Y'),156572),('PM4583C54E',STR_TO_DATE('15/12/2018','%d/%m/%Y'),156572);</v>
      </c>
    </row>
    <row r="216" spans="1:68" ht="18" customHeight="1" x14ac:dyDescent="0.25">
      <c r="A216" s="241" t="s">
        <v>19</v>
      </c>
      <c r="B216" s="60"/>
      <c r="C216" s="342" t="s">
        <v>1219</v>
      </c>
      <c r="D216" s="60" t="s">
        <v>323</v>
      </c>
      <c r="E216" s="258">
        <v>110</v>
      </c>
      <c r="F216" s="2" t="s">
        <v>1211</v>
      </c>
      <c r="G216" s="2" t="s">
        <v>327</v>
      </c>
      <c r="H216" s="2" t="s">
        <v>329</v>
      </c>
      <c r="I216" s="274"/>
      <c r="J216" s="311">
        <v>329731</v>
      </c>
      <c r="K216" s="311">
        <v>330872</v>
      </c>
      <c r="L216" s="274">
        <v>333033</v>
      </c>
      <c r="M216" s="311">
        <v>334987</v>
      </c>
      <c r="N216" s="311">
        <v>337018</v>
      </c>
      <c r="O216" s="311">
        <v>339330</v>
      </c>
      <c r="P216" s="1">
        <v>341422</v>
      </c>
      <c r="Q216" s="274">
        <v>343587</v>
      </c>
      <c r="R216" s="531">
        <v>345654</v>
      </c>
      <c r="S216" s="531">
        <v>347676</v>
      </c>
      <c r="T216" s="531">
        <v>394747</v>
      </c>
      <c r="U216" s="531">
        <v>351647</v>
      </c>
      <c r="V216" s="353">
        <v>353630</v>
      </c>
      <c r="W216" s="307"/>
      <c r="X216" s="275"/>
      <c r="Y216" s="2">
        <f t="shared" si="67"/>
        <v>1141</v>
      </c>
      <c r="Z216" s="2">
        <f t="shared" si="66"/>
        <v>2161</v>
      </c>
      <c r="AA216" s="2">
        <f>IF(OR(ISBLANK(M216),ISBLANK(L216)),"",IF(AND(M216&gt;=L216,M216-L216&lt;=M216),(M216-L216)*$AK216,"!!!!"))</f>
        <v>1954</v>
      </c>
      <c r="AB216" s="2">
        <f>IF(OR(ISBLANK(N216),ISBLANK(M216)),"",IF(AND(N216&gt;=M216,N216-M216&lt;=N216),(N216-M216)*$AK216,"!!!!"))</f>
        <v>2031</v>
      </c>
      <c r="AC216" s="2">
        <f t="shared" si="72"/>
        <v>2312</v>
      </c>
      <c r="AD216" s="2">
        <f t="shared" si="73"/>
        <v>2092</v>
      </c>
      <c r="AE216" s="2">
        <f t="shared" si="74"/>
        <v>2165</v>
      </c>
      <c r="AF216" s="2">
        <f t="shared" si="75"/>
        <v>2067</v>
      </c>
      <c r="AG216" s="2">
        <f t="shared" si="76"/>
        <v>2022</v>
      </c>
      <c r="AH216" s="2">
        <f t="shared" si="79"/>
        <v>47071</v>
      </c>
      <c r="AI216" s="2" t="str">
        <f t="shared" si="77"/>
        <v>!!!!</v>
      </c>
      <c r="AJ216" s="2">
        <f t="shared" si="78"/>
        <v>1983</v>
      </c>
      <c r="AK216" s="406">
        <v>1</v>
      </c>
      <c r="AL216" s="274">
        <f t="shared" ca="1" si="68"/>
        <v>337018</v>
      </c>
      <c r="AM216" s="311">
        <f t="shared" ca="1" si="69"/>
        <v>339330</v>
      </c>
      <c r="AN216" s="274">
        <f ca="1">IF(AND(Tabla7[[#This Row],[UltLec]]&lt;&gt;0,Tabla7[[#This Row],[PenLect]]&lt;&gt;0),(AM216-AL216)*Tabla7[[#This Row],[RT]],"N/A")</f>
        <v>2312</v>
      </c>
      <c r="AO216" s="273" t="s">
        <v>862</v>
      </c>
      <c r="AP216" s="392" t="s">
        <v>1191</v>
      </c>
      <c r="AQ216" s="392" t="s">
        <v>818</v>
      </c>
      <c r="AR216" s="407">
        <f t="shared" si="70"/>
        <v>1</v>
      </c>
      <c r="AT216" s="2">
        <f t="shared" ca="1" si="71"/>
        <v>1.1383554899064501</v>
      </c>
      <c r="AV216">
        <f>IF(ISBLANK(Tabla7[[#This Row],[31/12/2017]]),0,Tabla7[[#This Row],[31/12/2017]])</f>
        <v>329731</v>
      </c>
      <c r="AW216">
        <f>IF(ISBLANK(Tabla7[[#This Row],[15/01/2018]]),0,Tabla7[[#This Row],[15/01/2018]])</f>
        <v>330872</v>
      </c>
      <c r="AX216">
        <f>IF(ISBLANK(Tabla7[[#This Row],[15/02/2018]]),0,Tabla7[[#This Row],[15/02/2018]])</f>
        <v>333033</v>
      </c>
      <c r="AY216">
        <f>IF(ISBLANK(Tabla7[[#This Row],[15/03/2018]]),0,Tabla7[[#This Row],[15/03/2018]])</f>
        <v>334987</v>
      </c>
      <c r="AZ216">
        <f>IF(ISBLANK(Tabla7[[#This Row],[15/04/2018]]),0,Tabla7[[#This Row],[15/04/2018]])</f>
        <v>337018</v>
      </c>
      <c r="BA216">
        <f>IF(ISBLANK(Tabla7[[#This Row],[15/05/2018]]),0,Tabla7[[#This Row],[15/05/2018]])</f>
        <v>339330</v>
      </c>
      <c r="BB216">
        <f>IF(ISBLANK(Tabla7[[#This Row],[15/06/2018]]),0,Tabla7[[#This Row],[15/06/2018]])</f>
        <v>341422</v>
      </c>
      <c r="BC216">
        <f>IF(ISBLANK(Tabla7[[#This Row],[15/07/2018]]),0,Tabla7[[#This Row],[15/07/2018]])</f>
        <v>343587</v>
      </c>
      <c r="BD216">
        <f>IF(ISBLANK(Tabla7[[#This Row],[15/08/2018]]),0,Tabla7[[#This Row],[15/08/2018]])</f>
        <v>345654</v>
      </c>
      <c r="BE216">
        <f>IF(ISBLANK(Tabla7[[#This Row],[15/09/2018]]),0,Tabla7[[#This Row],[15/09/2018]])</f>
        <v>347676</v>
      </c>
      <c r="BF216">
        <f>IF(ISBLANK(Tabla7[[#This Row],[15/10/2018]]),0,Tabla7[[#This Row],[15/10/2018]])</f>
        <v>394747</v>
      </c>
      <c r="BG216">
        <f>IF(ISBLANK(Tabla7[[#This Row],[15/11/2018]]),0,Tabla7[[#This Row],[15/11/2018]])</f>
        <v>351647</v>
      </c>
      <c r="BH216">
        <f>IF(ISBLANK(Tabla7[[#This Row],[15/12/2018]]),0,Tabla7[[#This Row],[15/12/2018]])</f>
        <v>353630</v>
      </c>
      <c r="BI216">
        <f>IF(ISBLANK(Tabla7[[#This Row],[28/12/2018]]),0,Tabla7[[#This Row],[28/12/2018]])</f>
        <v>0</v>
      </c>
      <c r="BN21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('PM45B19E1A','V','VCDD','110','Q13 - OFICINAS FASE II (SAI)','CUADRO OKKEN','EDIF.II','');</v>
      </c>
      <c r="BO216" t="s">
        <v>243</v>
      </c>
      <c r="BP216" s="632" t="str">
        <f>CONCATENATE("insert into lecturas values ","('",Tabla7[[#This Row],[CONTADOR]],"',STR_TO_DATE('",Tabla7[[#Headers],[31/12/2017]],"','%d/%m/%Y'),",AV216,"),","('",Tabla7[[#This Row],[CONTADOR]],"',STR_TO_DATE('",Tabla7[[#Headers],[15/01/2018]],"','%d/%m/%Y'),",AW216,"),","('",Tabla7[[#This Row],[CONTADOR]],"',STR_TO_DATE('",Tabla7[[#Headers],[15/02/2018]],"','%d/%m/%Y'),",AX216,"),","('",Tabla7[[#This Row],[CONTADOR]],"',STR_TO_DATE('",Tabla7[[#Headers],[15/03/2018]],"','%d/%m/%Y'),",AY216,"),","('",Tabla7[[#This Row],[CONTADOR]],"',STR_TO_DATE('",Tabla7[[#Headers],[15/04/2018]],"','%d/%m/%Y'),",AZ216,"),","('",Tabla7[[#This Row],[CONTADOR]],"',STR_TO_DATE('",Tabla7[[#Headers],[15/05/2018]],"','%d/%m/%Y'),",BA216,"),","('",Tabla7[[#This Row],[CONTADOR]],"',STR_TO_DATE('",Tabla7[[#Headers],[15/06/2018]],"','%d/%m/%Y'),",BB216,"),","('",Tabla7[[#This Row],[CONTADOR]],"',STR_TO_DATE('",Tabla7[[#Headers],[15/07/2018]],"','%d/%m/%Y'),",BC216,"),","('",Tabla7[[#This Row],[CONTADOR]],"',STR_TO_DATE('",Tabla7[[#Headers],[15/08/2018]],"','%d/%m/%Y'),",BD216,"),","('",Tabla7[[#This Row],[CONTADOR]],"',STR_TO_DATE('",Tabla7[[#Headers],[15/09/2018]],"','%d/%m/%Y'),",BE216,"),","('",Tabla7[[#This Row],[CONTADOR]],"',STR_TO_DATE('",Tabla7[[#Headers],[15/10/2018]],"','%d/%m/%Y'),",BF216,"),","('",Tabla7[[#This Row],[CONTADOR]],"',STR_TO_DATE('",Tabla7[[#Headers],[15/11/2018]],"','%d/%m/%Y'),",BG216,"),","('",Tabla7[[#This Row],[CONTADOR]],"',STR_TO_DATE('",Tabla7[[#Headers],[15/12/2018]],"','%d/%m/%Y'),",BH216,");")</f>
        <v>insert into lecturas values ('PM45B19E1A',STR_TO_DATE('31/12/2017','%d/%m/%Y'),329731),('PM45B19E1A',STR_TO_DATE('15/01/2018','%d/%m/%Y'),330872),('PM45B19E1A',STR_TO_DATE('15/02/2018','%d/%m/%Y'),333033),('PM45B19E1A',STR_TO_DATE('15/03/2018','%d/%m/%Y'),334987),('PM45B19E1A',STR_TO_DATE('15/04/2018','%d/%m/%Y'),337018),('PM45B19E1A',STR_TO_DATE('15/05/2018','%d/%m/%Y'),339330),('PM45B19E1A',STR_TO_DATE('15/06/2018','%d/%m/%Y'),341422),('PM45B19E1A',STR_TO_DATE('15/07/2018','%d/%m/%Y'),343587),('PM45B19E1A',STR_TO_DATE('15/08/2018','%d/%m/%Y'),345654),('PM45B19E1A',STR_TO_DATE('15/09/2018','%d/%m/%Y'),347676),('PM45B19E1A',STR_TO_DATE('15/10/2018','%d/%m/%Y'),394747),('PM45B19E1A',STR_TO_DATE('15/11/2018','%d/%m/%Y'),351647),('PM45B19E1A',STR_TO_DATE('15/12/2018','%d/%m/%Y'),353630);</v>
      </c>
    </row>
    <row r="217" spans="1:68" ht="18" customHeight="1" x14ac:dyDescent="0.25">
      <c r="A217" s="241" t="s">
        <v>19</v>
      </c>
      <c r="B217" s="60"/>
      <c r="C217" s="223" t="s">
        <v>1460</v>
      </c>
      <c r="D217" s="60" t="s">
        <v>323</v>
      </c>
      <c r="E217" s="258">
        <v>140</v>
      </c>
      <c r="F217" s="2" t="s">
        <v>1305</v>
      </c>
      <c r="G217" s="2" t="s">
        <v>327</v>
      </c>
      <c r="H217" s="2" t="s">
        <v>1467</v>
      </c>
      <c r="I217" s="274"/>
      <c r="J217" s="311"/>
      <c r="K217" s="311"/>
      <c r="L217" s="311"/>
      <c r="M217" s="311"/>
      <c r="N217" s="311"/>
      <c r="O217" s="311"/>
      <c r="P217" s="1"/>
      <c r="Q217" s="2"/>
      <c r="R217" s="311"/>
      <c r="S217" s="311"/>
      <c r="T217" s="311">
        <v>0</v>
      </c>
      <c r="U217" s="531">
        <v>1854</v>
      </c>
      <c r="V217" s="353">
        <v>3666</v>
      </c>
      <c r="W217" s="275"/>
      <c r="X217" s="275"/>
      <c r="Y217" s="2" t="str">
        <f t="shared" si="67"/>
        <v/>
      </c>
      <c r="Z217" s="2" t="str">
        <f t="shared" si="66"/>
        <v/>
      </c>
      <c r="AA217" s="2" t="str">
        <f>IF(OR(ISBLANK(#REF!),ISBLANK(L217)),"",IF(AND(#REF!&gt;=L217,#REF!-L217&lt;=#REF!),(#REF!-L217)*$AK217,"!!!!"))</f>
        <v/>
      </c>
      <c r="AB217" s="2" t="str">
        <f t="shared" ref="AB217:AB248" si="82">IF(OR(ISBLANK(N217),ISBLANK(M217)),"",IF(AND(N217&gt;=M217,N217-M217&lt;=N217),(N217-M217)*$AK217,"!!!!"))</f>
        <v/>
      </c>
      <c r="AC217" s="2" t="str">
        <f t="shared" si="72"/>
        <v/>
      </c>
      <c r="AD217" s="2" t="str">
        <f t="shared" si="73"/>
        <v/>
      </c>
      <c r="AE217" s="2" t="str">
        <f t="shared" si="74"/>
        <v/>
      </c>
      <c r="AF217" s="2" t="str">
        <f t="shared" si="75"/>
        <v/>
      </c>
      <c r="AG217" s="2" t="str">
        <f t="shared" si="76"/>
        <v/>
      </c>
      <c r="AH217" s="271" t="str">
        <f t="shared" si="79"/>
        <v/>
      </c>
      <c r="AI217" s="2">
        <f t="shared" si="77"/>
        <v>1854</v>
      </c>
      <c r="AJ217" s="2">
        <f t="shared" si="78"/>
        <v>1812</v>
      </c>
      <c r="AK217" s="406">
        <v>1</v>
      </c>
      <c r="AL217" s="412">
        <f t="shared" ca="1" si="68"/>
        <v>0</v>
      </c>
      <c r="AM217" s="311">
        <f t="shared" ca="1" si="69"/>
        <v>0</v>
      </c>
      <c r="AN217" s="412" t="str">
        <f ca="1">IF(AND(Tabla7[[#This Row],[UltLec]]&lt;&gt;0,Tabla7[[#This Row],[PenLect]]&lt;&gt;0),(AM217-AL217)*Tabla7[[#This Row],[RT]],"N/A")</f>
        <v>N/A</v>
      </c>
      <c r="AO217" s="273" t="s">
        <v>862</v>
      </c>
      <c r="AP217" s="392" t="s">
        <v>1191</v>
      </c>
      <c r="AQ217" s="392" t="s">
        <v>818</v>
      </c>
      <c r="AR217" s="407">
        <f t="shared" si="70"/>
        <v>0</v>
      </c>
      <c r="AT217" s="2" t="e">
        <f t="shared" ca="1" si="71"/>
        <v>#VALUE!</v>
      </c>
      <c r="AV217">
        <f>IF(ISBLANK(Tabla7[[#This Row],[31/12/2017]]),0,Tabla7[[#This Row],[31/12/2017]])</f>
        <v>0</v>
      </c>
      <c r="AW217">
        <f>IF(ISBLANK(Tabla7[[#This Row],[15/01/2018]]),0,Tabla7[[#This Row],[15/01/2018]])</f>
        <v>0</v>
      </c>
      <c r="AX217">
        <f>IF(ISBLANK(Tabla7[[#This Row],[15/02/2018]]),0,Tabla7[[#This Row],[15/02/2018]])</f>
        <v>0</v>
      </c>
      <c r="AY217">
        <f>IF(ISBLANK(Tabla7[[#This Row],[15/03/2018]]),0,Tabla7[[#This Row],[15/03/2018]])</f>
        <v>0</v>
      </c>
      <c r="AZ217">
        <f>IF(ISBLANK(Tabla7[[#This Row],[15/04/2018]]),0,Tabla7[[#This Row],[15/04/2018]])</f>
        <v>0</v>
      </c>
      <c r="BA217">
        <f>IF(ISBLANK(Tabla7[[#This Row],[15/05/2018]]),0,Tabla7[[#This Row],[15/05/2018]])</f>
        <v>0</v>
      </c>
      <c r="BB217">
        <f>IF(ISBLANK(Tabla7[[#This Row],[15/06/2018]]),0,Tabla7[[#This Row],[15/06/2018]])</f>
        <v>0</v>
      </c>
      <c r="BC217">
        <f>IF(ISBLANK(Tabla7[[#This Row],[15/07/2018]]),0,Tabla7[[#This Row],[15/07/2018]])</f>
        <v>0</v>
      </c>
      <c r="BD217">
        <f>IF(ISBLANK(Tabla7[[#This Row],[15/08/2018]]),0,Tabla7[[#This Row],[15/08/2018]])</f>
        <v>0</v>
      </c>
      <c r="BE217">
        <f>IF(ISBLANK(Tabla7[[#This Row],[15/09/2018]]),0,Tabla7[[#This Row],[15/09/2018]])</f>
        <v>0</v>
      </c>
      <c r="BF217">
        <f>IF(ISBLANK(Tabla7[[#This Row],[15/10/2018]]),0,Tabla7[[#This Row],[15/10/2018]])</f>
        <v>0</v>
      </c>
      <c r="BG217">
        <f>IF(ISBLANK(Tabla7[[#This Row],[15/11/2018]]),0,Tabla7[[#This Row],[15/11/2018]])</f>
        <v>1854</v>
      </c>
      <c r="BH217">
        <f>IF(ISBLANK(Tabla7[[#This Row],[15/12/2018]]),0,Tabla7[[#This Row],[15/12/2018]])</f>
        <v>3666</v>
      </c>
      <c r="BI217">
        <f>IF(ISBLANK(Tabla7[[#This Row],[28/12/2018]]),0,Tabla7[[#This Row],[28/12/2018]])</f>
        <v>0</v>
      </c>
      <c r="BN21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('PM47AAF28D','V','VCDD','140','Q6.8 PILLER PANEL 3','CUADRO OKKEN','CUADDRO AUXILIAR','');</v>
      </c>
      <c r="BO217" t="s">
        <v>243</v>
      </c>
      <c r="BP217" s="632" t="str">
        <f>CONCATENATE("insert into lecturas values ","('",Tabla7[[#This Row],[CONTADOR]],"',STR_TO_DATE('",Tabla7[[#Headers],[31/12/2017]],"','%d/%m/%Y'),",AV217,"),","('",Tabla7[[#This Row],[CONTADOR]],"',STR_TO_DATE('",Tabla7[[#Headers],[15/01/2018]],"','%d/%m/%Y'),",AW217,"),","('",Tabla7[[#This Row],[CONTADOR]],"',STR_TO_DATE('",Tabla7[[#Headers],[15/02/2018]],"','%d/%m/%Y'),",AX217,"),","('",Tabla7[[#This Row],[CONTADOR]],"',STR_TO_DATE('",Tabla7[[#Headers],[15/03/2018]],"','%d/%m/%Y'),",AY217,"),","('",Tabla7[[#This Row],[CONTADOR]],"',STR_TO_DATE('",Tabla7[[#Headers],[15/04/2018]],"','%d/%m/%Y'),",AZ217,"),","('",Tabla7[[#This Row],[CONTADOR]],"',STR_TO_DATE('",Tabla7[[#Headers],[15/05/2018]],"','%d/%m/%Y'),",BA217,"),","('",Tabla7[[#This Row],[CONTADOR]],"',STR_TO_DATE('",Tabla7[[#Headers],[15/06/2018]],"','%d/%m/%Y'),",BB217,"),","('",Tabla7[[#This Row],[CONTADOR]],"',STR_TO_DATE('",Tabla7[[#Headers],[15/07/2018]],"','%d/%m/%Y'),",BC217,"),","('",Tabla7[[#This Row],[CONTADOR]],"',STR_TO_DATE('",Tabla7[[#Headers],[15/08/2018]],"','%d/%m/%Y'),",BD217,"),","('",Tabla7[[#This Row],[CONTADOR]],"',STR_TO_DATE('",Tabla7[[#Headers],[15/09/2018]],"','%d/%m/%Y'),",BE217,"),","('",Tabla7[[#This Row],[CONTADOR]],"',STR_TO_DATE('",Tabla7[[#Headers],[15/10/2018]],"','%d/%m/%Y'),",BF217,"),","('",Tabla7[[#This Row],[CONTADOR]],"',STR_TO_DATE('",Tabla7[[#Headers],[15/11/2018]],"','%d/%m/%Y'),",BG217,"),","('",Tabla7[[#This Row],[CONTADOR]],"',STR_TO_DATE('",Tabla7[[#Headers],[15/12/2018]],"','%d/%m/%Y'),",BH217,");")</f>
        <v>insert into lecturas values ('PM47AAF28D',STR_TO_DATE('31/12/2017','%d/%m/%Y'),0),('PM47AAF28D',STR_TO_DATE('15/01/2018','%d/%m/%Y'),0),('PM47AAF28D',STR_TO_DATE('15/02/2018','%d/%m/%Y'),0),('PM47AAF28D',STR_TO_DATE('15/03/2018','%d/%m/%Y'),0),('PM47AAF28D',STR_TO_DATE('15/04/2018','%d/%m/%Y'),0),('PM47AAF28D',STR_TO_DATE('15/05/2018','%d/%m/%Y'),0),('PM47AAF28D',STR_TO_DATE('15/06/2018','%d/%m/%Y'),0),('PM47AAF28D',STR_TO_DATE('15/07/2018','%d/%m/%Y'),0),('PM47AAF28D',STR_TO_DATE('15/08/2018','%d/%m/%Y'),0),('PM47AAF28D',STR_TO_DATE('15/09/2018','%d/%m/%Y'),0),('PM47AAF28D',STR_TO_DATE('15/10/2018','%d/%m/%Y'),0),('PM47AAF28D',STR_TO_DATE('15/11/2018','%d/%m/%Y'),1854),('PM47AAF28D',STR_TO_DATE('15/12/2018','%d/%m/%Y'),3666);</v>
      </c>
    </row>
    <row r="218" spans="1:68" ht="18" customHeight="1" x14ac:dyDescent="0.25">
      <c r="A218" s="241" t="s">
        <v>19</v>
      </c>
      <c r="B218" s="60"/>
      <c r="C218" s="223" t="s">
        <v>1461</v>
      </c>
      <c r="D218" s="60" t="s">
        <v>323</v>
      </c>
      <c r="E218" s="583">
        <v>39648</v>
      </c>
      <c r="F218" s="275" t="s">
        <v>1335</v>
      </c>
      <c r="G218" s="2" t="s">
        <v>327</v>
      </c>
      <c r="H218" s="2" t="s">
        <v>328</v>
      </c>
      <c r="I218" s="274"/>
      <c r="J218" s="311"/>
      <c r="K218" s="311"/>
      <c r="L218" s="274"/>
      <c r="M218" s="311"/>
      <c r="N218" s="311"/>
      <c r="O218" s="311"/>
      <c r="P218" s="1"/>
      <c r="Q218" s="2"/>
      <c r="R218" s="311"/>
      <c r="S218" s="311"/>
      <c r="T218" s="311">
        <v>0</v>
      </c>
      <c r="U218" s="531">
        <v>4028</v>
      </c>
      <c r="V218" s="353">
        <v>8055</v>
      </c>
      <c r="W218" s="275"/>
      <c r="X218" s="275"/>
      <c r="Y218" s="2" t="str">
        <f t="shared" si="67"/>
        <v/>
      </c>
      <c r="Z218" s="2" t="str">
        <f t="shared" si="66"/>
        <v/>
      </c>
      <c r="AA218" s="2" t="str">
        <f t="shared" ref="AA218:AA249" si="83">IF(OR(ISBLANK(M218),ISBLANK(L218)),"",IF(AND(M218&gt;=L218,M218-L218&lt;=M218),(M218-L218)*$AK218,"!!!!"))</f>
        <v/>
      </c>
      <c r="AB218" s="2" t="str">
        <f t="shared" si="82"/>
        <v/>
      </c>
      <c r="AC218" s="2" t="str">
        <f t="shared" si="72"/>
        <v/>
      </c>
      <c r="AD218" s="2" t="str">
        <f t="shared" si="73"/>
        <v/>
      </c>
      <c r="AE218" s="2" t="str">
        <f t="shared" si="74"/>
        <v/>
      </c>
      <c r="AF218" s="2" t="str">
        <f t="shared" si="75"/>
        <v/>
      </c>
      <c r="AG218" s="2" t="str">
        <f t="shared" si="76"/>
        <v/>
      </c>
      <c r="AH218" s="2" t="str">
        <f t="shared" si="79"/>
        <v/>
      </c>
      <c r="AI218" s="2">
        <f t="shared" si="77"/>
        <v>4028</v>
      </c>
      <c r="AJ218" s="2">
        <f t="shared" si="78"/>
        <v>4027</v>
      </c>
      <c r="AK218" s="406">
        <v>1</v>
      </c>
      <c r="AL218" s="274">
        <f t="shared" ca="1" si="68"/>
        <v>0</v>
      </c>
      <c r="AM218" s="311">
        <f t="shared" ca="1" si="69"/>
        <v>0</v>
      </c>
      <c r="AN218" s="274" t="str">
        <f ca="1">IF(AND(Tabla7[[#This Row],[UltLec]]&lt;&gt;0,Tabla7[[#This Row],[PenLect]]&lt;&gt;0),(AM218-AL218)*Tabla7[[#This Row],[RT]],"N/A")</f>
        <v>N/A</v>
      </c>
      <c r="AO218" s="273" t="s">
        <v>862</v>
      </c>
      <c r="AP218" s="392" t="s">
        <v>1191</v>
      </c>
      <c r="AQ218" s="392" t="s">
        <v>818</v>
      </c>
      <c r="AR218" s="407">
        <f t="shared" si="70"/>
        <v>0</v>
      </c>
      <c r="AT218" s="2" t="e">
        <f t="shared" ca="1" si="71"/>
        <v>#VALUE!</v>
      </c>
      <c r="AV218">
        <f>IF(ISBLANK(Tabla7[[#This Row],[31/12/2017]]),0,Tabla7[[#This Row],[31/12/2017]])</f>
        <v>0</v>
      </c>
      <c r="AW218">
        <f>IF(ISBLANK(Tabla7[[#This Row],[15/01/2018]]),0,Tabla7[[#This Row],[15/01/2018]])</f>
        <v>0</v>
      </c>
      <c r="AX218">
        <f>IF(ISBLANK(Tabla7[[#This Row],[15/02/2018]]),0,Tabla7[[#This Row],[15/02/2018]])</f>
        <v>0</v>
      </c>
      <c r="AY218">
        <f>IF(ISBLANK(Tabla7[[#This Row],[15/03/2018]]),0,Tabla7[[#This Row],[15/03/2018]])</f>
        <v>0</v>
      </c>
      <c r="AZ218">
        <f>IF(ISBLANK(Tabla7[[#This Row],[15/04/2018]]),0,Tabla7[[#This Row],[15/04/2018]])</f>
        <v>0</v>
      </c>
      <c r="BA218">
        <f>IF(ISBLANK(Tabla7[[#This Row],[15/05/2018]]),0,Tabla7[[#This Row],[15/05/2018]])</f>
        <v>0</v>
      </c>
      <c r="BB218">
        <f>IF(ISBLANK(Tabla7[[#This Row],[15/06/2018]]),0,Tabla7[[#This Row],[15/06/2018]])</f>
        <v>0</v>
      </c>
      <c r="BC218">
        <f>IF(ISBLANK(Tabla7[[#This Row],[15/07/2018]]),0,Tabla7[[#This Row],[15/07/2018]])</f>
        <v>0</v>
      </c>
      <c r="BD218">
        <f>IF(ISBLANK(Tabla7[[#This Row],[15/08/2018]]),0,Tabla7[[#This Row],[15/08/2018]])</f>
        <v>0</v>
      </c>
      <c r="BE218">
        <f>IF(ISBLANK(Tabla7[[#This Row],[15/09/2018]]),0,Tabla7[[#This Row],[15/09/2018]])</f>
        <v>0</v>
      </c>
      <c r="BF218">
        <f>IF(ISBLANK(Tabla7[[#This Row],[15/10/2018]]),0,Tabla7[[#This Row],[15/10/2018]])</f>
        <v>0</v>
      </c>
      <c r="BG218">
        <f>IF(ISBLANK(Tabla7[[#This Row],[15/11/2018]]),0,Tabla7[[#This Row],[15/11/2018]])</f>
        <v>4028</v>
      </c>
      <c r="BH218">
        <f>IF(ISBLANK(Tabla7[[#This Row],[15/12/2018]]),0,Tabla7[[#This Row],[15/12/2018]])</f>
        <v>8055</v>
      </c>
      <c r="BI218">
        <f>IF(ISBLANK(Tabla7[[#This Row],[28/12/2018]]),0,Tabla7[[#This Row],[28/12/2018]])</f>
        <v>0</v>
      </c>
      <c r="BN21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('PM47AAF973','V','VCDD','39648','V.P.I  Q12 - OFICINAS FASE I (SAI)','CUADRO OKKEN','EDIF.I','');</v>
      </c>
      <c r="BO218" t="s">
        <v>243</v>
      </c>
      <c r="BP218" s="632" t="str">
        <f>CONCATENATE("insert into lecturas values ","('",Tabla7[[#This Row],[CONTADOR]],"',STR_TO_DATE('",Tabla7[[#Headers],[31/12/2017]],"','%d/%m/%Y'),",AV218,"),","('",Tabla7[[#This Row],[CONTADOR]],"',STR_TO_DATE('",Tabla7[[#Headers],[15/01/2018]],"','%d/%m/%Y'),",AW218,"),","('",Tabla7[[#This Row],[CONTADOR]],"',STR_TO_DATE('",Tabla7[[#Headers],[15/02/2018]],"','%d/%m/%Y'),",AX218,"),","('",Tabla7[[#This Row],[CONTADOR]],"',STR_TO_DATE('",Tabla7[[#Headers],[15/03/2018]],"','%d/%m/%Y'),",AY218,"),","('",Tabla7[[#This Row],[CONTADOR]],"',STR_TO_DATE('",Tabla7[[#Headers],[15/04/2018]],"','%d/%m/%Y'),",AZ218,"),","('",Tabla7[[#This Row],[CONTADOR]],"',STR_TO_DATE('",Tabla7[[#Headers],[15/05/2018]],"','%d/%m/%Y'),",BA218,"),","('",Tabla7[[#This Row],[CONTADOR]],"',STR_TO_DATE('",Tabla7[[#Headers],[15/06/2018]],"','%d/%m/%Y'),",BB218,"),","('",Tabla7[[#This Row],[CONTADOR]],"',STR_TO_DATE('",Tabla7[[#Headers],[15/07/2018]],"','%d/%m/%Y'),",BC218,"),","('",Tabla7[[#This Row],[CONTADOR]],"',STR_TO_DATE('",Tabla7[[#Headers],[15/08/2018]],"','%d/%m/%Y'),",BD218,"),","('",Tabla7[[#This Row],[CONTADOR]],"',STR_TO_DATE('",Tabla7[[#Headers],[15/09/2018]],"','%d/%m/%Y'),",BE218,"),","('",Tabla7[[#This Row],[CONTADOR]],"',STR_TO_DATE('",Tabla7[[#Headers],[15/10/2018]],"','%d/%m/%Y'),",BF218,"),","('",Tabla7[[#This Row],[CONTADOR]],"',STR_TO_DATE('",Tabla7[[#Headers],[15/11/2018]],"','%d/%m/%Y'),",BG218,"),","('",Tabla7[[#This Row],[CONTADOR]],"',STR_TO_DATE('",Tabla7[[#Headers],[15/12/2018]],"','%d/%m/%Y'),",BH218,");")</f>
        <v>insert into lecturas values ('PM47AAF973',STR_TO_DATE('31/12/2017','%d/%m/%Y'),0),('PM47AAF973',STR_TO_DATE('15/01/2018','%d/%m/%Y'),0),('PM47AAF973',STR_TO_DATE('15/02/2018','%d/%m/%Y'),0),('PM47AAF973',STR_TO_DATE('15/03/2018','%d/%m/%Y'),0),('PM47AAF973',STR_TO_DATE('15/04/2018','%d/%m/%Y'),0),('PM47AAF973',STR_TO_DATE('15/05/2018','%d/%m/%Y'),0),('PM47AAF973',STR_TO_DATE('15/06/2018','%d/%m/%Y'),0),('PM47AAF973',STR_TO_DATE('15/07/2018','%d/%m/%Y'),0),('PM47AAF973',STR_TO_DATE('15/08/2018','%d/%m/%Y'),0),('PM47AAF973',STR_TO_DATE('15/09/2018','%d/%m/%Y'),0),('PM47AAF973',STR_TO_DATE('15/10/2018','%d/%m/%Y'),0),('PM47AAF973',STR_TO_DATE('15/11/2018','%d/%m/%Y'),4028),('PM47AAF973',STR_TO_DATE('15/12/2018','%d/%m/%Y'),8055);</v>
      </c>
    </row>
    <row r="219" spans="1:68" ht="18.75" customHeight="1" x14ac:dyDescent="0.25">
      <c r="A219" s="362" t="s">
        <v>739</v>
      </c>
      <c r="B219" s="60"/>
      <c r="C219" s="363" t="s">
        <v>348</v>
      </c>
      <c r="D219" s="364" t="s">
        <v>323</v>
      </c>
      <c r="E219" s="365">
        <v>1</v>
      </c>
      <c r="F219" s="367" t="s">
        <v>349</v>
      </c>
      <c r="G219" s="367" t="s">
        <v>350</v>
      </c>
      <c r="H219" s="367"/>
      <c r="I219" s="366"/>
      <c r="J219" s="368"/>
      <c r="K219" s="368"/>
      <c r="L219" s="368"/>
      <c r="M219" s="368"/>
      <c r="N219" s="368"/>
      <c r="O219" s="368"/>
      <c r="P219" s="368"/>
      <c r="Q219" s="368"/>
      <c r="R219" s="368"/>
      <c r="S219" s="368"/>
      <c r="T219" s="366"/>
      <c r="U219" s="614"/>
      <c r="V219" s="367"/>
      <c r="W219" s="367"/>
      <c r="X219" s="367"/>
      <c r="Y219" s="367" t="str">
        <f t="shared" si="67"/>
        <v/>
      </c>
      <c r="Z219" s="367" t="str">
        <f t="shared" si="66"/>
        <v/>
      </c>
      <c r="AA219" s="367" t="str">
        <f t="shared" si="83"/>
        <v/>
      </c>
      <c r="AB219" s="367" t="str">
        <f t="shared" si="82"/>
        <v/>
      </c>
      <c r="AC219" s="367" t="str">
        <f t="shared" si="72"/>
        <v/>
      </c>
      <c r="AD219" s="367" t="str">
        <f t="shared" si="73"/>
        <v/>
      </c>
      <c r="AE219" s="367" t="str">
        <f t="shared" si="74"/>
        <v/>
      </c>
      <c r="AF219" s="367" t="str">
        <f t="shared" si="75"/>
        <v/>
      </c>
      <c r="AG219" s="367" t="str">
        <f t="shared" si="76"/>
        <v/>
      </c>
      <c r="AH219" s="367" t="str">
        <f t="shared" si="79"/>
        <v/>
      </c>
      <c r="AI219" s="367" t="str">
        <f t="shared" si="77"/>
        <v/>
      </c>
      <c r="AJ219" s="367" t="str">
        <f t="shared" si="78"/>
        <v/>
      </c>
      <c r="AK219" s="414">
        <v>1</v>
      </c>
      <c r="AL219" s="366">
        <f t="shared" ca="1" si="68"/>
        <v>0</v>
      </c>
      <c r="AM219" s="368">
        <f t="shared" ca="1" si="69"/>
        <v>0</v>
      </c>
      <c r="AN219" s="366" t="str">
        <f ca="1">IF(AND(Tabla7[[#This Row],[UltLec]]&lt;&gt;0,Tabla7[[#This Row],[PenLect]]&lt;&gt;0),(AM219-AL219)*Tabla7[[#This Row],[RT]],"N/A")</f>
        <v>N/A</v>
      </c>
      <c r="AO219" s="370"/>
      <c r="AP219" s="436" t="s">
        <v>1191</v>
      </c>
      <c r="AQ219" s="436" t="s">
        <v>818</v>
      </c>
      <c r="AR219" s="415">
        <f t="shared" si="70"/>
        <v>0</v>
      </c>
      <c r="AT219" s="2" t="e">
        <f t="shared" ca="1" si="71"/>
        <v>#VALUE!</v>
      </c>
      <c r="AV219">
        <f>IF(ISBLANK(Tabla7[[#This Row],[31/12/2017]]),0,Tabla7[[#This Row],[31/12/2017]])</f>
        <v>0</v>
      </c>
      <c r="AW219">
        <f>IF(ISBLANK(Tabla7[[#This Row],[15/01/2018]]),0,Tabla7[[#This Row],[15/01/2018]])</f>
        <v>0</v>
      </c>
      <c r="AX219">
        <f>IF(ISBLANK(Tabla7[[#This Row],[15/02/2018]]),0,Tabla7[[#This Row],[15/02/2018]])</f>
        <v>0</v>
      </c>
      <c r="AY219">
        <f>IF(ISBLANK(Tabla7[[#This Row],[15/03/2018]]),0,Tabla7[[#This Row],[15/03/2018]])</f>
        <v>0</v>
      </c>
      <c r="AZ219">
        <f>IF(ISBLANK(Tabla7[[#This Row],[15/04/2018]]),0,Tabla7[[#This Row],[15/04/2018]])</f>
        <v>0</v>
      </c>
      <c r="BA219">
        <f>IF(ISBLANK(Tabla7[[#This Row],[15/05/2018]]),0,Tabla7[[#This Row],[15/05/2018]])</f>
        <v>0</v>
      </c>
      <c r="BB219">
        <f>IF(ISBLANK(Tabla7[[#This Row],[15/06/2018]]),0,Tabla7[[#This Row],[15/06/2018]])</f>
        <v>0</v>
      </c>
      <c r="BC219">
        <f>IF(ISBLANK(Tabla7[[#This Row],[15/07/2018]]),0,Tabla7[[#This Row],[15/07/2018]])</f>
        <v>0</v>
      </c>
      <c r="BD219">
        <f>IF(ISBLANK(Tabla7[[#This Row],[15/08/2018]]),0,Tabla7[[#This Row],[15/08/2018]])</f>
        <v>0</v>
      </c>
      <c r="BE219">
        <f>IF(ISBLANK(Tabla7[[#This Row],[15/09/2018]]),0,Tabla7[[#This Row],[15/09/2018]])</f>
        <v>0</v>
      </c>
      <c r="BF219">
        <f>IF(ISBLANK(Tabla7[[#This Row],[15/10/2018]]),0,Tabla7[[#This Row],[15/10/2018]])</f>
        <v>0</v>
      </c>
      <c r="BG219">
        <f>IF(ISBLANK(Tabla7[[#This Row],[15/11/2018]]),0,Tabla7[[#This Row],[15/11/2018]])</f>
        <v>0</v>
      </c>
      <c r="BH219">
        <f>IF(ISBLANK(Tabla7[[#This Row],[15/12/2018]]),0,Tabla7[[#This Row],[15/12/2018]])</f>
        <v>0</v>
      </c>
      <c r="BI219">
        <f>IF(ISBLANK(Tabla7[[#This Row],[28/12/2018]]),0,Tabla7[[#This Row],[28/12/2018]])</f>
        <v>0</v>
      </c>
      <c r="BN21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('QA1-VPM20909','VREP','VCDD','1','CPD','SALA A CPD','','');</v>
      </c>
      <c r="BO219" t="s">
        <v>243</v>
      </c>
      <c r="BP219" s="632" t="str">
        <f>CONCATENATE("insert into lecturas values ","('",Tabla7[[#This Row],[CONTADOR]],"',STR_TO_DATE('",Tabla7[[#Headers],[31/12/2017]],"','%d/%m/%Y'),",AV219,"),","('",Tabla7[[#This Row],[CONTADOR]],"',STR_TO_DATE('",Tabla7[[#Headers],[15/01/2018]],"','%d/%m/%Y'),",AW219,"),","('",Tabla7[[#This Row],[CONTADOR]],"',STR_TO_DATE('",Tabla7[[#Headers],[15/02/2018]],"','%d/%m/%Y'),",AX219,"),","('",Tabla7[[#This Row],[CONTADOR]],"',STR_TO_DATE('",Tabla7[[#Headers],[15/03/2018]],"','%d/%m/%Y'),",AY219,"),","('",Tabla7[[#This Row],[CONTADOR]],"',STR_TO_DATE('",Tabla7[[#Headers],[15/04/2018]],"','%d/%m/%Y'),",AZ219,"),","('",Tabla7[[#This Row],[CONTADOR]],"',STR_TO_DATE('",Tabla7[[#Headers],[15/05/2018]],"','%d/%m/%Y'),",BA219,"),","('",Tabla7[[#This Row],[CONTADOR]],"',STR_TO_DATE('",Tabla7[[#Headers],[15/06/2018]],"','%d/%m/%Y'),",BB219,"),","('",Tabla7[[#This Row],[CONTADOR]],"',STR_TO_DATE('",Tabla7[[#Headers],[15/07/2018]],"','%d/%m/%Y'),",BC219,"),","('",Tabla7[[#This Row],[CONTADOR]],"',STR_TO_DATE('",Tabla7[[#Headers],[15/08/2018]],"','%d/%m/%Y'),",BD219,"),","('",Tabla7[[#This Row],[CONTADOR]],"',STR_TO_DATE('",Tabla7[[#Headers],[15/09/2018]],"','%d/%m/%Y'),",BE219,"),","('",Tabla7[[#This Row],[CONTADOR]],"',STR_TO_DATE('",Tabla7[[#Headers],[15/10/2018]],"','%d/%m/%Y'),",BF219,"),","('",Tabla7[[#This Row],[CONTADOR]],"',STR_TO_DATE('",Tabla7[[#Headers],[15/11/2018]],"','%d/%m/%Y'),",BG219,"),","('",Tabla7[[#This Row],[CONTADOR]],"',STR_TO_DATE('",Tabla7[[#Headers],[15/12/2018]],"','%d/%m/%Y'),",BH219,");")</f>
        <v>insert into lecturas values ('QA1-VPM20909',STR_TO_DATE('31/12/2017','%d/%m/%Y'),0),('QA1-VPM20909',STR_TO_DATE('15/01/2018','%d/%m/%Y'),0),('QA1-VPM20909',STR_TO_DATE('15/02/2018','%d/%m/%Y'),0),('QA1-VPM20909',STR_TO_DATE('15/03/2018','%d/%m/%Y'),0),('QA1-VPM20909',STR_TO_DATE('15/04/2018','%d/%m/%Y'),0),('QA1-VPM20909',STR_TO_DATE('15/05/2018','%d/%m/%Y'),0),('QA1-VPM20909',STR_TO_DATE('15/06/2018','%d/%m/%Y'),0),('QA1-VPM20909',STR_TO_DATE('15/07/2018','%d/%m/%Y'),0),('QA1-VPM20909',STR_TO_DATE('15/08/2018','%d/%m/%Y'),0),('QA1-VPM20909',STR_TO_DATE('15/09/2018','%d/%m/%Y'),0),('QA1-VPM20909',STR_TO_DATE('15/10/2018','%d/%m/%Y'),0),('QA1-VPM20909',STR_TO_DATE('15/11/2018','%d/%m/%Y'),0),('QA1-VPM20909',STR_TO_DATE('15/12/2018','%d/%m/%Y'),0);</v>
      </c>
    </row>
    <row r="220" spans="1:68" ht="18.75" customHeight="1" x14ac:dyDescent="0.25">
      <c r="A220" s="362" t="s">
        <v>739</v>
      </c>
      <c r="B220" s="60"/>
      <c r="C220" s="363" t="s">
        <v>351</v>
      </c>
      <c r="D220" s="364" t="s">
        <v>323</v>
      </c>
      <c r="E220" s="365">
        <v>1</v>
      </c>
      <c r="F220" s="367" t="s">
        <v>349</v>
      </c>
      <c r="G220" s="367" t="s">
        <v>352</v>
      </c>
      <c r="H220" s="367"/>
      <c r="I220" s="366"/>
      <c r="J220" s="368"/>
      <c r="K220" s="368"/>
      <c r="L220" s="368"/>
      <c r="M220" s="368"/>
      <c r="N220" s="368"/>
      <c r="O220" s="368"/>
      <c r="P220" s="368"/>
      <c r="Q220" s="368"/>
      <c r="R220" s="368"/>
      <c r="S220" s="368"/>
      <c r="T220" s="367"/>
      <c r="U220" s="614"/>
      <c r="V220" s="367"/>
      <c r="W220" s="367"/>
      <c r="X220" s="367"/>
      <c r="Y220" s="367" t="str">
        <f t="shared" si="67"/>
        <v/>
      </c>
      <c r="Z220" s="367" t="str">
        <f t="shared" si="66"/>
        <v/>
      </c>
      <c r="AA220" s="367" t="str">
        <f t="shared" si="83"/>
        <v/>
      </c>
      <c r="AB220" s="367" t="str">
        <f t="shared" si="82"/>
        <v/>
      </c>
      <c r="AC220" s="367" t="str">
        <f t="shared" si="72"/>
        <v/>
      </c>
      <c r="AD220" s="367" t="str">
        <f t="shared" si="73"/>
        <v/>
      </c>
      <c r="AE220" s="367" t="str">
        <f t="shared" si="74"/>
        <v/>
      </c>
      <c r="AF220" s="367" t="str">
        <f t="shared" si="75"/>
        <v/>
      </c>
      <c r="AG220" s="367" t="str">
        <f t="shared" si="76"/>
        <v/>
      </c>
      <c r="AH220" s="367" t="str">
        <f t="shared" si="79"/>
        <v/>
      </c>
      <c r="AI220" s="367" t="str">
        <f t="shared" si="77"/>
        <v/>
      </c>
      <c r="AJ220" s="367" t="str">
        <f t="shared" si="78"/>
        <v/>
      </c>
      <c r="AK220" s="414">
        <v>1</v>
      </c>
      <c r="AL220" s="366">
        <f t="shared" ca="1" si="68"/>
        <v>0</v>
      </c>
      <c r="AM220" s="368">
        <f t="shared" ca="1" si="69"/>
        <v>0</v>
      </c>
      <c r="AN220" s="366" t="str">
        <f ca="1">IF(AND(Tabla7[[#This Row],[UltLec]]&lt;&gt;0,Tabla7[[#This Row],[PenLect]]&lt;&gt;0),(AM220-AL220)*Tabla7[[#This Row],[RT]],"N/A")</f>
        <v>N/A</v>
      </c>
      <c r="AO220" s="370"/>
      <c r="AP220" s="436" t="s">
        <v>1191</v>
      </c>
      <c r="AQ220" s="436" t="s">
        <v>818</v>
      </c>
      <c r="AR220" s="415">
        <f t="shared" si="70"/>
        <v>0</v>
      </c>
      <c r="AT220" s="2" t="e">
        <f t="shared" ca="1" si="71"/>
        <v>#VALUE!</v>
      </c>
      <c r="AV220">
        <f>IF(ISBLANK(Tabla7[[#This Row],[31/12/2017]]),0,Tabla7[[#This Row],[31/12/2017]])</f>
        <v>0</v>
      </c>
      <c r="AW220">
        <f>IF(ISBLANK(Tabla7[[#This Row],[15/01/2018]]),0,Tabla7[[#This Row],[15/01/2018]])</f>
        <v>0</v>
      </c>
      <c r="AX220">
        <f>IF(ISBLANK(Tabla7[[#This Row],[15/02/2018]]),0,Tabla7[[#This Row],[15/02/2018]])</f>
        <v>0</v>
      </c>
      <c r="AY220">
        <f>IF(ISBLANK(Tabla7[[#This Row],[15/03/2018]]),0,Tabla7[[#This Row],[15/03/2018]])</f>
        <v>0</v>
      </c>
      <c r="AZ220">
        <f>IF(ISBLANK(Tabla7[[#This Row],[15/04/2018]]),0,Tabla7[[#This Row],[15/04/2018]])</f>
        <v>0</v>
      </c>
      <c r="BA220">
        <f>IF(ISBLANK(Tabla7[[#This Row],[15/05/2018]]),0,Tabla7[[#This Row],[15/05/2018]])</f>
        <v>0</v>
      </c>
      <c r="BB220">
        <f>IF(ISBLANK(Tabla7[[#This Row],[15/06/2018]]),0,Tabla7[[#This Row],[15/06/2018]])</f>
        <v>0</v>
      </c>
      <c r="BC220">
        <f>IF(ISBLANK(Tabla7[[#This Row],[15/07/2018]]),0,Tabla7[[#This Row],[15/07/2018]])</f>
        <v>0</v>
      </c>
      <c r="BD220">
        <f>IF(ISBLANK(Tabla7[[#This Row],[15/08/2018]]),0,Tabla7[[#This Row],[15/08/2018]])</f>
        <v>0</v>
      </c>
      <c r="BE220">
        <f>IF(ISBLANK(Tabla7[[#This Row],[15/09/2018]]),0,Tabla7[[#This Row],[15/09/2018]])</f>
        <v>0</v>
      </c>
      <c r="BF220">
        <f>IF(ISBLANK(Tabla7[[#This Row],[15/10/2018]]),0,Tabla7[[#This Row],[15/10/2018]])</f>
        <v>0</v>
      </c>
      <c r="BG220">
        <f>IF(ISBLANK(Tabla7[[#This Row],[15/11/2018]]),0,Tabla7[[#This Row],[15/11/2018]])</f>
        <v>0</v>
      </c>
      <c r="BH220">
        <f>IF(ISBLANK(Tabla7[[#This Row],[15/12/2018]]),0,Tabla7[[#This Row],[15/12/2018]])</f>
        <v>0</v>
      </c>
      <c r="BI220">
        <f>IF(ISBLANK(Tabla7[[#This Row],[28/12/2018]]),0,Tabla7[[#This Row],[28/12/2018]])</f>
        <v>0</v>
      </c>
      <c r="BN22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('QB1-VPM20908','VREP','VCDD','1','CPD','SALA B CPD','','');</v>
      </c>
      <c r="BO220" t="s">
        <v>243</v>
      </c>
      <c r="BP220" s="632" t="str">
        <f>CONCATENATE("insert into lecturas values ","('",Tabla7[[#This Row],[CONTADOR]],"',STR_TO_DATE('",Tabla7[[#Headers],[31/12/2017]],"','%d/%m/%Y'),",AV220,"),","('",Tabla7[[#This Row],[CONTADOR]],"',STR_TO_DATE('",Tabla7[[#Headers],[15/01/2018]],"','%d/%m/%Y'),",AW220,"),","('",Tabla7[[#This Row],[CONTADOR]],"',STR_TO_DATE('",Tabla7[[#Headers],[15/02/2018]],"','%d/%m/%Y'),",AX220,"),","('",Tabla7[[#This Row],[CONTADOR]],"',STR_TO_DATE('",Tabla7[[#Headers],[15/03/2018]],"','%d/%m/%Y'),",AY220,"),","('",Tabla7[[#This Row],[CONTADOR]],"',STR_TO_DATE('",Tabla7[[#Headers],[15/04/2018]],"','%d/%m/%Y'),",AZ220,"),","('",Tabla7[[#This Row],[CONTADOR]],"',STR_TO_DATE('",Tabla7[[#Headers],[15/05/2018]],"','%d/%m/%Y'),",BA220,"),","('",Tabla7[[#This Row],[CONTADOR]],"',STR_TO_DATE('",Tabla7[[#Headers],[15/06/2018]],"','%d/%m/%Y'),",BB220,"),","('",Tabla7[[#This Row],[CONTADOR]],"',STR_TO_DATE('",Tabla7[[#Headers],[15/07/2018]],"','%d/%m/%Y'),",BC220,"),","('",Tabla7[[#This Row],[CONTADOR]],"',STR_TO_DATE('",Tabla7[[#Headers],[15/08/2018]],"','%d/%m/%Y'),",BD220,"),","('",Tabla7[[#This Row],[CONTADOR]],"',STR_TO_DATE('",Tabla7[[#Headers],[15/09/2018]],"','%d/%m/%Y'),",BE220,"),","('",Tabla7[[#This Row],[CONTADOR]],"',STR_TO_DATE('",Tabla7[[#Headers],[15/10/2018]],"','%d/%m/%Y'),",BF220,"),","('",Tabla7[[#This Row],[CONTADOR]],"',STR_TO_DATE('",Tabla7[[#Headers],[15/11/2018]],"','%d/%m/%Y'),",BG220,"),","('",Tabla7[[#This Row],[CONTADOR]],"',STR_TO_DATE('",Tabla7[[#Headers],[15/12/2018]],"','%d/%m/%Y'),",BH220,");")</f>
        <v>insert into lecturas values ('QB1-VPM20908',STR_TO_DATE('31/12/2017','%d/%m/%Y'),0),('QB1-VPM20908',STR_TO_DATE('15/01/2018','%d/%m/%Y'),0),('QB1-VPM20908',STR_TO_DATE('15/02/2018','%d/%m/%Y'),0),('QB1-VPM20908',STR_TO_DATE('15/03/2018','%d/%m/%Y'),0),('QB1-VPM20908',STR_TO_DATE('15/04/2018','%d/%m/%Y'),0),('QB1-VPM20908',STR_TO_DATE('15/05/2018','%d/%m/%Y'),0),('QB1-VPM20908',STR_TO_DATE('15/06/2018','%d/%m/%Y'),0),('QB1-VPM20908',STR_TO_DATE('15/07/2018','%d/%m/%Y'),0),('QB1-VPM20908',STR_TO_DATE('15/08/2018','%d/%m/%Y'),0),('QB1-VPM20908',STR_TO_DATE('15/09/2018','%d/%m/%Y'),0),('QB1-VPM20908',STR_TO_DATE('15/10/2018','%d/%m/%Y'),0),('QB1-VPM20908',STR_TO_DATE('15/11/2018','%d/%m/%Y'),0),('QB1-VPM20908',STR_TO_DATE('15/12/2018','%d/%m/%Y'),0);</v>
      </c>
    </row>
    <row r="221" spans="1:68" ht="18.75" customHeight="1" x14ac:dyDescent="0.25">
      <c r="A221" s="362" t="s">
        <v>739</v>
      </c>
      <c r="B221" s="60"/>
      <c r="C221" s="363" t="s">
        <v>341</v>
      </c>
      <c r="D221" s="364" t="s">
        <v>323</v>
      </c>
      <c r="E221" s="365">
        <v>1</v>
      </c>
      <c r="F221" s="367" t="s">
        <v>342</v>
      </c>
      <c r="G221" s="367" t="s">
        <v>1099</v>
      </c>
      <c r="H221" s="367" t="s">
        <v>343</v>
      </c>
      <c r="I221" s="366"/>
      <c r="J221" s="368">
        <v>2333</v>
      </c>
      <c r="K221" s="368">
        <v>2350</v>
      </c>
      <c r="L221" s="368">
        <v>2373</v>
      </c>
      <c r="M221" s="368">
        <v>2397</v>
      </c>
      <c r="N221" s="368">
        <v>2425</v>
      </c>
      <c r="O221" s="368">
        <v>2469</v>
      </c>
      <c r="P221" s="368">
        <v>2500</v>
      </c>
      <c r="Q221" s="368">
        <v>2502</v>
      </c>
      <c r="R221" s="368">
        <v>2502</v>
      </c>
      <c r="S221" s="368">
        <v>2502</v>
      </c>
      <c r="T221" s="368">
        <v>2507</v>
      </c>
      <c r="U221" s="614">
        <v>2507</v>
      </c>
      <c r="V221" s="366"/>
      <c r="W221" s="367"/>
      <c r="X221" s="367"/>
      <c r="Y221" s="367">
        <f t="shared" si="67"/>
        <v>17</v>
      </c>
      <c r="Z221" s="367">
        <f t="shared" si="66"/>
        <v>23</v>
      </c>
      <c r="AA221" s="367">
        <f t="shared" si="83"/>
        <v>24</v>
      </c>
      <c r="AB221" s="367">
        <f t="shared" si="82"/>
        <v>28</v>
      </c>
      <c r="AC221" s="367">
        <f t="shared" si="72"/>
        <v>44</v>
      </c>
      <c r="AD221" s="367">
        <f t="shared" si="73"/>
        <v>31</v>
      </c>
      <c r="AE221" s="367">
        <f t="shared" si="74"/>
        <v>2</v>
      </c>
      <c r="AF221" s="367">
        <f t="shared" si="75"/>
        <v>0</v>
      </c>
      <c r="AG221" s="367">
        <f t="shared" si="76"/>
        <v>0</v>
      </c>
      <c r="AH221" s="367">
        <f t="shared" si="79"/>
        <v>5</v>
      </c>
      <c r="AI221" s="367">
        <f t="shared" si="77"/>
        <v>0</v>
      </c>
      <c r="AJ221" s="367" t="str">
        <f t="shared" si="78"/>
        <v/>
      </c>
      <c r="AK221" s="414">
        <v>1</v>
      </c>
      <c r="AL221" s="366">
        <f t="shared" ca="1" si="68"/>
        <v>2425</v>
      </c>
      <c r="AM221" s="368">
        <f t="shared" ca="1" si="69"/>
        <v>2469</v>
      </c>
      <c r="AN221" s="366">
        <f ca="1">IF(AND(Tabla7[[#This Row],[UltLec]]&lt;&gt;0,Tabla7[[#This Row],[PenLect]]&lt;&gt;0),(AM221-AL221)*Tabla7[[#This Row],[RT]],"N/A")</f>
        <v>44</v>
      </c>
      <c r="AO221" s="370" t="s">
        <v>862</v>
      </c>
      <c r="AP221" s="436" t="s">
        <v>1190</v>
      </c>
      <c r="AQ221" s="436" t="s">
        <v>1189</v>
      </c>
      <c r="AR221" s="415">
        <f t="shared" si="70"/>
        <v>0</v>
      </c>
      <c r="AT221" s="2">
        <f t="shared" ca="1" si="71"/>
        <v>1.5714285714285714</v>
      </c>
      <c r="AV221">
        <f>IF(ISBLANK(Tabla7[[#This Row],[31/12/2017]]),0,Tabla7[[#This Row],[31/12/2017]])</f>
        <v>2333</v>
      </c>
      <c r="AW221">
        <f>IF(ISBLANK(Tabla7[[#This Row],[15/01/2018]]),0,Tabla7[[#This Row],[15/01/2018]])</f>
        <v>2350</v>
      </c>
      <c r="AX221">
        <f>IF(ISBLANK(Tabla7[[#This Row],[15/02/2018]]),0,Tabla7[[#This Row],[15/02/2018]])</f>
        <v>2373</v>
      </c>
      <c r="AY221">
        <f>IF(ISBLANK(Tabla7[[#This Row],[15/03/2018]]),0,Tabla7[[#This Row],[15/03/2018]])</f>
        <v>2397</v>
      </c>
      <c r="AZ221">
        <f>IF(ISBLANK(Tabla7[[#This Row],[15/04/2018]]),0,Tabla7[[#This Row],[15/04/2018]])</f>
        <v>2425</v>
      </c>
      <c r="BA221">
        <f>IF(ISBLANK(Tabla7[[#This Row],[15/05/2018]]),0,Tabla7[[#This Row],[15/05/2018]])</f>
        <v>2469</v>
      </c>
      <c r="BB221">
        <f>IF(ISBLANK(Tabla7[[#This Row],[15/06/2018]]),0,Tabla7[[#This Row],[15/06/2018]])</f>
        <v>2500</v>
      </c>
      <c r="BC221">
        <f>IF(ISBLANK(Tabla7[[#This Row],[15/07/2018]]),0,Tabla7[[#This Row],[15/07/2018]])</f>
        <v>2502</v>
      </c>
      <c r="BD221">
        <f>IF(ISBLANK(Tabla7[[#This Row],[15/08/2018]]),0,Tabla7[[#This Row],[15/08/2018]])</f>
        <v>2502</v>
      </c>
      <c r="BE221">
        <f>IF(ISBLANK(Tabla7[[#This Row],[15/09/2018]]),0,Tabla7[[#This Row],[15/09/2018]])</f>
        <v>2502</v>
      </c>
      <c r="BF221">
        <f>IF(ISBLANK(Tabla7[[#This Row],[15/10/2018]]),0,Tabla7[[#This Row],[15/10/2018]])</f>
        <v>2507</v>
      </c>
      <c r="BG221">
        <f>IF(ISBLANK(Tabla7[[#This Row],[15/11/2018]]),0,Tabla7[[#This Row],[15/11/2018]])</f>
        <v>2507</v>
      </c>
      <c r="BH221">
        <f>IF(ISBLANK(Tabla7[[#This Row],[15/12/2018]]),0,Tabla7[[#This Row],[15/12/2018]])</f>
        <v>0</v>
      </c>
      <c r="BI221">
        <f>IF(ISBLANK(Tabla7[[#This Row],[28/12/2018]]),0,Tabla7[[#This Row],[28/12/2018]])</f>
        <v>0</v>
      </c>
      <c r="BN22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('schneider','VREP','VCDD','1','VEHICULO  ELECTRICO','C. CONTADORES EDIF .V (6)','T.C. Parking ( Ignacio)','');</v>
      </c>
      <c r="BO221" t="s">
        <v>243</v>
      </c>
      <c r="BP221" s="632" t="str">
        <f>CONCATENATE("insert into lecturas values ","('",Tabla7[[#This Row],[CONTADOR]],"',STR_TO_DATE('",Tabla7[[#Headers],[31/12/2017]],"','%d/%m/%Y'),",AV221,"),","('",Tabla7[[#This Row],[CONTADOR]],"',STR_TO_DATE('",Tabla7[[#Headers],[15/01/2018]],"','%d/%m/%Y'),",AW221,"),","('",Tabla7[[#This Row],[CONTADOR]],"',STR_TO_DATE('",Tabla7[[#Headers],[15/02/2018]],"','%d/%m/%Y'),",AX221,"),","('",Tabla7[[#This Row],[CONTADOR]],"',STR_TO_DATE('",Tabla7[[#Headers],[15/03/2018]],"','%d/%m/%Y'),",AY221,"),","('",Tabla7[[#This Row],[CONTADOR]],"',STR_TO_DATE('",Tabla7[[#Headers],[15/04/2018]],"','%d/%m/%Y'),",AZ221,"),","('",Tabla7[[#This Row],[CONTADOR]],"',STR_TO_DATE('",Tabla7[[#Headers],[15/05/2018]],"','%d/%m/%Y'),",BA221,"),","('",Tabla7[[#This Row],[CONTADOR]],"',STR_TO_DATE('",Tabla7[[#Headers],[15/06/2018]],"','%d/%m/%Y'),",BB221,"),","('",Tabla7[[#This Row],[CONTADOR]],"',STR_TO_DATE('",Tabla7[[#Headers],[15/07/2018]],"','%d/%m/%Y'),",BC221,"),","('",Tabla7[[#This Row],[CONTADOR]],"',STR_TO_DATE('",Tabla7[[#Headers],[15/08/2018]],"','%d/%m/%Y'),",BD221,"),","('",Tabla7[[#This Row],[CONTADOR]],"',STR_TO_DATE('",Tabla7[[#Headers],[15/09/2018]],"','%d/%m/%Y'),",BE221,"),","('",Tabla7[[#This Row],[CONTADOR]],"',STR_TO_DATE('",Tabla7[[#Headers],[15/10/2018]],"','%d/%m/%Y'),",BF221,"),","('",Tabla7[[#This Row],[CONTADOR]],"',STR_TO_DATE('",Tabla7[[#Headers],[15/11/2018]],"','%d/%m/%Y'),",BG221,"),","('",Tabla7[[#This Row],[CONTADOR]],"',STR_TO_DATE('",Tabla7[[#Headers],[15/12/2018]],"','%d/%m/%Y'),",BH221,");")</f>
        <v>insert into lecturas values ('schneider',STR_TO_DATE('31/12/2017','%d/%m/%Y'),2333),('schneider',STR_TO_DATE('15/01/2018','%d/%m/%Y'),2350),('schneider',STR_TO_DATE('15/02/2018','%d/%m/%Y'),2373),('schneider',STR_TO_DATE('15/03/2018','%d/%m/%Y'),2397),('schneider',STR_TO_DATE('15/04/2018','%d/%m/%Y'),2425),('schneider',STR_TO_DATE('15/05/2018','%d/%m/%Y'),2469),('schneider',STR_TO_DATE('15/06/2018','%d/%m/%Y'),2500),('schneider',STR_TO_DATE('15/07/2018','%d/%m/%Y'),2502),('schneider',STR_TO_DATE('15/08/2018','%d/%m/%Y'),2502),('schneider',STR_TO_DATE('15/09/2018','%d/%m/%Y'),2502),('schneider',STR_TO_DATE('15/10/2018','%d/%m/%Y'),2507),('schneider',STR_TO_DATE('15/11/2018','%d/%m/%Y'),2507),('schneider',STR_TO_DATE('15/12/2018','%d/%m/%Y'),0);</v>
      </c>
    </row>
    <row r="222" spans="1:68" ht="18.75" customHeight="1" x14ac:dyDescent="0.25">
      <c r="A222" s="362" t="s">
        <v>739</v>
      </c>
      <c r="B222" s="60"/>
      <c r="C222" s="363" t="s">
        <v>353</v>
      </c>
      <c r="D222" s="364" t="s">
        <v>323</v>
      </c>
      <c r="E222" s="365">
        <v>1</v>
      </c>
      <c r="F222" s="366" t="s">
        <v>349</v>
      </c>
      <c r="G222" s="367" t="s">
        <v>352</v>
      </c>
      <c r="H222" s="367"/>
      <c r="I222" s="366"/>
      <c r="J222" s="368"/>
      <c r="K222" s="368"/>
      <c r="L222" s="368"/>
      <c r="M222" s="368"/>
      <c r="N222" s="368"/>
      <c r="O222" s="368"/>
      <c r="P222" s="368"/>
      <c r="Q222" s="368"/>
      <c r="R222" s="368"/>
      <c r="S222" s="368"/>
      <c r="T222" s="367"/>
      <c r="U222" s="614"/>
      <c r="V222" s="367"/>
      <c r="W222" s="367"/>
      <c r="X222" s="367"/>
      <c r="Y222" s="367" t="str">
        <f t="shared" si="67"/>
        <v/>
      </c>
      <c r="Z222" s="367" t="str">
        <f t="shared" si="66"/>
        <v/>
      </c>
      <c r="AA222" s="367" t="str">
        <f t="shared" si="83"/>
        <v/>
      </c>
      <c r="AB222" s="367" t="str">
        <f t="shared" si="82"/>
        <v/>
      </c>
      <c r="AC222" s="367" t="str">
        <f t="shared" si="72"/>
        <v/>
      </c>
      <c r="AD222" s="367" t="str">
        <f t="shared" si="73"/>
        <v/>
      </c>
      <c r="AE222" s="367" t="str">
        <f t="shared" si="74"/>
        <v/>
      </c>
      <c r="AF222" s="367" t="str">
        <f t="shared" si="75"/>
        <v/>
      </c>
      <c r="AG222" s="367" t="str">
        <f t="shared" si="76"/>
        <v/>
      </c>
      <c r="AH222" s="367" t="str">
        <f t="shared" si="79"/>
        <v/>
      </c>
      <c r="AI222" s="367" t="str">
        <f t="shared" si="77"/>
        <v/>
      </c>
      <c r="AJ222" s="367" t="str">
        <f t="shared" si="78"/>
        <v/>
      </c>
      <c r="AK222" s="414">
        <v>1</v>
      </c>
      <c r="AL222" s="366">
        <f t="shared" ca="1" si="68"/>
        <v>0</v>
      </c>
      <c r="AM222" s="368">
        <f t="shared" ca="1" si="69"/>
        <v>0</v>
      </c>
      <c r="AN222" s="366" t="str">
        <f ca="1">IF(AND(Tabla7[[#This Row],[UltLec]]&lt;&gt;0,Tabla7[[#This Row],[PenLect]]&lt;&gt;0),(AM222-AL222)*Tabla7[[#This Row],[RT]],"N/A")</f>
        <v>N/A</v>
      </c>
      <c r="AO222" s="370"/>
      <c r="AP222" s="436" t="s">
        <v>1191</v>
      </c>
      <c r="AQ222" s="436" t="s">
        <v>818</v>
      </c>
      <c r="AR222" s="415">
        <f t="shared" si="70"/>
        <v>0</v>
      </c>
      <c r="AT222" s="2" t="e">
        <f t="shared" ca="1" si="71"/>
        <v>#VALUE!</v>
      </c>
      <c r="AV222">
        <f>IF(ISBLANK(Tabla7[[#This Row],[31/12/2017]]),0,Tabla7[[#This Row],[31/12/2017]])</f>
        <v>0</v>
      </c>
      <c r="AW222">
        <f>IF(ISBLANK(Tabla7[[#This Row],[15/01/2018]]),0,Tabla7[[#This Row],[15/01/2018]])</f>
        <v>0</v>
      </c>
      <c r="AX222">
        <f>IF(ISBLANK(Tabla7[[#This Row],[15/02/2018]]),0,Tabla7[[#This Row],[15/02/2018]])</f>
        <v>0</v>
      </c>
      <c r="AY222">
        <f>IF(ISBLANK(Tabla7[[#This Row],[15/03/2018]]),0,Tabla7[[#This Row],[15/03/2018]])</f>
        <v>0</v>
      </c>
      <c r="AZ222">
        <f>IF(ISBLANK(Tabla7[[#This Row],[15/04/2018]]),0,Tabla7[[#This Row],[15/04/2018]])</f>
        <v>0</v>
      </c>
      <c r="BA222">
        <f>IF(ISBLANK(Tabla7[[#This Row],[15/05/2018]]),0,Tabla7[[#This Row],[15/05/2018]])</f>
        <v>0</v>
      </c>
      <c r="BB222">
        <f>IF(ISBLANK(Tabla7[[#This Row],[15/06/2018]]),0,Tabla7[[#This Row],[15/06/2018]])</f>
        <v>0</v>
      </c>
      <c r="BC222">
        <f>IF(ISBLANK(Tabla7[[#This Row],[15/07/2018]]),0,Tabla7[[#This Row],[15/07/2018]])</f>
        <v>0</v>
      </c>
      <c r="BD222">
        <f>IF(ISBLANK(Tabla7[[#This Row],[15/08/2018]]),0,Tabla7[[#This Row],[15/08/2018]])</f>
        <v>0</v>
      </c>
      <c r="BE222">
        <f>IF(ISBLANK(Tabla7[[#This Row],[15/09/2018]]),0,Tabla7[[#This Row],[15/09/2018]])</f>
        <v>0</v>
      </c>
      <c r="BF222">
        <f>IF(ISBLANK(Tabla7[[#This Row],[15/10/2018]]),0,Tabla7[[#This Row],[15/10/2018]])</f>
        <v>0</v>
      </c>
      <c r="BG222">
        <f>IF(ISBLANK(Tabla7[[#This Row],[15/11/2018]]),0,Tabla7[[#This Row],[15/11/2018]])</f>
        <v>0</v>
      </c>
      <c r="BH222">
        <f>IF(ISBLANK(Tabla7[[#This Row],[15/12/2018]]),0,Tabla7[[#This Row],[15/12/2018]])</f>
        <v>0</v>
      </c>
      <c r="BI222">
        <f>IF(ISBLANK(Tabla7[[#This Row],[28/12/2018]]),0,Tabla7[[#This Row],[28/12/2018]])</f>
        <v>0</v>
      </c>
      <c r="BN22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('STULZ-VPM20933','VREP','VCDD','1','CPD','SALA B CPD','','');</v>
      </c>
      <c r="BO222" t="s">
        <v>243</v>
      </c>
      <c r="BP222" s="632" t="str">
        <f>CONCATENATE("insert into lecturas values ","('",Tabla7[[#This Row],[CONTADOR]],"',STR_TO_DATE('",Tabla7[[#Headers],[31/12/2017]],"','%d/%m/%Y'),",AV222,"),","('",Tabla7[[#This Row],[CONTADOR]],"',STR_TO_DATE('",Tabla7[[#Headers],[15/01/2018]],"','%d/%m/%Y'),",AW222,"),","('",Tabla7[[#This Row],[CONTADOR]],"',STR_TO_DATE('",Tabla7[[#Headers],[15/02/2018]],"','%d/%m/%Y'),",AX222,"),","('",Tabla7[[#This Row],[CONTADOR]],"',STR_TO_DATE('",Tabla7[[#Headers],[15/03/2018]],"','%d/%m/%Y'),",AY222,"),","('",Tabla7[[#This Row],[CONTADOR]],"',STR_TO_DATE('",Tabla7[[#Headers],[15/04/2018]],"','%d/%m/%Y'),",AZ222,"),","('",Tabla7[[#This Row],[CONTADOR]],"',STR_TO_DATE('",Tabla7[[#Headers],[15/05/2018]],"','%d/%m/%Y'),",BA222,"),","('",Tabla7[[#This Row],[CONTADOR]],"',STR_TO_DATE('",Tabla7[[#Headers],[15/06/2018]],"','%d/%m/%Y'),",BB222,"),","('",Tabla7[[#This Row],[CONTADOR]],"',STR_TO_DATE('",Tabla7[[#Headers],[15/07/2018]],"','%d/%m/%Y'),",BC222,"),","('",Tabla7[[#This Row],[CONTADOR]],"',STR_TO_DATE('",Tabla7[[#Headers],[15/08/2018]],"','%d/%m/%Y'),",BD222,"),","('",Tabla7[[#This Row],[CONTADOR]],"',STR_TO_DATE('",Tabla7[[#Headers],[15/09/2018]],"','%d/%m/%Y'),",BE222,"),","('",Tabla7[[#This Row],[CONTADOR]],"',STR_TO_DATE('",Tabla7[[#Headers],[15/10/2018]],"','%d/%m/%Y'),",BF222,"),","('",Tabla7[[#This Row],[CONTADOR]],"',STR_TO_DATE('",Tabla7[[#Headers],[15/11/2018]],"','%d/%m/%Y'),",BG222,"),","('",Tabla7[[#This Row],[CONTADOR]],"',STR_TO_DATE('",Tabla7[[#Headers],[15/12/2018]],"','%d/%m/%Y'),",BH222,");")</f>
        <v>insert into lecturas values ('STULZ-VPM20933',STR_TO_DATE('31/12/2017','%d/%m/%Y'),0),('STULZ-VPM20933',STR_TO_DATE('15/01/2018','%d/%m/%Y'),0),('STULZ-VPM20933',STR_TO_DATE('15/02/2018','%d/%m/%Y'),0),('STULZ-VPM20933',STR_TO_DATE('15/03/2018','%d/%m/%Y'),0),('STULZ-VPM20933',STR_TO_DATE('15/04/2018','%d/%m/%Y'),0),('STULZ-VPM20933',STR_TO_DATE('15/05/2018','%d/%m/%Y'),0),('STULZ-VPM20933',STR_TO_DATE('15/06/2018','%d/%m/%Y'),0),('STULZ-VPM20933',STR_TO_DATE('15/07/2018','%d/%m/%Y'),0),('STULZ-VPM20933',STR_TO_DATE('15/08/2018','%d/%m/%Y'),0),('STULZ-VPM20933',STR_TO_DATE('15/09/2018','%d/%m/%Y'),0),('STULZ-VPM20933',STR_TO_DATE('15/10/2018','%d/%m/%Y'),0),('STULZ-VPM20933',STR_TO_DATE('15/11/2018','%d/%m/%Y'),0),('STULZ-VPM20933',STR_TO_DATE('15/12/2018','%d/%m/%Y'),0);</v>
      </c>
    </row>
    <row r="223" spans="1:68" ht="18.75" customHeight="1" x14ac:dyDescent="0.25">
      <c r="A223" s="241" t="s">
        <v>19</v>
      </c>
      <c r="B223" s="60"/>
      <c r="C223" s="223" t="s">
        <v>720</v>
      </c>
      <c r="D223" s="60" t="s">
        <v>323</v>
      </c>
      <c r="E223" s="258">
        <v>140</v>
      </c>
      <c r="F223" s="2" t="s">
        <v>339</v>
      </c>
      <c r="G223" s="2" t="s">
        <v>1137</v>
      </c>
      <c r="H223" s="2" t="s">
        <v>340</v>
      </c>
      <c r="I223" s="274"/>
      <c r="J223" s="311">
        <v>3774</v>
      </c>
      <c r="K223" s="311">
        <v>3785</v>
      </c>
      <c r="L223" s="2">
        <v>3806</v>
      </c>
      <c r="M223" s="311">
        <v>3826</v>
      </c>
      <c r="N223" s="311">
        <v>3847</v>
      </c>
      <c r="O223" s="311">
        <v>3866</v>
      </c>
      <c r="P223" s="311">
        <v>3880</v>
      </c>
      <c r="Q223" s="311">
        <v>3889</v>
      </c>
      <c r="R223" s="311">
        <v>3890</v>
      </c>
      <c r="S223" s="2">
        <v>3895</v>
      </c>
      <c r="T223" s="311">
        <v>3899</v>
      </c>
      <c r="U223" s="492">
        <v>3904</v>
      </c>
      <c r="V223" s="353">
        <v>3912</v>
      </c>
      <c r="W223" s="2"/>
      <c r="X223" s="2"/>
      <c r="Y223" s="2">
        <f t="shared" si="67"/>
        <v>11</v>
      </c>
      <c r="Z223" s="2">
        <f t="shared" si="66"/>
        <v>21</v>
      </c>
      <c r="AA223" s="2">
        <f t="shared" si="83"/>
        <v>20</v>
      </c>
      <c r="AB223" s="2">
        <f t="shared" si="82"/>
        <v>21</v>
      </c>
      <c r="AC223" s="2">
        <f t="shared" si="72"/>
        <v>19</v>
      </c>
      <c r="AD223" s="2">
        <f t="shared" si="73"/>
        <v>14</v>
      </c>
      <c r="AE223" s="2">
        <f t="shared" si="74"/>
        <v>9</v>
      </c>
      <c r="AF223" s="2">
        <f t="shared" si="75"/>
        <v>1</v>
      </c>
      <c r="AG223" s="2">
        <f t="shared" si="76"/>
        <v>5</v>
      </c>
      <c r="AH223" s="2">
        <f t="shared" si="79"/>
        <v>4</v>
      </c>
      <c r="AI223" s="2">
        <f t="shared" si="77"/>
        <v>5</v>
      </c>
      <c r="AJ223" s="2">
        <f t="shared" si="78"/>
        <v>8</v>
      </c>
      <c r="AK223" s="406">
        <v>1</v>
      </c>
      <c r="AL223" s="274">
        <f t="shared" ca="1" si="68"/>
        <v>3847</v>
      </c>
      <c r="AM223" s="311">
        <f t="shared" ca="1" si="69"/>
        <v>3866</v>
      </c>
      <c r="AN223" s="274">
        <f ca="1">IF(AND(Tabla7[[#This Row],[UltLec]]&lt;&gt;0,Tabla7[[#This Row],[PenLect]]&lt;&gt;0),(AM223-AL223)*Tabla7[[#This Row],[RT]],"N/A")</f>
        <v>19</v>
      </c>
      <c r="AO223" s="273" t="s">
        <v>862</v>
      </c>
      <c r="AP223" s="441" t="s">
        <v>1190</v>
      </c>
      <c r="AQ223" s="441" t="s">
        <v>1189</v>
      </c>
      <c r="AR223" s="407">
        <f t="shared" si="70"/>
        <v>0</v>
      </c>
      <c r="AT223" s="2">
        <f t="shared" ca="1" si="71"/>
        <v>0.90476190476190477</v>
      </c>
      <c r="AV223">
        <f>IF(ISBLANK(Tabla7[[#This Row],[31/12/2017]]),0,Tabla7[[#This Row],[31/12/2017]])</f>
        <v>3774</v>
      </c>
      <c r="AW223">
        <f>IF(ISBLANK(Tabla7[[#This Row],[15/01/2018]]),0,Tabla7[[#This Row],[15/01/2018]])</f>
        <v>3785</v>
      </c>
      <c r="AX223">
        <f>IF(ISBLANK(Tabla7[[#This Row],[15/02/2018]]),0,Tabla7[[#This Row],[15/02/2018]])</f>
        <v>3806</v>
      </c>
      <c r="AY223">
        <f>IF(ISBLANK(Tabla7[[#This Row],[15/03/2018]]),0,Tabla7[[#This Row],[15/03/2018]])</f>
        <v>3826</v>
      </c>
      <c r="AZ223">
        <f>IF(ISBLANK(Tabla7[[#This Row],[15/04/2018]]),0,Tabla7[[#This Row],[15/04/2018]])</f>
        <v>3847</v>
      </c>
      <c r="BA223">
        <f>IF(ISBLANK(Tabla7[[#This Row],[15/05/2018]]),0,Tabla7[[#This Row],[15/05/2018]])</f>
        <v>3866</v>
      </c>
      <c r="BB223">
        <f>IF(ISBLANK(Tabla7[[#This Row],[15/06/2018]]),0,Tabla7[[#This Row],[15/06/2018]])</f>
        <v>3880</v>
      </c>
      <c r="BC223">
        <f>IF(ISBLANK(Tabla7[[#This Row],[15/07/2018]]),0,Tabla7[[#This Row],[15/07/2018]])</f>
        <v>3889</v>
      </c>
      <c r="BD223">
        <f>IF(ISBLANK(Tabla7[[#This Row],[15/08/2018]]),0,Tabla7[[#This Row],[15/08/2018]])</f>
        <v>3890</v>
      </c>
      <c r="BE223">
        <f>IF(ISBLANK(Tabla7[[#This Row],[15/09/2018]]),0,Tabla7[[#This Row],[15/09/2018]])</f>
        <v>3895</v>
      </c>
      <c r="BF223">
        <f>IF(ISBLANK(Tabla7[[#This Row],[15/10/2018]]),0,Tabla7[[#This Row],[15/10/2018]])</f>
        <v>3899</v>
      </c>
      <c r="BG223">
        <f>IF(ISBLANK(Tabla7[[#This Row],[15/11/2018]]),0,Tabla7[[#This Row],[15/11/2018]])</f>
        <v>3904</v>
      </c>
      <c r="BH223">
        <f>IF(ISBLANK(Tabla7[[#This Row],[15/12/2018]]),0,Tabla7[[#This Row],[15/12/2018]])</f>
        <v>3912</v>
      </c>
      <c r="BI223">
        <f>IF(ISBLANK(Tabla7[[#This Row],[28/12/2018]]),0,Tabla7[[#This Row],[28/12/2018]])</f>
        <v>0</v>
      </c>
      <c r="BN22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('TOMA MUELLE coche nº3','V','VCDD','140','APV VEHICULO S.E.','VCDD Panel 2','Coche S.E.( Renault)','');</v>
      </c>
      <c r="BO223" t="s">
        <v>243</v>
      </c>
      <c r="BP223" s="632" t="str">
        <f>CONCATENATE("insert into lecturas values ","('",Tabla7[[#This Row],[CONTADOR]],"',STR_TO_DATE('",Tabla7[[#Headers],[31/12/2017]],"','%d/%m/%Y'),",AV223,"),","('",Tabla7[[#This Row],[CONTADOR]],"',STR_TO_DATE('",Tabla7[[#Headers],[15/01/2018]],"','%d/%m/%Y'),",AW223,"),","('",Tabla7[[#This Row],[CONTADOR]],"',STR_TO_DATE('",Tabla7[[#Headers],[15/02/2018]],"','%d/%m/%Y'),",AX223,"),","('",Tabla7[[#This Row],[CONTADOR]],"',STR_TO_DATE('",Tabla7[[#Headers],[15/03/2018]],"','%d/%m/%Y'),",AY223,"),","('",Tabla7[[#This Row],[CONTADOR]],"',STR_TO_DATE('",Tabla7[[#Headers],[15/04/2018]],"','%d/%m/%Y'),",AZ223,"),","('",Tabla7[[#This Row],[CONTADOR]],"',STR_TO_DATE('",Tabla7[[#Headers],[15/05/2018]],"','%d/%m/%Y'),",BA223,"),","('",Tabla7[[#This Row],[CONTADOR]],"',STR_TO_DATE('",Tabla7[[#Headers],[15/06/2018]],"','%d/%m/%Y'),",BB223,"),","('",Tabla7[[#This Row],[CONTADOR]],"',STR_TO_DATE('",Tabla7[[#Headers],[15/07/2018]],"','%d/%m/%Y'),",BC223,"),","('",Tabla7[[#This Row],[CONTADOR]],"',STR_TO_DATE('",Tabla7[[#Headers],[15/08/2018]],"','%d/%m/%Y'),",BD223,"),","('",Tabla7[[#This Row],[CONTADOR]],"',STR_TO_DATE('",Tabla7[[#Headers],[15/09/2018]],"','%d/%m/%Y'),",BE223,"),","('",Tabla7[[#This Row],[CONTADOR]],"',STR_TO_DATE('",Tabla7[[#Headers],[15/10/2018]],"','%d/%m/%Y'),",BF223,"),","('",Tabla7[[#This Row],[CONTADOR]],"',STR_TO_DATE('",Tabla7[[#Headers],[15/11/2018]],"','%d/%m/%Y'),",BG223,"),","('",Tabla7[[#This Row],[CONTADOR]],"',STR_TO_DATE('",Tabla7[[#Headers],[15/12/2018]],"','%d/%m/%Y'),",BH223,");")</f>
        <v>insert into lecturas values ('TOMA MUELLE coche nº3',STR_TO_DATE('31/12/2017','%d/%m/%Y'),3774),('TOMA MUELLE coche nº3',STR_TO_DATE('15/01/2018','%d/%m/%Y'),3785),('TOMA MUELLE coche nº3',STR_TO_DATE('15/02/2018','%d/%m/%Y'),3806),('TOMA MUELLE coche nº3',STR_TO_DATE('15/03/2018','%d/%m/%Y'),3826),('TOMA MUELLE coche nº3',STR_TO_DATE('15/04/2018','%d/%m/%Y'),3847),('TOMA MUELLE coche nº3',STR_TO_DATE('15/05/2018','%d/%m/%Y'),3866),('TOMA MUELLE coche nº3',STR_TO_DATE('15/06/2018','%d/%m/%Y'),3880),('TOMA MUELLE coche nº3',STR_TO_DATE('15/07/2018','%d/%m/%Y'),3889),('TOMA MUELLE coche nº3',STR_TO_DATE('15/08/2018','%d/%m/%Y'),3890),('TOMA MUELLE coche nº3',STR_TO_DATE('15/09/2018','%d/%m/%Y'),3895),('TOMA MUELLE coche nº3',STR_TO_DATE('15/10/2018','%d/%m/%Y'),3899),('TOMA MUELLE coche nº3',STR_TO_DATE('15/11/2018','%d/%m/%Y'),3904),('TOMA MUELLE coche nº3',STR_TO_DATE('15/12/2018','%d/%m/%Y'),3912);</v>
      </c>
    </row>
    <row r="224" spans="1:68" ht="18.75" customHeight="1" x14ac:dyDescent="0.25">
      <c r="A224" s="241" t="s">
        <v>19</v>
      </c>
      <c r="B224" s="60"/>
      <c r="C224" s="342" t="s">
        <v>312</v>
      </c>
      <c r="D224" s="60" t="s">
        <v>311</v>
      </c>
      <c r="E224" s="258">
        <v>39075</v>
      </c>
      <c r="F224" s="2" t="s">
        <v>82</v>
      </c>
      <c r="G224" s="2" t="s">
        <v>313</v>
      </c>
      <c r="H224" s="2" t="s">
        <v>460</v>
      </c>
      <c r="I224" s="2"/>
      <c r="J224" s="311">
        <v>121587</v>
      </c>
      <c r="K224" s="311">
        <v>121595</v>
      </c>
      <c r="L224" s="311">
        <v>121606</v>
      </c>
      <c r="M224" s="311">
        <v>121617</v>
      </c>
      <c r="N224" s="311">
        <v>121627</v>
      </c>
      <c r="O224" s="311">
        <v>121640</v>
      </c>
      <c r="P224" s="311">
        <v>121651</v>
      </c>
      <c r="Q224" s="311">
        <v>121669</v>
      </c>
      <c r="R224" s="311">
        <v>121684</v>
      </c>
      <c r="S224" s="311">
        <v>121703</v>
      </c>
      <c r="T224" s="311">
        <v>121718</v>
      </c>
      <c r="U224" s="311">
        <v>121728</v>
      </c>
      <c r="V224" s="353">
        <v>121741</v>
      </c>
      <c r="W224" s="311"/>
      <c r="X224" s="2"/>
      <c r="Y224" s="2">
        <f t="shared" si="67"/>
        <v>1600</v>
      </c>
      <c r="Z224" s="2">
        <f t="shared" si="66"/>
        <v>2200</v>
      </c>
      <c r="AA224" s="2">
        <f t="shared" si="83"/>
        <v>2200</v>
      </c>
      <c r="AB224" s="2">
        <f t="shared" si="82"/>
        <v>2000</v>
      </c>
      <c r="AC224" s="2">
        <f t="shared" si="72"/>
        <v>2600</v>
      </c>
      <c r="AD224" s="2">
        <f t="shared" si="73"/>
        <v>2200</v>
      </c>
      <c r="AE224" s="2">
        <f t="shared" si="74"/>
        <v>3600</v>
      </c>
      <c r="AF224" s="2">
        <f t="shared" si="75"/>
        <v>3000</v>
      </c>
      <c r="AG224" s="2">
        <f t="shared" si="76"/>
        <v>3800</v>
      </c>
      <c r="AH224" s="2">
        <f t="shared" si="79"/>
        <v>3000</v>
      </c>
      <c r="AI224" s="2">
        <f t="shared" si="77"/>
        <v>2000</v>
      </c>
      <c r="AJ224" s="2">
        <f t="shared" si="78"/>
        <v>2600</v>
      </c>
      <c r="AK224" s="416">
        <v>200</v>
      </c>
      <c r="AL224" s="417">
        <f t="shared" ca="1" si="68"/>
        <v>121627</v>
      </c>
      <c r="AM224" s="311">
        <f t="shared" ca="1" si="69"/>
        <v>121640</v>
      </c>
      <c r="AN224" s="274">
        <f ca="1">IF(AND(Tabla7[[#This Row],[UltLec]]&lt;&gt;0,Tabla7[[#This Row],[PenLect]]&lt;&gt;0),(AM224-AL224)*Tabla7[[#This Row],[RT]],"N/A")</f>
        <v>2600</v>
      </c>
      <c r="AO224" s="273" t="s">
        <v>862</v>
      </c>
      <c r="AP224" s="392" t="s">
        <v>1190</v>
      </c>
      <c r="AQ224" s="392" t="s">
        <v>1189</v>
      </c>
      <c r="AR224" s="407">
        <f t="shared" si="70"/>
        <v>0</v>
      </c>
      <c r="AT224" s="2">
        <f t="shared" ca="1" si="71"/>
        <v>1.3</v>
      </c>
      <c r="AV224">
        <f>IF(ISBLANK(Tabla7[[#This Row],[31/12/2017]]),0,Tabla7[[#This Row],[31/12/2017]])</f>
        <v>121587</v>
      </c>
      <c r="AW224">
        <f>IF(ISBLANK(Tabla7[[#This Row],[15/01/2018]]),0,Tabla7[[#This Row],[15/01/2018]])</f>
        <v>121595</v>
      </c>
      <c r="AX224">
        <f>IF(ISBLANK(Tabla7[[#This Row],[15/02/2018]]),0,Tabla7[[#This Row],[15/02/2018]])</f>
        <v>121606</v>
      </c>
      <c r="AY224">
        <f>IF(ISBLANK(Tabla7[[#This Row],[15/03/2018]]),0,Tabla7[[#This Row],[15/03/2018]])</f>
        <v>121617</v>
      </c>
      <c r="AZ224">
        <f>IF(ISBLANK(Tabla7[[#This Row],[15/04/2018]]),0,Tabla7[[#This Row],[15/04/2018]])</f>
        <v>121627</v>
      </c>
      <c r="BA224">
        <f>IF(ISBLANK(Tabla7[[#This Row],[15/05/2018]]),0,Tabla7[[#This Row],[15/05/2018]])</f>
        <v>121640</v>
      </c>
      <c r="BB224">
        <f>IF(ISBLANK(Tabla7[[#This Row],[15/06/2018]]),0,Tabla7[[#This Row],[15/06/2018]])</f>
        <v>121651</v>
      </c>
      <c r="BC224">
        <f>IF(ISBLANK(Tabla7[[#This Row],[15/07/2018]]),0,Tabla7[[#This Row],[15/07/2018]])</f>
        <v>121669</v>
      </c>
      <c r="BD224">
        <f>IF(ISBLANK(Tabla7[[#This Row],[15/08/2018]]),0,Tabla7[[#This Row],[15/08/2018]])</f>
        <v>121684</v>
      </c>
      <c r="BE224">
        <f>IF(ISBLANK(Tabla7[[#This Row],[15/09/2018]]),0,Tabla7[[#This Row],[15/09/2018]])</f>
        <v>121703</v>
      </c>
      <c r="BF224">
        <f>IF(ISBLANK(Tabla7[[#This Row],[15/10/2018]]),0,Tabla7[[#This Row],[15/10/2018]])</f>
        <v>121718</v>
      </c>
      <c r="BG224">
        <f>IF(ISBLANK(Tabla7[[#This Row],[15/11/2018]]),0,Tabla7[[#This Row],[15/11/2018]])</f>
        <v>121728</v>
      </c>
      <c r="BH224">
        <f>IF(ISBLANK(Tabla7[[#This Row],[15/12/2018]]),0,Tabla7[[#This Row],[15/12/2018]])</f>
        <v>121741</v>
      </c>
      <c r="BI224">
        <f>IF(ISBLANK(Tabla7[[#This Row],[28/12/2018]]),0,Tabla7[[#This Row],[28/12/2018]])</f>
        <v>0</v>
      </c>
      <c r="BN22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('B3590221','V','VCT A.E.M','39075','CONSORCIO VALENCIA 2007','EN EL CT DE LA ANTIGUA EST MARITIMA','Avisar 661201510','');</v>
      </c>
      <c r="BO224" t="s">
        <v>243</v>
      </c>
      <c r="BP224" s="632" t="str">
        <f>CONCATENATE("insert into lecturas values ","('",Tabla7[[#This Row],[CONTADOR]],"',STR_TO_DATE('",Tabla7[[#Headers],[31/12/2017]],"','%d/%m/%Y'),",AV224,"),","('",Tabla7[[#This Row],[CONTADOR]],"',STR_TO_DATE('",Tabla7[[#Headers],[15/01/2018]],"','%d/%m/%Y'),",AW224,"),","('",Tabla7[[#This Row],[CONTADOR]],"',STR_TO_DATE('",Tabla7[[#Headers],[15/02/2018]],"','%d/%m/%Y'),",AX224,"),","('",Tabla7[[#This Row],[CONTADOR]],"',STR_TO_DATE('",Tabla7[[#Headers],[15/03/2018]],"','%d/%m/%Y'),",AY224,"),","('",Tabla7[[#This Row],[CONTADOR]],"',STR_TO_DATE('",Tabla7[[#Headers],[15/04/2018]],"','%d/%m/%Y'),",AZ224,"),","('",Tabla7[[#This Row],[CONTADOR]],"',STR_TO_DATE('",Tabla7[[#Headers],[15/05/2018]],"','%d/%m/%Y'),",BA224,"),","('",Tabla7[[#This Row],[CONTADOR]],"',STR_TO_DATE('",Tabla7[[#Headers],[15/06/2018]],"','%d/%m/%Y'),",BB224,"),","('",Tabla7[[#This Row],[CONTADOR]],"',STR_TO_DATE('",Tabla7[[#Headers],[15/07/2018]],"','%d/%m/%Y'),",BC224,"),","('",Tabla7[[#This Row],[CONTADOR]],"',STR_TO_DATE('",Tabla7[[#Headers],[15/08/2018]],"','%d/%m/%Y'),",BD224,"),","('",Tabla7[[#This Row],[CONTADOR]],"',STR_TO_DATE('",Tabla7[[#Headers],[15/09/2018]],"','%d/%m/%Y'),",BE224,"),","('",Tabla7[[#This Row],[CONTADOR]],"',STR_TO_DATE('",Tabla7[[#Headers],[15/10/2018]],"','%d/%m/%Y'),",BF224,"),","('",Tabla7[[#This Row],[CONTADOR]],"',STR_TO_DATE('",Tabla7[[#Headers],[15/11/2018]],"','%d/%m/%Y'),",BG224,"),","('",Tabla7[[#This Row],[CONTADOR]],"',STR_TO_DATE('",Tabla7[[#Headers],[15/12/2018]],"','%d/%m/%Y'),",BH224,");")</f>
        <v>insert into lecturas values ('B3590221',STR_TO_DATE('31/12/2017','%d/%m/%Y'),121587),('B3590221',STR_TO_DATE('15/01/2018','%d/%m/%Y'),121595),('B3590221',STR_TO_DATE('15/02/2018','%d/%m/%Y'),121606),('B3590221',STR_TO_DATE('15/03/2018','%d/%m/%Y'),121617),('B3590221',STR_TO_DATE('15/04/2018','%d/%m/%Y'),121627),('B3590221',STR_TO_DATE('15/05/2018','%d/%m/%Y'),121640),('B3590221',STR_TO_DATE('15/06/2018','%d/%m/%Y'),121651),('B3590221',STR_TO_DATE('15/07/2018','%d/%m/%Y'),121669),('B3590221',STR_TO_DATE('15/08/2018','%d/%m/%Y'),121684),('B3590221',STR_TO_DATE('15/09/2018','%d/%m/%Y'),121703),('B3590221',STR_TO_DATE('15/10/2018','%d/%m/%Y'),121718),('B3590221',STR_TO_DATE('15/11/2018','%d/%m/%Y'),121728),('B3590221',STR_TO_DATE('15/12/2018','%d/%m/%Y'),121741);</v>
      </c>
    </row>
    <row r="225" spans="1:68" ht="18.75" customHeight="1" x14ac:dyDescent="0.25">
      <c r="A225" s="241" t="s">
        <v>19</v>
      </c>
      <c r="B225" s="60"/>
      <c r="C225" s="342" t="s">
        <v>314</v>
      </c>
      <c r="D225" s="60" t="s">
        <v>311</v>
      </c>
      <c r="E225" s="258">
        <v>150</v>
      </c>
      <c r="F225" s="274" t="s">
        <v>21</v>
      </c>
      <c r="G225" s="274" t="s">
        <v>313</v>
      </c>
      <c r="H225" s="274" t="s">
        <v>315</v>
      </c>
      <c r="I225" s="274"/>
      <c r="J225" s="311">
        <v>255497</v>
      </c>
      <c r="K225" s="311">
        <v>256116</v>
      </c>
      <c r="L225" s="311">
        <v>256707</v>
      </c>
      <c r="M225" s="311">
        <v>257205</v>
      </c>
      <c r="N225" s="311">
        <v>257870</v>
      </c>
      <c r="O225" s="311">
        <v>258507</v>
      </c>
      <c r="P225" s="311">
        <v>259084</v>
      </c>
      <c r="Q225" s="311">
        <v>259746</v>
      </c>
      <c r="R225" s="311">
        <v>260262</v>
      </c>
      <c r="S225" s="311">
        <v>260972</v>
      </c>
      <c r="T225" s="311">
        <v>261823</v>
      </c>
      <c r="U225" s="311">
        <v>362433</v>
      </c>
      <c r="V225" s="353">
        <v>263052</v>
      </c>
      <c r="W225" s="311"/>
      <c r="X225" s="274"/>
      <c r="Y225" s="274">
        <f t="shared" si="67"/>
        <v>619</v>
      </c>
      <c r="Z225" s="274">
        <f t="shared" si="66"/>
        <v>591</v>
      </c>
      <c r="AA225" s="274">
        <f t="shared" si="83"/>
        <v>498</v>
      </c>
      <c r="AB225" s="274">
        <f t="shared" si="82"/>
        <v>665</v>
      </c>
      <c r="AC225" s="274">
        <f t="shared" si="72"/>
        <v>637</v>
      </c>
      <c r="AD225" s="274">
        <f t="shared" si="73"/>
        <v>577</v>
      </c>
      <c r="AE225" s="274">
        <f t="shared" si="74"/>
        <v>662</v>
      </c>
      <c r="AF225" s="274">
        <f t="shared" si="75"/>
        <v>516</v>
      </c>
      <c r="AG225" s="274">
        <f t="shared" si="76"/>
        <v>710</v>
      </c>
      <c r="AH225" s="274">
        <f t="shared" si="79"/>
        <v>851</v>
      </c>
      <c r="AI225" s="274">
        <f t="shared" si="77"/>
        <v>100610</v>
      </c>
      <c r="AJ225" s="274" t="str">
        <f t="shared" si="78"/>
        <v>!!!!</v>
      </c>
      <c r="AK225" s="406">
        <v>1</v>
      </c>
      <c r="AL225" s="274">
        <f t="shared" ca="1" si="68"/>
        <v>257870</v>
      </c>
      <c r="AM225" s="311">
        <f t="shared" ca="1" si="69"/>
        <v>258507</v>
      </c>
      <c r="AN225" s="274">
        <f ca="1">IF(AND(Tabla7[[#This Row],[UltLec]]&lt;&gt;0,Tabla7[[#This Row],[PenLect]]&lt;&gt;0),(AM225-AL225)*Tabla7[[#This Row],[RT]],"N/A")</f>
        <v>637</v>
      </c>
      <c r="AO225" s="273" t="s">
        <v>862</v>
      </c>
      <c r="AP225" s="392" t="s">
        <v>1190</v>
      </c>
      <c r="AQ225" s="392" t="s">
        <v>1189</v>
      </c>
      <c r="AR225" s="407">
        <f t="shared" si="70"/>
        <v>1</v>
      </c>
      <c r="AT225" s="2">
        <f t="shared" ca="1" si="71"/>
        <v>0.95789473684210524</v>
      </c>
      <c r="AV225">
        <f>IF(ISBLANK(Tabla7[[#This Row],[31/12/2017]]),0,Tabla7[[#This Row],[31/12/2017]])</f>
        <v>255497</v>
      </c>
      <c r="AW225">
        <f>IF(ISBLANK(Tabla7[[#This Row],[15/01/2018]]),0,Tabla7[[#This Row],[15/01/2018]])</f>
        <v>256116</v>
      </c>
      <c r="AX225">
        <f>IF(ISBLANK(Tabla7[[#This Row],[15/02/2018]]),0,Tabla7[[#This Row],[15/02/2018]])</f>
        <v>256707</v>
      </c>
      <c r="AY225">
        <f>IF(ISBLANK(Tabla7[[#This Row],[15/03/2018]]),0,Tabla7[[#This Row],[15/03/2018]])</f>
        <v>257205</v>
      </c>
      <c r="AZ225">
        <f>IF(ISBLANK(Tabla7[[#This Row],[15/04/2018]]),0,Tabla7[[#This Row],[15/04/2018]])</f>
        <v>257870</v>
      </c>
      <c r="BA225">
        <f>IF(ISBLANK(Tabla7[[#This Row],[15/05/2018]]),0,Tabla7[[#This Row],[15/05/2018]])</f>
        <v>258507</v>
      </c>
      <c r="BB225">
        <f>IF(ISBLANK(Tabla7[[#This Row],[15/06/2018]]),0,Tabla7[[#This Row],[15/06/2018]])</f>
        <v>259084</v>
      </c>
      <c r="BC225">
        <f>IF(ISBLANK(Tabla7[[#This Row],[15/07/2018]]),0,Tabla7[[#This Row],[15/07/2018]])</f>
        <v>259746</v>
      </c>
      <c r="BD225">
        <f>IF(ISBLANK(Tabla7[[#This Row],[15/08/2018]]),0,Tabla7[[#This Row],[15/08/2018]])</f>
        <v>260262</v>
      </c>
      <c r="BE225">
        <f>IF(ISBLANK(Tabla7[[#This Row],[15/09/2018]]),0,Tabla7[[#This Row],[15/09/2018]])</f>
        <v>260972</v>
      </c>
      <c r="BF225">
        <f>IF(ISBLANK(Tabla7[[#This Row],[15/10/2018]]),0,Tabla7[[#This Row],[15/10/2018]])</f>
        <v>261823</v>
      </c>
      <c r="BG225">
        <f>IF(ISBLANK(Tabla7[[#This Row],[15/11/2018]]),0,Tabla7[[#This Row],[15/11/2018]])</f>
        <v>362433</v>
      </c>
      <c r="BH225">
        <f>IF(ISBLANK(Tabla7[[#This Row],[15/12/2018]]),0,Tabla7[[#This Row],[15/12/2018]])</f>
        <v>263052</v>
      </c>
      <c r="BI225">
        <f>IF(ISBLANK(Tabla7[[#This Row],[28/12/2018]]),0,Tabla7[[#This Row],[28/12/2018]])</f>
        <v>0</v>
      </c>
      <c r="BN22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('LW00180776','V','VCT A.E.M','150','APV','EN EL CT DE LA ANTIGUA EST MARITIMA','VARIOS','');</v>
      </c>
      <c r="BO225" t="s">
        <v>243</v>
      </c>
      <c r="BP225" s="632" t="str">
        <f>CONCATENATE("insert into lecturas values ","('",Tabla7[[#This Row],[CONTADOR]],"',STR_TO_DATE('",Tabla7[[#Headers],[31/12/2017]],"','%d/%m/%Y'),",AV225,"),","('",Tabla7[[#This Row],[CONTADOR]],"',STR_TO_DATE('",Tabla7[[#Headers],[15/01/2018]],"','%d/%m/%Y'),",AW225,"),","('",Tabla7[[#This Row],[CONTADOR]],"',STR_TO_DATE('",Tabla7[[#Headers],[15/02/2018]],"','%d/%m/%Y'),",AX225,"),","('",Tabla7[[#This Row],[CONTADOR]],"',STR_TO_DATE('",Tabla7[[#Headers],[15/03/2018]],"','%d/%m/%Y'),",AY225,"),","('",Tabla7[[#This Row],[CONTADOR]],"',STR_TO_DATE('",Tabla7[[#Headers],[15/04/2018]],"','%d/%m/%Y'),",AZ225,"),","('",Tabla7[[#This Row],[CONTADOR]],"',STR_TO_DATE('",Tabla7[[#Headers],[15/05/2018]],"','%d/%m/%Y'),",BA225,"),","('",Tabla7[[#This Row],[CONTADOR]],"',STR_TO_DATE('",Tabla7[[#Headers],[15/06/2018]],"','%d/%m/%Y'),",BB225,"),","('",Tabla7[[#This Row],[CONTADOR]],"',STR_TO_DATE('",Tabla7[[#Headers],[15/07/2018]],"','%d/%m/%Y'),",BC225,"),","('",Tabla7[[#This Row],[CONTADOR]],"',STR_TO_DATE('",Tabla7[[#Headers],[15/08/2018]],"','%d/%m/%Y'),",BD225,"),","('",Tabla7[[#This Row],[CONTADOR]],"',STR_TO_DATE('",Tabla7[[#Headers],[15/09/2018]],"','%d/%m/%Y'),",BE225,"),","('",Tabla7[[#This Row],[CONTADOR]],"',STR_TO_DATE('",Tabla7[[#Headers],[15/10/2018]],"','%d/%m/%Y'),",BF225,"),","('",Tabla7[[#This Row],[CONTADOR]],"',STR_TO_DATE('",Tabla7[[#Headers],[15/11/2018]],"','%d/%m/%Y'),",BG225,"),","('",Tabla7[[#This Row],[CONTADOR]],"',STR_TO_DATE('",Tabla7[[#Headers],[15/12/2018]],"','%d/%m/%Y'),",BH225,");")</f>
        <v>insert into lecturas values ('LW00180776',STR_TO_DATE('31/12/2017','%d/%m/%Y'),255497),('LW00180776',STR_TO_DATE('15/01/2018','%d/%m/%Y'),256116),('LW00180776',STR_TO_DATE('15/02/2018','%d/%m/%Y'),256707),('LW00180776',STR_TO_DATE('15/03/2018','%d/%m/%Y'),257205),('LW00180776',STR_TO_DATE('15/04/2018','%d/%m/%Y'),257870),('LW00180776',STR_TO_DATE('15/05/2018','%d/%m/%Y'),258507),('LW00180776',STR_TO_DATE('15/06/2018','%d/%m/%Y'),259084),('LW00180776',STR_TO_DATE('15/07/2018','%d/%m/%Y'),259746),('LW00180776',STR_TO_DATE('15/08/2018','%d/%m/%Y'),260262),('LW00180776',STR_TO_DATE('15/09/2018','%d/%m/%Y'),260972),('LW00180776',STR_TO_DATE('15/10/2018','%d/%m/%Y'),261823),('LW00180776',STR_TO_DATE('15/11/2018','%d/%m/%Y'),362433),('LW00180776',STR_TO_DATE('15/12/2018','%d/%m/%Y'),263052);</v>
      </c>
    </row>
    <row r="226" spans="1:68" ht="18.75" customHeight="1" x14ac:dyDescent="0.25">
      <c r="A226" s="241" t="s">
        <v>19</v>
      </c>
      <c r="B226" s="60"/>
      <c r="C226" s="342" t="s">
        <v>1267</v>
      </c>
      <c r="D226" s="60" t="s">
        <v>721</v>
      </c>
      <c r="E226" s="258">
        <v>150</v>
      </c>
      <c r="F226" s="274" t="s">
        <v>21</v>
      </c>
      <c r="G226" s="274" t="s">
        <v>20</v>
      </c>
      <c r="H226" s="274"/>
      <c r="I226" s="274" t="s">
        <v>792</v>
      </c>
      <c r="J226" s="311">
        <v>16411</v>
      </c>
      <c r="K226" s="311">
        <v>16507</v>
      </c>
      <c r="L226" s="311">
        <v>16645</v>
      </c>
      <c r="M226" s="311">
        <v>16750</v>
      </c>
      <c r="N226" s="311">
        <v>16841</v>
      </c>
      <c r="O226" s="311">
        <v>16905</v>
      </c>
      <c r="P226" s="311">
        <v>17036</v>
      </c>
      <c r="Q226" s="311">
        <v>17169</v>
      </c>
      <c r="R226" s="311">
        <v>17325</v>
      </c>
      <c r="S226" s="311">
        <v>17435</v>
      </c>
      <c r="T226" s="311">
        <v>17595</v>
      </c>
      <c r="U226" s="311">
        <v>17715</v>
      </c>
      <c r="V226" s="353">
        <v>17829</v>
      </c>
      <c r="W226" s="311"/>
      <c r="X226" s="274"/>
      <c r="Y226" s="274">
        <f t="shared" si="67"/>
        <v>11520</v>
      </c>
      <c r="Z226" s="274">
        <f t="shared" si="66"/>
        <v>16560</v>
      </c>
      <c r="AA226" s="274">
        <f t="shared" si="83"/>
        <v>12600</v>
      </c>
      <c r="AB226" s="274">
        <f t="shared" si="82"/>
        <v>10920</v>
      </c>
      <c r="AC226" s="274">
        <f t="shared" si="72"/>
        <v>7680</v>
      </c>
      <c r="AD226" s="274">
        <f t="shared" si="73"/>
        <v>15720</v>
      </c>
      <c r="AE226" s="274">
        <f t="shared" si="74"/>
        <v>15960</v>
      </c>
      <c r="AF226" s="274">
        <f t="shared" si="75"/>
        <v>18720</v>
      </c>
      <c r="AG226" s="274">
        <f t="shared" si="76"/>
        <v>13200</v>
      </c>
      <c r="AH226" s="274">
        <f t="shared" si="79"/>
        <v>19200</v>
      </c>
      <c r="AI226" s="274">
        <f t="shared" si="77"/>
        <v>14400</v>
      </c>
      <c r="AJ226" s="274">
        <f t="shared" si="78"/>
        <v>13680</v>
      </c>
      <c r="AK226" s="413">
        <v>120</v>
      </c>
      <c r="AL226" s="313">
        <f t="shared" ca="1" si="68"/>
        <v>16841</v>
      </c>
      <c r="AM226" s="311">
        <f t="shared" ca="1" si="69"/>
        <v>16905</v>
      </c>
      <c r="AN226" s="274">
        <f ca="1">IF(AND(Tabla7[[#This Row],[UltLec]]&lt;&gt;0,Tabla7[[#This Row],[PenLect]]&lt;&gt;0),(AM226-AL226)*Tabla7[[#This Row],[RT]],"N/A")</f>
        <v>7680</v>
      </c>
      <c r="AO226" s="273" t="s">
        <v>862</v>
      </c>
      <c r="AP226" s="392" t="s">
        <v>1190</v>
      </c>
      <c r="AQ226" s="392" t="s">
        <v>1189</v>
      </c>
      <c r="AR226" s="407">
        <f t="shared" si="70"/>
        <v>0</v>
      </c>
      <c r="AT226" s="2">
        <f t="shared" ca="1" si="71"/>
        <v>0.70329670329670335</v>
      </c>
      <c r="AV226">
        <f>IF(ISBLANK(Tabla7[[#This Row],[31/12/2017]]),0,Tabla7[[#This Row],[31/12/2017]])</f>
        <v>16411</v>
      </c>
      <c r="AW226">
        <f>IF(ISBLANK(Tabla7[[#This Row],[15/01/2018]]),0,Tabla7[[#This Row],[15/01/2018]])</f>
        <v>16507</v>
      </c>
      <c r="AX226">
        <f>IF(ISBLANK(Tabla7[[#This Row],[15/02/2018]]),0,Tabla7[[#This Row],[15/02/2018]])</f>
        <v>16645</v>
      </c>
      <c r="AY226">
        <f>IF(ISBLANK(Tabla7[[#This Row],[15/03/2018]]),0,Tabla7[[#This Row],[15/03/2018]])</f>
        <v>16750</v>
      </c>
      <c r="AZ226">
        <f>IF(ISBLANK(Tabla7[[#This Row],[15/04/2018]]),0,Tabla7[[#This Row],[15/04/2018]])</f>
        <v>16841</v>
      </c>
      <c r="BA226">
        <f>IF(ISBLANK(Tabla7[[#This Row],[15/05/2018]]),0,Tabla7[[#This Row],[15/05/2018]])</f>
        <v>16905</v>
      </c>
      <c r="BB226">
        <f>IF(ISBLANK(Tabla7[[#This Row],[15/06/2018]]),0,Tabla7[[#This Row],[15/06/2018]])</f>
        <v>17036</v>
      </c>
      <c r="BC226">
        <f>IF(ISBLANK(Tabla7[[#This Row],[15/07/2018]]),0,Tabla7[[#This Row],[15/07/2018]])</f>
        <v>17169</v>
      </c>
      <c r="BD226">
        <f>IF(ISBLANK(Tabla7[[#This Row],[15/08/2018]]),0,Tabla7[[#This Row],[15/08/2018]])</f>
        <v>17325</v>
      </c>
      <c r="BE226">
        <f>IF(ISBLANK(Tabla7[[#This Row],[15/09/2018]]),0,Tabla7[[#This Row],[15/09/2018]])</f>
        <v>17435</v>
      </c>
      <c r="BF226">
        <f>IF(ISBLANK(Tabla7[[#This Row],[15/10/2018]]),0,Tabla7[[#This Row],[15/10/2018]])</f>
        <v>17595</v>
      </c>
      <c r="BG226">
        <f>IF(ISBLANK(Tabla7[[#This Row],[15/11/2018]]),0,Tabla7[[#This Row],[15/11/2018]])</f>
        <v>17715</v>
      </c>
      <c r="BH226">
        <f>IF(ISBLANK(Tabla7[[#This Row],[15/12/2018]]),0,Tabla7[[#This Row],[15/12/2018]])</f>
        <v>17829</v>
      </c>
      <c r="BI226">
        <f>IF(ISBLANK(Tabla7[[#This Row],[28/12/2018]]),0,Tabla7[[#This Row],[28/12/2018]])</f>
        <v>0</v>
      </c>
      <c r="BN22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('BGJQCBJ02020581330','V','VCT RELOJ','150','APV','CT RELOJ','','CONTADOR ANALOGICO, MULTIPLICAR CONSUMOS POR 600/5');</v>
      </c>
      <c r="BO226" t="s">
        <v>243</v>
      </c>
      <c r="BP226" s="632" t="str">
        <f>CONCATENATE("insert into lecturas values ","('",Tabla7[[#This Row],[CONTADOR]],"',STR_TO_DATE('",Tabla7[[#Headers],[31/12/2017]],"','%d/%m/%Y'),",AV226,"),","('",Tabla7[[#This Row],[CONTADOR]],"',STR_TO_DATE('",Tabla7[[#Headers],[15/01/2018]],"','%d/%m/%Y'),",AW226,"),","('",Tabla7[[#This Row],[CONTADOR]],"',STR_TO_DATE('",Tabla7[[#Headers],[15/02/2018]],"','%d/%m/%Y'),",AX226,"),","('",Tabla7[[#This Row],[CONTADOR]],"',STR_TO_DATE('",Tabla7[[#Headers],[15/03/2018]],"','%d/%m/%Y'),",AY226,"),","('",Tabla7[[#This Row],[CONTADOR]],"',STR_TO_DATE('",Tabla7[[#Headers],[15/04/2018]],"','%d/%m/%Y'),",AZ226,"),","('",Tabla7[[#This Row],[CONTADOR]],"',STR_TO_DATE('",Tabla7[[#Headers],[15/05/2018]],"','%d/%m/%Y'),",BA226,"),","('",Tabla7[[#This Row],[CONTADOR]],"',STR_TO_DATE('",Tabla7[[#Headers],[15/06/2018]],"','%d/%m/%Y'),",BB226,"),","('",Tabla7[[#This Row],[CONTADOR]],"',STR_TO_DATE('",Tabla7[[#Headers],[15/07/2018]],"','%d/%m/%Y'),",BC226,"),","('",Tabla7[[#This Row],[CONTADOR]],"',STR_TO_DATE('",Tabla7[[#Headers],[15/08/2018]],"','%d/%m/%Y'),",BD226,"),","('",Tabla7[[#This Row],[CONTADOR]],"',STR_TO_DATE('",Tabla7[[#Headers],[15/09/2018]],"','%d/%m/%Y'),",BE226,"),","('",Tabla7[[#This Row],[CONTADOR]],"',STR_TO_DATE('",Tabla7[[#Headers],[15/10/2018]],"','%d/%m/%Y'),",BF226,"),","('",Tabla7[[#This Row],[CONTADOR]],"',STR_TO_DATE('",Tabla7[[#Headers],[15/11/2018]],"','%d/%m/%Y'),",BG226,"),","('",Tabla7[[#This Row],[CONTADOR]],"',STR_TO_DATE('",Tabla7[[#Headers],[15/12/2018]],"','%d/%m/%Y'),",BH226,");")</f>
        <v>insert into lecturas values ('BGJQCBJ02020581330',STR_TO_DATE('31/12/2017','%d/%m/%Y'),16411),('BGJQCBJ02020581330',STR_TO_DATE('15/01/2018','%d/%m/%Y'),16507),('BGJQCBJ02020581330',STR_TO_DATE('15/02/2018','%d/%m/%Y'),16645),('BGJQCBJ02020581330',STR_TO_DATE('15/03/2018','%d/%m/%Y'),16750),('BGJQCBJ02020581330',STR_TO_DATE('15/04/2018','%d/%m/%Y'),16841),('BGJQCBJ02020581330',STR_TO_DATE('15/05/2018','%d/%m/%Y'),16905),('BGJQCBJ02020581330',STR_TO_DATE('15/06/2018','%d/%m/%Y'),17036),('BGJQCBJ02020581330',STR_TO_DATE('15/07/2018','%d/%m/%Y'),17169),('BGJQCBJ02020581330',STR_TO_DATE('15/08/2018','%d/%m/%Y'),17325),('BGJQCBJ02020581330',STR_TO_DATE('15/09/2018','%d/%m/%Y'),17435),('BGJQCBJ02020581330',STR_TO_DATE('15/10/2018','%d/%m/%Y'),17595),('BGJQCBJ02020581330',STR_TO_DATE('15/11/2018','%d/%m/%Y'),17715),('BGJQCBJ02020581330',STR_TO_DATE('15/12/2018','%d/%m/%Y'),17829);</v>
      </c>
    </row>
    <row r="227" spans="1:68" ht="18.75" customHeight="1" x14ac:dyDescent="0.25">
      <c r="A227" s="241" t="s">
        <v>19</v>
      </c>
      <c r="B227" s="60"/>
      <c r="C227" s="342">
        <v>500018</v>
      </c>
      <c r="D227" s="60" t="s">
        <v>22</v>
      </c>
      <c r="E227" s="258">
        <v>39331</v>
      </c>
      <c r="F227" s="2" t="s">
        <v>23</v>
      </c>
      <c r="G227" s="2" t="s">
        <v>973</v>
      </c>
      <c r="H227" s="2" t="s">
        <v>24</v>
      </c>
      <c r="I227" s="2" t="s">
        <v>796</v>
      </c>
      <c r="J227" s="311">
        <v>35852</v>
      </c>
      <c r="K227" s="311">
        <v>35971</v>
      </c>
      <c r="L227" s="311">
        <v>36176</v>
      </c>
      <c r="M227" s="311">
        <v>36294</v>
      </c>
      <c r="N227" s="311">
        <v>36400</v>
      </c>
      <c r="O227" s="311">
        <v>36487</v>
      </c>
      <c r="P227" s="311">
        <v>36566</v>
      </c>
      <c r="Q227" s="311">
        <v>36650</v>
      </c>
      <c r="R227" s="311">
        <v>36733</v>
      </c>
      <c r="S227" s="311">
        <v>36844</v>
      </c>
      <c r="T227" s="311">
        <v>36988</v>
      </c>
      <c r="U227" s="311">
        <v>37176</v>
      </c>
      <c r="V227" s="353">
        <v>37316</v>
      </c>
      <c r="W227" s="311"/>
      <c r="X227" s="2"/>
      <c r="Y227" s="2">
        <f t="shared" si="67"/>
        <v>4760</v>
      </c>
      <c r="Z227" s="2">
        <f t="shared" si="66"/>
        <v>8200</v>
      </c>
      <c r="AA227" s="2">
        <f t="shared" si="83"/>
        <v>4720</v>
      </c>
      <c r="AB227" s="2">
        <f t="shared" si="82"/>
        <v>4240</v>
      </c>
      <c r="AC227" s="2">
        <f t="shared" si="72"/>
        <v>3480</v>
      </c>
      <c r="AD227" s="2">
        <f t="shared" si="73"/>
        <v>3160</v>
      </c>
      <c r="AE227" s="2">
        <f t="shared" si="74"/>
        <v>3360</v>
      </c>
      <c r="AF227" s="2">
        <f t="shared" si="75"/>
        <v>3320</v>
      </c>
      <c r="AG227" s="2">
        <f t="shared" si="76"/>
        <v>4440</v>
      </c>
      <c r="AH227" s="2">
        <f t="shared" si="79"/>
        <v>5760</v>
      </c>
      <c r="AI227" s="2">
        <f t="shared" si="77"/>
        <v>7520</v>
      </c>
      <c r="AJ227" s="2">
        <f t="shared" si="78"/>
        <v>5600</v>
      </c>
      <c r="AK227" s="413">
        <v>40</v>
      </c>
      <c r="AL227" s="313">
        <f t="shared" ca="1" si="68"/>
        <v>36400</v>
      </c>
      <c r="AM227" s="311">
        <f t="shared" ca="1" si="69"/>
        <v>36487</v>
      </c>
      <c r="AN227" s="274">
        <f ca="1">IF(AND(Tabla7[[#This Row],[UltLec]]&lt;&gt;0,Tabla7[[#This Row],[PenLect]]&lt;&gt;0),(AM227-AL227)*Tabla7[[#This Row],[RT]],"N/A")</f>
        <v>3480</v>
      </c>
      <c r="AO227" s="273" t="s">
        <v>862</v>
      </c>
      <c r="AP227" s="392" t="s">
        <v>1190</v>
      </c>
      <c r="AQ227" s="392" t="s">
        <v>1189</v>
      </c>
      <c r="AR227" s="407">
        <f t="shared" si="70"/>
        <v>0</v>
      </c>
      <c r="AT227" s="2">
        <f t="shared" ca="1" si="71"/>
        <v>0.82075471698113212</v>
      </c>
      <c r="AV227">
        <f>IF(ISBLANK(Tabla7[[#This Row],[31/12/2017]]),0,Tabla7[[#This Row],[31/12/2017]])</f>
        <v>35852</v>
      </c>
      <c r="AW227">
        <f>IF(ISBLANK(Tabla7[[#This Row],[15/01/2018]]),0,Tabla7[[#This Row],[15/01/2018]])</f>
        <v>35971</v>
      </c>
      <c r="AX227">
        <f>IF(ISBLANK(Tabla7[[#This Row],[15/02/2018]]),0,Tabla7[[#This Row],[15/02/2018]])</f>
        <v>36176</v>
      </c>
      <c r="AY227">
        <f>IF(ISBLANK(Tabla7[[#This Row],[15/03/2018]]),0,Tabla7[[#This Row],[15/03/2018]])</f>
        <v>36294</v>
      </c>
      <c r="AZ227">
        <f>IF(ISBLANK(Tabla7[[#This Row],[15/04/2018]]),0,Tabla7[[#This Row],[15/04/2018]])</f>
        <v>36400</v>
      </c>
      <c r="BA227">
        <f>IF(ISBLANK(Tabla7[[#This Row],[15/05/2018]]),0,Tabla7[[#This Row],[15/05/2018]])</f>
        <v>36487</v>
      </c>
      <c r="BB227">
        <f>IF(ISBLANK(Tabla7[[#This Row],[15/06/2018]]),0,Tabla7[[#This Row],[15/06/2018]])</f>
        <v>36566</v>
      </c>
      <c r="BC227">
        <f>IF(ISBLANK(Tabla7[[#This Row],[15/07/2018]]),0,Tabla7[[#This Row],[15/07/2018]])</f>
        <v>36650</v>
      </c>
      <c r="BD227">
        <f>IF(ISBLANK(Tabla7[[#This Row],[15/08/2018]]),0,Tabla7[[#This Row],[15/08/2018]])</f>
        <v>36733</v>
      </c>
      <c r="BE227">
        <f>IF(ISBLANK(Tabla7[[#This Row],[15/09/2018]]),0,Tabla7[[#This Row],[15/09/2018]])</f>
        <v>36844</v>
      </c>
      <c r="BF227">
        <f>IF(ISBLANK(Tabla7[[#This Row],[15/10/2018]]),0,Tabla7[[#This Row],[15/10/2018]])</f>
        <v>36988</v>
      </c>
      <c r="BG227">
        <f>IF(ISBLANK(Tabla7[[#This Row],[15/11/2018]]),0,Tabla7[[#This Row],[15/11/2018]])</f>
        <v>37176</v>
      </c>
      <c r="BH227">
        <f>IF(ISBLANK(Tabla7[[#This Row],[15/12/2018]]),0,Tabla7[[#This Row],[15/12/2018]])</f>
        <v>37316</v>
      </c>
      <c r="BI227">
        <f>IF(ISBLANK(Tabla7[[#This Row],[28/12/2018]]),0,Tabla7[[#This Row],[28/12/2018]])</f>
        <v>0</v>
      </c>
      <c r="BN22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('500018','V','VCT00','39331','TCV STEVEDORING COMPANY','EXTERIOR CT (1)','TA18 - TA19','200/5');</v>
      </c>
      <c r="BO227" t="s">
        <v>243</v>
      </c>
      <c r="BP227" s="632" t="str">
        <f>CONCATENATE("insert into lecturas values ","('",Tabla7[[#This Row],[CONTADOR]],"',STR_TO_DATE('",Tabla7[[#Headers],[31/12/2017]],"','%d/%m/%Y'),",AV227,"),","('",Tabla7[[#This Row],[CONTADOR]],"',STR_TO_DATE('",Tabla7[[#Headers],[15/01/2018]],"','%d/%m/%Y'),",AW227,"),","('",Tabla7[[#This Row],[CONTADOR]],"',STR_TO_DATE('",Tabla7[[#Headers],[15/02/2018]],"','%d/%m/%Y'),",AX227,"),","('",Tabla7[[#This Row],[CONTADOR]],"',STR_TO_DATE('",Tabla7[[#Headers],[15/03/2018]],"','%d/%m/%Y'),",AY227,"),","('",Tabla7[[#This Row],[CONTADOR]],"',STR_TO_DATE('",Tabla7[[#Headers],[15/04/2018]],"','%d/%m/%Y'),",AZ227,"),","('",Tabla7[[#This Row],[CONTADOR]],"',STR_TO_DATE('",Tabla7[[#Headers],[15/05/2018]],"','%d/%m/%Y'),",BA227,"),","('",Tabla7[[#This Row],[CONTADOR]],"',STR_TO_DATE('",Tabla7[[#Headers],[15/06/2018]],"','%d/%m/%Y'),",BB227,"),","('",Tabla7[[#This Row],[CONTADOR]],"',STR_TO_DATE('",Tabla7[[#Headers],[15/07/2018]],"','%d/%m/%Y'),",BC227,"),","('",Tabla7[[#This Row],[CONTADOR]],"',STR_TO_DATE('",Tabla7[[#Headers],[15/08/2018]],"','%d/%m/%Y'),",BD227,"),","('",Tabla7[[#This Row],[CONTADOR]],"',STR_TO_DATE('",Tabla7[[#Headers],[15/09/2018]],"','%d/%m/%Y'),",BE227,"),","('",Tabla7[[#This Row],[CONTADOR]],"',STR_TO_DATE('",Tabla7[[#Headers],[15/10/2018]],"','%d/%m/%Y'),",BF227,"),","('",Tabla7[[#This Row],[CONTADOR]],"',STR_TO_DATE('",Tabla7[[#Headers],[15/11/2018]],"','%d/%m/%Y'),",BG227,"),","('",Tabla7[[#This Row],[CONTADOR]],"',STR_TO_DATE('",Tabla7[[#Headers],[15/12/2018]],"','%d/%m/%Y'),",BH227,");")</f>
        <v>insert into lecturas values ('500018',STR_TO_DATE('31/12/2017','%d/%m/%Y'),35852),('500018',STR_TO_DATE('15/01/2018','%d/%m/%Y'),35971),('500018',STR_TO_DATE('15/02/2018','%d/%m/%Y'),36176),('500018',STR_TO_DATE('15/03/2018','%d/%m/%Y'),36294),('500018',STR_TO_DATE('15/04/2018','%d/%m/%Y'),36400),('500018',STR_TO_DATE('15/05/2018','%d/%m/%Y'),36487),('500018',STR_TO_DATE('15/06/2018','%d/%m/%Y'),36566),('500018',STR_TO_DATE('15/07/2018','%d/%m/%Y'),36650),('500018',STR_TO_DATE('15/08/2018','%d/%m/%Y'),36733),('500018',STR_TO_DATE('15/09/2018','%d/%m/%Y'),36844),('500018',STR_TO_DATE('15/10/2018','%d/%m/%Y'),36988),('500018',STR_TO_DATE('15/11/2018','%d/%m/%Y'),37176),('500018',STR_TO_DATE('15/12/2018','%d/%m/%Y'),37316);</v>
      </c>
    </row>
    <row r="228" spans="1:68" ht="18.75" customHeight="1" x14ac:dyDescent="0.25">
      <c r="A228" s="241" t="s">
        <v>19</v>
      </c>
      <c r="B228" s="60">
        <v>945</v>
      </c>
      <c r="C228" s="342">
        <v>18506393</v>
      </c>
      <c r="D228" s="60" t="s">
        <v>22</v>
      </c>
      <c r="E228" s="258">
        <v>39416</v>
      </c>
      <c r="F228" s="2" t="s">
        <v>23</v>
      </c>
      <c r="G228" s="2" t="s">
        <v>974</v>
      </c>
      <c r="H228" s="2" t="s">
        <v>29</v>
      </c>
      <c r="I228" s="2"/>
      <c r="J228" s="311">
        <v>113457</v>
      </c>
      <c r="K228" s="311">
        <v>113939</v>
      </c>
      <c r="L228" s="311">
        <v>115488</v>
      </c>
      <c r="M228" s="311">
        <v>116243</v>
      </c>
      <c r="N228" s="311">
        <v>117483</v>
      </c>
      <c r="O228" s="311">
        <v>118447</v>
      </c>
      <c r="P228" s="311">
        <v>120019</v>
      </c>
      <c r="Q228" s="311">
        <v>121906</v>
      </c>
      <c r="R228" s="311">
        <v>124219</v>
      </c>
      <c r="S228" s="311">
        <v>127341</v>
      </c>
      <c r="T228" s="311">
        <v>127992</v>
      </c>
      <c r="U228" s="311">
        <v>131126</v>
      </c>
      <c r="V228" s="353">
        <v>132026</v>
      </c>
      <c r="W228" s="311"/>
      <c r="X228" s="2"/>
      <c r="Y228" s="2">
        <f t="shared" si="67"/>
        <v>482</v>
      </c>
      <c r="Z228" s="2">
        <f t="shared" si="66"/>
        <v>1549</v>
      </c>
      <c r="AA228" s="2">
        <f t="shared" si="83"/>
        <v>755</v>
      </c>
      <c r="AB228" s="2">
        <f t="shared" si="82"/>
        <v>1240</v>
      </c>
      <c r="AC228" s="2">
        <f t="shared" si="72"/>
        <v>964</v>
      </c>
      <c r="AD228" s="2">
        <f t="shared" si="73"/>
        <v>1572</v>
      </c>
      <c r="AE228" s="2">
        <f t="shared" si="74"/>
        <v>1887</v>
      </c>
      <c r="AF228" s="2">
        <f t="shared" si="75"/>
        <v>2313</v>
      </c>
      <c r="AG228" s="2">
        <f t="shared" si="76"/>
        <v>3122</v>
      </c>
      <c r="AH228" s="2">
        <f t="shared" si="79"/>
        <v>651</v>
      </c>
      <c r="AI228" s="2">
        <f t="shared" si="77"/>
        <v>3134</v>
      </c>
      <c r="AJ228" s="2">
        <f t="shared" si="78"/>
        <v>900</v>
      </c>
      <c r="AK228" s="406">
        <v>1</v>
      </c>
      <c r="AL228" s="274">
        <f t="shared" ca="1" si="68"/>
        <v>117483</v>
      </c>
      <c r="AM228" s="311">
        <f t="shared" ca="1" si="69"/>
        <v>118447</v>
      </c>
      <c r="AN228" s="274">
        <f ca="1">IF(AND(Tabla7[[#This Row],[UltLec]]&lt;&gt;0,Tabla7[[#This Row],[PenLect]]&lt;&gt;0),(AM228-AL228)*Tabla7[[#This Row],[RT]],"N/A")</f>
        <v>964</v>
      </c>
      <c r="AO228" s="273" t="s">
        <v>862</v>
      </c>
      <c r="AP228" s="392" t="s">
        <v>1191</v>
      </c>
      <c r="AQ228" s="392" t="s">
        <v>1189</v>
      </c>
      <c r="AR228" s="407">
        <f t="shared" si="70"/>
        <v>0</v>
      </c>
      <c r="AT228" s="2">
        <f t="shared" ca="1" si="71"/>
        <v>0.77741935483870972</v>
      </c>
      <c r="AV228">
        <f>IF(ISBLANK(Tabla7[[#This Row],[31/12/2017]]),0,Tabla7[[#This Row],[31/12/2017]])</f>
        <v>113457</v>
      </c>
      <c r="AW228">
        <f>IF(ISBLANK(Tabla7[[#This Row],[15/01/2018]]),0,Tabla7[[#This Row],[15/01/2018]])</f>
        <v>113939</v>
      </c>
      <c r="AX228">
        <f>IF(ISBLANK(Tabla7[[#This Row],[15/02/2018]]),0,Tabla7[[#This Row],[15/02/2018]])</f>
        <v>115488</v>
      </c>
      <c r="AY228">
        <f>IF(ISBLANK(Tabla7[[#This Row],[15/03/2018]]),0,Tabla7[[#This Row],[15/03/2018]])</f>
        <v>116243</v>
      </c>
      <c r="AZ228">
        <f>IF(ISBLANK(Tabla7[[#This Row],[15/04/2018]]),0,Tabla7[[#This Row],[15/04/2018]])</f>
        <v>117483</v>
      </c>
      <c r="BA228">
        <f>IF(ISBLANK(Tabla7[[#This Row],[15/05/2018]]),0,Tabla7[[#This Row],[15/05/2018]])</f>
        <v>118447</v>
      </c>
      <c r="BB228">
        <f>IF(ISBLANK(Tabla7[[#This Row],[15/06/2018]]),0,Tabla7[[#This Row],[15/06/2018]])</f>
        <v>120019</v>
      </c>
      <c r="BC228">
        <f>IF(ISBLANK(Tabla7[[#This Row],[15/07/2018]]),0,Tabla7[[#This Row],[15/07/2018]])</f>
        <v>121906</v>
      </c>
      <c r="BD228">
        <f>IF(ISBLANK(Tabla7[[#This Row],[15/08/2018]]),0,Tabla7[[#This Row],[15/08/2018]])</f>
        <v>124219</v>
      </c>
      <c r="BE228">
        <f>IF(ISBLANK(Tabla7[[#This Row],[15/09/2018]]),0,Tabla7[[#This Row],[15/09/2018]])</f>
        <v>127341</v>
      </c>
      <c r="BF228">
        <f>IF(ISBLANK(Tabla7[[#This Row],[15/10/2018]]),0,Tabla7[[#This Row],[15/10/2018]])</f>
        <v>127992</v>
      </c>
      <c r="BG228">
        <f>IF(ISBLANK(Tabla7[[#This Row],[15/11/2018]]),0,Tabla7[[#This Row],[15/11/2018]])</f>
        <v>131126</v>
      </c>
      <c r="BH228">
        <f>IF(ISBLANK(Tabla7[[#This Row],[15/12/2018]]),0,Tabla7[[#This Row],[15/12/2018]])</f>
        <v>132026</v>
      </c>
      <c r="BI228">
        <f>IF(ISBLANK(Tabla7[[#This Row],[28/12/2018]]),0,Tabla7[[#This Row],[28/12/2018]])</f>
        <v>0</v>
      </c>
      <c r="BN22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('18506393','V','VCT00','39416','TCV STEVEDORING COMPANY','EXTERIOR CT (5)','FRIGORIFICOS . Alta 1-7-13','');</v>
      </c>
      <c r="BO228" t="s">
        <v>243</v>
      </c>
      <c r="BP228" s="632" t="str">
        <f>CONCATENATE("insert into lecturas values ","('",Tabla7[[#This Row],[CONTADOR]],"',STR_TO_DATE('",Tabla7[[#Headers],[31/12/2017]],"','%d/%m/%Y'),",AV228,"),","('",Tabla7[[#This Row],[CONTADOR]],"',STR_TO_DATE('",Tabla7[[#Headers],[15/01/2018]],"','%d/%m/%Y'),",AW228,"),","('",Tabla7[[#This Row],[CONTADOR]],"',STR_TO_DATE('",Tabla7[[#Headers],[15/02/2018]],"','%d/%m/%Y'),",AX228,"),","('",Tabla7[[#This Row],[CONTADOR]],"',STR_TO_DATE('",Tabla7[[#Headers],[15/03/2018]],"','%d/%m/%Y'),",AY228,"),","('",Tabla7[[#This Row],[CONTADOR]],"',STR_TO_DATE('",Tabla7[[#Headers],[15/04/2018]],"','%d/%m/%Y'),",AZ228,"),","('",Tabla7[[#This Row],[CONTADOR]],"',STR_TO_DATE('",Tabla7[[#Headers],[15/05/2018]],"','%d/%m/%Y'),",BA228,"),","('",Tabla7[[#This Row],[CONTADOR]],"',STR_TO_DATE('",Tabla7[[#Headers],[15/06/2018]],"','%d/%m/%Y'),",BB228,"),","('",Tabla7[[#This Row],[CONTADOR]],"',STR_TO_DATE('",Tabla7[[#Headers],[15/07/2018]],"','%d/%m/%Y'),",BC228,"),","('",Tabla7[[#This Row],[CONTADOR]],"',STR_TO_DATE('",Tabla7[[#Headers],[15/08/2018]],"','%d/%m/%Y'),",BD228,"),","('",Tabla7[[#This Row],[CONTADOR]],"',STR_TO_DATE('",Tabla7[[#Headers],[15/09/2018]],"','%d/%m/%Y'),",BE228,"),","('",Tabla7[[#This Row],[CONTADOR]],"',STR_TO_DATE('",Tabla7[[#Headers],[15/10/2018]],"','%d/%m/%Y'),",BF228,"),","('",Tabla7[[#This Row],[CONTADOR]],"',STR_TO_DATE('",Tabla7[[#Headers],[15/11/2018]],"','%d/%m/%Y'),",BG228,"),","('",Tabla7[[#This Row],[CONTADOR]],"',STR_TO_DATE('",Tabla7[[#Headers],[15/12/2018]],"','%d/%m/%Y'),",BH228,");")</f>
        <v>insert into lecturas values ('18506393',STR_TO_DATE('31/12/2017','%d/%m/%Y'),113457),('18506393',STR_TO_DATE('15/01/2018','%d/%m/%Y'),113939),('18506393',STR_TO_DATE('15/02/2018','%d/%m/%Y'),115488),('18506393',STR_TO_DATE('15/03/2018','%d/%m/%Y'),116243),('18506393',STR_TO_DATE('15/04/2018','%d/%m/%Y'),117483),('18506393',STR_TO_DATE('15/05/2018','%d/%m/%Y'),118447),('18506393',STR_TO_DATE('15/06/2018','%d/%m/%Y'),120019),('18506393',STR_TO_DATE('15/07/2018','%d/%m/%Y'),121906),('18506393',STR_TO_DATE('15/08/2018','%d/%m/%Y'),124219),('18506393',STR_TO_DATE('15/09/2018','%d/%m/%Y'),127341),('18506393',STR_TO_DATE('15/10/2018','%d/%m/%Y'),127992),('18506393',STR_TO_DATE('15/11/2018','%d/%m/%Y'),131126),('18506393',STR_TO_DATE('15/12/2018','%d/%m/%Y'),132026);</v>
      </c>
    </row>
    <row r="229" spans="1:68" ht="18.75" customHeight="1" x14ac:dyDescent="0.25">
      <c r="A229" s="241" t="s">
        <v>19</v>
      </c>
      <c r="B229" s="60">
        <v>973</v>
      </c>
      <c r="C229" s="342" t="s">
        <v>30</v>
      </c>
      <c r="D229" s="60" t="s">
        <v>22</v>
      </c>
      <c r="E229" s="258">
        <v>39430</v>
      </c>
      <c r="F229" s="2" t="s">
        <v>23</v>
      </c>
      <c r="G229" s="2" t="s">
        <v>975</v>
      </c>
      <c r="H229" s="2" t="s">
        <v>31</v>
      </c>
      <c r="I229" s="2"/>
      <c r="J229" s="311">
        <v>518428</v>
      </c>
      <c r="K229" s="311">
        <v>521047</v>
      </c>
      <c r="L229" s="311">
        <v>525721</v>
      </c>
      <c r="M229" s="311">
        <v>529119</v>
      </c>
      <c r="N229" s="311">
        <v>532509</v>
      </c>
      <c r="O229" s="311">
        <v>535441</v>
      </c>
      <c r="P229" s="311">
        <v>538122</v>
      </c>
      <c r="Q229" s="311">
        <v>540899</v>
      </c>
      <c r="R229" s="311">
        <v>543593</v>
      </c>
      <c r="S229" s="311">
        <v>547010</v>
      </c>
      <c r="T229" s="311">
        <v>550119</v>
      </c>
      <c r="U229" s="311">
        <v>554200</v>
      </c>
      <c r="V229" s="353">
        <v>558550</v>
      </c>
      <c r="W229" s="311"/>
      <c r="X229" s="2"/>
      <c r="Y229" s="2">
        <f t="shared" si="67"/>
        <v>2619</v>
      </c>
      <c r="Z229" s="2">
        <f t="shared" si="66"/>
        <v>4674</v>
      </c>
      <c r="AA229" s="2">
        <f t="shared" si="83"/>
        <v>3398</v>
      </c>
      <c r="AB229" s="2">
        <f t="shared" si="82"/>
        <v>3390</v>
      </c>
      <c r="AC229" s="2">
        <f t="shared" si="72"/>
        <v>2932</v>
      </c>
      <c r="AD229" s="2">
        <f t="shared" si="73"/>
        <v>2681</v>
      </c>
      <c r="AE229" s="2">
        <f t="shared" si="74"/>
        <v>2777</v>
      </c>
      <c r="AF229" s="2">
        <f t="shared" si="75"/>
        <v>2694</v>
      </c>
      <c r="AG229" s="2">
        <f t="shared" si="76"/>
        <v>3417</v>
      </c>
      <c r="AH229" s="2">
        <f t="shared" si="79"/>
        <v>3109</v>
      </c>
      <c r="AI229" s="2">
        <f t="shared" si="77"/>
        <v>4081</v>
      </c>
      <c r="AJ229" s="2">
        <f t="shared" si="78"/>
        <v>4350</v>
      </c>
      <c r="AK229" s="406">
        <v>1</v>
      </c>
      <c r="AL229" s="274">
        <f t="shared" ca="1" si="68"/>
        <v>532509</v>
      </c>
      <c r="AM229" s="311">
        <f t="shared" ca="1" si="69"/>
        <v>535441</v>
      </c>
      <c r="AN229" s="274">
        <f ca="1">IF(AND(Tabla7[[#This Row],[UltLec]]&lt;&gt;0,Tabla7[[#This Row],[PenLect]]&lt;&gt;0),(AM229-AL229)*Tabla7[[#This Row],[RT]],"N/A")</f>
        <v>2932</v>
      </c>
      <c r="AO229" s="273" t="s">
        <v>862</v>
      </c>
      <c r="AP229" s="392" t="s">
        <v>1190</v>
      </c>
      <c r="AQ229" s="392" t="s">
        <v>1189</v>
      </c>
      <c r="AR229" s="407">
        <f t="shared" si="70"/>
        <v>0</v>
      </c>
      <c r="AT229" s="2">
        <f t="shared" ca="1" si="71"/>
        <v>0.86489675516224185</v>
      </c>
      <c r="AV229">
        <f>IF(ISBLANK(Tabla7[[#This Row],[31/12/2017]]),0,Tabla7[[#This Row],[31/12/2017]])</f>
        <v>518428</v>
      </c>
      <c r="AW229">
        <f>IF(ISBLANK(Tabla7[[#This Row],[15/01/2018]]),0,Tabla7[[#This Row],[15/01/2018]])</f>
        <v>521047</v>
      </c>
      <c r="AX229">
        <f>IF(ISBLANK(Tabla7[[#This Row],[15/02/2018]]),0,Tabla7[[#This Row],[15/02/2018]])</f>
        <v>525721</v>
      </c>
      <c r="AY229">
        <f>IF(ISBLANK(Tabla7[[#This Row],[15/03/2018]]),0,Tabla7[[#This Row],[15/03/2018]])</f>
        <v>529119</v>
      </c>
      <c r="AZ229">
        <f>IF(ISBLANK(Tabla7[[#This Row],[15/04/2018]]),0,Tabla7[[#This Row],[15/04/2018]])</f>
        <v>532509</v>
      </c>
      <c r="BA229">
        <f>IF(ISBLANK(Tabla7[[#This Row],[15/05/2018]]),0,Tabla7[[#This Row],[15/05/2018]])</f>
        <v>535441</v>
      </c>
      <c r="BB229">
        <f>IF(ISBLANK(Tabla7[[#This Row],[15/06/2018]]),0,Tabla7[[#This Row],[15/06/2018]])</f>
        <v>538122</v>
      </c>
      <c r="BC229">
        <f>IF(ISBLANK(Tabla7[[#This Row],[15/07/2018]]),0,Tabla7[[#This Row],[15/07/2018]])</f>
        <v>540899</v>
      </c>
      <c r="BD229">
        <f>IF(ISBLANK(Tabla7[[#This Row],[15/08/2018]]),0,Tabla7[[#This Row],[15/08/2018]])</f>
        <v>543593</v>
      </c>
      <c r="BE229">
        <f>IF(ISBLANK(Tabla7[[#This Row],[15/09/2018]]),0,Tabla7[[#This Row],[15/09/2018]])</f>
        <v>547010</v>
      </c>
      <c r="BF229">
        <f>IF(ISBLANK(Tabla7[[#This Row],[15/10/2018]]),0,Tabla7[[#This Row],[15/10/2018]])</f>
        <v>550119</v>
      </c>
      <c r="BG229">
        <f>IF(ISBLANK(Tabla7[[#This Row],[15/11/2018]]),0,Tabla7[[#This Row],[15/11/2018]])</f>
        <v>554200</v>
      </c>
      <c r="BH229">
        <f>IF(ISBLANK(Tabla7[[#This Row],[15/12/2018]]),0,Tabla7[[#This Row],[15/12/2018]])</f>
        <v>558550</v>
      </c>
      <c r="BI229">
        <f>IF(ISBLANK(Tabla7[[#This Row],[28/12/2018]]),0,Tabla7[[#This Row],[28/12/2018]])</f>
        <v>0</v>
      </c>
      <c r="BN22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('LW00042957','V','VCT00','39430','TCV STEVEDORING COMPANY','EXTERIOR CT (4)','TORRE 0001 ( TA 15)','');</v>
      </c>
      <c r="BO229" t="s">
        <v>243</v>
      </c>
      <c r="BP229" s="632" t="str">
        <f>CONCATENATE("insert into lecturas values ","('",Tabla7[[#This Row],[CONTADOR]],"',STR_TO_DATE('",Tabla7[[#Headers],[31/12/2017]],"','%d/%m/%Y'),",AV229,"),","('",Tabla7[[#This Row],[CONTADOR]],"',STR_TO_DATE('",Tabla7[[#Headers],[15/01/2018]],"','%d/%m/%Y'),",AW229,"),","('",Tabla7[[#This Row],[CONTADOR]],"',STR_TO_DATE('",Tabla7[[#Headers],[15/02/2018]],"','%d/%m/%Y'),",AX229,"),","('",Tabla7[[#This Row],[CONTADOR]],"',STR_TO_DATE('",Tabla7[[#Headers],[15/03/2018]],"','%d/%m/%Y'),",AY229,"),","('",Tabla7[[#This Row],[CONTADOR]],"',STR_TO_DATE('",Tabla7[[#Headers],[15/04/2018]],"','%d/%m/%Y'),",AZ229,"),","('",Tabla7[[#This Row],[CONTADOR]],"',STR_TO_DATE('",Tabla7[[#Headers],[15/05/2018]],"','%d/%m/%Y'),",BA229,"),","('",Tabla7[[#This Row],[CONTADOR]],"',STR_TO_DATE('",Tabla7[[#Headers],[15/06/2018]],"','%d/%m/%Y'),",BB229,"),","('",Tabla7[[#This Row],[CONTADOR]],"',STR_TO_DATE('",Tabla7[[#Headers],[15/07/2018]],"','%d/%m/%Y'),",BC229,"),","('",Tabla7[[#This Row],[CONTADOR]],"',STR_TO_DATE('",Tabla7[[#Headers],[15/08/2018]],"','%d/%m/%Y'),",BD229,"),","('",Tabla7[[#This Row],[CONTADOR]],"',STR_TO_DATE('",Tabla7[[#Headers],[15/09/2018]],"','%d/%m/%Y'),",BE229,"),","('",Tabla7[[#This Row],[CONTADOR]],"',STR_TO_DATE('",Tabla7[[#Headers],[15/10/2018]],"','%d/%m/%Y'),",BF229,"),","('",Tabla7[[#This Row],[CONTADOR]],"',STR_TO_DATE('",Tabla7[[#Headers],[15/11/2018]],"','%d/%m/%Y'),",BG229,"),","('",Tabla7[[#This Row],[CONTADOR]],"',STR_TO_DATE('",Tabla7[[#Headers],[15/12/2018]],"','%d/%m/%Y'),",BH229,");")</f>
        <v>insert into lecturas values ('LW00042957',STR_TO_DATE('31/12/2017','%d/%m/%Y'),518428),('LW00042957',STR_TO_DATE('15/01/2018','%d/%m/%Y'),521047),('LW00042957',STR_TO_DATE('15/02/2018','%d/%m/%Y'),525721),('LW00042957',STR_TO_DATE('15/03/2018','%d/%m/%Y'),529119),('LW00042957',STR_TO_DATE('15/04/2018','%d/%m/%Y'),532509),('LW00042957',STR_TO_DATE('15/05/2018','%d/%m/%Y'),535441),('LW00042957',STR_TO_DATE('15/06/2018','%d/%m/%Y'),538122),('LW00042957',STR_TO_DATE('15/07/2018','%d/%m/%Y'),540899),('LW00042957',STR_TO_DATE('15/08/2018','%d/%m/%Y'),543593),('LW00042957',STR_TO_DATE('15/09/2018','%d/%m/%Y'),547010),('LW00042957',STR_TO_DATE('15/10/2018','%d/%m/%Y'),550119),('LW00042957',STR_TO_DATE('15/11/2018','%d/%m/%Y'),554200),('LW00042957',STR_TO_DATE('15/12/2018','%d/%m/%Y'),558550);</v>
      </c>
    </row>
    <row r="230" spans="1:68" ht="18.75" customHeight="1" x14ac:dyDescent="0.25">
      <c r="A230" s="241" t="s">
        <v>19</v>
      </c>
      <c r="B230" s="60">
        <v>525</v>
      </c>
      <c r="C230" s="342" t="s">
        <v>25</v>
      </c>
      <c r="D230" s="60" t="s">
        <v>22</v>
      </c>
      <c r="E230" s="258">
        <v>39638</v>
      </c>
      <c r="F230" s="2" t="s">
        <v>23</v>
      </c>
      <c r="G230" s="2" t="s">
        <v>976</v>
      </c>
      <c r="H230" s="2" t="s">
        <v>26</v>
      </c>
      <c r="I230" s="2"/>
      <c r="J230" s="311">
        <v>478099</v>
      </c>
      <c r="K230" s="311">
        <v>480034</v>
      </c>
      <c r="L230" s="311">
        <v>483386</v>
      </c>
      <c r="M230" s="311">
        <v>488156</v>
      </c>
      <c r="N230" s="311">
        <v>492904</v>
      </c>
      <c r="O230" s="311">
        <v>497037</v>
      </c>
      <c r="P230" s="311">
        <v>500844</v>
      </c>
      <c r="Q230" s="311">
        <v>504792</v>
      </c>
      <c r="R230" s="311">
        <v>508569</v>
      </c>
      <c r="S230" s="311">
        <v>513329</v>
      </c>
      <c r="T230" s="311">
        <v>517608</v>
      </c>
      <c r="U230" s="311">
        <v>523149</v>
      </c>
      <c r="V230" s="353">
        <v>529412</v>
      </c>
      <c r="W230" s="311"/>
      <c r="X230" s="2"/>
      <c r="Y230" s="2">
        <f t="shared" si="67"/>
        <v>1935</v>
      </c>
      <c r="Z230" s="2">
        <f t="shared" si="66"/>
        <v>3352</v>
      </c>
      <c r="AA230" s="2">
        <f t="shared" si="83"/>
        <v>4770</v>
      </c>
      <c r="AB230" s="2">
        <f t="shared" si="82"/>
        <v>4748</v>
      </c>
      <c r="AC230" s="2">
        <f t="shared" si="72"/>
        <v>4133</v>
      </c>
      <c r="AD230" s="2">
        <f t="shared" si="73"/>
        <v>3807</v>
      </c>
      <c r="AE230" s="2">
        <f t="shared" si="74"/>
        <v>3948</v>
      </c>
      <c r="AF230" s="2">
        <f t="shared" si="75"/>
        <v>3777</v>
      </c>
      <c r="AG230" s="2">
        <f t="shared" si="76"/>
        <v>4760</v>
      </c>
      <c r="AH230" s="2">
        <f t="shared" si="79"/>
        <v>4279</v>
      </c>
      <c r="AI230" s="2">
        <f t="shared" si="77"/>
        <v>5541</v>
      </c>
      <c r="AJ230" s="2">
        <f t="shared" si="78"/>
        <v>6263</v>
      </c>
      <c r="AK230" s="406">
        <v>1</v>
      </c>
      <c r="AL230" s="274">
        <f t="shared" ca="1" si="68"/>
        <v>492904</v>
      </c>
      <c r="AM230" s="311">
        <f t="shared" ca="1" si="69"/>
        <v>497037</v>
      </c>
      <c r="AN230" s="274">
        <f ca="1">IF(AND(Tabla7[[#This Row],[UltLec]]&lt;&gt;0,Tabla7[[#This Row],[PenLect]]&lt;&gt;0),(AM230-AL230)*Tabla7[[#This Row],[RT]],"N/A")</f>
        <v>4133</v>
      </c>
      <c r="AO230" s="273" t="s">
        <v>862</v>
      </c>
      <c r="AP230" s="392" t="s">
        <v>1190</v>
      </c>
      <c r="AQ230" s="392" t="s">
        <v>1189</v>
      </c>
      <c r="AR230" s="407">
        <f t="shared" si="70"/>
        <v>0</v>
      </c>
      <c r="AT230" s="2">
        <f t="shared" ca="1" si="71"/>
        <v>0.87047177759056449</v>
      </c>
      <c r="AV230">
        <f>IF(ISBLANK(Tabla7[[#This Row],[31/12/2017]]),0,Tabla7[[#This Row],[31/12/2017]])</f>
        <v>478099</v>
      </c>
      <c r="AW230">
        <f>IF(ISBLANK(Tabla7[[#This Row],[15/01/2018]]),0,Tabla7[[#This Row],[15/01/2018]])</f>
        <v>480034</v>
      </c>
      <c r="AX230">
        <f>IF(ISBLANK(Tabla7[[#This Row],[15/02/2018]]),0,Tabla7[[#This Row],[15/02/2018]])</f>
        <v>483386</v>
      </c>
      <c r="AY230">
        <f>IF(ISBLANK(Tabla7[[#This Row],[15/03/2018]]),0,Tabla7[[#This Row],[15/03/2018]])</f>
        <v>488156</v>
      </c>
      <c r="AZ230">
        <f>IF(ISBLANK(Tabla7[[#This Row],[15/04/2018]]),0,Tabla7[[#This Row],[15/04/2018]])</f>
        <v>492904</v>
      </c>
      <c r="BA230">
        <f>IF(ISBLANK(Tabla7[[#This Row],[15/05/2018]]),0,Tabla7[[#This Row],[15/05/2018]])</f>
        <v>497037</v>
      </c>
      <c r="BB230">
        <f>IF(ISBLANK(Tabla7[[#This Row],[15/06/2018]]),0,Tabla7[[#This Row],[15/06/2018]])</f>
        <v>500844</v>
      </c>
      <c r="BC230">
        <f>IF(ISBLANK(Tabla7[[#This Row],[15/07/2018]]),0,Tabla7[[#This Row],[15/07/2018]])</f>
        <v>504792</v>
      </c>
      <c r="BD230">
        <f>IF(ISBLANK(Tabla7[[#This Row],[15/08/2018]]),0,Tabla7[[#This Row],[15/08/2018]])</f>
        <v>508569</v>
      </c>
      <c r="BE230">
        <f>IF(ISBLANK(Tabla7[[#This Row],[15/09/2018]]),0,Tabla7[[#This Row],[15/09/2018]])</f>
        <v>513329</v>
      </c>
      <c r="BF230">
        <f>IF(ISBLANK(Tabla7[[#This Row],[15/10/2018]]),0,Tabla7[[#This Row],[15/10/2018]])</f>
        <v>517608</v>
      </c>
      <c r="BG230">
        <f>IF(ISBLANK(Tabla7[[#This Row],[15/11/2018]]),0,Tabla7[[#This Row],[15/11/2018]])</f>
        <v>523149</v>
      </c>
      <c r="BH230">
        <f>IF(ISBLANK(Tabla7[[#This Row],[15/12/2018]]),0,Tabla7[[#This Row],[15/12/2018]])</f>
        <v>529412</v>
      </c>
      <c r="BI230">
        <f>IF(ISBLANK(Tabla7[[#This Row],[28/12/2018]]),0,Tabla7[[#This Row],[28/12/2018]])</f>
        <v>0</v>
      </c>
      <c r="BN23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('LW00043979','V','VCT00','39638','TCV STEVEDORING COMPANY','EXTERIOR CT (3)','TA 17','');</v>
      </c>
      <c r="BO230" t="s">
        <v>243</v>
      </c>
      <c r="BP230" s="632" t="str">
        <f>CONCATENATE("insert into lecturas values ","('",Tabla7[[#This Row],[CONTADOR]],"',STR_TO_DATE('",Tabla7[[#Headers],[31/12/2017]],"','%d/%m/%Y'),",AV230,"),","('",Tabla7[[#This Row],[CONTADOR]],"',STR_TO_DATE('",Tabla7[[#Headers],[15/01/2018]],"','%d/%m/%Y'),",AW230,"),","('",Tabla7[[#This Row],[CONTADOR]],"',STR_TO_DATE('",Tabla7[[#Headers],[15/02/2018]],"','%d/%m/%Y'),",AX230,"),","('",Tabla7[[#This Row],[CONTADOR]],"',STR_TO_DATE('",Tabla7[[#Headers],[15/03/2018]],"','%d/%m/%Y'),",AY230,"),","('",Tabla7[[#This Row],[CONTADOR]],"',STR_TO_DATE('",Tabla7[[#Headers],[15/04/2018]],"','%d/%m/%Y'),",AZ230,"),","('",Tabla7[[#This Row],[CONTADOR]],"',STR_TO_DATE('",Tabla7[[#Headers],[15/05/2018]],"','%d/%m/%Y'),",BA230,"),","('",Tabla7[[#This Row],[CONTADOR]],"',STR_TO_DATE('",Tabla7[[#Headers],[15/06/2018]],"','%d/%m/%Y'),",BB230,"),","('",Tabla7[[#This Row],[CONTADOR]],"',STR_TO_DATE('",Tabla7[[#Headers],[15/07/2018]],"','%d/%m/%Y'),",BC230,"),","('",Tabla7[[#This Row],[CONTADOR]],"',STR_TO_DATE('",Tabla7[[#Headers],[15/08/2018]],"','%d/%m/%Y'),",BD230,"),","('",Tabla7[[#This Row],[CONTADOR]],"',STR_TO_DATE('",Tabla7[[#Headers],[15/09/2018]],"','%d/%m/%Y'),",BE230,"),","('",Tabla7[[#This Row],[CONTADOR]],"',STR_TO_DATE('",Tabla7[[#Headers],[15/10/2018]],"','%d/%m/%Y'),",BF230,"),","('",Tabla7[[#This Row],[CONTADOR]],"',STR_TO_DATE('",Tabla7[[#Headers],[15/11/2018]],"','%d/%m/%Y'),",BG230,"),","('",Tabla7[[#This Row],[CONTADOR]],"',STR_TO_DATE('",Tabla7[[#Headers],[15/12/2018]],"','%d/%m/%Y'),",BH230,");")</f>
        <v>insert into lecturas values ('LW00043979',STR_TO_DATE('31/12/2017','%d/%m/%Y'),478099),('LW00043979',STR_TO_DATE('15/01/2018','%d/%m/%Y'),480034),('LW00043979',STR_TO_DATE('15/02/2018','%d/%m/%Y'),483386),('LW00043979',STR_TO_DATE('15/03/2018','%d/%m/%Y'),488156),('LW00043979',STR_TO_DATE('15/04/2018','%d/%m/%Y'),492904),('LW00043979',STR_TO_DATE('15/05/2018','%d/%m/%Y'),497037),('LW00043979',STR_TO_DATE('15/06/2018','%d/%m/%Y'),500844),('LW00043979',STR_TO_DATE('15/07/2018','%d/%m/%Y'),504792),('LW00043979',STR_TO_DATE('15/08/2018','%d/%m/%Y'),508569),('LW00043979',STR_TO_DATE('15/09/2018','%d/%m/%Y'),513329),('LW00043979',STR_TO_DATE('15/10/2018','%d/%m/%Y'),517608),('LW00043979',STR_TO_DATE('15/11/2018','%d/%m/%Y'),523149),('LW00043979',STR_TO_DATE('15/12/2018','%d/%m/%Y'),529412);</v>
      </c>
    </row>
    <row r="231" spans="1:68" ht="18.75" customHeight="1" x14ac:dyDescent="0.25">
      <c r="A231" s="241" t="s">
        <v>19</v>
      </c>
      <c r="B231" s="60">
        <v>952</v>
      </c>
      <c r="C231" s="342" t="s">
        <v>27</v>
      </c>
      <c r="D231" s="60" t="s">
        <v>22</v>
      </c>
      <c r="E231" s="258">
        <v>39426</v>
      </c>
      <c r="F231" s="2" t="s">
        <v>23</v>
      </c>
      <c r="G231" s="2" t="s">
        <v>977</v>
      </c>
      <c r="H231" s="2" t="s">
        <v>28</v>
      </c>
      <c r="I231" s="2"/>
      <c r="J231" s="311">
        <v>707937</v>
      </c>
      <c r="K231" s="311">
        <v>710535</v>
      </c>
      <c r="L231" s="311">
        <v>716152</v>
      </c>
      <c r="M231" s="311">
        <v>721322</v>
      </c>
      <c r="N231" s="311">
        <v>725483</v>
      </c>
      <c r="O231" s="311">
        <v>729465</v>
      </c>
      <c r="P231" s="311">
        <v>734360</v>
      </c>
      <c r="Q231" s="311">
        <v>739418</v>
      </c>
      <c r="R231" s="311">
        <v>745132</v>
      </c>
      <c r="S231" s="311">
        <v>751404</v>
      </c>
      <c r="T231" s="311">
        <v>755902</v>
      </c>
      <c r="U231" s="311">
        <v>760705</v>
      </c>
      <c r="V231" s="353">
        <v>766403</v>
      </c>
      <c r="W231" s="311"/>
      <c r="X231" s="2"/>
      <c r="Y231" s="2">
        <f t="shared" si="67"/>
        <v>2598</v>
      </c>
      <c r="Z231" s="2">
        <f t="shared" si="66"/>
        <v>5617</v>
      </c>
      <c r="AA231" s="2">
        <f t="shared" si="83"/>
        <v>5170</v>
      </c>
      <c r="AB231" s="2">
        <f t="shared" si="82"/>
        <v>4161</v>
      </c>
      <c r="AC231" s="2">
        <f t="shared" si="72"/>
        <v>3982</v>
      </c>
      <c r="AD231" s="2">
        <f t="shared" si="73"/>
        <v>4895</v>
      </c>
      <c r="AE231" s="2">
        <f t="shared" si="74"/>
        <v>5058</v>
      </c>
      <c r="AF231" s="2">
        <f t="shared" si="75"/>
        <v>5714</v>
      </c>
      <c r="AG231" s="2">
        <f t="shared" si="76"/>
        <v>6272</v>
      </c>
      <c r="AH231" s="2">
        <f t="shared" si="79"/>
        <v>4498</v>
      </c>
      <c r="AI231" s="2">
        <f t="shared" si="77"/>
        <v>4803</v>
      </c>
      <c r="AJ231" s="2">
        <f t="shared" si="78"/>
        <v>5698</v>
      </c>
      <c r="AK231" s="406">
        <v>1</v>
      </c>
      <c r="AL231" s="274">
        <f t="shared" ca="1" si="68"/>
        <v>725483</v>
      </c>
      <c r="AM231" s="311">
        <f t="shared" ca="1" si="69"/>
        <v>729465</v>
      </c>
      <c r="AN231" s="274">
        <f ca="1">IF(AND(Tabla7[[#This Row],[UltLec]]&lt;&gt;0,Tabla7[[#This Row],[PenLect]]&lt;&gt;0),(AM231-AL231)*Tabla7[[#This Row],[RT]],"N/A")</f>
        <v>3982</v>
      </c>
      <c r="AO231" s="273" t="s">
        <v>862</v>
      </c>
      <c r="AP231" s="392" t="s">
        <v>1190</v>
      </c>
      <c r="AQ231" s="392" t="s">
        <v>1189</v>
      </c>
      <c r="AR231" s="407">
        <f t="shared" si="70"/>
        <v>0</v>
      </c>
      <c r="AT231" s="2">
        <f t="shared" ca="1" si="71"/>
        <v>0.95698149483297279</v>
      </c>
      <c r="AV231">
        <f>IF(ISBLANK(Tabla7[[#This Row],[31/12/2017]]),0,Tabla7[[#This Row],[31/12/2017]])</f>
        <v>707937</v>
      </c>
      <c r="AW231">
        <f>IF(ISBLANK(Tabla7[[#This Row],[15/01/2018]]),0,Tabla7[[#This Row],[15/01/2018]])</f>
        <v>710535</v>
      </c>
      <c r="AX231">
        <f>IF(ISBLANK(Tabla7[[#This Row],[15/02/2018]]),0,Tabla7[[#This Row],[15/02/2018]])</f>
        <v>716152</v>
      </c>
      <c r="AY231">
        <f>IF(ISBLANK(Tabla7[[#This Row],[15/03/2018]]),0,Tabla7[[#This Row],[15/03/2018]])</f>
        <v>721322</v>
      </c>
      <c r="AZ231">
        <f>IF(ISBLANK(Tabla7[[#This Row],[15/04/2018]]),0,Tabla7[[#This Row],[15/04/2018]])</f>
        <v>725483</v>
      </c>
      <c r="BA231">
        <f>IF(ISBLANK(Tabla7[[#This Row],[15/05/2018]]),0,Tabla7[[#This Row],[15/05/2018]])</f>
        <v>729465</v>
      </c>
      <c r="BB231">
        <f>IF(ISBLANK(Tabla7[[#This Row],[15/06/2018]]),0,Tabla7[[#This Row],[15/06/2018]])</f>
        <v>734360</v>
      </c>
      <c r="BC231">
        <f>IF(ISBLANK(Tabla7[[#This Row],[15/07/2018]]),0,Tabla7[[#This Row],[15/07/2018]])</f>
        <v>739418</v>
      </c>
      <c r="BD231">
        <f>IF(ISBLANK(Tabla7[[#This Row],[15/08/2018]]),0,Tabla7[[#This Row],[15/08/2018]])</f>
        <v>745132</v>
      </c>
      <c r="BE231">
        <f>IF(ISBLANK(Tabla7[[#This Row],[15/09/2018]]),0,Tabla7[[#This Row],[15/09/2018]])</f>
        <v>751404</v>
      </c>
      <c r="BF231">
        <f>IF(ISBLANK(Tabla7[[#This Row],[15/10/2018]]),0,Tabla7[[#This Row],[15/10/2018]])</f>
        <v>755902</v>
      </c>
      <c r="BG231">
        <f>IF(ISBLANK(Tabla7[[#This Row],[15/11/2018]]),0,Tabla7[[#This Row],[15/11/2018]])</f>
        <v>760705</v>
      </c>
      <c r="BH231">
        <f>IF(ISBLANK(Tabla7[[#This Row],[15/12/2018]]),0,Tabla7[[#This Row],[15/12/2018]])</f>
        <v>766403</v>
      </c>
      <c r="BI231">
        <f>IF(ISBLANK(Tabla7[[#This Row],[28/12/2018]]),0,Tabla7[[#This Row],[28/12/2018]])</f>
        <v>0</v>
      </c>
      <c r="BN23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('LW00181178','V','VCT00','39426','TCV STEVEDORING COMPANY','EXTERIOR CT (2)','NAVE TALLERES. Alta 1-7-13','');</v>
      </c>
      <c r="BO231" t="s">
        <v>243</v>
      </c>
      <c r="BP231" s="632" t="str">
        <f>CONCATENATE("insert into lecturas values ","('",Tabla7[[#This Row],[CONTADOR]],"',STR_TO_DATE('",Tabla7[[#Headers],[31/12/2017]],"','%d/%m/%Y'),",AV231,"),","('",Tabla7[[#This Row],[CONTADOR]],"',STR_TO_DATE('",Tabla7[[#Headers],[15/01/2018]],"','%d/%m/%Y'),",AW231,"),","('",Tabla7[[#This Row],[CONTADOR]],"',STR_TO_DATE('",Tabla7[[#Headers],[15/02/2018]],"','%d/%m/%Y'),",AX231,"),","('",Tabla7[[#This Row],[CONTADOR]],"',STR_TO_DATE('",Tabla7[[#Headers],[15/03/2018]],"','%d/%m/%Y'),",AY231,"),","('",Tabla7[[#This Row],[CONTADOR]],"',STR_TO_DATE('",Tabla7[[#Headers],[15/04/2018]],"','%d/%m/%Y'),",AZ231,"),","('",Tabla7[[#This Row],[CONTADOR]],"',STR_TO_DATE('",Tabla7[[#Headers],[15/05/2018]],"','%d/%m/%Y'),",BA231,"),","('",Tabla7[[#This Row],[CONTADOR]],"',STR_TO_DATE('",Tabla7[[#Headers],[15/06/2018]],"','%d/%m/%Y'),",BB231,"),","('",Tabla7[[#This Row],[CONTADOR]],"',STR_TO_DATE('",Tabla7[[#Headers],[15/07/2018]],"','%d/%m/%Y'),",BC231,"),","('",Tabla7[[#This Row],[CONTADOR]],"',STR_TO_DATE('",Tabla7[[#Headers],[15/08/2018]],"','%d/%m/%Y'),",BD231,"),","('",Tabla7[[#This Row],[CONTADOR]],"',STR_TO_DATE('",Tabla7[[#Headers],[15/09/2018]],"','%d/%m/%Y'),",BE231,"),","('",Tabla7[[#This Row],[CONTADOR]],"',STR_TO_DATE('",Tabla7[[#Headers],[15/10/2018]],"','%d/%m/%Y'),",BF231,"),","('",Tabla7[[#This Row],[CONTADOR]],"',STR_TO_DATE('",Tabla7[[#Headers],[15/11/2018]],"','%d/%m/%Y'),",BG231,"),","('",Tabla7[[#This Row],[CONTADOR]],"',STR_TO_DATE('",Tabla7[[#Headers],[15/12/2018]],"','%d/%m/%Y'),",BH231,");")</f>
        <v>insert into lecturas values ('LW00181178',STR_TO_DATE('31/12/2017','%d/%m/%Y'),707937),('LW00181178',STR_TO_DATE('15/01/2018','%d/%m/%Y'),710535),('LW00181178',STR_TO_DATE('15/02/2018','%d/%m/%Y'),716152),('LW00181178',STR_TO_DATE('15/03/2018','%d/%m/%Y'),721322),('LW00181178',STR_TO_DATE('15/04/2018','%d/%m/%Y'),725483),('LW00181178',STR_TO_DATE('15/05/2018','%d/%m/%Y'),729465),('LW00181178',STR_TO_DATE('15/06/2018','%d/%m/%Y'),734360),('LW00181178',STR_TO_DATE('15/07/2018','%d/%m/%Y'),739418),('LW00181178',STR_TO_DATE('15/08/2018','%d/%m/%Y'),745132),('LW00181178',STR_TO_DATE('15/09/2018','%d/%m/%Y'),751404),('LW00181178',STR_TO_DATE('15/10/2018','%d/%m/%Y'),755902),('LW00181178',STR_TO_DATE('15/11/2018','%d/%m/%Y'),760705),('LW00181178',STR_TO_DATE('15/12/2018','%d/%m/%Y'),766403);</v>
      </c>
    </row>
    <row r="232" spans="1:68" ht="18.75" customHeight="1" x14ac:dyDescent="0.25">
      <c r="A232" s="241" t="s">
        <v>19</v>
      </c>
      <c r="B232" s="60"/>
      <c r="C232" s="342">
        <v>5215981</v>
      </c>
      <c r="D232" s="60" t="s">
        <v>32</v>
      </c>
      <c r="E232" s="258">
        <v>39334</v>
      </c>
      <c r="F232" s="2" t="s">
        <v>23</v>
      </c>
      <c r="G232" s="2" t="s">
        <v>33</v>
      </c>
      <c r="H232" s="2"/>
      <c r="I232" s="2"/>
      <c r="J232" s="311">
        <v>290869</v>
      </c>
      <c r="K232" s="311">
        <v>292365</v>
      </c>
      <c r="L232" s="311">
        <v>294835</v>
      </c>
      <c r="M232" s="311">
        <v>296891</v>
      </c>
      <c r="N232" s="311">
        <v>299337</v>
      </c>
      <c r="O232" s="311">
        <v>302354</v>
      </c>
      <c r="P232" s="311">
        <v>304878</v>
      </c>
      <c r="Q232" s="311">
        <v>307476</v>
      </c>
      <c r="R232" s="311">
        <v>309375</v>
      </c>
      <c r="S232" s="353">
        <v>310502</v>
      </c>
      <c r="T232" s="311">
        <v>311915</v>
      </c>
      <c r="U232" s="311">
        <v>312508</v>
      </c>
      <c r="V232" s="353">
        <v>312509</v>
      </c>
      <c r="W232" s="311"/>
      <c r="X232" s="2"/>
      <c r="Y232" s="2">
        <f t="shared" si="67"/>
        <v>1496</v>
      </c>
      <c r="Z232" s="2">
        <f t="shared" si="66"/>
        <v>2470</v>
      </c>
      <c r="AA232" s="2">
        <f t="shared" si="83"/>
        <v>2056</v>
      </c>
      <c r="AB232" s="2">
        <f t="shared" si="82"/>
        <v>2446</v>
      </c>
      <c r="AC232" s="2">
        <f t="shared" si="72"/>
        <v>3017</v>
      </c>
      <c r="AD232" s="2">
        <f t="shared" si="73"/>
        <v>2524</v>
      </c>
      <c r="AE232" s="2">
        <f t="shared" si="74"/>
        <v>2598</v>
      </c>
      <c r="AF232" s="2">
        <f t="shared" si="75"/>
        <v>1899</v>
      </c>
      <c r="AG232" s="2">
        <f t="shared" si="76"/>
        <v>1127</v>
      </c>
      <c r="AH232" s="2">
        <f t="shared" si="79"/>
        <v>1413</v>
      </c>
      <c r="AI232" s="2">
        <f t="shared" si="77"/>
        <v>593</v>
      </c>
      <c r="AJ232" s="2">
        <f t="shared" si="78"/>
        <v>1</v>
      </c>
      <c r="AK232" s="406">
        <v>1</v>
      </c>
      <c r="AL232" s="274">
        <f t="shared" ca="1" si="68"/>
        <v>299337</v>
      </c>
      <c r="AM232" s="311">
        <f t="shared" ca="1" si="69"/>
        <v>302354</v>
      </c>
      <c r="AN232" s="274">
        <f ca="1">IF(AND(Tabla7[[#This Row],[UltLec]]&lt;&gt;0,Tabla7[[#This Row],[PenLect]]&lt;&gt;0),(AM232-AL232)*Tabla7[[#This Row],[RT]],"N/A")</f>
        <v>3017</v>
      </c>
      <c r="AO232" s="273" t="s">
        <v>862</v>
      </c>
      <c r="AP232" s="392" t="s">
        <v>1190</v>
      </c>
      <c r="AQ232" s="392" t="s">
        <v>1189</v>
      </c>
      <c r="AR232" s="407">
        <f t="shared" si="70"/>
        <v>0</v>
      </c>
      <c r="AT232" s="2">
        <f t="shared" ca="1" si="71"/>
        <v>1.2334423548650859</v>
      </c>
      <c r="AV232">
        <f>IF(ISBLANK(Tabla7[[#This Row],[31/12/2017]]),0,Tabla7[[#This Row],[31/12/2017]])</f>
        <v>290869</v>
      </c>
      <c r="AW232">
        <f>IF(ISBLANK(Tabla7[[#This Row],[15/01/2018]]),0,Tabla7[[#This Row],[15/01/2018]])</f>
        <v>292365</v>
      </c>
      <c r="AX232">
        <f>IF(ISBLANK(Tabla7[[#This Row],[15/02/2018]]),0,Tabla7[[#This Row],[15/02/2018]])</f>
        <v>294835</v>
      </c>
      <c r="AY232">
        <f>IF(ISBLANK(Tabla7[[#This Row],[15/03/2018]]),0,Tabla7[[#This Row],[15/03/2018]])</f>
        <v>296891</v>
      </c>
      <c r="AZ232">
        <f>IF(ISBLANK(Tabla7[[#This Row],[15/04/2018]]),0,Tabla7[[#This Row],[15/04/2018]])</f>
        <v>299337</v>
      </c>
      <c r="BA232">
        <f>IF(ISBLANK(Tabla7[[#This Row],[15/05/2018]]),0,Tabla7[[#This Row],[15/05/2018]])</f>
        <v>302354</v>
      </c>
      <c r="BB232">
        <f>IF(ISBLANK(Tabla7[[#This Row],[15/06/2018]]),0,Tabla7[[#This Row],[15/06/2018]])</f>
        <v>304878</v>
      </c>
      <c r="BC232">
        <f>IF(ISBLANK(Tabla7[[#This Row],[15/07/2018]]),0,Tabla7[[#This Row],[15/07/2018]])</f>
        <v>307476</v>
      </c>
      <c r="BD232">
        <f>IF(ISBLANK(Tabla7[[#This Row],[15/08/2018]]),0,Tabla7[[#This Row],[15/08/2018]])</f>
        <v>309375</v>
      </c>
      <c r="BE232">
        <f>IF(ISBLANK(Tabla7[[#This Row],[15/09/2018]]),0,Tabla7[[#This Row],[15/09/2018]])</f>
        <v>310502</v>
      </c>
      <c r="BF232">
        <f>IF(ISBLANK(Tabla7[[#This Row],[15/10/2018]]),0,Tabla7[[#This Row],[15/10/2018]])</f>
        <v>311915</v>
      </c>
      <c r="BG232">
        <f>IF(ISBLANK(Tabla7[[#This Row],[15/11/2018]]),0,Tabla7[[#This Row],[15/11/2018]])</f>
        <v>312508</v>
      </c>
      <c r="BH232">
        <f>IF(ISBLANK(Tabla7[[#This Row],[15/12/2018]]),0,Tabla7[[#This Row],[15/12/2018]])</f>
        <v>312509</v>
      </c>
      <c r="BI232">
        <f>IF(ISBLANK(Tabla7[[#This Row],[28/12/2018]]),0,Tabla7[[#This Row],[28/12/2018]])</f>
        <v>0</v>
      </c>
      <c r="BN23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('5215981','V','VCT02','39334','TCV STEVEDORING COMPANY','EN TORRE 0209','','');</v>
      </c>
      <c r="BO232" t="s">
        <v>243</v>
      </c>
      <c r="BP232" s="632" t="str">
        <f>CONCATENATE("insert into lecturas values ","('",Tabla7[[#This Row],[CONTADOR]],"',STR_TO_DATE('",Tabla7[[#Headers],[31/12/2017]],"','%d/%m/%Y'),",AV232,"),","('",Tabla7[[#This Row],[CONTADOR]],"',STR_TO_DATE('",Tabla7[[#Headers],[15/01/2018]],"','%d/%m/%Y'),",AW232,"),","('",Tabla7[[#This Row],[CONTADOR]],"',STR_TO_DATE('",Tabla7[[#Headers],[15/02/2018]],"','%d/%m/%Y'),",AX232,"),","('",Tabla7[[#This Row],[CONTADOR]],"',STR_TO_DATE('",Tabla7[[#Headers],[15/03/2018]],"','%d/%m/%Y'),",AY232,"),","('",Tabla7[[#This Row],[CONTADOR]],"',STR_TO_DATE('",Tabla7[[#Headers],[15/04/2018]],"','%d/%m/%Y'),",AZ232,"),","('",Tabla7[[#This Row],[CONTADOR]],"',STR_TO_DATE('",Tabla7[[#Headers],[15/05/2018]],"','%d/%m/%Y'),",BA232,"),","('",Tabla7[[#This Row],[CONTADOR]],"',STR_TO_DATE('",Tabla7[[#Headers],[15/06/2018]],"','%d/%m/%Y'),",BB232,"),","('",Tabla7[[#This Row],[CONTADOR]],"',STR_TO_DATE('",Tabla7[[#Headers],[15/07/2018]],"','%d/%m/%Y'),",BC232,"),","('",Tabla7[[#This Row],[CONTADOR]],"',STR_TO_DATE('",Tabla7[[#Headers],[15/08/2018]],"','%d/%m/%Y'),",BD232,"),","('",Tabla7[[#This Row],[CONTADOR]],"',STR_TO_DATE('",Tabla7[[#Headers],[15/09/2018]],"','%d/%m/%Y'),",BE232,"),","('",Tabla7[[#This Row],[CONTADOR]],"',STR_TO_DATE('",Tabla7[[#Headers],[15/10/2018]],"','%d/%m/%Y'),",BF232,"),","('",Tabla7[[#This Row],[CONTADOR]],"',STR_TO_DATE('",Tabla7[[#Headers],[15/11/2018]],"','%d/%m/%Y'),",BG232,"),","('",Tabla7[[#This Row],[CONTADOR]],"',STR_TO_DATE('",Tabla7[[#Headers],[15/12/2018]],"','%d/%m/%Y'),",BH232,");")</f>
        <v>insert into lecturas values ('5215981',STR_TO_DATE('31/12/2017','%d/%m/%Y'),290869),('5215981',STR_TO_DATE('15/01/2018','%d/%m/%Y'),292365),('5215981',STR_TO_DATE('15/02/2018','%d/%m/%Y'),294835),('5215981',STR_TO_DATE('15/03/2018','%d/%m/%Y'),296891),('5215981',STR_TO_DATE('15/04/2018','%d/%m/%Y'),299337),('5215981',STR_TO_DATE('15/05/2018','%d/%m/%Y'),302354),('5215981',STR_TO_DATE('15/06/2018','%d/%m/%Y'),304878),('5215981',STR_TO_DATE('15/07/2018','%d/%m/%Y'),307476),('5215981',STR_TO_DATE('15/08/2018','%d/%m/%Y'),309375),('5215981',STR_TO_DATE('15/09/2018','%d/%m/%Y'),310502),('5215981',STR_TO_DATE('15/10/2018','%d/%m/%Y'),311915),('5215981',STR_TO_DATE('15/11/2018','%d/%m/%Y'),312508),('5215981',STR_TO_DATE('15/12/2018','%d/%m/%Y'),312509);</v>
      </c>
    </row>
    <row r="233" spans="1:68" ht="18.75" customHeight="1" x14ac:dyDescent="0.25">
      <c r="A233" s="241" t="s">
        <v>19</v>
      </c>
      <c r="B233" s="60">
        <v>1084</v>
      </c>
      <c r="C233" s="342">
        <v>55158086</v>
      </c>
      <c r="D233" s="60" t="s">
        <v>32</v>
      </c>
      <c r="E233" s="258">
        <v>39495</v>
      </c>
      <c r="F233" s="2" t="s">
        <v>23</v>
      </c>
      <c r="G233" s="2" t="s">
        <v>34</v>
      </c>
      <c r="H233" s="2" t="s">
        <v>35</v>
      </c>
      <c r="I233" s="2" t="s">
        <v>799</v>
      </c>
      <c r="J233" s="311">
        <v>3349</v>
      </c>
      <c r="K233" s="311">
        <v>3439</v>
      </c>
      <c r="L233" s="311">
        <v>3576</v>
      </c>
      <c r="M233" s="311">
        <v>3697</v>
      </c>
      <c r="N233" s="311">
        <v>3816</v>
      </c>
      <c r="O233" s="311">
        <v>3917</v>
      </c>
      <c r="P233" s="311">
        <v>4013</v>
      </c>
      <c r="Q233" s="311">
        <v>4101</v>
      </c>
      <c r="R233" s="311">
        <v>4191</v>
      </c>
      <c r="S233" s="311">
        <v>4298</v>
      </c>
      <c r="T233" s="311">
        <v>4390</v>
      </c>
      <c r="U233" s="311">
        <v>4480</v>
      </c>
      <c r="V233" s="353">
        <v>4614</v>
      </c>
      <c r="W233" s="311"/>
      <c r="X233" s="2"/>
      <c r="Y233" s="2">
        <f t="shared" si="67"/>
        <v>2700</v>
      </c>
      <c r="Z233" s="2">
        <f t="shared" si="66"/>
        <v>4110</v>
      </c>
      <c r="AA233" s="2">
        <f t="shared" si="83"/>
        <v>3630</v>
      </c>
      <c r="AB233" s="2">
        <f t="shared" si="82"/>
        <v>3570</v>
      </c>
      <c r="AC233" s="2">
        <f t="shared" si="72"/>
        <v>3030</v>
      </c>
      <c r="AD233" s="2">
        <f t="shared" si="73"/>
        <v>2880</v>
      </c>
      <c r="AE233" s="2">
        <f t="shared" si="74"/>
        <v>2640</v>
      </c>
      <c r="AF233" s="2">
        <f t="shared" si="75"/>
        <v>2700</v>
      </c>
      <c r="AG233" s="2">
        <f t="shared" si="76"/>
        <v>3210</v>
      </c>
      <c r="AH233" s="2">
        <f t="shared" si="79"/>
        <v>2760</v>
      </c>
      <c r="AI233" s="2">
        <f t="shared" si="77"/>
        <v>2700</v>
      </c>
      <c r="AJ233" s="2">
        <f t="shared" si="78"/>
        <v>4020</v>
      </c>
      <c r="AK233" s="416">
        <v>30</v>
      </c>
      <c r="AL233" s="417">
        <f t="shared" ca="1" si="68"/>
        <v>3816</v>
      </c>
      <c r="AM233" s="311">
        <f t="shared" ca="1" si="69"/>
        <v>3917</v>
      </c>
      <c r="AN233" s="274">
        <f ca="1">IF(AND(Tabla7[[#This Row],[UltLec]]&lt;&gt;0,Tabla7[[#This Row],[PenLect]]&lt;&gt;0),(AM233-AL233)*Tabla7[[#This Row],[RT]],"N/A")</f>
        <v>3030</v>
      </c>
      <c r="AO233" s="273" t="s">
        <v>862</v>
      </c>
      <c r="AP233" s="392" t="s">
        <v>1190</v>
      </c>
      <c r="AQ233" s="392" t="s">
        <v>1189</v>
      </c>
      <c r="AR233" s="407">
        <f t="shared" si="70"/>
        <v>0</v>
      </c>
      <c r="AT233" s="2">
        <f t="shared" ca="1" si="71"/>
        <v>0.84873949579831931</v>
      </c>
      <c r="AV233">
        <f>IF(ISBLANK(Tabla7[[#This Row],[31/12/2017]]),0,Tabla7[[#This Row],[31/12/2017]])</f>
        <v>3349</v>
      </c>
      <c r="AW233">
        <f>IF(ISBLANK(Tabla7[[#This Row],[15/01/2018]]),0,Tabla7[[#This Row],[15/01/2018]])</f>
        <v>3439</v>
      </c>
      <c r="AX233">
        <f>IF(ISBLANK(Tabla7[[#This Row],[15/02/2018]]),0,Tabla7[[#This Row],[15/02/2018]])</f>
        <v>3576</v>
      </c>
      <c r="AY233">
        <f>IF(ISBLANK(Tabla7[[#This Row],[15/03/2018]]),0,Tabla7[[#This Row],[15/03/2018]])</f>
        <v>3697</v>
      </c>
      <c r="AZ233">
        <f>IF(ISBLANK(Tabla7[[#This Row],[15/04/2018]]),0,Tabla7[[#This Row],[15/04/2018]])</f>
        <v>3816</v>
      </c>
      <c r="BA233">
        <f>IF(ISBLANK(Tabla7[[#This Row],[15/05/2018]]),0,Tabla7[[#This Row],[15/05/2018]])</f>
        <v>3917</v>
      </c>
      <c r="BB233">
        <f>IF(ISBLANK(Tabla7[[#This Row],[15/06/2018]]),0,Tabla7[[#This Row],[15/06/2018]])</f>
        <v>4013</v>
      </c>
      <c r="BC233">
        <f>IF(ISBLANK(Tabla7[[#This Row],[15/07/2018]]),0,Tabla7[[#This Row],[15/07/2018]])</f>
        <v>4101</v>
      </c>
      <c r="BD233">
        <f>IF(ISBLANK(Tabla7[[#This Row],[15/08/2018]]),0,Tabla7[[#This Row],[15/08/2018]])</f>
        <v>4191</v>
      </c>
      <c r="BE233">
        <f>IF(ISBLANK(Tabla7[[#This Row],[15/09/2018]]),0,Tabla7[[#This Row],[15/09/2018]])</f>
        <v>4298</v>
      </c>
      <c r="BF233">
        <f>IF(ISBLANK(Tabla7[[#This Row],[15/10/2018]]),0,Tabla7[[#This Row],[15/10/2018]])</f>
        <v>4390</v>
      </c>
      <c r="BG233">
        <f>IF(ISBLANK(Tabla7[[#This Row],[15/11/2018]]),0,Tabla7[[#This Row],[15/11/2018]])</f>
        <v>4480</v>
      </c>
      <c r="BH233">
        <f>IF(ISBLANK(Tabla7[[#This Row],[15/12/2018]]),0,Tabla7[[#This Row],[15/12/2018]])</f>
        <v>4614</v>
      </c>
      <c r="BI233">
        <f>IF(ISBLANK(Tabla7[[#This Row],[28/12/2018]]),0,Tabla7[[#This Row],[28/12/2018]])</f>
        <v>0</v>
      </c>
      <c r="BN23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('55158086','V','VCT02','39495','TCV STEVEDORING COMPANY','INTERIOR CT ','T.I. 150/5 ( Coeficiente X 30 )','150/5');</v>
      </c>
      <c r="BO233" t="s">
        <v>243</v>
      </c>
      <c r="BP233" s="632" t="str">
        <f>CONCATENATE("insert into lecturas values ","('",Tabla7[[#This Row],[CONTADOR]],"',STR_TO_DATE('",Tabla7[[#Headers],[31/12/2017]],"','%d/%m/%Y'),",AV233,"),","('",Tabla7[[#This Row],[CONTADOR]],"',STR_TO_DATE('",Tabla7[[#Headers],[15/01/2018]],"','%d/%m/%Y'),",AW233,"),","('",Tabla7[[#This Row],[CONTADOR]],"',STR_TO_DATE('",Tabla7[[#Headers],[15/02/2018]],"','%d/%m/%Y'),",AX233,"),","('",Tabla7[[#This Row],[CONTADOR]],"',STR_TO_DATE('",Tabla7[[#Headers],[15/03/2018]],"','%d/%m/%Y'),",AY233,"),","('",Tabla7[[#This Row],[CONTADOR]],"',STR_TO_DATE('",Tabla7[[#Headers],[15/04/2018]],"','%d/%m/%Y'),",AZ233,"),","('",Tabla7[[#This Row],[CONTADOR]],"',STR_TO_DATE('",Tabla7[[#Headers],[15/05/2018]],"','%d/%m/%Y'),",BA233,"),","('",Tabla7[[#This Row],[CONTADOR]],"',STR_TO_DATE('",Tabla7[[#Headers],[15/06/2018]],"','%d/%m/%Y'),",BB233,"),","('",Tabla7[[#This Row],[CONTADOR]],"',STR_TO_DATE('",Tabla7[[#Headers],[15/07/2018]],"','%d/%m/%Y'),",BC233,"),","('",Tabla7[[#This Row],[CONTADOR]],"',STR_TO_DATE('",Tabla7[[#Headers],[15/08/2018]],"','%d/%m/%Y'),",BD233,"),","('",Tabla7[[#This Row],[CONTADOR]],"',STR_TO_DATE('",Tabla7[[#Headers],[15/09/2018]],"','%d/%m/%Y'),",BE233,"),","('",Tabla7[[#This Row],[CONTADOR]],"',STR_TO_DATE('",Tabla7[[#Headers],[15/10/2018]],"','%d/%m/%Y'),",BF233,"),","('",Tabla7[[#This Row],[CONTADOR]],"',STR_TO_DATE('",Tabla7[[#Headers],[15/11/2018]],"','%d/%m/%Y'),",BG233,"),","('",Tabla7[[#This Row],[CONTADOR]],"',STR_TO_DATE('",Tabla7[[#Headers],[15/12/2018]],"','%d/%m/%Y'),",BH233,");")</f>
        <v>insert into lecturas values ('55158086',STR_TO_DATE('31/12/2017','%d/%m/%Y'),3349),('55158086',STR_TO_DATE('15/01/2018','%d/%m/%Y'),3439),('55158086',STR_TO_DATE('15/02/2018','%d/%m/%Y'),3576),('55158086',STR_TO_DATE('15/03/2018','%d/%m/%Y'),3697),('55158086',STR_TO_DATE('15/04/2018','%d/%m/%Y'),3816),('55158086',STR_TO_DATE('15/05/2018','%d/%m/%Y'),3917),('55158086',STR_TO_DATE('15/06/2018','%d/%m/%Y'),4013),('55158086',STR_TO_DATE('15/07/2018','%d/%m/%Y'),4101),('55158086',STR_TO_DATE('15/08/2018','%d/%m/%Y'),4191),('55158086',STR_TO_DATE('15/09/2018','%d/%m/%Y'),4298),('55158086',STR_TO_DATE('15/10/2018','%d/%m/%Y'),4390),('55158086',STR_TO_DATE('15/11/2018','%d/%m/%Y'),4480),('55158086',STR_TO_DATE('15/12/2018','%d/%m/%Y'),4614);</v>
      </c>
    </row>
    <row r="234" spans="1:68" ht="18.75" customHeight="1" x14ac:dyDescent="0.25">
      <c r="A234" s="241" t="s">
        <v>19</v>
      </c>
      <c r="B234" s="60"/>
      <c r="C234" s="342">
        <v>5356191</v>
      </c>
      <c r="D234" s="60" t="s">
        <v>36</v>
      </c>
      <c r="E234" s="258">
        <v>39333</v>
      </c>
      <c r="F234" s="2" t="s">
        <v>23</v>
      </c>
      <c r="G234" s="2" t="s">
        <v>38</v>
      </c>
      <c r="H234" s="2" t="s">
        <v>45</v>
      </c>
      <c r="I234" s="2" t="s">
        <v>800</v>
      </c>
      <c r="J234" s="311">
        <v>3751</v>
      </c>
      <c r="K234" s="311">
        <v>3777</v>
      </c>
      <c r="L234" s="311">
        <v>3777</v>
      </c>
      <c r="M234" s="311">
        <v>3777</v>
      </c>
      <c r="N234" s="311">
        <v>3789</v>
      </c>
      <c r="O234" s="311">
        <v>3822</v>
      </c>
      <c r="P234" s="311">
        <v>3848</v>
      </c>
      <c r="Q234" s="311">
        <v>3900</v>
      </c>
      <c r="R234" s="311">
        <v>3938</v>
      </c>
      <c r="S234" s="311">
        <v>3954</v>
      </c>
      <c r="T234" s="311">
        <v>3954</v>
      </c>
      <c r="U234" s="311">
        <v>3962</v>
      </c>
      <c r="V234" s="353">
        <v>3970</v>
      </c>
      <c r="W234" s="311"/>
      <c r="X234" s="2"/>
      <c r="Y234" s="2">
        <f t="shared" si="67"/>
        <v>390</v>
      </c>
      <c r="Z234" s="2">
        <f t="shared" si="66"/>
        <v>0</v>
      </c>
      <c r="AA234" s="2">
        <f t="shared" si="83"/>
        <v>0</v>
      </c>
      <c r="AB234" s="2">
        <f t="shared" si="82"/>
        <v>180</v>
      </c>
      <c r="AC234" s="2">
        <f t="shared" si="72"/>
        <v>495</v>
      </c>
      <c r="AD234" s="2">
        <f t="shared" si="73"/>
        <v>390</v>
      </c>
      <c r="AE234" s="2">
        <f t="shared" si="74"/>
        <v>780</v>
      </c>
      <c r="AF234" s="2">
        <f t="shared" si="75"/>
        <v>570</v>
      </c>
      <c r="AG234" s="2">
        <f t="shared" si="76"/>
        <v>240</v>
      </c>
      <c r="AH234" s="2">
        <f t="shared" si="79"/>
        <v>0</v>
      </c>
      <c r="AI234" s="2">
        <f t="shared" si="77"/>
        <v>120</v>
      </c>
      <c r="AJ234" s="2">
        <f t="shared" si="78"/>
        <v>120</v>
      </c>
      <c r="AK234" s="413">
        <v>15</v>
      </c>
      <c r="AL234" s="313">
        <f t="shared" ca="1" si="68"/>
        <v>3789</v>
      </c>
      <c r="AM234" s="311">
        <f t="shared" ca="1" si="69"/>
        <v>3822</v>
      </c>
      <c r="AN234" s="274">
        <f ca="1">IF(AND(Tabla7[[#This Row],[UltLec]]&lt;&gt;0,Tabla7[[#This Row],[PenLect]]&lt;&gt;0),(AM234-AL234)*Tabla7[[#This Row],[RT]],"N/A")</f>
        <v>495</v>
      </c>
      <c r="AO234" s="273" t="s">
        <v>862</v>
      </c>
      <c r="AP234" s="392" t="s">
        <v>1190</v>
      </c>
      <c r="AQ234" s="392" t="s">
        <v>1189</v>
      </c>
      <c r="AR234" s="407">
        <f t="shared" si="70"/>
        <v>0</v>
      </c>
      <c r="AT234" s="2">
        <f t="shared" ca="1" si="71"/>
        <v>2.75</v>
      </c>
      <c r="AV234">
        <f>IF(ISBLANK(Tabla7[[#This Row],[31/12/2017]]),0,Tabla7[[#This Row],[31/12/2017]])</f>
        <v>3751</v>
      </c>
      <c r="AW234">
        <f>IF(ISBLANK(Tabla7[[#This Row],[15/01/2018]]),0,Tabla7[[#This Row],[15/01/2018]])</f>
        <v>3777</v>
      </c>
      <c r="AX234">
        <f>IF(ISBLANK(Tabla7[[#This Row],[15/02/2018]]),0,Tabla7[[#This Row],[15/02/2018]])</f>
        <v>3777</v>
      </c>
      <c r="AY234">
        <f>IF(ISBLANK(Tabla7[[#This Row],[15/03/2018]]),0,Tabla7[[#This Row],[15/03/2018]])</f>
        <v>3777</v>
      </c>
      <c r="AZ234">
        <f>IF(ISBLANK(Tabla7[[#This Row],[15/04/2018]]),0,Tabla7[[#This Row],[15/04/2018]])</f>
        <v>3789</v>
      </c>
      <c r="BA234">
        <f>IF(ISBLANK(Tabla7[[#This Row],[15/05/2018]]),0,Tabla7[[#This Row],[15/05/2018]])</f>
        <v>3822</v>
      </c>
      <c r="BB234">
        <f>IF(ISBLANK(Tabla7[[#This Row],[15/06/2018]]),0,Tabla7[[#This Row],[15/06/2018]])</f>
        <v>3848</v>
      </c>
      <c r="BC234">
        <f>IF(ISBLANK(Tabla7[[#This Row],[15/07/2018]]),0,Tabla7[[#This Row],[15/07/2018]])</f>
        <v>3900</v>
      </c>
      <c r="BD234">
        <f>IF(ISBLANK(Tabla7[[#This Row],[15/08/2018]]),0,Tabla7[[#This Row],[15/08/2018]])</f>
        <v>3938</v>
      </c>
      <c r="BE234">
        <f>IF(ISBLANK(Tabla7[[#This Row],[15/09/2018]]),0,Tabla7[[#This Row],[15/09/2018]])</f>
        <v>3954</v>
      </c>
      <c r="BF234">
        <f>IF(ISBLANK(Tabla7[[#This Row],[15/10/2018]]),0,Tabla7[[#This Row],[15/10/2018]])</f>
        <v>3954</v>
      </c>
      <c r="BG234">
        <f>IF(ISBLANK(Tabla7[[#This Row],[15/11/2018]]),0,Tabla7[[#This Row],[15/11/2018]])</f>
        <v>3962</v>
      </c>
      <c r="BH234">
        <f>IF(ISBLANK(Tabla7[[#This Row],[15/12/2018]]),0,Tabla7[[#This Row],[15/12/2018]])</f>
        <v>3970</v>
      </c>
      <c r="BI234">
        <f>IF(ISBLANK(Tabla7[[#This Row],[28/12/2018]]),0,Tabla7[[#This Row],[28/12/2018]])</f>
        <v>0</v>
      </c>
      <c r="BN23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('5356191','V','VCT03','39333','TCV STEVEDORING COMPANY','EN CT.','TORRE 0310','75/5');</v>
      </c>
      <c r="BO234" t="s">
        <v>243</v>
      </c>
      <c r="BP234" s="632" t="str">
        <f>CONCATENATE("insert into lecturas values ","('",Tabla7[[#This Row],[CONTADOR]],"',STR_TO_DATE('",Tabla7[[#Headers],[31/12/2017]],"','%d/%m/%Y'),",AV234,"),","('",Tabla7[[#This Row],[CONTADOR]],"',STR_TO_DATE('",Tabla7[[#Headers],[15/01/2018]],"','%d/%m/%Y'),",AW234,"),","('",Tabla7[[#This Row],[CONTADOR]],"',STR_TO_DATE('",Tabla7[[#Headers],[15/02/2018]],"','%d/%m/%Y'),",AX234,"),","('",Tabla7[[#This Row],[CONTADOR]],"',STR_TO_DATE('",Tabla7[[#Headers],[15/03/2018]],"','%d/%m/%Y'),",AY234,"),","('",Tabla7[[#This Row],[CONTADOR]],"',STR_TO_DATE('",Tabla7[[#Headers],[15/04/2018]],"','%d/%m/%Y'),",AZ234,"),","('",Tabla7[[#This Row],[CONTADOR]],"',STR_TO_DATE('",Tabla7[[#Headers],[15/05/2018]],"','%d/%m/%Y'),",BA234,"),","('",Tabla7[[#This Row],[CONTADOR]],"',STR_TO_DATE('",Tabla7[[#Headers],[15/06/2018]],"','%d/%m/%Y'),",BB234,"),","('",Tabla7[[#This Row],[CONTADOR]],"',STR_TO_DATE('",Tabla7[[#Headers],[15/07/2018]],"','%d/%m/%Y'),",BC234,"),","('",Tabla7[[#This Row],[CONTADOR]],"',STR_TO_DATE('",Tabla7[[#Headers],[15/08/2018]],"','%d/%m/%Y'),",BD234,"),","('",Tabla7[[#This Row],[CONTADOR]],"',STR_TO_DATE('",Tabla7[[#Headers],[15/09/2018]],"','%d/%m/%Y'),",BE234,"),","('",Tabla7[[#This Row],[CONTADOR]],"',STR_TO_DATE('",Tabla7[[#Headers],[15/10/2018]],"','%d/%m/%Y'),",BF234,"),","('",Tabla7[[#This Row],[CONTADOR]],"',STR_TO_DATE('",Tabla7[[#Headers],[15/11/2018]],"','%d/%m/%Y'),",BG234,"),","('",Tabla7[[#This Row],[CONTADOR]],"',STR_TO_DATE('",Tabla7[[#Headers],[15/12/2018]],"','%d/%m/%Y'),",BH234,");")</f>
        <v>insert into lecturas values ('5356191',STR_TO_DATE('31/12/2017','%d/%m/%Y'),3751),('5356191',STR_TO_DATE('15/01/2018','%d/%m/%Y'),3777),('5356191',STR_TO_DATE('15/02/2018','%d/%m/%Y'),3777),('5356191',STR_TO_DATE('15/03/2018','%d/%m/%Y'),3777),('5356191',STR_TO_DATE('15/04/2018','%d/%m/%Y'),3789),('5356191',STR_TO_DATE('15/05/2018','%d/%m/%Y'),3822),('5356191',STR_TO_DATE('15/06/2018','%d/%m/%Y'),3848),('5356191',STR_TO_DATE('15/07/2018','%d/%m/%Y'),3900),('5356191',STR_TO_DATE('15/08/2018','%d/%m/%Y'),3938),('5356191',STR_TO_DATE('15/09/2018','%d/%m/%Y'),3954),('5356191',STR_TO_DATE('15/10/2018','%d/%m/%Y'),3954),('5356191',STR_TO_DATE('15/11/2018','%d/%m/%Y'),3962),('5356191',STR_TO_DATE('15/12/2018','%d/%m/%Y'),3970);</v>
      </c>
    </row>
    <row r="235" spans="1:68" ht="18" customHeight="1" x14ac:dyDescent="0.25">
      <c r="A235" s="241" t="s">
        <v>19</v>
      </c>
      <c r="B235" s="60" t="s">
        <v>40</v>
      </c>
      <c r="C235" s="342" t="s">
        <v>41</v>
      </c>
      <c r="D235" s="60" t="s">
        <v>36</v>
      </c>
      <c r="E235" s="258">
        <v>39014</v>
      </c>
      <c r="F235" s="2" t="s">
        <v>23</v>
      </c>
      <c r="G235" s="2" t="s">
        <v>38</v>
      </c>
      <c r="H235" s="2" t="s">
        <v>42</v>
      </c>
      <c r="I235" s="2"/>
      <c r="J235" s="311">
        <v>110121</v>
      </c>
      <c r="K235" s="311">
        <v>110121</v>
      </c>
      <c r="L235" s="311">
        <v>110121</v>
      </c>
      <c r="M235" s="311">
        <v>110121</v>
      </c>
      <c r="N235" s="311">
        <v>110121</v>
      </c>
      <c r="O235" s="311">
        <v>110121</v>
      </c>
      <c r="P235" s="311">
        <v>110121</v>
      </c>
      <c r="Q235" s="311">
        <v>110121</v>
      </c>
      <c r="R235" s="311">
        <v>110121</v>
      </c>
      <c r="S235" s="311">
        <v>110121</v>
      </c>
      <c r="T235" s="311">
        <v>110122</v>
      </c>
      <c r="U235" s="311">
        <v>110122</v>
      </c>
      <c r="V235" s="353">
        <v>110122</v>
      </c>
      <c r="W235" s="311"/>
      <c r="X235" s="2"/>
      <c r="Y235" s="2">
        <f t="shared" si="67"/>
        <v>0</v>
      </c>
      <c r="Z235" s="2">
        <f t="shared" si="66"/>
        <v>0</v>
      </c>
      <c r="AA235" s="2">
        <f t="shared" si="83"/>
        <v>0</v>
      </c>
      <c r="AB235" s="2">
        <f t="shared" si="82"/>
        <v>0</v>
      </c>
      <c r="AC235" s="2">
        <f t="shared" si="72"/>
        <v>0</v>
      </c>
      <c r="AD235" s="2">
        <f t="shared" si="73"/>
        <v>0</v>
      </c>
      <c r="AE235" s="2">
        <f t="shared" si="74"/>
        <v>0</v>
      </c>
      <c r="AF235" s="2">
        <f t="shared" si="75"/>
        <v>0</v>
      </c>
      <c r="AG235" s="2">
        <f t="shared" si="76"/>
        <v>0</v>
      </c>
      <c r="AH235" s="2">
        <f t="shared" si="79"/>
        <v>2</v>
      </c>
      <c r="AI235" s="2">
        <f t="shared" si="77"/>
        <v>0</v>
      </c>
      <c r="AJ235" s="2">
        <f t="shared" si="78"/>
        <v>0</v>
      </c>
      <c r="AK235" s="416">
        <v>2</v>
      </c>
      <c r="AL235" s="417">
        <f t="shared" ca="1" si="68"/>
        <v>110121</v>
      </c>
      <c r="AM235" s="311">
        <f t="shared" ca="1" si="69"/>
        <v>110121</v>
      </c>
      <c r="AN235" s="274">
        <f ca="1">IF(AND(Tabla7[[#This Row],[UltLec]]&lt;&gt;0,Tabla7[[#This Row],[PenLect]]&lt;&gt;0),(AM235-AL235)*Tabla7[[#This Row],[RT]],"N/A")</f>
        <v>0</v>
      </c>
      <c r="AO235" s="273" t="s">
        <v>862</v>
      </c>
      <c r="AP235" s="392" t="s">
        <v>1190</v>
      </c>
      <c r="AQ235" s="392" t="s">
        <v>1189</v>
      </c>
      <c r="AR235" s="407">
        <f t="shared" si="70"/>
        <v>0</v>
      </c>
      <c r="AT235" s="2" t="str">
        <f t="shared" ca="1" si="71"/>
        <v>0</v>
      </c>
      <c r="AV235">
        <f>IF(ISBLANK(Tabla7[[#This Row],[31/12/2017]]),0,Tabla7[[#This Row],[31/12/2017]])</f>
        <v>110121</v>
      </c>
      <c r="AW235">
        <f>IF(ISBLANK(Tabla7[[#This Row],[15/01/2018]]),0,Tabla7[[#This Row],[15/01/2018]])</f>
        <v>110121</v>
      </c>
      <c r="AX235">
        <f>IF(ISBLANK(Tabla7[[#This Row],[15/02/2018]]),0,Tabla7[[#This Row],[15/02/2018]])</f>
        <v>110121</v>
      </c>
      <c r="AY235">
        <f>IF(ISBLANK(Tabla7[[#This Row],[15/03/2018]]),0,Tabla7[[#This Row],[15/03/2018]])</f>
        <v>110121</v>
      </c>
      <c r="AZ235">
        <f>IF(ISBLANK(Tabla7[[#This Row],[15/04/2018]]),0,Tabla7[[#This Row],[15/04/2018]])</f>
        <v>110121</v>
      </c>
      <c r="BA235">
        <f>IF(ISBLANK(Tabla7[[#This Row],[15/05/2018]]),0,Tabla7[[#This Row],[15/05/2018]])</f>
        <v>110121</v>
      </c>
      <c r="BB235">
        <f>IF(ISBLANK(Tabla7[[#This Row],[15/06/2018]]),0,Tabla7[[#This Row],[15/06/2018]])</f>
        <v>110121</v>
      </c>
      <c r="BC235">
        <f>IF(ISBLANK(Tabla7[[#This Row],[15/07/2018]]),0,Tabla7[[#This Row],[15/07/2018]])</f>
        <v>110121</v>
      </c>
      <c r="BD235">
        <f>IF(ISBLANK(Tabla7[[#This Row],[15/08/2018]]),0,Tabla7[[#This Row],[15/08/2018]])</f>
        <v>110121</v>
      </c>
      <c r="BE235">
        <f>IF(ISBLANK(Tabla7[[#This Row],[15/09/2018]]),0,Tabla7[[#This Row],[15/09/2018]])</f>
        <v>110121</v>
      </c>
      <c r="BF235">
        <f>IF(ISBLANK(Tabla7[[#This Row],[15/10/2018]]),0,Tabla7[[#This Row],[15/10/2018]])</f>
        <v>110122</v>
      </c>
      <c r="BG235">
        <f>IF(ISBLANK(Tabla7[[#This Row],[15/11/2018]]),0,Tabla7[[#This Row],[15/11/2018]])</f>
        <v>110122</v>
      </c>
      <c r="BH235">
        <f>IF(ISBLANK(Tabla7[[#This Row],[15/12/2018]]),0,Tabla7[[#This Row],[15/12/2018]])</f>
        <v>110122</v>
      </c>
      <c r="BI235">
        <f>IF(ISBLANK(Tabla7[[#This Row],[28/12/2018]]),0,Tabla7[[#This Row],[28/12/2018]])</f>
        <v>0</v>
      </c>
      <c r="BN23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('LW00042801','V','VCT03','39014','TCV STEVEDORING COMPANY','EN CT.','PROVISIONAL DE OBRAS','');</v>
      </c>
      <c r="BO235" t="s">
        <v>243</v>
      </c>
      <c r="BP235" s="632" t="str">
        <f>CONCATENATE("insert into lecturas values ","('",Tabla7[[#This Row],[CONTADOR]],"',STR_TO_DATE('",Tabla7[[#Headers],[31/12/2017]],"','%d/%m/%Y'),",AV235,"),","('",Tabla7[[#This Row],[CONTADOR]],"',STR_TO_DATE('",Tabla7[[#Headers],[15/01/2018]],"','%d/%m/%Y'),",AW235,"),","('",Tabla7[[#This Row],[CONTADOR]],"',STR_TO_DATE('",Tabla7[[#Headers],[15/02/2018]],"','%d/%m/%Y'),",AX235,"),","('",Tabla7[[#This Row],[CONTADOR]],"',STR_TO_DATE('",Tabla7[[#Headers],[15/03/2018]],"','%d/%m/%Y'),",AY235,"),","('",Tabla7[[#This Row],[CONTADOR]],"',STR_TO_DATE('",Tabla7[[#Headers],[15/04/2018]],"','%d/%m/%Y'),",AZ235,"),","('",Tabla7[[#This Row],[CONTADOR]],"',STR_TO_DATE('",Tabla7[[#Headers],[15/05/2018]],"','%d/%m/%Y'),",BA235,"),","('",Tabla7[[#This Row],[CONTADOR]],"',STR_TO_DATE('",Tabla7[[#Headers],[15/06/2018]],"','%d/%m/%Y'),",BB235,"),","('",Tabla7[[#This Row],[CONTADOR]],"',STR_TO_DATE('",Tabla7[[#Headers],[15/07/2018]],"','%d/%m/%Y'),",BC235,"),","('",Tabla7[[#This Row],[CONTADOR]],"',STR_TO_DATE('",Tabla7[[#Headers],[15/08/2018]],"','%d/%m/%Y'),",BD235,"),","('",Tabla7[[#This Row],[CONTADOR]],"',STR_TO_DATE('",Tabla7[[#Headers],[15/09/2018]],"','%d/%m/%Y'),",BE235,"),","('",Tabla7[[#This Row],[CONTADOR]],"',STR_TO_DATE('",Tabla7[[#Headers],[15/10/2018]],"','%d/%m/%Y'),",BF235,"),","('",Tabla7[[#This Row],[CONTADOR]],"',STR_TO_DATE('",Tabla7[[#Headers],[15/11/2018]],"','%d/%m/%Y'),",BG235,"),","('",Tabla7[[#This Row],[CONTADOR]],"',STR_TO_DATE('",Tabla7[[#Headers],[15/12/2018]],"','%d/%m/%Y'),",BH235,");")</f>
        <v>insert into lecturas values ('LW00042801',STR_TO_DATE('31/12/2017','%d/%m/%Y'),110121),('LW00042801',STR_TO_DATE('15/01/2018','%d/%m/%Y'),110121),('LW00042801',STR_TO_DATE('15/02/2018','%d/%m/%Y'),110121),('LW00042801',STR_TO_DATE('15/03/2018','%d/%m/%Y'),110121),('LW00042801',STR_TO_DATE('15/04/2018','%d/%m/%Y'),110121),('LW00042801',STR_TO_DATE('15/05/2018','%d/%m/%Y'),110121),('LW00042801',STR_TO_DATE('15/06/2018','%d/%m/%Y'),110121),('LW00042801',STR_TO_DATE('15/07/2018','%d/%m/%Y'),110121),('LW00042801',STR_TO_DATE('15/08/2018','%d/%m/%Y'),110121),('LW00042801',STR_TO_DATE('15/09/2018','%d/%m/%Y'),110121),('LW00042801',STR_TO_DATE('15/10/2018','%d/%m/%Y'),110122),('LW00042801',STR_TO_DATE('15/11/2018','%d/%m/%Y'),110122),('LW00042801',STR_TO_DATE('15/12/2018','%d/%m/%Y'),110122);</v>
      </c>
    </row>
    <row r="236" spans="1:68" ht="18.75" customHeight="1" x14ac:dyDescent="0.25">
      <c r="A236" s="241" t="s">
        <v>19</v>
      </c>
      <c r="B236" s="60">
        <v>946</v>
      </c>
      <c r="C236" s="342" t="s">
        <v>37</v>
      </c>
      <c r="D236" s="60" t="s">
        <v>36</v>
      </c>
      <c r="E236" s="258">
        <v>39417</v>
      </c>
      <c r="F236" s="2" t="s">
        <v>23</v>
      </c>
      <c r="G236" s="2" t="s">
        <v>38</v>
      </c>
      <c r="H236" s="2" t="s">
        <v>39</v>
      </c>
      <c r="I236" s="2"/>
      <c r="J236" s="311">
        <v>592489</v>
      </c>
      <c r="K236" s="311">
        <v>596165</v>
      </c>
      <c r="L236" s="311">
        <v>602663</v>
      </c>
      <c r="M236" s="311">
        <v>612240</v>
      </c>
      <c r="N236" s="311">
        <v>621171</v>
      </c>
      <c r="O236" s="311">
        <v>629717</v>
      </c>
      <c r="P236" s="311">
        <v>637149</v>
      </c>
      <c r="Q236" s="311">
        <v>644651</v>
      </c>
      <c r="R236" s="311">
        <v>651640</v>
      </c>
      <c r="S236" s="311">
        <v>660788</v>
      </c>
      <c r="T236" s="311">
        <v>669940</v>
      </c>
      <c r="U236" s="311">
        <v>678255</v>
      </c>
      <c r="V236" s="353">
        <v>691558</v>
      </c>
      <c r="W236" s="311"/>
      <c r="X236" s="2"/>
      <c r="Y236" s="2">
        <f t="shared" si="67"/>
        <v>3676</v>
      </c>
      <c r="Z236" s="2">
        <f t="shared" si="66"/>
        <v>6498</v>
      </c>
      <c r="AA236" s="2">
        <f t="shared" si="83"/>
        <v>9577</v>
      </c>
      <c r="AB236" s="2">
        <f t="shared" si="82"/>
        <v>8931</v>
      </c>
      <c r="AC236" s="2">
        <f t="shared" si="72"/>
        <v>8546</v>
      </c>
      <c r="AD236" s="2">
        <f t="shared" si="73"/>
        <v>7432</v>
      </c>
      <c r="AE236" s="2">
        <f t="shared" si="74"/>
        <v>7502</v>
      </c>
      <c r="AF236" s="2">
        <f t="shared" si="75"/>
        <v>6989</v>
      </c>
      <c r="AG236" s="2">
        <f t="shared" si="76"/>
        <v>9148</v>
      </c>
      <c r="AH236" s="2">
        <f t="shared" si="79"/>
        <v>9152</v>
      </c>
      <c r="AI236" s="2">
        <f t="shared" si="77"/>
        <v>8315</v>
      </c>
      <c r="AJ236" s="2">
        <f t="shared" si="78"/>
        <v>13303</v>
      </c>
      <c r="AK236" s="406">
        <v>1</v>
      </c>
      <c r="AL236" s="274">
        <f t="shared" ca="1" si="68"/>
        <v>621171</v>
      </c>
      <c r="AM236" s="311">
        <f t="shared" ca="1" si="69"/>
        <v>629717</v>
      </c>
      <c r="AN236" s="274">
        <f ca="1">IF(AND(Tabla7[[#This Row],[UltLec]]&lt;&gt;0,Tabla7[[#This Row],[PenLect]]&lt;&gt;0),(AM236-AL236)*Tabla7[[#This Row],[RT]],"N/A")</f>
        <v>8546</v>
      </c>
      <c r="AO236" s="273" t="s">
        <v>862</v>
      </c>
      <c r="AP236" s="392" t="s">
        <v>1190</v>
      </c>
      <c r="AQ236" s="392" t="s">
        <v>1189</v>
      </c>
      <c r="AR236" s="407">
        <f t="shared" si="70"/>
        <v>0</v>
      </c>
      <c r="AT236" s="2">
        <f t="shared" ca="1" si="71"/>
        <v>0.95689172545067747</v>
      </c>
      <c r="AV236">
        <f>IF(ISBLANK(Tabla7[[#This Row],[31/12/2017]]),0,Tabla7[[#This Row],[31/12/2017]])</f>
        <v>592489</v>
      </c>
      <c r="AW236">
        <f>IF(ISBLANK(Tabla7[[#This Row],[15/01/2018]]),0,Tabla7[[#This Row],[15/01/2018]])</f>
        <v>596165</v>
      </c>
      <c r="AX236">
        <f>IF(ISBLANK(Tabla7[[#This Row],[15/02/2018]]),0,Tabla7[[#This Row],[15/02/2018]])</f>
        <v>602663</v>
      </c>
      <c r="AY236">
        <f>IF(ISBLANK(Tabla7[[#This Row],[15/03/2018]]),0,Tabla7[[#This Row],[15/03/2018]])</f>
        <v>612240</v>
      </c>
      <c r="AZ236">
        <f>IF(ISBLANK(Tabla7[[#This Row],[15/04/2018]]),0,Tabla7[[#This Row],[15/04/2018]])</f>
        <v>621171</v>
      </c>
      <c r="BA236">
        <f>IF(ISBLANK(Tabla7[[#This Row],[15/05/2018]]),0,Tabla7[[#This Row],[15/05/2018]])</f>
        <v>629717</v>
      </c>
      <c r="BB236">
        <f>IF(ISBLANK(Tabla7[[#This Row],[15/06/2018]]),0,Tabla7[[#This Row],[15/06/2018]])</f>
        <v>637149</v>
      </c>
      <c r="BC236">
        <f>IF(ISBLANK(Tabla7[[#This Row],[15/07/2018]]),0,Tabla7[[#This Row],[15/07/2018]])</f>
        <v>644651</v>
      </c>
      <c r="BD236">
        <f>IF(ISBLANK(Tabla7[[#This Row],[15/08/2018]]),0,Tabla7[[#This Row],[15/08/2018]])</f>
        <v>651640</v>
      </c>
      <c r="BE236">
        <f>IF(ISBLANK(Tabla7[[#This Row],[15/09/2018]]),0,Tabla7[[#This Row],[15/09/2018]])</f>
        <v>660788</v>
      </c>
      <c r="BF236">
        <f>IF(ISBLANK(Tabla7[[#This Row],[15/10/2018]]),0,Tabla7[[#This Row],[15/10/2018]])</f>
        <v>669940</v>
      </c>
      <c r="BG236">
        <f>IF(ISBLANK(Tabla7[[#This Row],[15/11/2018]]),0,Tabla7[[#This Row],[15/11/2018]])</f>
        <v>678255</v>
      </c>
      <c r="BH236">
        <f>IF(ISBLANK(Tabla7[[#This Row],[15/12/2018]]),0,Tabla7[[#This Row],[15/12/2018]])</f>
        <v>691558</v>
      </c>
      <c r="BI236">
        <f>IF(ISBLANK(Tabla7[[#This Row],[28/12/2018]]),0,Tabla7[[#This Row],[28/12/2018]])</f>
        <v>0</v>
      </c>
      <c r="BN23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('LW00181602','V','VCT03','39417','TCV STEVEDORING COMPANY','EN CT.','TORRES 12,13,0303.- 1/06/2013','');</v>
      </c>
      <c r="BO236" t="s">
        <v>243</v>
      </c>
      <c r="BP236" s="632" t="str">
        <f>CONCATENATE("insert into lecturas values ","('",Tabla7[[#This Row],[CONTADOR]],"',STR_TO_DATE('",Tabla7[[#Headers],[31/12/2017]],"','%d/%m/%Y'),",AV236,"),","('",Tabla7[[#This Row],[CONTADOR]],"',STR_TO_DATE('",Tabla7[[#Headers],[15/01/2018]],"','%d/%m/%Y'),",AW236,"),","('",Tabla7[[#This Row],[CONTADOR]],"',STR_TO_DATE('",Tabla7[[#Headers],[15/02/2018]],"','%d/%m/%Y'),",AX236,"),","('",Tabla7[[#This Row],[CONTADOR]],"',STR_TO_DATE('",Tabla7[[#Headers],[15/03/2018]],"','%d/%m/%Y'),",AY236,"),","('",Tabla7[[#This Row],[CONTADOR]],"',STR_TO_DATE('",Tabla7[[#Headers],[15/04/2018]],"','%d/%m/%Y'),",AZ236,"),","('",Tabla7[[#This Row],[CONTADOR]],"',STR_TO_DATE('",Tabla7[[#Headers],[15/05/2018]],"','%d/%m/%Y'),",BA236,"),","('",Tabla7[[#This Row],[CONTADOR]],"',STR_TO_DATE('",Tabla7[[#Headers],[15/06/2018]],"','%d/%m/%Y'),",BB236,"),","('",Tabla7[[#This Row],[CONTADOR]],"',STR_TO_DATE('",Tabla7[[#Headers],[15/07/2018]],"','%d/%m/%Y'),",BC236,"),","('",Tabla7[[#This Row],[CONTADOR]],"',STR_TO_DATE('",Tabla7[[#Headers],[15/08/2018]],"','%d/%m/%Y'),",BD236,"),","('",Tabla7[[#This Row],[CONTADOR]],"',STR_TO_DATE('",Tabla7[[#Headers],[15/09/2018]],"','%d/%m/%Y'),",BE236,"),","('",Tabla7[[#This Row],[CONTADOR]],"',STR_TO_DATE('",Tabla7[[#Headers],[15/10/2018]],"','%d/%m/%Y'),",BF236,"),","('",Tabla7[[#This Row],[CONTADOR]],"',STR_TO_DATE('",Tabla7[[#Headers],[15/11/2018]],"','%d/%m/%Y'),",BG236,"),","('",Tabla7[[#This Row],[CONTADOR]],"',STR_TO_DATE('",Tabla7[[#Headers],[15/12/2018]],"','%d/%m/%Y'),",BH236,");")</f>
        <v>insert into lecturas values ('LW00181602',STR_TO_DATE('31/12/2017','%d/%m/%Y'),592489),('LW00181602',STR_TO_DATE('15/01/2018','%d/%m/%Y'),596165),('LW00181602',STR_TO_DATE('15/02/2018','%d/%m/%Y'),602663),('LW00181602',STR_TO_DATE('15/03/2018','%d/%m/%Y'),612240),('LW00181602',STR_TO_DATE('15/04/2018','%d/%m/%Y'),621171),('LW00181602',STR_TO_DATE('15/05/2018','%d/%m/%Y'),629717),('LW00181602',STR_TO_DATE('15/06/2018','%d/%m/%Y'),637149),('LW00181602',STR_TO_DATE('15/07/2018','%d/%m/%Y'),644651),('LW00181602',STR_TO_DATE('15/08/2018','%d/%m/%Y'),651640),('LW00181602',STR_TO_DATE('15/09/2018','%d/%m/%Y'),660788),('LW00181602',STR_TO_DATE('15/10/2018','%d/%m/%Y'),669940),('LW00181602',STR_TO_DATE('15/11/2018','%d/%m/%Y'),678255),('LW00181602',STR_TO_DATE('15/12/2018','%d/%m/%Y'),691558);</v>
      </c>
    </row>
    <row r="237" spans="1:68" ht="18.75" customHeight="1" x14ac:dyDescent="0.25">
      <c r="A237" s="241" t="s">
        <v>19</v>
      </c>
      <c r="B237" s="60"/>
      <c r="C237" s="342" t="s">
        <v>43</v>
      </c>
      <c r="D237" s="60" t="s">
        <v>36</v>
      </c>
      <c r="E237" s="258">
        <v>132</v>
      </c>
      <c r="F237" s="2" t="s">
        <v>878</v>
      </c>
      <c r="G237" s="2" t="s">
        <v>38</v>
      </c>
      <c r="H237" s="2" t="s">
        <v>44</v>
      </c>
      <c r="I237" s="2"/>
      <c r="J237" s="311">
        <v>443022</v>
      </c>
      <c r="K237" s="311">
        <v>445525</v>
      </c>
      <c r="L237" s="311">
        <v>450367</v>
      </c>
      <c r="M237" s="311">
        <v>454247</v>
      </c>
      <c r="N237" s="311">
        <v>458120</v>
      </c>
      <c r="O237" s="311">
        <v>461451</v>
      </c>
      <c r="P237" s="311">
        <v>464505</v>
      </c>
      <c r="Q237" s="311">
        <v>467642</v>
      </c>
      <c r="R237" s="311">
        <v>470730</v>
      </c>
      <c r="S237" s="311">
        <v>474698</v>
      </c>
      <c r="T237" s="311">
        <v>478289</v>
      </c>
      <c r="U237" s="311">
        <v>479485</v>
      </c>
      <c r="V237" s="353">
        <v>481500</v>
      </c>
      <c r="W237" s="311"/>
      <c r="X237" s="2"/>
      <c r="Y237" s="2">
        <f t="shared" si="67"/>
        <v>2503</v>
      </c>
      <c r="Z237" s="2">
        <f t="shared" si="66"/>
        <v>4842</v>
      </c>
      <c r="AA237" s="2">
        <f t="shared" si="83"/>
        <v>3880</v>
      </c>
      <c r="AB237" s="2">
        <f t="shared" si="82"/>
        <v>3873</v>
      </c>
      <c r="AC237" s="2">
        <f t="shared" si="72"/>
        <v>3331</v>
      </c>
      <c r="AD237" s="2">
        <f t="shared" si="73"/>
        <v>3054</v>
      </c>
      <c r="AE237" s="2">
        <f t="shared" si="74"/>
        <v>3137</v>
      </c>
      <c r="AF237" s="2">
        <f t="shared" si="75"/>
        <v>3088</v>
      </c>
      <c r="AG237" s="2">
        <f t="shared" si="76"/>
        <v>3968</v>
      </c>
      <c r="AH237" s="2">
        <f t="shared" si="79"/>
        <v>3591</v>
      </c>
      <c r="AI237" s="2">
        <f t="shared" si="77"/>
        <v>1196</v>
      </c>
      <c r="AJ237" s="2">
        <f t="shared" si="78"/>
        <v>2015</v>
      </c>
      <c r="AK237" s="406">
        <v>1</v>
      </c>
      <c r="AL237" s="274">
        <f t="shared" ca="1" si="68"/>
        <v>458120</v>
      </c>
      <c r="AM237" s="311">
        <f t="shared" ca="1" si="69"/>
        <v>461451</v>
      </c>
      <c r="AN237" s="274">
        <f ca="1">IF(AND(Tabla7[[#This Row],[UltLec]]&lt;&gt;0,Tabla7[[#This Row],[PenLect]]&lt;&gt;0),(AM237-AL237)*Tabla7[[#This Row],[RT]],"N/A")</f>
        <v>3331</v>
      </c>
      <c r="AO237" s="273" t="s">
        <v>862</v>
      </c>
      <c r="AP237" s="392" t="s">
        <v>1190</v>
      </c>
      <c r="AQ237" s="392" t="s">
        <v>1189</v>
      </c>
      <c r="AR237" s="407">
        <f t="shared" si="70"/>
        <v>0</v>
      </c>
      <c r="AT237" s="2">
        <f t="shared" ca="1" si="71"/>
        <v>0.86005680351148983</v>
      </c>
      <c r="AV237">
        <f>IF(ISBLANK(Tabla7[[#This Row],[31/12/2017]]),0,Tabla7[[#This Row],[31/12/2017]])</f>
        <v>443022</v>
      </c>
      <c r="AW237">
        <f>IF(ISBLANK(Tabla7[[#This Row],[15/01/2018]]),0,Tabla7[[#This Row],[15/01/2018]])</f>
        <v>445525</v>
      </c>
      <c r="AX237">
        <f>IF(ISBLANK(Tabla7[[#This Row],[15/02/2018]]),0,Tabla7[[#This Row],[15/02/2018]])</f>
        <v>450367</v>
      </c>
      <c r="AY237">
        <f>IF(ISBLANK(Tabla7[[#This Row],[15/03/2018]]),0,Tabla7[[#This Row],[15/03/2018]])</f>
        <v>454247</v>
      </c>
      <c r="AZ237">
        <f>IF(ISBLANK(Tabla7[[#This Row],[15/04/2018]]),0,Tabla7[[#This Row],[15/04/2018]])</f>
        <v>458120</v>
      </c>
      <c r="BA237">
        <f>IF(ISBLANK(Tabla7[[#This Row],[15/05/2018]]),0,Tabla7[[#This Row],[15/05/2018]])</f>
        <v>461451</v>
      </c>
      <c r="BB237">
        <f>IF(ISBLANK(Tabla7[[#This Row],[15/06/2018]]),0,Tabla7[[#This Row],[15/06/2018]])</f>
        <v>464505</v>
      </c>
      <c r="BC237">
        <f>IF(ISBLANK(Tabla7[[#This Row],[15/07/2018]]),0,Tabla7[[#This Row],[15/07/2018]])</f>
        <v>467642</v>
      </c>
      <c r="BD237">
        <f>IF(ISBLANK(Tabla7[[#This Row],[15/08/2018]]),0,Tabla7[[#This Row],[15/08/2018]])</f>
        <v>470730</v>
      </c>
      <c r="BE237">
        <f>IF(ISBLANK(Tabla7[[#This Row],[15/09/2018]]),0,Tabla7[[#This Row],[15/09/2018]])</f>
        <v>474698</v>
      </c>
      <c r="BF237">
        <f>IF(ISBLANK(Tabla7[[#This Row],[15/10/2018]]),0,Tabla7[[#This Row],[15/10/2018]])</f>
        <v>478289</v>
      </c>
      <c r="BG237">
        <f>IF(ISBLANK(Tabla7[[#This Row],[15/11/2018]]),0,Tabla7[[#This Row],[15/11/2018]])</f>
        <v>479485</v>
      </c>
      <c r="BH237">
        <f>IF(ISBLANK(Tabla7[[#This Row],[15/12/2018]]),0,Tabla7[[#This Row],[15/12/2018]])</f>
        <v>481500</v>
      </c>
      <c r="BI237">
        <f>IF(ISBLANK(Tabla7[[#This Row],[28/12/2018]]),0,Tabla7[[#This Row],[28/12/2018]])</f>
        <v>0</v>
      </c>
      <c r="BN23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('LW00181677','V','VCT03','132','APV TORRE 301','EN CT.','TORRE 301  alta 8/10/2013','');</v>
      </c>
      <c r="BO237" t="s">
        <v>243</v>
      </c>
      <c r="BP237" s="632" t="str">
        <f>CONCATENATE("insert into lecturas values ","('",Tabla7[[#This Row],[CONTADOR]],"',STR_TO_DATE('",Tabla7[[#Headers],[31/12/2017]],"','%d/%m/%Y'),",AV237,"),","('",Tabla7[[#This Row],[CONTADOR]],"',STR_TO_DATE('",Tabla7[[#Headers],[15/01/2018]],"','%d/%m/%Y'),",AW237,"),","('",Tabla7[[#This Row],[CONTADOR]],"',STR_TO_DATE('",Tabla7[[#Headers],[15/02/2018]],"','%d/%m/%Y'),",AX237,"),","('",Tabla7[[#This Row],[CONTADOR]],"',STR_TO_DATE('",Tabla7[[#Headers],[15/03/2018]],"','%d/%m/%Y'),",AY237,"),","('",Tabla7[[#This Row],[CONTADOR]],"',STR_TO_DATE('",Tabla7[[#Headers],[15/04/2018]],"','%d/%m/%Y'),",AZ237,"),","('",Tabla7[[#This Row],[CONTADOR]],"',STR_TO_DATE('",Tabla7[[#Headers],[15/05/2018]],"','%d/%m/%Y'),",BA237,"),","('",Tabla7[[#This Row],[CONTADOR]],"',STR_TO_DATE('",Tabla7[[#Headers],[15/06/2018]],"','%d/%m/%Y'),",BB237,"),","('",Tabla7[[#This Row],[CONTADOR]],"',STR_TO_DATE('",Tabla7[[#Headers],[15/07/2018]],"','%d/%m/%Y'),",BC237,"),","('",Tabla7[[#This Row],[CONTADOR]],"',STR_TO_DATE('",Tabla7[[#Headers],[15/08/2018]],"','%d/%m/%Y'),",BD237,"),","('",Tabla7[[#This Row],[CONTADOR]],"',STR_TO_DATE('",Tabla7[[#Headers],[15/09/2018]],"','%d/%m/%Y'),",BE237,"),","('",Tabla7[[#This Row],[CONTADOR]],"',STR_TO_DATE('",Tabla7[[#Headers],[15/10/2018]],"','%d/%m/%Y'),",BF237,"),","('",Tabla7[[#This Row],[CONTADOR]],"',STR_TO_DATE('",Tabla7[[#Headers],[15/11/2018]],"','%d/%m/%Y'),",BG237,"),","('",Tabla7[[#This Row],[CONTADOR]],"',STR_TO_DATE('",Tabla7[[#Headers],[15/12/2018]],"','%d/%m/%Y'),",BH237,");")</f>
        <v>insert into lecturas values ('LW00181677',STR_TO_DATE('31/12/2017','%d/%m/%Y'),443022),('LW00181677',STR_TO_DATE('15/01/2018','%d/%m/%Y'),445525),('LW00181677',STR_TO_DATE('15/02/2018','%d/%m/%Y'),450367),('LW00181677',STR_TO_DATE('15/03/2018','%d/%m/%Y'),454247),('LW00181677',STR_TO_DATE('15/04/2018','%d/%m/%Y'),458120),('LW00181677',STR_TO_DATE('15/05/2018','%d/%m/%Y'),461451),('LW00181677',STR_TO_DATE('15/06/2018','%d/%m/%Y'),464505),('LW00181677',STR_TO_DATE('15/07/2018','%d/%m/%Y'),467642),('LW00181677',STR_TO_DATE('15/08/2018','%d/%m/%Y'),470730),('LW00181677',STR_TO_DATE('15/09/2018','%d/%m/%Y'),474698),('LW00181677',STR_TO_DATE('15/10/2018','%d/%m/%Y'),478289),('LW00181677',STR_TO_DATE('15/11/2018','%d/%m/%Y'),479485),('LW00181677',STR_TO_DATE('15/12/2018','%d/%m/%Y'),481500);</v>
      </c>
    </row>
    <row r="238" spans="1:68" ht="18.75" customHeight="1" x14ac:dyDescent="0.25">
      <c r="A238" s="241" t="s">
        <v>19</v>
      </c>
      <c r="B238" s="60"/>
      <c r="C238" s="342">
        <v>1025626</v>
      </c>
      <c r="D238" s="60" t="s">
        <v>46</v>
      </c>
      <c r="E238" s="258">
        <v>39325</v>
      </c>
      <c r="F238" s="2" t="s">
        <v>51</v>
      </c>
      <c r="G238" s="2" t="s">
        <v>52</v>
      </c>
      <c r="H238" s="2"/>
      <c r="I238" s="2"/>
      <c r="J238" s="311">
        <v>119183</v>
      </c>
      <c r="K238" s="311">
        <v>119564</v>
      </c>
      <c r="L238" s="311">
        <v>120250</v>
      </c>
      <c r="M238" s="311">
        <v>120808</v>
      </c>
      <c r="N238" s="311">
        <v>121357</v>
      </c>
      <c r="O238" s="311">
        <v>121835</v>
      </c>
      <c r="P238" s="311">
        <v>122199</v>
      </c>
      <c r="Q238" s="311">
        <v>122663</v>
      </c>
      <c r="R238" s="311">
        <v>123445</v>
      </c>
      <c r="S238" s="311">
        <v>124474</v>
      </c>
      <c r="T238" s="311">
        <v>125443</v>
      </c>
      <c r="U238" s="311">
        <v>126680</v>
      </c>
      <c r="V238" s="353">
        <v>127882</v>
      </c>
      <c r="W238" s="311"/>
      <c r="X238" s="2"/>
      <c r="Y238" s="2">
        <f t="shared" si="67"/>
        <v>381</v>
      </c>
      <c r="Z238" s="2">
        <f t="shared" si="66"/>
        <v>686</v>
      </c>
      <c r="AA238" s="2">
        <f t="shared" si="83"/>
        <v>558</v>
      </c>
      <c r="AB238" s="2">
        <f t="shared" si="82"/>
        <v>549</v>
      </c>
      <c r="AC238" s="2">
        <f t="shared" si="72"/>
        <v>478</v>
      </c>
      <c r="AD238" s="2">
        <f t="shared" si="73"/>
        <v>364</v>
      </c>
      <c r="AE238" s="2">
        <f t="shared" si="74"/>
        <v>464</v>
      </c>
      <c r="AF238" s="2">
        <f t="shared" si="75"/>
        <v>782</v>
      </c>
      <c r="AG238" s="2">
        <f t="shared" si="76"/>
        <v>1029</v>
      </c>
      <c r="AH238" s="2">
        <f t="shared" si="79"/>
        <v>969</v>
      </c>
      <c r="AI238" s="2">
        <f t="shared" si="77"/>
        <v>1237</v>
      </c>
      <c r="AJ238" s="2">
        <f t="shared" si="78"/>
        <v>1202</v>
      </c>
      <c r="AK238" s="406">
        <v>1</v>
      </c>
      <c r="AL238" s="274">
        <f t="shared" ca="1" si="68"/>
        <v>121357</v>
      </c>
      <c r="AM238" s="311">
        <f t="shared" ca="1" si="69"/>
        <v>121835</v>
      </c>
      <c r="AN238" s="274">
        <f ca="1">IF(AND(Tabla7[[#This Row],[UltLec]]&lt;&gt;0,Tabla7[[#This Row],[PenLect]]&lt;&gt;0),(AM238-AL238)*Tabla7[[#This Row],[RT]],"N/A")</f>
        <v>478</v>
      </c>
      <c r="AO238" s="273" t="s">
        <v>862</v>
      </c>
      <c r="AP238" s="392" t="s">
        <v>1190</v>
      </c>
      <c r="AQ238" s="392" t="s">
        <v>1189</v>
      </c>
      <c r="AR238" s="407">
        <f t="shared" si="70"/>
        <v>0</v>
      </c>
      <c r="AT238" s="2">
        <f t="shared" ca="1" si="71"/>
        <v>0.87067395264116576</v>
      </c>
      <c r="AV238">
        <f>IF(ISBLANK(Tabla7[[#This Row],[31/12/2017]]),0,Tabla7[[#This Row],[31/12/2017]])</f>
        <v>119183</v>
      </c>
      <c r="AW238">
        <f>IF(ISBLANK(Tabla7[[#This Row],[15/01/2018]]),0,Tabla7[[#This Row],[15/01/2018]])</f>
        <v>119564</v>
      </c>
      <c r="AX238">
        <f>IF(ISBLANK(Tabla7[[#This Row],[15/02/2018]]),0,Tabla7[[#This Row],[15/02/2018]])</f>
        <v>120250</v>
      </c>
      <c r="AY238">
        <f>IF(ISBLANK(Tabla7[[#This Row],[15/03/2018]]),0,Tabla7[[#This Row],[15/03/2018]])</f>
        <v>120808</v>
      </c>
      <c r="AZ238">
        <f>IF(ISBLANK(Tabla7[[#This Row],[15/04/2018]]),0,Tabla7[[#This Row],[15/04/2018]])</f>
        <v>121357</v>
      </c>
      <c r="BA238">
        <f>IF(ISBLANK(Tabla7[[#This Row],[15/05/2018]]),0,Tabla7[[#This Row],[15/05/2018]])</f>
        <v>121835</v>
      </c>
      <c r="BB238">
        <f>IF(ISBLANK(Tabla7[[#This Row],[15/06/2018]]),0,Tabla7[[#This Row],[15/06/2018]])</f>
        <v>122199</v>
      </c>
      <c r="BC238">
        <f>IF(ISBLANK(Tabla7[[#This Row],[15/07/2018]]),0,Tabla7[[#This Row],[15/07/2018]])</f>
        <v>122663</v>
      </c>
      <c r="BD238">
        <f>IF(ISBLANK(Tabla7[[#This Row],[15/08/2018]]),0,Tabla7[[#This Row],[15/08/2018]])</f>
        <v>123445</v>
      </c>
      <c r="BE238">
        <f>IF(ISBLANK(Tabla7[[#This Row],[15/09/2018]]),0,Tabla7[[#This Row],[15/09/2018]])</f>
        <v>124474</v>
      </c>
      <c r="BF238">
        <f>IF(ISBLANK(Tabla7[[#This Row],[15/10/2018]]),0,Tabla7[[#This Row],[15/10/2018]])</f>
        <v>125443</v>
      </c>
      <c r="BG238">
        <f>IF(ISBLANK(Tabla7[[#This Row],[15/11/2018]]),0,Tabla7[[#This Row],[15/11/2018]])</f>
        <v>126680</v>
      </c>
      <c r="BH238">
        <f>IF(ISBLANK(Tabla7[[#This Row],[15/12/2018]]),0,Tabla7[[#This Row],[15/12/2018]])</f>
        <v>127882</v>
      </c>
      <c r="BI238">
        <f>IF(ISBLANK(Tabla7[[#This Row],[28/12/2018]]),0,Tabla7[[#This Row],[28/12/2018]])</f>
        <v>0</v>
      </c>
      <c r="BN23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('1025626','V','VCT04','39325','CIA. TRASMEDITERRANEA S.A.','EN TORRE 0407','','');</v>
      </c>
      <c r="BO238" t="s">
        <v>243</v>
      </c>
      <c r="BP238" s="632" t="str">
        <f>CONCATENATE("insert into lecturas values ","('",Tabla7[[#This Row],[CONTADOR]],"',STR_TO_DATE('",Tabla7[[#Headers],[31/12/2017]],"','%d/%m/%Y'),",AV238,"),","('",Tabla7[[#This Row],[CONTADOR]],"',STR_TO_DATE('",Tabla7[[#Headers],[15/01/2018]],"','%d/%m/%Y'),",AW238,"),","('",Tabla7[[#This Row],[CONTADOR]],"',STR_TO_DATE('",Tabla7[[#Headers],[15/02/2018]],"','%d/%m/%Y'),",AX238,"),","('",Tabla7[[#This Row],[CONTADOR]],"',STR_TO_DATE('",Tabla7[[#Headers],[15/03/2018]],"','%d/%m/%Y'),",AY238,"),","('",Tabla7[[#This Row],[CONTADOR]],"',STR_TO_DATE('",Tabla7[[#Headers],[15/04/2018]],"','%d/%m/%Y'),",AZ238,"),","('",Tabla7[[#This Row],[CONTADOR]],"',STR_TO_DATE('",Tabla7[[#Headers],[15/05/2018]],"','%d/%m/%Y'),",BA238,"),","('",Tabla7[[#This Row],[CONTADOR]],"',STR_TO_DATE('",Tabla7[[#Headers],[15/06/2018]],"','%d/%m/%Y'),",BB238,"),","('",Tabla7[[#This Row],[CONTADOR]],"',STR_TO_DATE('",Tabla7[[#Headers],[15/07/2018]],"','%d/%m/%Y'),",BC238,"),","('",Tabla7[[#This Row],[CONTADOR]],"',STR_TO_DATE('",Tabla7[[#Headers],[15/08/2018]],"','%d/%m/%Y'),",BD238,"),","('",Tabla7[[#This Row],[CONTADOR]],"',STR_TO_DATE('",Tabla7[[#Headers],[15/09/2018]],"','%d/%m/%Y'),",BE238,"),","('",Tabla7[[#This Row],[CONTADOR]],"',STR_TO_DATE('",Tabla7[[#Headers],[15/10/2018]],"','%d/%m/%Y'),",BF238,"),","('",Tabla7[[#This Row],[CONTADOR]],"',STR_TO_DATE('",Tabla7[[#Headers],[15/11/2018]],"','%d/%m/%Y'),",BG238,"),","('",Tabla7[[#This Row],[CONTADOR]],"',STR_TO_DATE('",Tabla7[[#Headers],[15/12/2018]],"','%d/%m/%Y'),",BH238,");")</f>
        <v>insert into lecturas values ('1025626',STR_TO_DATE('31/12/2017','%d/%m/%Y'),119183),('1025626',STR_TO_DATE('15/01/2018','%d/%m/%Y'),119564),('1025626',STR_TO_DATE('15/02/2018','%d/%m/%Y'),120250),('1025626',STR_TO_DATE('15/03/2018','%d/%m/%Y'),120808),('1025626',STR_TO_DATE('15/04/2018','%d/%m/%Y'),121357),('1025626',STR_TO_DATE('15/05/2018','%d/%m/%Y'),121835),('1025626',STR_TO_DATE('15/06/2018','%d/%m/%Y'),122199),('1025626',STR_TO_DATE('15/07/2018','%d/%m/%Y'),122663),('1025626',STR_TO_DATE('15/08/2018','%d/%m/%Y'),123445),('1025626',STR_TO_DATE('15/09/2018','%d/%m/%Y'),124474),('1025626',STR_TO_DATE('15/10/2018','%d/%m/%Y'),125443),('1025626',STR_TO_DATE('15/11/2018','%d/%m/%Y'),126680),('1025626',STR_TO_DATE('15/12/2018','%d/%m/%Y'),127882);</v>
      </c>
    </row>
    <row r="239" spans="1:68" ht="18.75" customHeight="1" x14ac:dyDescent="0.25">
      <c r="A239" s="241" t="s">
        <v>19</v>
      </c>
      <c r="B239" s="60"/>
      <c r="C239" s="342">
        <v>5130043</v>
      </c>
      <c r="D239" s="60" t="s">
        <v>46</v>
      </c>
      <c r="E239" s="258">
        <v>150</v>
      </c>
      <c r="F239" s="2" t="s">
        <v>48</v>
      </c>
      <c r="G239" s="2" t="s">
        <v>49</v>
      </c>
      <c r="H239" s="2" t="s">
        <v>50</v>
      </c>
      <c r="I239" s="2" t="s">
        <v>799</v>
      </c>
      <c r="J239" s="311">
        <v>0</v>
      </c>
      <c r="K239" s="311">
        <v>0</v>
      </c>
      <c r="L239" s="311">
        <v>0</v>
      </c>
      <c r="M239" s="311">
        <v>0</v>
      </c>
      <c r="N239" s="311">
        <v>0</v>
      </c>
      <c r="O239" s="311">
        <v>0</v>
      </c>
      <c r="P239" s="311">
        <v>0</v>
      </c>
      <c r="Q239" s="311">
        <v>0</v>
      </c>
      <c r="R239" s="311">
        <v>0</v>
      </c>
      <c r="S239" s="311">
        <v>0</v>
      </c>
      <c r="T239" s="311">
        <v>0</v>
      </c>
      <c r="U239" s="311">
        <v>0</v>
      </c>
      <c r="V239" s="353">
        <v>0</v>
      </c>
      <c r="W239" s="311"/>
      <c r="X239" s="2"/>
      <c r="Y239" s="2">
        <f t="shared" si="67"/>
        <v>0</v>
      </c>
      <c r="Z239" s="2">
        <f t="shared" si="66"/>
        <v>0</v>
      </c>
      <c r="AA239" s="2">
        <f t="shared" si="83"/>
        <v>0</v>
      </c>
      <c r="AB239" s="2">
        <f t="shared" si="82"/>
        <v>0</v>
      </c>
      <c r="AC239" s="2">
        <f t="shared" si="72"/>
        <v>0</v>
      </c>
      <c r="AD239" s="2">
        <f t="shared" si="73"/>
        <v>0</v>
      </c>
      <c r="AE239" s="2">
        <f t="shared" si="74"/>
        <v>0</v>
      </c>
      <c r="AF239" s="2">
        <f t="shared" si="75"/>
        <v>0</v>
      </c>
      <c r="AG239" s="2">
        <f t="shared" si="76"/>
        <v>0</v>
      </c>
      <c r="AH239" s="2">
        <f t="shared" si="79"/>
        <v>0</v>
      </c>
      <c r="AI239" s="2">
        <f t="shared" si="77"/>
        <v>0</v>
      </c>
      <c r="AJ239" s="2">
        <f t="shared" si="78"/>
        <v>0</v>
      </c>
      <c r="AK239" s="413">
        <v>30</v>
      </c>
      <c r="AL239" s="313">
        <f t="shared" ca="1" si="68"/>
        <v>0</v>
      </c>
      <c r="AM239" s="311">
        <f t="shared" ca="1" si="69"/>
        <v>0</v>
      </c>
      <c r="AN239" s="274" t="str">
        <f ca="1">IF(AND(Tabla7[[#This Row],[UltLec]]&lt;&gt;0,Tabla7[[#This Row],[PenLect]]&lt;&gt;0),(AM239-AL239)*Tabla7[[#This Row],[RT]],"N/A")</f>
        <v>N/A</v>
      </c>
      <c r="AO239" s="273" t="s">
        <v>862</v>
      </c>
      <c r="AP239" s="392" t="s">
        <v>1190</v>
      </c>
      <c r="AQ239" s="392" t="s">
        <v>1189</v>
      </c>
      <c r="AR239" s="407">
        <f t="shared" si="70"/>
        <v>0</v>
      </c>
      <c r="AT239" s="2" t="str">
        <f t="shared" ca="1" si="71"/>
        <v>0</v>
      </c>
      <c r="AV239">
        <f>IF(ISBLANK(Tabla7[[#This Row],[31/12/2017]]),0,Tabla7[[#This Row],[31/12/2017]])</f>
        <v>0</v>
      </c>
      <c r="AW239">
        <f>IF(ISBLANK(Tabla7[[#This Row],[15/01/2018]]),0,Tabla7[[#This Row],[15/01/2018]])</f>
        <v>0</v>
      </c>
      <c r="AX239">
        <f>IF(ISBLANK(Tabla7[[#This Row],[15/02/2018]]),0,Tabla7[[#This Row],[15/02/2018]])</f>
        <v>0</v>
      </c>
      <c r="AY239">
        <f>IF(ISBLANK(Tabla7[[#This Row],[15/03/2018]]),0,Tabla7[[#This Row],[15/03/2018]])</f>
        <v>0</v>
      </c>
      <c r="AZ239">
        <f>IF(ISBLANK(Tabla7[[#This Row],[15/04/2018]]),0,Tabla7[[#This Row],[15/04/2018]])</f>
        <v>0</v>
      </c>
      <c r="BA239">
        <f>IF(ISBLANK(Tabla7[[#This Row],[15/05/2018]]),0,Tabla7[[#This Row],[15/05/2018]])</f>
        <v>0</v>
      </c>
      <c r="BB239">
        <f>IF(ISBLANK(Tabla7[[#This Row],[15/06/2018]]),0,Tabla7[[#This Row],[15/06/2018]])</f>
        <v>0</v>
      </c>
      <c r="BC239">
        <f>IF(ISBLANK(Tabla7[[#This Row],[15/07/2018]]),0,Tabla7[[#This Row],[15/07/2018]])</f>
        <v>0</v>
      </c>
      <c r="BD239">
        <f>IF(ISBLANK(Tabla7[[#This Row],[15/08/2018]]),0,Tabla7[[#This Row],[15/08/2018]])</f>
        <v>0</v>
      </c>
      <c r="BE239">
        <f>IF(ISBLANK(Tabla7[[#This Row],[15/09/2018]]),0,Tabla7[[#This Row],[15/09/2018]])</f>
        <v>0</v>
      </c>
      <c r="BF239">
        <f>IF(ISBLANK(Tabla7[[#This Row],[15/10/2018]]),0,Tabla7[[#This Row],[15/10/2018]])</f>
        <v>0</v>
      </c>
      <c r="BG239">
        <f>IF(ISBLANK(Tabla7[[#This Row],[15/11/2018]]),0,Tabla7[[#This Row],[15/11/2018]])</f>
        <v>0</v>
      </c>
      <c r="BH239">
        <f>IF(ISBLANK(Tabla7[[#This Row],[15/12/2018]]),0,Tabla7[[#This Row],[15/12/2018]])</f>
        <v>0</v>
      </c>
      <c r="BI239">
        <f>IF(ISBLANK(Tabla7[[#This Row],[28/12/2018]]),0,Tabla7[[#This Row],[28/12/2018]])</f>
        <v>0</v>
      </c>
      <c r="BN23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('5130043','V','VCT04','150','TOMAS DE CORRIENTE MUELLE','CENTRALIZACIÓN CT','TOMAS MUELLE TRASVERSAL','150/5');</v>
      </c>
      <c r="BO239" t="s">
        <v>243</v>
      </c>
      <c r="BP239" s="632" t="str">
        <f>CONCATENATE("insert into lecturas values ","('",Tabla7[[#This Row],[CONTADOR]],"',STR_TO_DATE('",Tabla7[[#Headers],[31/12/2017]],"','%d/%m/%Y'),",AV239,"),","('",Tabla7[[#This Row],[CONTADOR]],"',STR_TO_DATE('",Tabla7[[#Headers],[15/01/2018]],"','%d/%m/%Y'),",AW239,"),","('",Tabla7[[#This Row],[CONTADOR]],"',STR_TO_DATE('",Tabla7[[#Headers],[15/02/2018]],"','%d/%m/%Y'),",AX239,"),","('",Tabla7[[#This Row],[CONTADOR]],"',STR_TO_DATE('",Tabla7[[#Headers],[15/03/2018]],"','%d/%m/%Y'),",AY239,"),","('",Tabla7[[#This Row],[CONTADOR]],"',STR_TO_DATE('",Tabla7[[#Headers],[15/04/2018]],"','%d/%m/%Y'),",AZ239,"),","('",Tabla7[[#This Row],[CONTADOR]],"',STR_TO_DATE('",Tabla7[[#Headers],[15/05/2018]],"','%d/%m/%Y'),",BA239,"),","('",Tabla7[[#This Row],[CONTADOR]],"',STR_TO_DATE('",Tabla7[[#Headers],[15/06/2018]],"','%d/%m/%Y'),",BB239,"),","('",Tabla7[[#This Row],[CONTADOR]],"',STR_TO_DATE('",Tabla7[[#Headers],[15/07/2018]],"','%d/%m/%Y'),",BC239,"),","('",Tabla7[[#This Row],[CONTADOR]],"',STR_TO_DATE('",Tabla7[[#Headers],[15/08/2018]],"','%d/%m/%Y'),",BD239,"),","('",Tabla7[[#This Row],[CONTADOR]],"',STR_TO_DATE('",Tabla7[[#Headers],[15/09/2018]],"','%d/%m/%Y'),",BE239,"),","('",Tabla7[[#This Row],[CONTADOR]],"',STR_TO_DATE('",Tabla7[[#Headers],[15/10/2018]],"','%d/%m/%Y'),",BF239,"),","('",Tabla7[[#This Row],[CONTADOR]],"',STR_TO_DATE('",Tabla7[[#Headers],[15/11/2018]],"','%d/%m/%Y'),",BG239,"),","('",Tabla7[[#This Row],[CONTADOR]],"',STR_TO_DATE('",Tabla7[[#Headers],[15/12/2018]],"','%d/%m/%Y'),",BH239,");")</f>
        <v>insert into lecturas values ('5130043',STR_TO_DATE('31/12/2017','%d/%m/%Y'),0),('5130043',STR_TO_DATE('15/01/2018','%d/%m/%Y'),0),('5130043',STR_TO_DATE('15/02/2018','%d/%m/%Y'),0),('5130043',STR_TO_DATE('15/03/2018','%d/%m/%Y'),0),('5130043',STR_TO_DATE('15/04/2018','%d/%m/%Y'),0),('5130043',STR_TO_DATE('15/05/2018','%d/%m/%Y'),0),('5130043',STR_TO_DATE('15/06/2018','%d/%m/%Y'),0),('5130043',STR_TO_DATE('15/07/2018','%d/%m/%Y'),0),('5130043',STR_TO_DATE('15/08/2018','%d/%m/%Y'),0),('5130043',STR_TO_DATE('15/09/2018','%d/%m/%Y'),0),('5130043',STR_TO_DATE('15/10/2018','%d/%m/%Y'),0),('5130043',STR_TO_DATE('15/11/2018','%d/%m/%Y'),0),('5130043',STR_TO_DATE('15/12/2018','%d/%m/%Y'),0);</v>
      </c>
    </row>
    <row r="240" spans="1:68" ht="18.75" customHeight="1" x14ac:dyDescent="0.25">
      <c r="A240" s="241" t="s">
        <v>19</v>
      </c>
      <c r="B240" s="60"/>
      <c r="C240" s="342">
        <v>717084013</v>
      </c>
      <c r="D240" s="60" t="s">
        <v>46</v>
      </c>
      <c r="E240" s="258">
        <v>141</v>
      </c>
      <c r="F240" s="274" t="s">
        <v>964</v>
      </c>
      <c r="G240" s="274" t="s">
        <v>47</v>
      </c>
      <c r="H240" s="274"/>
      <c r="I240" s="253">
        <v>42948</v>
      </c>
      <c r="J240" s="311">
        <v>17849</v>
      </c>
      <c r="K240" s="311">
        <v>19001</v>
      </c>
      <c r="L240" s="311">
        <v>25939</v>
      </c>
      <c r="M240" s="311">
        <v>28022</v>
      </c>
      <c r="N240" s="311">
        <v>29323</v>
      </c>
      <c r="O240" s="353">
        <v>30450</v>
      </c>
      <c r="P240" s="353">
        <v>32555</v>
      </c>
      <c r="Q240" s="311">
        <v>36361</v>
      </c>
      <c r="R240" s="311">
        <v>38091</v>
      </c>
      <c r="S240" s="311">
        <v>39854</v>
      </c>
      <c r="T240" s="311">
        <v>41438</v>
      </c>
      <c r="U240" s="311">
        <v>43764</v>
      </c>
      <c r="V240" s="353">
        <v>46223</v>
      </c>
      <c r="W240" s="311"/>
      <c r="X240" s="2"/>
      <c r="Y240" s="2">
        <f t="shared" si="67"/>
        <v>1152</v>
      </c>
      <c r="Z240" s="2">
        <f t="shared" si="66"/>
        <v>6938</v>
      </c>
      <c r="AA240" s="2">
        <f t="shared" si="83"/>
        <v>2083</v>
      </c>
      <c r="AB240" s="2">
        <f t="shared" si="82"/>
        <v>1301</v>
      </c>
      <c r="AC240" s="2">
        <f t="shared" si="72"/>
        <v>1127</v>
      </c>
      <c r="AD240" s="2">
        <f t="shared" si="73"/>
        <v>2105</v>
      </c>
      <c r="AE240" s="2">
        <f t="shared" si="74"/>
        <v>3806</v>
      </c>
      <c r="AF240" s="2">
        <f t="shared" si="75"/>
        <v>1730</v>
      </c>
      <c r="AG240" s="2">
        <f t="shared" si="76"/>
        <v>1763</v>
      </c>
      <c r="AH240" s="2">
        <f t="shared" si="79"/>
        <v>1584</v>
      </c>
      <c r="AI240" s="2">
        <f t="shared" si="77"/>
        <v>2326</v>
      </c>
      <c r="AJ240" s="2">
        <f t="shared" si="78"/>
        <v>2459</v>
      </c>
      <c r="AK240" s="420">
        <v>1</v>
      </c>
      <c r="AL240" s="274">
        <f t="shared" ca="1" si="68"/>
        <v>29323</v>
      </c>
      <c r="AM240" s="311">
        <f t="shared" ca="1" si="69"/>
        <v>30450</v>
      </c>
      <c r="AN240" s="274">
        <f ca="1">IF(AND(Tabla7[[#This Row],[UltLec]]&lt;&gt;0,Tabla7[[#This Row],[PenLect]]&lt;&gt;0),(AM240-AL240)*Tabla7[[#This Row],[RT]],"N/A")</f>
        <v>1127</v>
      </c>
      <c r="AO240" s="273" t="s">
        <v>862</v>
      </c>
      <c r="AP240" s="392" t="s">
        <v>1190</v>
      </c>
      <c r="AQ240" s="392" t="s">
        <v>1189</v>
      </c>
      <c r="AR240" s="407">
        <f t="shared" si="70"/>
        <v>0</v>
      </c>
      <c r="AT240" s="2">
        <f t="shared" ca="1" si="71"/>
        <v>0.86625672559569566</v>
      </c>
      <c r="AV240">
        <f>IF(ISBLANK(Tabla7[[#This Row],[31/12/2017]]),0,Tabla7[[#This Row],[31/12/2017]])</f>
        <v>17849</v>
      </c>
      <c r="AW240">
        <f>IF(ISBLANK(Tabla7[[#This Row],[15/01/2018]]),0,Tabla7[[#This Row],[15/01/2018]])</f>
        <v>19001</v>
      </c>
      <c r="AX240">
        <f>IF(ISBLANK(Tabla7[[#This Row],[15/02/2018]]),0,Tabla7[[#This Row],[15/02/2018]])</f>
        <v>25939</v>
      </c>
      <c r="AY240">
        <f>IF(ISBLANK(Tabla7[[#This Row],[15/03/2018]]),0,Tabla7[[#This Row],[15/03/2018]])</f>
        <v>28022</v>
      </c>
      <c r="AZ240">
        <f>IF(ISBLANK(Tabla7[[#This Row],[15/04/2018]]),0,Tabla7[[#This Row],[15/04/2018]])</f>
        <v>29323</v>
      </c>
      <c r="BA240">
        <f>IF(ISBLANK(Tabla7[[#This Row],[15/05/2018]]),0,Tabla7[[#This Row],[15/05/2018]])</f>
        <v>30450</v>
      </c>
      <c r="BB240">
        <f>IF(ISBLANK(Tabla7[[#This Row],[15/06/2018]]),0,Tabla7[[#This Row],[15/06/2018]])</f>
        <v>32555</v>
      </c>
      <c r="BC240">
        <f>IF(ISBLANK(Tabla7[[#This Row],[15/07/2018]]),0,Tabla7[[#This Row],[15/07/2018]])</f>
        <v>36361</v>
      </c>
      <c r="BD240">
        <f>IF(ISBLANK(Tabla7[[#This Row],[15/08/2018]]),0,Tabla7[[#This Row],[15/08/2018]])</f>
        <v>38091</v>
      </c>
      <c r="BE240">
        <f>IF(ISBLANK(Tabla7[[#This Row],[15/09/2018]]),0,Tabla7[[#This Row],[15/09/2018]])</f>
        <v>39854</v>
      </c>
      <c r="BF240">
        <f>IF(ISBLANK(Tabla7[[#This Row],[15/10/2018]]),0,Tabla7[[#This Row],[15/10/2018]])</f>
        <v>41438</v>
      </c>
      <c r="BG240">
        <f>IF(ISBLANK(Tabla7[[#This Row],[15/11/2018]]),0,Tabla7[[#This Row],[15/11/2018]])</f>
        <v>43764</v>
      </c>
      <c r="BH240">
        <f>IF(ISBLANK(Tabla7[[#This Row],[15/12/2018]]),0,Tabla7[[#This Row],[15/12/2018]])</f>
        <v>46223</v>
      </c>
      <c r="BI240">
        <f>IF(ISBLANK(Tabla7[[#This Row],[28/12/2018]]),0,Tabla7[[#This Row],[28/12/2018]])</f>
        <v>0</v>
      </c>
      <c r="BN24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('717084013','V','VCT04','141','CONTADOR SALA BOMBAS LEVANTE','INTERIOR CT','','42948');</v>
      </c>
      <c r="BO240" t="s">
        <v>243</v>
      </c>
      <c r="BP240" s="632" t="str">
        <f>CONCATENATE("insert into lecturas values ","('",Tabla7[[#This Row],[CONTADOR]],"',STR_TO_DATE('",Tabla7[[#Headers],[31/12/2017]],"','%d/%m/%Y'),",AV240,"),","('",Tabla7[[#This Row],[CONTADOR]],"',STR_TO_DATE('",Tabla7[[#Headers],[15/01/2018]],"','%d/%m/%Y'),",AW240,"),","('",Tabla7[[#This Row],[CONTADOR]],"',STR_TO_DATE('",Tabla7[[#Headers],[15/02/2018]],"','%d/%m/%Y'),",AX240,"),","('",Tabla7[[#This Row],[CONTADOR]],"',STR_TO_DATE('",Tabla7[[#Headers],[15/03/2018]],"','%d/%m/%Y'),",AY240,"),","('",Tabla7[[#This Row],[CONTADOR]],"',STR_TO_DATE('",Tabla7[[#Headers],[15/04/2018]],"','%d/%m/%Y'),",AZ240,"),","('",Tabla7[[#This Row],[CONTADOR]],"',STR_TO_DATE('",Tabla7[[#Headers],[15/05/2018]],"','%d/%m/%Y'),",BA240,"),","('",Tabla7[[#This Row],[CONTADOR]],"',STR_TO_DATE('",Tabla7[[#Headers],[15/06/2018]],"','%d/%m/%Y'),",BB240,"),","('",Tabla7[[#This Row],[CONTADOR]],"',STR_TO_DATE('",Tabla7[[#Headers],[15/07/2018]],"','%d/%m/%Y'),",BC240,"),","('",Tabla7[[#This Row],[CONTADOR]],"',STR_TO_DATE('",Tabla7[[#Headers],[15/08/2018]],"','%d/%m/%Y'),",BD240,"),","('",Tabla7[[#This Row],[CONTADOR]],"',STR_TO_DATE('",Tabla7[[#Headers],[15/09/2018]],"','%d/%m/%Y'),",BE240,"),","('",Tabla7[[#This Row],[CONTADOR]],"',STR_TO_DATE('",Tabla7[[#Headers],[15/10/2018]],"','%d/%m/%Y'),",BF240,"),","('",Tabla7[[#This Row],[CONTADOR]],"',STR_TO_DATE('",Tabla7[[#Headers],[15/11/2018]],"','%d/%m/%Y'),",BG240,"),","('",Tabla7[[#This Row],[CONTADOR]],"',STR_TO_DATE('",Tabla7[[#Headers],[15/12/2018]],"','%d/%m/%Y'),",BH240,");")</f>
        <v>insert into lecturas values ('717084013',STR_TO_DATE('31/12/2017','%d/%m/%Y'),17849),('717084013',STR_TO_DATE('15/01/2018','%d/%m/%Y'),19001),('717084013',STR_TO_DATE('15/02/2018','%d/%m/%Y'),25939),('717084013',STR_TO_DATE('15/03/2018','%d/%m/%Y'),28022),('717084013',STR_TO_DATE('15/04/2018','%d/%m/%Y'),29323),('717084013',STR_TO_DATE('15/05/2018','%d/%m/%Y'),30450),('717084013',STR_TO_DATE('15/06/2018','%d/%m/%Y'),32555),('717084013',STR_TO_DATE('15/07/2018','%d/%m/%Y'),36361),('717084013',STR_TO_DATE('15/08/2018','%d/%m/%Y'),38091),('717084013',STR_TO_DATE('15/09/2018','%d/%m/%Y'),39854),('717084013',STR_TO_DATE('15/10/2018','%d/%m/%Y'),41438),('717084013',STR_TO_DATE('15/11/2018','%d/%m/%Y'),43764),('717084013',STR_TO_DATE('15/12/2018','%d/%m/%Y'),46223);</v>
      </c>
    </row>
    <row r="241" spans="1:68" ht="18.75" customHeight="1" x14ac:dyDescent="0.25">
      <c r="A241" s="241" t="s">
        <v>19</v>
      </c>
      <c r="B241" s="60"/>
      <c r="C241" s="342" t="s">
        <v>758</v>
      </c>
      <c r="D241" s="60" t="s">
        <v>46</v>
      </c>
      <c r="E241" s="258">
        <v>30000</v>
      </c>
      <c r="F241" s="2" t="s">
        <v>1463</v>
      </c>
      <c r="G241" s="2" t="s">
        <v>1464</v>
      </c>
      <c r="H241" s="2"/>
      <c r="I241" s="274"/>
      <c r="J241" s="311">
        <v>39532</v>
      </c>
      <c r="K241" s="311">
        <v>42268</v>
      </c>
      <c r="L241" s="311">
        <v>47340</v>
      </c>
      <c r="M241" s="311">
        <v>51308</v>
      </c>
      <c r="N241" s="311">
        <v>55122</v>
      </c>
      <c r="O241" s="353">
        <v>58173</v>
      </c>
      <c r="P241" s="311">
        <v>60814</v>
      </c>
      <c r="Q241" s="311">
        <v>63279</v>
      </c>
      <c r="R241" s="311">
        <v>66154</v>
      </c>
      <c r="S241" s="311">
        <v>69640</v>
      </c>
      <c r="T241" s="311">
        <v>73363</v>
      </c>
      <c r="U241" s="311">
        <v>78038</v>
      </c>
      <c r="V241" s="353">
        <v>83256</v>
      </c>
      <c r="W241" s="311"/>
      <c r="X241" s="2"/>
      <c r="Y241" s="2">
        <f t="shared" si="67"/>
        <v>2736</v>
      </c>
      <c r="Z241" s="275">
        <f t="shared" si="66"/>
        <v>5072</v>
      </c>
      <c r="AA241" s="275">
        <f t="shared" si="83"/>
        <v>3968</v>
      </c>
      <c r="AB241" s="275">
        <f t="shared" si="82"/>
        <v>3814</v>
      </c>
      <c r="AC241" s="275">
        <f t="shared" si="72"/>
        <v>3051</v>
      </c>
      <c r="AD241" s="2">
        <f t="shared" si="73"/>
        <v>2641</v>
      </c>
      <c r="AE241" s="2">
        <f t="shared" si="74"/>
        <v>2465</v>
      </c>
      <c r="AF241" s="2">
        <f t="shared" si="75"/>
        <v>2875</v>
      </c>
      <c r="AG241" s="2">
        <f t="shared" si="76"/>
        <v>3486</v>
      </c>
      <c r="AH241" s="2">
        <f t="shared" si="79"/>
        <v>3723</v>
      </c>
      <c r="AI241" s="2">
        <f t="shared" si="77"/>
        <v>4675</v>
      </c>
      <c r="AJ241" s="2">
        <f t="shared" si="78"/>
        <v>5218</v>
      </c>
      <c r="AK241" s="420">
        <v>1</v>
      </c>
      <c r="AL241" s="274">
        <f t="shared" ca="1" si="68"/>
        <v>55122</v>
      </c>
      <c r="AM241" s="311">
        <f t="shared" ca="1" si="69"/>
        <v>58173</v>
      </c>
      <c r="AN241" s="274">
        <f ca="1">IF(AND(Tabla7[[#This Row],[UltLec]]&lt;&gt;0,Tabla7[[#This Row],[PenLect]]&lt;&gt;0),(AM241-AL241)*Tabla7[[#This Row],[RT]],"N/A")</f>
        <v>3051</v>
      </c>
      <c r="AO241" s="273" t="s">
        <v>862</v>
      </c>
      <c r="AP241" s="392" t="s">
        <v>1190</v>
      </c>
      <c r="AQ241" s="392" t="s">
        <v>1189</v>
      </c>
      <c r="AR241" s="407">
        <f t="shared" si="70"/>
        <v>0</v>
      </c>
      <c r="AT241" s="2">
        <f t="shared" ca="1" si="71"/>
        <v>0.79994756161510228</v>
      </c>
      <c r="AV241">
        <f>IF(ISBLANK(Tabla7[[#This Row],[31/12/2017]]),0,Tabla7[[#This Row],[31/12/2017]])</f>
        <v>39532</v>
      </c>
      <c r="AW241">
        <f>IF(ISBLANK(Tabla7[[#This Row],[15/01/2018]]),0,Tabla7[[#This Row],[15/01/2018]])</f>
        <v>42268</v>
      </c>
      <c r="AX241">
        <f>IF(ISBLANK(Tabla7[[#This Row],[15/02/2018]]),0,Tabla7[[#This Row],[15/02/2018]])</f>
        <v>47340</v>
      </c>
      <c r="AY241">
        <f>IF(ISBLANK(Tabla7[[#This Row],[15/03/2018]]),0,Tabla7[[#This Row],[15/03/2018]])</f>
        <v>51308</v>
      </c>
      <c r="AZ241">
        <f>IF(ISBLANK(Tabla7[[#This Row],[15/04/2018]]),0,Tabla7[[#This Row],[15/04/2018]])</f>
        <v>55122</v>
      </c>
      <c r="BA241">
        <f>IF(ISBLANK(Tabla7[[#This Row],[15/05/2018]]),0,Tabla7[[#This Row],[15/05/2018]])</f>
        <v>58173</v>
      </c>
      <c r="BB241">
        <f>IF(ISBLANK(Tabla7[[#This Row],[15/06/2018]]),0,Tabla7[[#This Row],[15/06/2018]])</f>
        <v>60814</v>
      </c>
      <c r="BC241">
        <f>IF(ISBLANK(Tabla7[[#This Row],[15/07/2018]]),0,Tabla7[[#This Row],[15/07/2018]])</f>
        <v>63279</v>
      </c>
      <c r="BD241">
        <f>IF(ISBLANK(Tabla7[[#This Row],[15/08/2018]]),0,Tabla7[[#This Row],[15/08/2018]])</f>
        <v>66154</v>
      </c>
      <c r="BE241">
        <f>IF(ISBLANK(Tabla7[[#This Row],[15/09/2018]]),0,Tabla7[[#This Row],[15/09/2018]])</f>
        <v>69640</v>
      </c>
      <c r="BF241">
        <f>IF(ISBLANK(Tabla7[[#This Row],[15/10/2018]]),0,Tabla7[[#This Row],[15/10/2018]])</f>
        <v>73363</v>
      </c>
      <c r="BG241">
        <f>IF(ISBLANK(Tabla7[[#This Row],[15/11/2018]]),0,Tabla7[[#This Row],[15/11/2018]])</f>
        <v>78038</v>
      </c>
      <c r="BH241">
        <f>IF(ISBLANK(Tabla7[[#This Row],[15/12/2018]]),0,Tabla7[[#This Row],[15/12/2018]])</f>
        <v>83256</v>
      </c>
      <c r="BI241">
        <f>IF(ISBLANK(Tabla7[[#This Row],[28/12/2018]]),0,Tabla7[[#This Row],[28/12/2018]])</f>
        <v>0</v>
      </c>
      <c r="BN24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('CXZVFER14053024','V','VCT04','30000','TORRES APV','CENTRALIZACION CT04','','');</v>
      </c>
      <c r="BO241" t="s">
        <v>243</v>
      </c>
      <c r="BP241" s="632" t="str">
        <f>CONCATENATE("insert into lecturas values ","('",Tabla7[[#This Row],[CONTADOR]],"',STR_TO_DATE('",Tabla7[[#Headers],[31/12/2017]],"','%d/%m/%Y'),",AV241,"),","('",Tabla7[[#This Row],[CONTADOR]],"',STR_TO_DATE('",Tabla7[[#Headers],[15/01/2018]],"','%d/%m/%Y'),",AW241,"),","('",Tabla7[[#This Row],[CONTADOR]],"',STR_TO_DATE('",Tabla7[[#Headers],[15/02/2018]],"','%d/%m/%Y'),",AX241,"),","('",Tabla7[[#This Row],[CONTADOR]],"',STR_TO_DATE('",Tabla7[[#Headers],[15/03/2018]],"','%d/%m/%Y'),",AY241,"),","('",Tabla7[[#This Row],[CONTADOR]],"',STR_TO_DATE('",Tabla7[[#Headers],[15/04/2018]],"','%d/%m/%Y'),",AZ241,"),","('",Tabla7[[#This Row],[CONTADOR]],"',STR_TO_DATE('",Tabla7[[#Headers],[15/05/2018]],"','%d/%m/%Y'),",BA241,"),","('",Tabla7[[#This Row],[CONTADOR]],"',STR_TO_DATE('",Tabla7[[#Headers],[15/06/2018]],"','%d/%m/%Y'),",BB241,"),","('",Tabla7[[#This Row],[CONTADOR]],"',STR_TO_DATE('",Tabla7[[#Headers],[15/07/2018]],"','%d/%m/%Y'),",BC241,"),","('",Tabla7[[#This Row],[CONTADOR]],"',STR_TO_DATE('",Tabla7[[#Headers],[15/08/2018]],"','%d/%m/%Y'),",BD241,"),","('",Tabla7[[#This Row],[CONTADOR]],"',STR_TO_DATE('",Tabla7[[#Headers],[15/09/2018]],"','%d/%m/%Y'),",BE241,"),","('",Tabla7[[#This Row],[CONTADOR]],"',STR_TO_DATE('",Tabla7[[#Headers],[15/10/2018]],"','%d/%m/%Y'),",BF241,"),","('",Tabla7[[#This Row],[CONTADOR]],"',STR_TO_DATE('",Tabla7[[#Headers],[15/11/2018]],"','%d/%m/%Y'),",BG241,"),","('",Tabla7[[#This Row],[CONTADOR]],"',STR_TO_DATE('",Tabla7[[#Headers],[15/12/2018]],"','%d/%m/%Y'),",BH241,");")</f>
        <v>insert into lecturas values ('CXZVFER14053024',STR_TO_DATE('31/12/2017','%d/%m/%Y'),39532),('CXZVFER14053024',STR_TO_DATE('15/01/2018','%d/%m/%Y'),42268),('CXZVFER14053024',STR_TO_DATE('15/02/2018','%d/%m/%Y'),47340),('CXZVFER14053024',STR_TO_DATE('15/03/2018','%d/%m/%Y'),51308),('CXZVFER14053024',STR_TO_DATE('15/04/2018','%d/%m/%Y'),55122),('CXZVFER14053024',STR_TO_DATE('15/05/2018','%d/%m/%Y'),58173),('CXZVFER14053024',STR_TO_DATE('15/06/2018','%d/%m/%Y'),60814),('CXZVFER14053024',STR_TO_DATE('15/07/2018','%d/%m/%Y'),63279),('CXZVFER14053024',STR_TO_DATE('15/08/2018','%d/%m/%Y'),66154),('CXZVFER14053024',STR_TO_DATE('15/09/2018','%d/%m/%Y'),69640),('CXZVFER14053024',STR_TO_DATE('15/10/2018','%d/%m/%Y'),73363),('CXZVFER14053024',STR_TO_DATE('15/11/2018','%d/%m/%Y'),78038),('CXZVFER14053024',STR_TO_DATE('15/12/2018','%d/%m/%Y'),83256);</v>
      </c>
    </row>
    <row r="242" spans="1:68" ht="18.75" customHeight="1" x14ac:dyDescent="0.25">
      <c r="A242" s="241" t="s">
        <v>19</v>
      </c>
      <c r="B242" s="60"/>
      <c r="C242" s="342" t="s">
        <v>1300</v>
      </c>
      <c r="D242" s="60" t="s">
        <v>46</v>
      </c>
      <c r="E242" s="258">
        <v>39328</v>
      </c>
      <c r="F242" s="2" t="s">
        <v>51</v>
      </c>
      <c r="G242" s="2" t="s">
        <v>54</v>
      </c>
      <c r="H242" s="2"/>
      <c r="I242" s="2"/>
      <c r="J242" s="311">
        <v>197164</v>
      </c>
      <c r="K242" s="311">
        <v>198326</v>
      </c>
      <c r="L242" s="311">
        <v>200600</v>
      </c>
      <c r="M242" s="311">
        <v>202438</v>
      </c>
      <c r="N242" s="311">
        <v>204258</v>
      </c>
      <c r="O242" s="311">
        <v>205829</v>
      </c>
      <c r="P242" s="353">
        <v>206881</v>
      </c>
      <c r="Q242" s="311">
        <v>207723</v>
      </c>
      <c r="R242" s="311">
        <v>208493</v>
      </c>
      <c r="S242" s="311">
        <v>209508</v>
      </c>
      <c r="T242" s="311">
        <v>210457</v>
      </c>
      <c r="U242" s="311">
        <v>211673</v>
      </c>
      <c r="V242" s="353">
        <v>213055</v>
      </c>
      <c r="W242" s="311"/>
      <c r="X242" s="2"/>
      <c r="Y242" s="2">
        <f t="shared" si="67"/>
        <v>1162</v>
      </c>
      <c r="Z242" s="275">
        <f t="shared" si="66"/>
        <v>2274</v>
      </c>
      <c r="AA242" s="275">
        <f t="shared" si="83"/>
        <v>1838</v>
      </c>
      <c r="AB242" s="275">
        <f t="shared" si="82"/>
        <v>1820</v>
      </c>
      <c r="AC242" s="275">
        <f t="shared" si="72"/>
        <v>1571</v>
      </c>
      <c r="AD242" s="2">
        <f t="shared" si="73"/>
        <v>1052</v>
      </c>
      <c r="AE242" s="2">
        <f t="shared" si="74"/>
        <v>842</v>
      </c>
      <c r="AF242" s="2">
        <f t="shared" si="75"/>
        <v>770</v>
      </c>
      <c r="AG242" s="2">
        <f t="shared" si="76"/>
        <v>1015</v>
      </c>
      <c r="AH242" s="2">
        <f t="shared" si="79"/>
        <v>949</v>
      </c>
      <c r="AI242" s="2">
        <f t="shared" si="77"/>
        <v>1216</v>
      </c>
      <c r="AJ242" s="2">
        <f t="shared" si="78"/>
        <v>1382</v>
      </c>
      <c r="AK242" s="406">
        <v>1</v>
      </c>
      <c r="AL242" s="274">
        <f t="shared" ca="1" si="68"/>
        <v>204258</v>
      </c>
      <c r="AM242" s="311">
        <f t="shared" ca="1" si="69"/>
        <v>205829</v>
      </c>
      <c r="AN242" s="274">
        <f ca="1">IF(AND(Tabla7[[#This Row],[UltLec]]&lt;&gt;0,Tabla7[[#This Row],[PenLect]]&lt;&gt;0),(AM242-AL242)*Tabla7[[#This Row],[RT]],"N/A")</f>
        <v>1571</v>
      </c>
      <c r="AO242" s="273" t="s">
        <v>862</v>
      </c>
      <c r="AP242" s="392" t="s">
        <v>1190</v>
      </c>
      <c r="AQ242" s="392" t="s">
        <v>1189</v>
      </c>
      <c r="AR242" s="407">
        <f t="shared" si="70"/>
        <v>0</v>
      </c>
      <c r="AT242" s="2">
        <f t="shared" ca="1" si="71"/>
        <v>0.86318681318681323</v>
      </c>
      <c r="AV242">
        <f>IF(ISBLANK(Tabla7[[#This Row],[31/12/2017]]),0,Tabla7[[#This Row],[31/12/2017]])</f>
        <v>197164</v>
      </c>
      <c r="AW242">
        <f>IF(ISBLANK(Tabla7[[#This Row],[15/01/2018]]),0,Tabla7[[#This Row],[15/01/2018]])</f>
        <v>198326</v>
      </c>
      <c r="AX242">
        <f>IF(ISBLANK(Tabla7[[#This Row],[15/02/2018]]),0,Tabla7[[#This Row],[15/02/2018]])</f>
        <v>200600</v>
      </c>
      <c r="AY242">
        <f>IF(ISBLANK(Tabla7[[#This Row],[15/03/2018]]),0,Tabla7[[#This Row],[15/03/2018]])</f>
        <v>202438</v>
      </c>
      <c r="AZ242">
        <f>IF(ISBLANK(Tabla7[[#This Row],[15/04/2018]]),0,Tabla7[[#This Row],[15/04/2018]])</f>
        <v>204258</v>
      </c>
      <c r="BA242">
        <f>IF(ISBLANK(Tabla7[[#This Row],[15/05/2018]]),0,Tabla7[[#This Row],[15/05/2018]])</f>
        <v>205829</v>
      </c>
      <c r="BB242">
        <f>IF(ISBLANK(Tabla7[[#This Row],[15/06/2018]]),0,Tabla7[[#This Row],[15/06/2018]])</f>
        <v>206881</v>
      </c>
      <c r="BC242">
        <f>IF(ISBLANK(Tabla7[[#This Row],[15/07/2018]]),0,Tabla7[[#This Row],[15/07/2018]])</f>
        <v>207723</v>
      </c>
      <c r="BD242">
        <f>IF(ISBLANK(Tabla7[[#This Row],[15/08/2018]]),0,Tabla7[[#This Row],[15/08/2018]])</f>
        <v>208493</v>
      </c>
      <c r="BE242">
        <f>IF(ISBLANK(Tabla7[[#This Row],[15/09/2018]]),0,Tabla7[[#This Row],[15/09/2018]])</f>
        <v>209508</v>
      </c>
      <c r="BF242">
        <f>IF(ISBLANK(Tabla7[[#This Row],[15/10/2018]]),0,Tabla7[[#This Row],[15/10/2018]])</f>
        <v>210457</v>
      </c>
      <c r="BG242">
        <f>IF(ISBLANK(Tabla7[[#This Row],[15/11/2018]]),0,Tabla7[[#This Row],[15/11/2018]])</f>
        <v>211673</v>
      </c>
      <c r="BH242">
        <f>IF(ISBLANK(Tabla7[[#This Row],[15/12/2018]]),0,Tabla7[[#This Row],[15/12/2018]])</f>
        <v>213055</v>
      </c>
      <c r="BI242">
        <f>IF(ISBLANK(Tabla7[[#This Row],[28/12/2018]]),0,Tabla7[[#This Row],[28/12/2018]])</f>
        <v>0</v>
      </c>
      <c r="BN24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('DAOQHCD985084328','V','VCT04','39328','CIA. TRASMEDITERRANEA S.A.','EN TORRE 0409','','');</v>
      </c>
      <c r="BO242" t="s">
        <v>243</v>
      </c>
      <c r="BP242" s="632" t="str">
        <f>CONCATENATE("insert into lecturas values ","('",Tabla7[[#This Row],[CONTADOR]],"',STR_TO_DATE('",Tabla7[[#Headers],[31/12/2017]],"','%d/%m/%Y'),",AV242,"),","('",Tabla7[[#This Row],[CONTADOR]],"',STR_TO_DATE('",Tabla7[[#Headers],[15/01/2018]],"','%d/%m/%Y'),",AW242,"),","('",Tabla7[[#This Row],[CONTADOR]],"',STR_TO_DATE('",Tabla7[[#Headers],[15/02/2018]],"','%d/%m/%Y'),",AX242,"),","('",Tabla7[[#This Row],[CONTADOR]],"',STR_TO_DATE('",Tabla7[[#Headers],[15/03/2018]],"','%d/%m/%Y'),",AY242,"),","('",Tabla7[[#This Row],[CONTADOR]],"',STR_TO_DATE('",Tabla7[[#Headers],[15/04/2018]],"','%d/%m/%Y'),",AZ242,"),","('",Tabla7[[#This Row],[CONTADOR]],"',STR_TO_DATE('",Tabla7[[#Headers],[15/05/2018]],"','%d/%m/%Y'),",BA242,"),","('",Tabla7[[#This Row],[CONTADOR]],"',STR_TO_DATE('",Tabla7[[#Headers],[15/06/2018]],"','%d/%m/%Y'),",BB242,"),","('",Tabla7[[#This Row],[CONTADOR]],"',STR_TO_DATE('",Tabla7[[#Headers],[15/07/2018]],"','%d/%m/%Y'),",BC242,"),","('",Tabla7[[#This Row],[CONTADOR]],"',STR_TO_DATE('",Tabla7[[#Headers],[15/08/2018]],"','%d/%m/%Y'),",BD242,"),","('",Tabla7[[#This Row],[CONTADOR]],"',STR_TO_DATE('",Tabla7[[#Headers],[15/09/2018]],"','%d/%m/%Y'),",BE242,"),","('",Tabla7[[#This Row],[CONTADOR]],"',STR_TO_DATE('",Tabla7[[#Headers],[15/10/2018]],"','%d/%m/%Y'),",BF242,"),","('",Tabla7[[#This Row],[CONTADOR]],"',STR_TO_DATE('",Tabla7[[#Headers],[15/11/2018]],"','%d/%m/%Y'),",BG242,"),","('",Tabla7[[#This Row],[CONTADOR]],"',STR_TO_DATE('",Tabla7[[#Headers],[15/12/2018]],"','%d/%m/%Y'),",BH242,");")</f>
        <v>insert into lecturas values ('DAOQHCD985084328',STR_TO_DATE('31/12/2017','%d/%m/%Y'),197164),('DAOQHCD985084328',STR_TO_DATE('15/01/2018','%d/%m/%Y'),198326),('DAOQHCD985084328',STR_TO_DATE('15/02/2018','%d/%m/%Y'),200600),('DAOQHCD985084328',STR_TO_DATE('15/03/2018','%d/%m/%Y'),202438),('DAOQHCD985084328',STR_TO_DATE('15/04/2018','%d/%m/%Y'),204258),('DAOQHCD985084328',STR_TO_DATE('15/05/2018','%d/%m/%Y'),205829),('DAOQHCD985084328',STR_TO_DATE('15/06/2018','%d/%m/%Y'),206881),('DAOQHCD985084328',STR_TO_DATE('15/07/2018','%d/%m/%Y'),207723),('DAOQHCD985084328',STR_TO_DATE('15/08/2018','%d/%m/%Y'),208493),('DAOQHCD985084328',STR_TO_DATE('15/09/2018','%d/%m/%Y'),209508),('DAOQHCD985084328',STR_TO_DATE('15/10/2018','%d/%m/%Y'),210457),('DAOQHCD985084328',STR_TO_DATE('15/11/2018','%d/%m/%Y'),211673),('DAOQHCD985084328',STR_TO_DATE('15/12/2018','%d/%m/%Y'),213055);</v>
      </c>
    </row>
    <row r="243" spans="1:68" ht="18.75" customHeight="1" x14ac:dyDescent="0.25">
      <c r="A243" s="241" t="s">
        <v>19</v>
      </c>
      <c r="B243" s="60"/>
      <c r="C243" s="342" t="s">
        <v>1301</v>
      </c>
      <c r="D243" s="60" t="s">
        <v>46</v>
      </c>
      <c r="E243" s="258">
        <v>39326</v>
      </c>
      <c r="F243" s="2" t="s">
        <v>51</v>
      </c>
      <c r="G243" s="2" t="s">
        <v>53</v>
      </c>
      <c r="H243" s="2"/>
      <c r="I243" s="2"/>
      <c r="J243" s="311">
        <v>131445</v>
      </c>
      <c r="K243" s="311">
        <v>132327</v>
      </c>
      <c r="L243" s="311">
        <v>133920</v>
      </c>
      <c r="M243" s="311">
        <v>135204</v>
      </c>
      <c r="N243" s="311">
        <v>136474</v>
      </c>
      <c r="O243" s="311">
        <v>137570</v>
      </c>
      <c r="P243" s="311">
        <v>138577</v>
      </c>
      <c r="Q243" s="311">
        <v>139562</v>
      </c>
      <c r="R243" s="311">
        <v>140353</v>
      </c>
      <c r="S243" s="311">
        <v>141396</v>
      </c>
      <c r="T243" s="311">
        <v>142368</v>
      </c>
      <c r="U243" s="311">
        <v>143612</v>
      </c>
      <c r="V243" s="353">
        <v>145020</v>
      </c>
      <c r="W243" s="311"/>
      <c r="X243" s="2"/>
      <c r="Y243" s="2">
        <f t="shared" si="67"/>
        <v>882</v>
      </c>
      <c r="Z243" s="275">
        <f t="shared" si="66"/>
        <v>1593</v>
      </c>
      <c r="AA243" s="275">
        <f t="shared" si="83"/>
        <v>1284</v>
      </c>
      <c r="AB243" s="275">
        <f t="shared" si="82"/>
        <v>1270</v>
      </c>
      <c r="AC243" s="275">
        <f t="shared" si="72"/>
        <v>1096</v>
      </c>
      <c r="AD243" s="2">
        <f t="shared" si="73"/>
        <v>1007</v>
      </c>
      <c r="AE243" s="2">
        <f t="shared" si="74"/>
        <v>985</v>
      </c>
      <c r="AF243" s="2">
        <f t="shared" si="75"/>
        <v>791</v>
      </c>
      <c r="AG243" s="2">
        <f t="shared" si="76"/>
        <v>1043</v>
      </c>
      <c r="AH243" s="2">
        <f t="shared" si="79"/>
        <v>972</v>
      </c>
      <c r="AI243" s="2">
        <f t="shared" si="77"/>
        <v>1244</v>
      </c>
      <c r="AJ243" s="2">
        <f t="shared" si="78"/>
        <v>1408</v>
      </c>
      <c r="AK243" s="406">
        <v>1</v>
      </c>
      <c r="AL243" s="274">
        <f t="shared" ca="1" si="68"/>
        <v>136474</v>
      </c>
      <c r="AM243" s="311">
        <f t="shared" ca="1" si="69"/>
        <v>137570</v>
      </c>
      <c r="AN243" s="274">
        <f ca="1">IF(AND(Tabla7[[#This Row],[UltLec]]&lt;&gt;0,Tabla7[[#This Row],[PenLect]]&lt;&gt;0),(AM243-AL243)*Tabla7[[#This Row],[RT]],"N/A")</f>
        <v>1096</v>
      </c>
      <c r="AO243" s="273" t="s">
        <v>862</v>
      </c>
      <c r="AP243" s="392" t="s">
        <v>1190</v>
      </c>
      <c r="AQ243" s="392" t="s">
        <v>1189</v>
      </c>
      <c r="AR243" s="407">
        <f t="shared" si="70"/>
        <v>0</v>
      </c>
      <c r="AT243" s="2">
        <f t="shared" ca="1" si="71"/>
        <v>0.86299212598425201</v>
      </c>
      <c r="AV243">
        <f>IF(ISBLANK(Tabla7[[#This Row],[31/12/2017]]),0,Tabla7[[#This Row],[31/12/2017]])</f>
        <v>131445</v>
      </c>
      <c r="AW243">
        <f>IF(ISBLANK(Tabla7[[#This Row],[15/01/2018]]),0,Tabla7[[#This Row],[15/01/2018]])</f>
        <v>132327</v>
      </c>
      <c r="AX243">
        <f>IF(ISBLANK(Tabla7[[#This Row],[15/02/2018]]),0,Tabla7[[#This Row],[15/02/2018]])</f>
        <v>133920</v>
      </c>
      <c r="AY243">
        <f>IF(ISBLANK(Tabla7[[#This Row],[15/03/2018]]),0,Tabla7[[#This Row],[15/03/2018]])</f>
        <v>135204</v>
      </c>
      <c r="AZ243">
        <f>IF(ISBLANK(Tabla7[[#This Row],[15/04/2018]]),0,Tabla7[[#This Row],[15/04/2018]])</f>
        <v>136474</v>
      </c>
      <c r="BA243">
        <f>IF(ISBLANK(Tabla7[[#This Row],[15/05/2018]]),0,Tabla7[[#This Row],[15/05/2018]])</f>
        <v>137570</v>
      </c>
      <c r="BB243">
        <f>IF(ISBLANK(Tabla7[[#This Row],[15/06/2018]]),0,Tabla7[[#This Row],[15/06/2018]])</f>
        <v>138577</v>
      </c>
      <c r="BC243">
        <f>IF(ISBLANK(Tabla7[[#This Row],[15/07/2018]]),0,Tabla7[[#This Row],[15/07/2018]])</f>
        <v>139562</v>
      </c>
      <c r="BD243">
        <f>IF(ISBLANK(Tabla7[[#This Row],[15/08/2018]]),0,Tabla7[[#This Row],[15/08/2018]])</f>
        <v>140353</v>
      </c>
      <c r="BE243">
        <f>IF(ISBLANK(Tabla7[[#This Row],[15/09/2018]]),0,Tabla7[[#This Row],[15/09/2018]])</f>
        <v>141396</v>
      </c>
      <c r="BF243">
        <f>IF(ISBLANK(Tabla7[[#This Row],[15/10/2018]]),0,Tabla7[[#This Row],[15/10/2018]])</f>
        <v>142368</v>
      </c>
      <c r="BG243">
        <f>IF(ISBLANK(Tabla7[[#This Row],[15/11/2018]]),0,Tabla7[[#This Row],[15/11/2018]])</f>
        <v>143612</v>
      </c>
      <c r="BH243">
        <f>IF(ISBLANK(Tabla7[[#This Row],[15/12/2018]]),0,Tabla7[[#This Row],[15/12/2018]])</f>
        <v>145020</v>
      </c>
      <c r="BI243">
        <f>IF(ISBLANK(Tabla7[[#This Row],[28/12/2018]]),0,Tabla7[[#This Row],[28/12/2018]])</f>
        <v>0</v>
      </c>
      <c r="BN24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('DAOQHCD985084331','V','VCT04','39326','CIA. TRASMEDITERRANEA S.A.','EN TORRE 0408','','');</v>
      </c>
      <c r="BO243" t="s">
        <v>243</v>
      </c>
      <c r="BP243" s="632" t="str">
        <f>CONCATENATE("insert into lecturas values ","('",Tabla7[[#This Row],[CONTADOR]],"',STR_TO_DATE('",Tabla7[[#Headers],[31/12/2017]],"','%d/%m/%Y'),",AV243,"),","('",Tabla7[[#This Row],[CONTADOR]],"',STR_TO_DATE('",Tabla7[[#Headers],[15/01/2018]],"','%d/%m/%Y'),",AW243,"),","('",Tabla7[[#This Row],[CONTADOR]],"',STR_TO_DATE('",Tabla7[[#Headers],[15/02/2018]],"','%d/%m/%Y'),",AX243,"),","('",Tabla7[[#This Row],[CONTADOR]],"',STR_TO_DATE('",Tabla7[[#Headers],[15/03/2018]],"','%d/%m/%Y'),",AY243,"),","('",Tabla7[[#This Row],[CONTADOR]],"',STR_TO_DATE('",Tabla7[[#Headers],[15/04/2018]],"','%d/%m/%Y'),",AZ243,"),","('",Tabla7[[#This Row],[CONTADOR]],"',STR_TO_DATE('",Tabla7[[#Headers],[15/05/2018]],"','%d/%m/%Y'),",BA243,"),","('",Tabla7[[#This Row],[CONTADOR]],"',STR_TO_DATE('",Tabla7[[#Headers],[15/06/2018]],"','%d/%m/%Y'),",BB243,"),","('",Tabla7[[#This Row],[CONTADOR]],"',STR_TO_DATE('",Tabla7[[#Headers],[15/07/2018]],"','%d/%m/%Y'),",BC243,"),","('",Tabla7[[#This Row],[CONTADOR]],"',STR_TO_DATE('",Tabla7[[#Headers],[15/08/2018]],"','%d/%m/%Y'),",BD243,"),","('",Tabla7[[#This Row],[CONTADOR]],"',STR_TO_DATE('",Tabla7[[#Headers],[15/09/2018]],"','%d/%m/%Y'),",BE243,"),","('",Tabla7[[#This Row],[CONTADOR]],"',STR_TO_DATE('",Tabla7[[#Headers],[15/10/2018]],"','%d/%m/%Y'),",BF243,"),","('",Tabla7[[#This Row],[CONTADOR]],"',STR_TO_DATE('",Tabla7[[#Headers],[15/11/2018]],"','%d/%m/%Y'),",BG243,"),","('",Tabla7[[#This Row],[CONTADOR]],"',STR_TO_DATE('",Tabla7[[#Headers],[15/12/2018]],"','%d/%m/%Y'),",BH243,");")</f>
        <v>insert into lecturas values ('DAOQHCD985084331',STR_TO_DATE('31/12/2017','%d/%m/%Y'),131445),('DAOQHCD985084331',STR_TO_DATE('15/01/2018','%d/%m/%Y'),132327),('DAOQHCD985084331',STR_TO_DATE('15/02/2018','%d/%m/%Y'),133920),('DAOQHCD985084331',STR_TO_DATE('15/03/2018','%d/%m/%Y'),135204),('DAOQHCD985084331',STR_TO_DATE('15/04/2018','%d/%m/%Y'),136474),('DAOQHCD985084331',STR_TO_DATE('15/05/2018','%d/%m/%Y'),137570),('DAOQHCD985084331',STR_TO_DATE('15/06/2018','%d/%m/%Y'),138577),('DAOQHCD985084331',STR_TO_DATE('15/07/2018','%d/%m/%Y'),139562),('DAOQHCD985084331',STR_TO_DATE('15/08/2018','%d/%m/%Y'),140353),('DAOQHCD985084331',STR_TO_DATE('15/09/2018','%d/%m/%Y'),141396),('DAOQHCD985084331',STR_TO_DATE('15/10/2018','%d/%m/%Y'),142368),('DAOQHCD985084331',STR_TO_DATE('15/11/2018','%d/%m/%Y'),143612),('DAOQHCD985084331',STR_TO_DATE('15/12/2018','%d/%m/%Y'),145020);</v>
      </c>
    </row>
    <row r="244" spans="1:68" ht="18.75" customHeight="1" x14ac:dyDescent="0.25">
      <c r="A244" s="241" t="s">
        <v>19</v>
      </c>
      <c r="B244" s="60"/>
      <c r="C244" s="342" t="s">
        <v>1322</v>
      </c>
      <c r="D244" s="60" t="s">
        <v>46</v>
      </c>
      <c r="E244" s="258">
        <v>142</v>
      </c>
      <c r="F244" s="2" t="s">
        <v>825</v>
      </c>
      <c r="G244" s="2" t="s">
        <v>819</v>
      </c>
      <c r="H244" s="274" t="s">
        <v>826</v>
      </c>
      <c r="I244" s="2" t="s">
        <v>821</v>
      </c>
      <c r="J244" s="311">
        <v>340332</v>
      </c>
      <c r="K244" s="311">
        <v>366200</v>
      </c>
      <c r="L244" s="311">
        <v>371059</v>
      </c>
      <c r="M244" s="311">
        <v>396059</v>
      </c>
      <c r="N244" s="311">
        <v>420724</v>
      </c>
      <c r="O244" s="311">
        <v>449515</v>
      </c>
      <c r="P244" s="311">
        <v>476223</v>
      </c>
      <c r="Q244" s="311">
        <v>484545</v>
      </c>
      <c r="R244" s="311">
        <v>515874</v>
      </c>
      <c r="S244" s="311">
        <v>538872</v>
      </c>
      <c r="T244" s="311">
        <v>561357</v>
      </c>
      <c r="U244" s="311">
        <v>588140</v>
      </c>
      <c r="V244" s="353">
        <v>616858</v>
      </c>
      <c r="W244" s="311"/>
      <c r="X244" s="2"/>
      <c r="Y244" s="2">
        <f t="shared" si="67"/>
        <v>25868</v>
      </c>
      <c r="Z244" s="2">
        <f t="shared" si="66"/>
        <v>4859</v>
      </c>
      <c r="AA244" s="2">
        <f t="shared" si="83"/>
        <v>25000</v>
      </c>
      <c r="AB244" s="2">
        <f t="shared" si="82"/>
        <v>24665</v>
      </c>
      <c r="AC244" s="275">
        <f t="shared" si="72"/>
        <v>28791</v>
      </c>
      <c r="AD244" s="2">
        <f t="shared" si="73"/>
        <v>26708</v>
      </c>
      <c r="AE244" s="2">
        <f t="shared" si="74"/>
        <v>8322</v>
      </c>
      <c r="AF244" s="2">
        <f t="shared" si="75"/>
        <v>31329</v>
      </c>
      <c r="AG244" s="2">
        <f t="shared" si="76"/>
        <v>22998</v>
      </c>
      <c r="AH244" s="2">
        <f t="shared" si="79"/>
        <v>22485</v>
      </c>
      <c r="AI244" s="2">
        <f t="shared" si="77"/>
        <v>26783</v>
      </c>
      <c r="AJ244" s="2">
        <f t="shared" si="78"/>
        <v>28718</v>
      </c>
      <c r="AK244" s="406">
        <v>1</v>
      </c>
      <c r="AL244" s="274">
        <f t="shared" ca="1" si="68"/>
        <v>420724</v>
      </c>
      <c r="AM244" s="311">
        <f t="shared" ca="1" si="69"/>
        <v>449515</v>
      </c>
      <c r="AN244" s="274">
        <f ca="1">IF(AND(Tabla7[[#This Row],[UltLec]]&lt;&gt;0,Tabla7[[#This Row],[PenLect]]&lt;&gt;0),(AM244-AL244)*Tabla7[[#This Row],[RT]],"N/A")</f>
        <v>28791</v>
      </c>
      <c r="AO244" s="273" t="s">
        <v>862</v>
      </c>
      <c r="AP244" s="392" t="s">
        <v>1191</v>
      </c>
      <c r="AQ244" s="392" t="s">
        <v>818</v>
      </c>
      <c r="AR244" s="407">
        <f t="shared" si="70"/>
        <v>0</v>
      </c>
      <c r="AT244" s="2">
        <f t="shared" ca="1" si="71"/>
        <v>1.1672815730792621</v>
      </c>
      <c r="AV244">
        <f>IF(ISBLANK(Tabla7[[#This Row],[31/12/2017]]),0,Tabla7[[#This Row],[31/12/2017]])</f>
        <v>340332</v>
      </c>
      <c r="AW244">
        <f>IF(ISBLANK(Tabla7[[#This Row],[15/01/2018]]),0,Tabla7[[#This Row],[15/01/2018]])</f>
        <v>366200</v>
      </c>
      <c r="AX244">
        <f>IF(ISBLANK(Tabla7[[#This Row],[15/02/2018]]),0,Tabla7[[#This Row],[15/02/2018]])</f>
        <v>371059</v>
      </c>
      <c r="AY244">
        <f>IF(ISBLANK(Tabla7[[#This Row],[15/03/2018]]),0,Tabla7[[#This Row],[15/03/2018]])</f>
        <v>396059</v>
      </c>
      <c r="AZ244">
        <f>IF(ISBLANK(Tabla7[[#This Row],[15/04/2018]]),0,Tabla7[[#This Row],[15/04/2018]])</f>
        <v>420724</v>
      </c>
      <c r="BA244">
        <f>IF(ISBLANK(Tabla7[[#This Row],[15/05/2018]]),0,Tabla7[[#This Row],[15/05/2018]])</f>
        <v>449515</v>
      </c>
      <c r="BB244">
        <f>IF(ISBLANK(Tabla7[[#This Row],[15/06/2018]]),0,Tabla7[[#This Row],[15/06/2018]])</f>
        <v>476223</v>
      </c>
      <c r="BC244">
        <f>IF(ISBLANK(Tabla7[[#This Row],[15/07/2018]]),0,Tabla7[[#This Row],[15/07/2018]])</f>
        <v>484545</v>
      </c>
      <c r="BD244">
        <f>IF(ISBLANK(Tabla7[[#This Row],[15/08/2018]]),0,Tabla7[[#This Row],[15/08/2018]])</f>
        <v>515874</v>
      </c>
      <c r="BE244">
        <f>IF(ISBLANK(Tabla7[[#This Row],[15/09/2018]]),0,Tabla7[[#This Row],[15/09/2018]])</f>
        <v>538872</v>
      </c>
      <c r="BF244">
        <f>IF(ISBLANK(Tabla7[[#This Row],[15/10/2018]]),0,Tabla7[[#This Row],[15/10/2018]])</f>
        <v>561357</v>
      </c>
      <c r="BG244">
        <f>IF(ISBLANK(Tabla7[[#This Row],[15/11/2018]]),0,Tabla7[[#This Row],[15/11/2018]])</f>
        <v>588140</v>
      </c>
      <c r="BH244">
        <f>IF(ISBLANK(Tabla7[[#This Row],[15/12/2018]]),0,Tabla7[[#This Row],[15/12/2018]])</f>
        <v>616858</v>
      </c>
      <c r="BI244">
        <f>IF(ISBLANK(Tabla7[[#This Row],[28/12/2018]]),0,Tabla7[[#This Row],[28/12/2018]])</f>
        <v>0</v>
      </c>
      <c r="BN24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('PM48F64684','V','VCT04','142','APV ESTACION REBOMBEO NORTE','EN SCADA','ESTACION REBOMBEO NORTE ','DESDE EL 5/4/17');</v>
      </c>
      <c r="BO244" t="s">
        <v>243</v>
      </c>
      <c r="BP244" s="632" t="str">
        <f>CONCATENATE("insert into lecturas values ","('",Tabla7[[#This Row],[CONTADOR]],"',STR_TO_DATE('",Tabla7[[#Headers],[31/12/2017]],"','%d/%m/%Y'),",AV244,"),","('",Tabla7[[#This Row],[CONTADOR]],"',STR_TO_DATE('",Tabla7[[#Headers],[15/01/2018]],"','%d/%m/%Y'),",AW244,"),","('",Tabla7[[#This Row],[CONTADOR]],"',STR_TO_DATE('",Tabla7[[#Headers],[15/02/2018]],"','%d/%m/%Y'),",AX244,"),","('",Tabla7[[#This Row],[CONTADOR]],"',STR_TO_DATE('",Tabla7[[#Headers],[15/03/2018]],"','%d/%m/%Y'),",AY244,"),","('",Tabla7[[#This Row],[CONTADOR]],"',STR_TO_DATE('",Tabla7[[#Headers],[15/04/2018]],"','%d/%m/%Y'),",AZ244,"),","('",Tabla7[[#This Row],[CONTADOR]],"',STR_TO_DATE('",Tabla7[[#Headers],[15/05/2018]],"','%d/%m/%Y'),",BA244,"),","('",Tabla7[[#This Row],[CONTADOR]],"',STR_TO_DATE('",Tabla7[[#Headers],[15/06/2018]],"','%d/%m/%Y'),",BB244,"),","('",Tabla7[[#This Row],[CONTADOR]],"',STR_TO_DATE('",Tabla7[[#Headers],[15/07/2018]],"','%d/%m/%Y'),",BC244,"),","('",Tabla7[[#This Row],[CONTADOR]],"',STR_TO_DATE('",Tabla7[[#Headers],[15/08/2018]],"','%d/%m/%Y'),",BD244,"),","('",Tabla7[[#This Row],[CONTADOR]],"',STR_TO_DATE('",Tabla7[[#Headers],[15/09/2018]],"','%d/%m/%Y'),",BE244,"),","('",Tabla7[[#This Row],[CONTADOR]],"',STR_TO_DATE('",Tabla7[[#Headers],[15/10/2018]],"','%d/%m/%Y'),",BF244,"),","('",Tabla7[[#This Row],[CONTADOR]],"',STR_TO_DATE('",Tabla7[[#Headers],[15/11/2018]],"','%d/%m/%Y'),",BG244,"),","('",Tabla7[[#This Row],[CONTADOR]],"',STR_TO_DATE('",Tabla7[[#Headers],[15/12/2018]],"','%d/%m/%Y'),",BH244,");")</f>
        <v>insert into lecturas values ('PM48F64684',STR_TO_DATE('31/12/2017','%d/%m/%Y'),340332),('PM48F64684',STR_TO_DATE('15/01/2018','%d/%m/%Y'),366200),('PM48F64684',STR_TO_DATE('15/02/2018','%d/%m/%Y'),371059),('PM48F64684',STR_TO_DATE('15/03/2018','%d/%m/%Y'),396059),('PM48F64684',STR_TO_DATE('15/04/2018','%d/%m/%Y'),420724),('PM48F64684',STR_TO_DATE('15/05/2018','%d/%m/%Y'),449515),('PM48F64684',STR_TO_DATE('15/06/2018','%d/%m/%Y'),476223),('PM48F64684',STR_TO_DATE('15/07/2018','%d/%m/%Y'),484545),('PM48F64684',STR_TO_DATE('15/08/2018','%d/%m/%Y'),515874),('PM48F64684',STR_TO_DATE('15/09/2018','%d/%m/%Y'),538872),('PM48F64684',STR_TO_DATE('15/10/2018','%d/%m/%Y'),561357),('PM48F64684',STR_TO_DATE('15/11/2018','%d/%m/%Y'),588140),('PM48F64684',STR_TO_DATE('15/12/2018','%d/%m/%Y'),616858);</v>
      </c>
    </row>
    <row r="245" spans="1:68" ht="18" customHeight="1" x14ac:dyDescent="0.25">
      <c r="A245" s="241" t="s">
        <v>19</v>
      </c>
      <c r="B245" s="60"/>
      <c r="C245" s="223" t="s">
        <v>1252</v>
      </c>
      <c r="D245" s="60" t="s">
        <v>46</v>
      </c>
      <c r="E245" s="258">
        <v>131</v>
      </c>
      <c r="F245" s="2" t="s">
        <v>455</v>
      </c>
      <c r="G245" s="2" t="s">
        <v>47</v>
      </c>
      <c r="H245" s="2"/>
      <c r="I245" s="2"/>
      <c r="J245" s="311">
        <v>249625</v>
      </c>
      <c r="K245" s="311">
        <v>251261</v>
      </c>
      <c r="L245" s="311">
        <v>254113</v>
      </c>
      <c r="M245" s="311">
        <v>256556</v>
      </c>
      <c r="N245" s="311">
        <v>258913</v>
      </c>
      <c r="O245" s="311">
        <v>260930</v>
      </c>
      <c r="P245" s="311">
        <v>262780</v>
      </c>
      <c r="Q245" s="311">
        <v>264658</v>
      </c>
      <c r="R245" s="311">
        <v>266468</v>
      </c>
      <c r="S245" s="311">
        <v>268666</v>
      </c>
      <c r="T245" s="311">
        <v>270917</v>
      </c>
      <c r="U245" s="311">
        <v>273780</v>
      </c>
      <c r="V245" s="353">
        <v>276872</v>
      </c>
      <c r="W245" s="311"/>
      <c r="X245" s="2"/>
      <c r="Y245" s="2">
        <f t="shared" si="67"/>
        <v>1636</v>
      </c>
      <c r="Z245" s="2">
        <f t="shared" si="66"/>
        <v>2852</v>
      </c>
      <c r="AA245" s="2">
        <f t="shared" si="83"/>
        <v>2443</v>
      </c>
      <c r="AB245" s="2">
        <f t="shared" si="82"/>
        <v>2357</v>
      </c>
      <c r="AC245" s="275">
        <f t="shared" si="72"/>
        <v>2017</v>
      </c>
      <c r="AD245" s="2">
        <f t="shared" si="73"/>
        <v>1850</v>
      </c>
      <c r="AE245" s="2">
        <f t="shared" si="74"/>
        <v>1878</v>
      </c>
      <c r="AF245" s="2">
        <f t="shared" si="75"/>
        <v>1810</v>
      </c>
      <c r="AG245" s="2">
        <f t="shared" si="76"/>
        <v>2198</v>
      </c>
      <c r="AH245" s="2">
        <f t="shared" si="79"/>
        <v>2251</v>
      </c>
      <c r="AI245" s="2">
        <f t="shared" si="77"/>
        <v>2863</v>
      </c>
      <c r="AJ245" s="2">
        <f t="shared" si="78"/>
        <v>3092</v>
      </c>
      <c r="AK245" s="406">
        <v>1</v>
      </c>
      <c r="AL245" s="274">
        <f t="shared" ca="1" si="68"/>
        <v>258913</v>
      </c>
      <c r="AM245" s="311">
        <f t="shared" ca="1" si="69"/>
        <v>260930</v>
      </c>
      <c r="AN245" s="274">
        <f ca="1">IF(AND(Tabla7[[#This Row],[UltLec]]&lt;&gt;0,Tabla7[[#This Row],[PenLect]]&lt;&gt;0),(AM245-AL245)*Tabla7[[#This Row],[RT]],"N/A")</f>
        <v>2017</v>
      </c>
      <c r="AO245" s="273" t="s">
        <v>862</v>
      </c>
      <c r="AP245" s="392" t="s">
        <v>1191</v>
      </c>
      <c r="AQ245" s="392" t="s">
        <v>818</v>
      </c>
      <c r="AR245" s="407">
        <f t="shared" si="70"/>
        <v>0</v>
      </c>
      <c r="AT245" s="2">
        <f t="shared" ca="1" si="71"/>
        <v>0.85574883326262197</v>
      </c>
      <c r="AV245">
        <f>IF(ISBLANK(Tabla7[[#This Row],[31/12/2017]]),0,Tabla7[[#This Row],[31/12/2017]])</f>
        <v>249625</v>
      </c>
      <c r="AW245">
        <f>IF(ISBLANK(Tabla7[[#This Row],[15/01/2018]]),0,Tabla7[[#This Row],[15/01/2018]])</f>
        <v>251261</v>
      </c>
      <c r="AX245">
        <f>IF(ISBLANK(Tabla7[[#This Row],[15/02/2018]]),0,Tabla7[[#This Row],[15/02/2018]])</f>
        <v>254113</v>
      </c>
      <c r="AY245">
        <f>IF(ISBLANK(Tabla7[[#This Row],[15/03/2018]]),0,Tabla7[[#This Row],[15/03/2018]])</f>
        <v>256556</v>
      </c>
      <c r="AZ245">
        <f>IF(ISBLANK(Tabla7[[#This Row],[15/04/2018]]),0,Tabla7[[#This Row],[15/04/2018]])</f>
        <v>258913</v>
      </c>
      <c r="BA245">
        <f>IF(ISBLANK(Tabla7[[#This Row],[15/05/2018]]),0,Tabla7[[#This Row],[15/05/2018]])</f>
        <v>260930</v>
      </c>
      <c r="BB245">
        <f>IF(ISBLANK(Tabla7[[#This Row],[15/06/2018]]),0,Tabla7[[#This Row],[15/06/2018]])</f>
        <v>262780</v>
      </c>
      <c r="BC245">
        <f>IF(ISBLANK(Tabla7[[#This Row],[15/07/2018]]),0,Tabla7[[#This Row],[15/07/2018]])</f>
        <v>264658</v>
      </c>
      <c r="BD245">
        <f>IF(ISBLANK(Tabla7[[#This Row],[15/08/2018]]),0,Tabla7[[#This Row],[15/08/2018]])</f>
        <v>266468</v>
      </c>
      <c r="BE245">
        <f>IF(ISBLANK(Tabla7[[#This Row],[15/09/2018]]),0,Tabla7[[#This Row],[15/09/2018]])</f>
        <v>268666</v>
      </c>
      <c r="BF245">
        <f>IF(ISBLANK(Tabla7[[#This Row],[15/10/2018]]),0,Tabla7[[#This Row],[15/10/2018]])</f>
        <v>270917</v>
      </c>
      <c r="BG245">
        <f>IF(ISBLANK(Tabla7[[#This Row],[15/11/2018]]),0,Tabla7[[#This Row],[15/11/2018]])</f>
        <v>273780</v>
      </c>
      <c r="BH245">
        <f>IF(ISBLANK(Tabla7[[#This Row],[15/12/2018]]),0,Tabla7[[#This Row],[15/12/2018]])</f>
        <v>276872</v>
      </c>
      <c r="BI245">
        <f>IF(ISBLANK(Tabla7[[#This Row],[28/12/2018]]),0,Tabla7[[#This Row],[28/12/2018]])</f>
        <v>0</v>
      </c>
      <c r="BN24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('PM4AD3A025','V','VCT04','131','APV ALUMBRADO VIALES','INTERIOR CT','','');</v>
      </c>
      <c r="BO245" t="s">
        <v>243</v>
      </c>
      <c r="BP245" s="632" t="str">
        <f>CONCATENATE("insert into lecturas values ","('",Tabla7[[#This Row],[CONTADOR]],"',STR_TO_DATE('",Tabla7[[#Headers],[31/12/2017]],"','%d/%m/%Y'),",AV245,"),","('",Tabla7[[#This Row],[CONTADOR]],"',STR_TO_DATE('",Tabla7[[#Headers],[15/01/2018]],"','%d/%m/%Y'),",AW245,"),","('",Tabla7[[#This Row],[CONTADOR]],"',STR_TO_DATE('",Tabla7[[#Headers],[15/02/2018]],"','%d/%m/%Y'),",AX245,"),","('",Tabla7[[#This Row],[CONTADOR]],"',STR_TO_DATE('",Tabla7[[#Headers],[15/03/2018]],"','%d/%m/%Y'),",AY245,"),","('",Tabla7[[#This Row],[CONTADOR]],"',STR_TO_DATE('",Tabla7[[#Headers],[15/04/2018]],"','%d/%m/%Y'),",AZ245,"),","('",Tabla7[[#This Row],[CONTADOR]],"',STR_TO_DATE('",Tabla7[[#Headers],[15/05/2018]],"','%d/%m/%Y'),",BA245,"),","('",Tabla7[[#This Row],[CONTADOR]],"',STR_TO_DATE('",Tabla7[[#Headers],[15/06/2018]],"','%d/%m/%Y'),",BB245,"),","('",Tabla7[[#This Row],[CONTADOR]],"',STR_TO_DATE('",Tabla7[[#Headers],[15/07/2018]],"','%d/%m/%Y'),",BC245,"),","('",Tabla7[[#This Row],[CONTADOR]],"',STR_TO_DATE('",Tabla7[[#Headers],[15/08/2018]],"','%d/%m/%Y'),",BD245,"),","('",Tabla7[[#This Row],[CONTADOR]],"',STR_TO_DATE('",Tabla7[[#Headers],[15/09/2018]],"','%d/%m/%Y'),",BE245,"),","('",Tabla7[[#This Row],[CONTADOR]],"',STR_TO_DATE('",Tabla7[[#Headers],[15/10/2018]],"','%d/%m/%Y'),",BF245,"),","('",Tabla7[[#This Row],[CONTADOR]],"',STR_TO_DATE('",Tabla7[[#Headers],[15/11/2018]],"','%d/%m/%Y'),",BG245,"),","('",Tabla7[[#This Row],[CONTADOR]],"',STR_TO_DATE('",Tabla7[[#Headers],[15/12/2018]],"','%d/%m/%Y'),",BH245,");")</f>
        <v>insert into lecturas values ('PM4AD3A025',STR_TO_DATE('31/12/2017','%d/%m/%Y'),249625),('PM4AD3A025',STR_TO_DATE('15/01/2018','%d/%m/%Y'),251261),('PM4AD3A025',STR_TO_DATE('15/02/2018','%d/%m/%Y'),254113),('PM4AD3A025',STR_TO_DATE('15/03/2018','%d/%m/%Y'),256556),('PM4AD3A025',STR_TO_DATE('15/04/2018','%d/%m/%Y'),258913),('PM4AD3A025',STR_TO_DATE('15/05/2018','%d/%m/%Y'),260930),('PM4AD3A025',STR_TO_DATE('15/06/2018','%d/%m/%Y'),262780),('PM4AD3A025',STR_TO_DATE('15/07/2018','%d/%m/%Y'),264658),('PM4AD3A025',STR_TO_DATE('15/08/2018','%d/%m/%Y'),266468),('PM4AD3A025',STR_TO_DATE('15/09/2018','%d/%m/%Y'),268666),('PM4AD3A025',STR_TO_DATE('15/10/2018','%d/%m/%Y'),270917),('PM4AD3A025',STR_TO_DATE('15/11/2018','%d/%m/%Y'),273780),('PM4AD3A025',STR_TO_DATE('15/12/2018','%d/%m/%Y'),276872);</v>
      </c>
    </row>
    <row r="246" spans="1:68" ht="18.75" customHeight="1" x14ac:dyDescent="0.25">
      <c r="A246" s="241" t="s">
        <v>19</v>
      </c>
      <c r="B246" s="60"/>
      <c r="C246" s="342" t="s">
        <v>1251</v>
      </c>
      <c r="D246" s="60" t="s">
        <v>434</v>
      </c>
      <c r="E246" s="258">
        <v>140</v>
      </c>
      <c r="F246" s="274" t="s">
        <v>817</v>
      </c>
      <c r="G246" s="274" t="s">
        <v>435</v>
      </c>
      <c r="H246" s="2"/>
      <c r="I246" s="2"/>
      <c r="J246" s="311">
        <v>3790672</v>
      </c>
      <c r="K246" s="311">
        <v>3805110</v>
      </c>
      <c r="L246" s="311">
        <v>3833740</v>
      </c>
      <c r="M246" s="311">
        <v>3859960</v>
      </c>
      <c r="N246" s="311">
        <v>3889757</v>
      </c>
      <c r="O246" s="311">
        <v>3918300</v>
      </c>
      <c r="P246" s="311">
        <v>3946843</v>
      </c>
      <c r="Q246" s="311">
        <v>3981634</v>
      </c>
      <c r="R246" s="311">
        <v>4012303</v>
      </c>
      <c r="S246" s="311">
        <v>4043148</v>
      </c>
      <c r="T246" s="311">
        <v>4070086</v>
      </c>
      <c r="U246" s="311">
        <v>4099762</v>
      </c>
      <c r="V246" s="353">
        <v>4129927</v>
      </c>
      <c r="W246" s="311"/>
      <c r="X246" s="2"/>
      <c r="Y246" s="2">
        <f t="shared" si="67"/>
        <v>14438</v>
      </c>
      <c r="Z246" s="2">
        <f t="shared" si="66"/>
        <v>28630</v>
      </c>
      <c r="AA246" s="2">
        <f t="shared" si="83"/>
        <v>26220</v>
      </c>
      <c r="AB246" s="2">
        <f t="shared" si="82"/>
        <v>29797</v>
      </c>
      <c r="AC246" s="275">
        <f t="shared" si="72"/>
        <v>28543</v>
      </c>
      <c r="AD246" s="2">
        <f t="shared" si="73"/>
        <v>28543</v>
      </c>
      <c r="AE246" s="2">
        <f t="shared" si="74"/>
        <v>34791</v>
      </c>
      <c r="AF246" s="2">
        <f t="shared" si="75"/>
        <v>30669</v>
      </c>
      <c r="AG246" s="2">
        <f t="shared" si="76"/>
        <v>30845</v>
      </c>
      <c r="AH246" s="2">
        <f t="shared" si="79"/>
        <v>26938</v>
      </c>
      <c r="AI246" s="2">
        <f t="shared" si="77"/>
        <v>29676</v>
      </c>
      <c r="AJ246" s="2">
        <f t="shared" si="78"/>
        <v>30165</v>
      </c>
      <c r="AK246" s="406">
        <v>1</v>
      </c>
      <c r="AL246" s="274">
        <f t="shared" ca="1" si="68"/>
        <v>3889757</v>
      </c>
      <c r="AM246" s="311">
        <f t="shared" ca="1" si="69"/>
        <v>3918300</v>
      </c>
      <c r="AN246" s="274">
        <f ca="1">IF(AND(Tabla7[[#This Row],[UltLec]]&lt;&gt;0,Tabla7[[#This Row],[PenLect]]&lt;&gt;0),(AM246-AL246)*Tabla7[[#This Row],[RT]],"N/A")</f>
        <v>28543</v>
      </c>
      <c r="AO246" s="273" t="s">
        <v>862</v>
      </c>
      <c r="AP246" s="392" t="s">
        <v>1191</v>
      </c>
      <c r="AQ246" s="392" t="s">
        <v>818</v>
      </c>
      <c r="AR246" s="407">
        <f t="shared" si="70"/>
        <v>0</v>
      </c>
      <c r="AT246" s="2">
        <f t="shared" ca="1" si="71"/>
        <v>0.95791522636507032</v>
      </c>
      <c r="AV246">
        <f>IF(ISBLANK(Tabla7[[#This Row],[31/12/2017]]),0,Tabla7[[#This Row],[31/12/2017]])</f>
        <v>3790672</v>
      </c>
      <c r="AW246">
        <f>IF(ISBLANK(Tabla7[[#This Row],[15/01/2018]]),0,Tabla7[[#This Row],[15/01/2018]])</f>
        <v>3805110</v>
      </c>
      <c r="AX246">
        <f>IF(ISBLANK(Tabla7[[#This Row],[15/02/2018]]),0,Tabla7[[#This Row],[15/02/2018]])</f>
        <v>3833740</v>
      </c>
      <c r="AY246">
        <f>IF(ISBLANK(Tabla7[[#This Row],[15/03/2018]]),0,Tabla7[[#This Row],[15/03/2018]])</f>
        <v>3859960</v>
      </c>
      <c r="AZ246">
        <f>IF(ISBLANK(Tabla7[[#This Row],[15/04/2018]]),0,Tabla7[[#This Row],[15/04/2018]])</f>
        <v>3889757</v>
      </c>
      <c r="BA246">
        <f>IF(ISBLANK(Tabla7[[#This Row],[15/05/2018]]),0,Tabla7[[#This Row],[15/05/2018]])</f>
        <v>3918300</v>
      </c>
      <c r="BB246">
        <f>IF(ISBLANK(Tabla7[[#This Row],[15/06/2018]]),0,Tabla7[[#This Row],[15/06/2018]])</f>
        <v>3946843</v>
      </c>
      <c r="BC246">
        <f>IF(ISBLANK(Tabla7[[#This Row],[15/07/2018]]),0,Tabla7[[#This Row],[15/07/2018]])</f>
        <v>3981634</v>
      </c>
      <c r="BD246">
        <f>IF(ISBLANK(Tabla7[[#This Row],[15/08/2018]]),0,Tabla7[[#This Row],[15/08/2018]])</f>
        <v>4012303</v>
      </c>
      <c r="BE246">
        <f>IF(ISBLANK(Tabla7[[#This Row],[15/09/2018]]),0,Tabla7[[#This Row],[15/09/2018]])</f>
        <v>4043148</v>
      </c>
      <c r="BF246">
        <f>IF(ISBLANK(Tabla7[[#This Row],[15/10/2018]]),0,Tabla7[[#This Row],[15/10/2018]])</f>
        <v>4070086</v>
      </c>
      <c r="BG246">
        <f>IF(ISBLANK(Tabla7[[#This Row],[15/11/2018]]),0,Tabla7[[#This Row],[15/11/2018]])</f>
        <v>4099762</v>
      </c>
      <c r="BH246">
        <f>IF(ISBLANK(Tabla7[[#This Row],[15/12/2018]]),0,Tabla7[[#This Row],[15/12/2018]])</f>
        <v>4129927</v>
      </c>
      <c r="BI246">
        <f>IF(ISBLANK(Tabla7[[#This Row],[28/12/2018]]),0,Tabla7[[#This Row],[28/12/2018]])</f>
        <v>0</v>
      </c>
      <c r="BN24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('PM4703432C','V','VCT05','140','APV TUNEL','CUADRO GENERAL TÚNEL','','');</v>
      </c>
      <c r="BO246" t="s">
        <v>243</v>
      </c>
      <c r="BP246" s="632" t="str">
        <f>CONCATENATE("insert into lecturas values ","('",Tabla7[[#This Row],[CONTADOR]],"',STR_TO_DATE('",Tabla7[[#Headers],[31/12/2017]],"','%d/%m/%Y'),",AV246,"),","('",Tabla7[[#This Row],[CONTADOR]],"',STR_TO_DATE('",Tabla7[[#Headers],[15/01/2018]],"','%d/%m/%Y'),",AW246,"),","('",Tabla7[[#This Row],[CONTADOR]],"',STR_TO_DATE('",Tabla7[[#Headers],[15/02/2018]],"','%d/%m/%Y'),",AX246,"),","('",Tabla7[[#This Row],[CONTADOR]],"',STR_TO_DATE('",Tabla7[[#Headers],[15/03/2018]],"','%d/%m/%Y'),",AY246,"),","('",Tabla7[[#This Row],[CONTADOR]],"',STR_TO_DATE('",Tabla7[[#Headers],[15/04/2018]],"','%d/%m/%Y'),",AZ246,"),","('",Tabla7[[#This Row],[CONTADOR]],"',STR_TO_DATE('",Tabla7[[#Headers],[15/05/2018]],"','%d/%m/%Y'),",BA246,"),","('",Tabla7[[#This Row],[CONTADOR]],"',STR_TO_DATE('",Tabla7[[#Headers],[15/06/2018]],"','%d/%m/%Y'),",BB246,"),","('",Tabla7[[#This Row],[CONTADOR]],"',STR_TO_DATE('",Tabla7[[#Headers],[15/07/2018]],"','%d/%m/%Y'),",BC246,"),","('",Tabla7[[#This Row],[CONTADOR]],"',STR_TO_DATE('",Tabla7[[#Headers],[15/08/2018]],"','%d/%m/%Y'),",BD246,"),","('",Tabla7[[#This Row],[CONTADOR]],"',STR_TO_DATE('",Tabla7[[#Headers],[15/09/2018]],"','%d/%m/%Y'),",BE246,"),","('",Tabla7[[#This Row],[CONTADOR]],"',STR_TO_DATE('",Tabla7[[#Headers],[15/10/2018]],"','%d/%m/%Y'),",BF246,"),","('",Tabla7[[#This Row],[CONTADOR]],"',STR_TO_DATE('",Tabla7[[#Headers],[15/11/2018]],"','%d/%m/%Y'),",BG246,"),","('",Tabla7[[#This Row],[CONTADOR]],"',STR_TO_DATE('",Tabla7[[#Headers],[15/12/2018]],"','%d/%m/%Y'),",BH246,");")</f>
        <v>insert into lecturas values ('PM4703432C',STR_TO_DATE('31/12/2017','%d/%m/%Y'),3790672),('PM4703432C',STR_TO_DATE('15/01/2018','%d/%m/%Y'),3805110),('PM4703432C',STR_TO_DATE('15/02/2018','%d/%m/%Y'),3833740),('PM4703432C',STR_TO_DATE('15/03/2018','%d/%m/%Y'),3859960),('PM4703432C',STR_TO_DATE('15/04/2018','%d/%m/%Y'),3889757),('PM4703432C',STR_TO_DATE('15/05/2018','%d/%m/%Y'),3918300),('PM4703432C',STR_TO_DATE('15/06/2018','%d/%m/%Y'),3946843),('PM4703432C',STR_TO_DATE('15/07/2018','%d/%m/%Y'),3981634),('PM4703432C',STR_TO_DATE('15/08/2018','%d/%m/%Y'),4012303),('PM4703432C',STR_TO_DATE('15/09/2018','%d/%m/%Y'),4043148),('PM4703432C',STR_TO_DATE('15/10/2018','%d/%m/%Y'),4070086),('PM4703432C',STR_TO_DATE('15/11/2018','%d/%m/%Y'),4099762),('PM4703432C',STR_TO_DATE('15/12/2018','%d/%m/%Y'),4129927);</v>
      </c>
    </row>
    <row r="247" spans="1:68" ht="18.75" customHeight="1" x14ac:dyDescent="0.25">
      <c r="A247" s="241" t="s">
        <v>19</v>
      </c>
      <c r="B247" s="60"/>
      <c r="C247" s="342">
        <v>717083052</v>
      </c>
      <c r="D247" s="60" t="s">
        <v>55</v>
      </c>
      <c r="E247" s="258">
        <v>140</v>
      </c>
      <c r="F247" s="274" t="s">
        <v>926</v>
      </c>
      <c r="G247" s="274" t="s">
        <v>1009</v>
      </c>
      <c r="H247" s="274"/>
      <c r="I247" s="2" t="s">
        <v>927</v>
      </c>
      <c r="J247" s="311">
        <v>7497</v>
      </c>
      <c r="K247" s="311">
        <v>8233</v>
      </c>
      <c r="L247" s="311">
        <v>10274</v>
      </c>
      <c r="M247" s="311">
        <v>11667</v>
      </c>
      <c r="N247" s="311">
        <v>12826</v>
      </c>
      <c r="O247" s="311">
        <v>13551</v>
      </c>
      <c r="P247" s="311">
        <v>14319</v>
      </c>
      <c r="Q247" s="311">
        <v>15330</v>
      </c>
      <c r="R247" s="311">
        <v>16396</v>
      </c>
      <c r="S247" s="311">
        <v>17508</v>
      </c>
      <c r="T247" s="311">
        <v>18311</v>
      </c>
      <c r="U247" s="311">
        <v>19086</v>
      </c>
      <c r="V247" s="353">
        <v>20163</v>
      </c>
      <c r="W247" s="2"/>
      <c r="X247" s="2"/>
      <c r="Y247" s="2">
        <f t="shared" si="67"/>
        <v>736</v>
      </c>
      <c r="Z247" s="2">
        <f t="shared" si="66"/>
        <v>2041</v>
      </c>
      <c r="AA247" s="2">
        <f t="shared" si="83"/>
        <v>1393</v>
      </c>
      <c r="AB247" s="2">
        <f t="shared" si="82"/>
        <v>1159</v>
      </c>
      <c r="AC247" s="275">
        <f t="shared" si="72"/>
        <v>725</v>
      </c>
      <c r="AD247" s="2">
        <f t="shared" si="73"/>
        <v>768</v>
      </c>
      <c r="AE247" s="2">
        <f t="shared" si="74"/>
        <v>1011</v>
      </c>
      <c r="AF247" s="2">
        <f t="shared" si="75"/>
        <v>1066</v>
      </c>
      <c r="AG247" s="2">
        <f t="shared" si="76"/>
        <v>1112</v>
      </c>
      <c r="AH247" s="2">
        <f t="shared" si="79"/>
        <v>803</v>
      </c>
      <c r="AI247" s="2">
        <f t="shared" si="77"/>
        <v>775</v>
      </c>
      <c r="AJ247" s="2">
        <f t="shared" si="78"/>
        <v>1077</v>
      </c>
      <c r="AK247" s="406">
        <v>1</v>
      </c>
      <c r="AL247" s="412">
        <f t="shared" ca="1" si="68"/>
        <v>12826</v>
      </c>
      <c r="AM247" s="311">
        <f t="shared" ca="1" si="69"/>
        <v>13551</v>
      </c>
      <c r="AN247" s="274">
        <f ca="1">IF(AND(Tabla7[[#This Row],[UltLec]]&lt;&gt;0,Tabla7[[#This Row],[PenLect]]&lt;&gt;0),(AM247-AL247)*Tabla7[[#This Row],[RT]],"N/A")</f>
        <v>725</v>
      </c>
      <c r="AO247" s="273" t="s">
        <v>862</v>
      </c>
      <c r="AP247" s="392" t="s">
        <v>1190</v>
      </c>
      <c r="AQ247" s="392" t="s">
        <v>1189</v>
      </c>
      <c r="AR247" s="407">
        <f t="shared" si="70"/>
        <v>0</v>
      </c>
      <c r="AT247" s="2">
        <f t="shared" ca="1" si="71"/>
        <v>0.62553925798101817</v>
      </c>
      <c r="AV247">
        <f>IF(ISBLANK(Tabla7[[#This Row],[31/12/2017]]),0,Tabla7[[#This Row],[31/12/2017]])</f>
        <v>7497</v>
      </c>
      <c r="AW247">
        <f>IF(ISBLANK(Tabla7[[#This Row],[15/01/2018]]),0,Tabla7[[#This Row],[15/01/2018]])</f>
        <v>8233</v>
      </c>
      <c r="AX247">
        <f>IF(ISBLANK(Tabla7[[#This Row],[15/02/2018]]),0,Tabla7[[#This Row],[15/02/2018]])</f>
        <v>10274</v>
      </c>
      <c r="AY247">
        <f>IF(ISBLANK(Tabla7[[#This Row],[15/03/2018]]),0,Tabla7[[#This Row],[15/03/2018]])</f>
        <v>11667</v>
      </c>
      <c r="AZ247">
        <f>IF(ISBLANK(Tabla7[[#This Row],[15/04/2018]]),0,Tabla7[[#This Row],[15/04/2018]])</f>
        <v>12826</v>
      </c>
      <c r="BA247">
        <f>IF(ISBLANK(Tabla7[[#This Row],[15/05/2018]]),0,Tabla7[[#This Row],[15/05/2018]])</f>
        <v>13551</v>
      </c>
      <c r="BB247">
        <f>IF(ISBLANK(Tabla7[[#This Row],[15/06/2018]]),0,Tabla7[[#This Row],[15/06/2018]])</f>
        <v>14319</v>
      </c>
      <c r="BC247">
        <f>IF(ISBLANK(Tabla7[[#This Row],[15/07/2018]]),0,Tabla7[[#This Row],[15/07/2018]])</f>
        <v>15330</v>
      </c>
      <c r="BD247">
        <f>IF(ISBLANK(Tabla7[[#This Row],[15/08/2018]]),0,Tabla7[[#This Row],[15/08/2018]])</f>
        <v>16396</v>
      </c>
      <c r="BE247">
        <f>IF(ISBLANK(Tabla7[[#This Row],[15/09/2018]]),0,Tabla7[[#This Row],[15/09/2018]])</f>
        <v>17508</v>
      </c>
      <c r="BF247">
        <f>IF(ISBLANK(Tabla7[[#This Row],[15/10/2018]]),0,Tabla7[[#This Row],[15/10/2018]])</f>
        <v>18311</v>
      </c>
      <c r="BG247">
        <f>IF(ISBLANK(Tabla7[[#This Row],[15/11/2018]]),0,Tabla7[[#This Row],[15/11/2018]])</f>
        <v>19086</v>
      </c>
      <c r="BH247">
        <f>IF(ISBLANK(Tabla7[[#This Row],[15/12/2018]]),0,Tabla7[[#This Row],[15/12/2018]])</f>
        <v>20163</v>
      </c>
      <c r="BI247">
        <f>IF(ISBLANK(Tabla7[[#This Row],[28/12/2018]]),0,Tabla7[[#This Row],[28/12/2018]])</f>
        <v>0</v>
      </c>
      <c r="BN24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('717083052','V','VCT06','140','GARAJE','INTERIOR CT (6)','','Instalado 20/06/17 Lectura inicial 0');</v>
      </c>
      <c r="BO247" t="s">
        <v>243</v>
      </c>
      <c r="BP247" s="632" t="str">
        <f>CONCATENATE("insert into lecturas values ","('",Tabla7[[#This Row],[CONTADOR]],"',STR_TO_DATE('",Tabla7[[#Headers],[31/12/2017]],"','%d/%m/%Y'),",AV247,"),","('",Tabla7[[#This Row],[CONTADOR]],"',STR_TO_DATE('",Tabla7[[#Headers],[15/01/2018]],"','%d/%m/%Y'),",AW247,"),","('",Tabla7[[#This Row],[CONTADOR]],"',STR_TO_DATE('",Tabla7[[#Headers],[15/02/2018]],"','%d/%m/%Y'),",AX247,"),","('",Tabla7[[#This Row],[CONTADOR]],"',STR_TO_DATE('",Tabla7[[#Headers],[15/03/2018]],"','%d/%m/%Y'),",AY247,"),","('",Tabla7[[#This Row],[CONTADOR]],"',STR_TO_DATE('",Tabla7[[#Headers],[15/04/2018]],"','%d/%m/%Y'),",AZ247,"),","('",Tabla7[[#This Row],[CONTADOR]],"',STR_TO_DATE('",Tabla7[[#Headers],[15/05/2018]],"','%d/%m/%Y'),",BA247,"),","('",Tabla7[[#This Row],[CONTADOR]],"',STR_TO_DATE('",Tabla7[[#Headers],[15/06/2018]],"','%d/%m/%Y'),",BB247,"),","('",Tabla7[[#This Row],[CONTADOR]],"',STR_TO_DATE('",Tabla7[[#Headers],[15/07/2018]],"','%d/%m/%Y'),",BC247,"),","('",Tabla7[[#This Row],[CONTADOR]],"',STR_TO_DATE('",Tabla7[[#Headers],[15/08/2018]],"','%d/%m/%Y'),",BD247,"),","('",Tabla7[[#This Row],[CONTADOR]],"',STR_TO_DATE('",Tabla7[[#Headers],[15/09/2018]],"','%d/%m/%Y'),",BE247,"),","('",Tabla7[[#This Row],[CONTADOR]],"',STR_TO_DATE('",Tabla7[[#Headers],[15/10/2018]],"','%d/%m/%Y'),",BF247,"),","('",Tabla7[[#This Row],[CONTADOR]],"',STR_TO_DATE('",Tabla7[[#Headers],[15/11/2018]],"','%d/%m/%Y'),",BG247,"),","('",Tabla7[[#This Row],[CONTADOR]],"',STR_TO_DATE('",Tabla7[[#Headers],[15/12/2018]],"','%d/%m/%Y'),",BH247,");")</f>
        <v>insert into lecturas values ('717083052',STR_TO_DATE('31/12/2017','%d/%m/%Y'),7497),('717083052',STR_TO_DATE('15/01/2018','%d/%m/%Y'),8233),('717083052',STR_TO_DATE('15/02/2018','%d/%m/%Y'),10274),('717083052',STR_TO_DATE('15/03/2018','%d/%m/%Y'),11667),('717083052',STR_TO_DATE('15/04/2018','%d/%m/%Y'),12826),('717083052',STR_TO_DATE('15/05/2018','%d/%m/%Y'),13551),('717083052',STR_TO_DATE('15/06/2018','%d/%m/%Y'),14319),('717083052',STR_TO_DATE('15/07/2018','%d/%m/%Y'),15330),('717083052',STR_TO_DATE('15/08/2018','%d/%m/%Y'),16396),('717083052',STR_TO_DATE('15/09/2018','%d/%m/%Y'),17508),('717083052',STR_TO_DATE('15/10/2018','%d/%m/%Y'),18311),('717083052',STR_TO_DATE('15/11/2018','%d/%m/%Y'),19086),('717083052',STR_TO_DATE('15/12/2018','%d/%m/%Y'),20163);</v>
      </c>
    </row>
    <row r="248" spans="1:68" ht="18" customHeight="1" x14ac:dyDescent="0.25">
      <c r="A248" s="241" t="s">
        <v>19</v>
      </c>
      <c r="B248" s="60"/>
      <c r="C248" s="342">
        <v>717083063</v>
      </c>
      <c r="D248" s="60" t="s">
        <v>55</v>
      </c>
      <c r="E248" s="258">
        <v>131</v>
      </c>
      <c r="F248" s="2" t="s">
        <v>924</v>
      </c>
      <c r="G248" s="2" t="s">
        <v>1010</v>
      </c>
      <c r="H248" s="274"/>
      <c r="I248" s="2" t="s">
        <v>927</v>
      </c>
      <c r="J248" s="311">
        <v>4395</v>
      </c>
      <c r="K248" s="311">
        <v>4808</v>
      </c>
      <c r="L248" s="311">
        <v>5668</v>
      </c>
      <c r="M248" s="311">
        <v>6369</v>
      </c>
      <c r="N248" s="311">
        <v>7089</v>
      </c>
      <c r="O248" s="311">
        <v>7673</v>
      </c>
      <c r="P248" s="311">
        <v>8237</v>
      </c>
      <c r="Q248" s="311">
        <v>8780</v>
      </c>
      <c r="R248" s="311">
        <v>9305</v>
      </c>
      <c r="S248" s="311">
        <v>9970</v>
      </c>
      <c r="T248" s="311">
        <v>10610</v>
      </c>
      <c r="U248" s="311">
        <v>11415</v>
      </c>
      <c r="V248" s="353">
        <v>12339</v>
      </c>
      <c r="W248" s="2"/>
      <c r="X248" s="2"/>
      <c r="Y248" s="2">
        <f t="shared" si="67"/>
        <v>413</v>
      </c>
      <c r="Z248" s="2">
        <f t="shared" si="66"/>
        <v>860</v>
      </c>
      <c r="AA248" s="2">
        <f t="shared" si="83"/>
        <v>701</v>
      </c>
      <c r="AB248" s="2">
        <f t="shared" si="82"/>
        <v>720</v>
      </c>
      <c r="AC248" s="275">
        <f t="shared" si="72"/>
        <v>584</v>
      </c>
      <c r="AD248" s="2">
        <f t="shared" si="73"/>
        <v>564</v>
      </c>
      <c r="AE248" s="2">
        <f t="shared" si="74"/>
        <v>543</v>
      </c>
      <c r="AF248" s="2">
        <f t="shared" si="75"/>
        <v>525</v>
      </c>
      <c r="AG248" s="2">
        <f t="shared" si="76"/>
        <v>665</v>
      </c>
      <c r="AH248" s="2">
        <f t="shared" si="79"/>
        <v>640</v>
      </c>
      <c r="AI248" s="2">
        <f t="shared" si="77"/>
        <v>805</v>
      </c>
      <c r="AJ248" s="2">
        <f t="shared" si="78"/>
        <v>924</v>
      </c>
      <c r="AK248" s="406">
        <v>1</v>
      </c>
      <c r="AL248" s="412">
        <f t="shared" ca="1" si="68"/>
        <v>7089</v>
      </c>
      <c r="AM248" s="311">
        <f t="shared" ca="1" si="69"/>
        <v>7673</v>
      </c>
      <c r="AN248" s="274">
        <f ca="1">IF(AND(Tabla7[[#This Row],[UltLec]]&lt;&gt;0,Tabla7[[#This Row],[PenLect]]&lt;&gt;0),(AM248-AL248)*Tabla7[[#This Row],[RT]],"N/A")</f>
        <v>584</v>
      </c>
      <c r="AO248" s="273" t="s">
        <v>862</v>
      </c>
      <c r="AP248" s="392" t="s">
        <v>1190</v>
      </c>
      <c r="AQ248" s="392" t="s">
        <v>1189</v>
      </c>
      <c r="AR248" s="407">
        <f t="shared" si="70"/>
        <v>0</v>
      </c>
      <c r="AT248" s="2">
        <f t="shared" ca="1" si="71"/>
        <v>0.81111111111111112</v>
      </c>
      <c r="AV248">
        <f>IF(ISBLANK(Tabla7[[#This Row],[31/12/2017]]),0,Tabla7[[#This Row],[31/12/2017]])</f>
        <v>4395</v>
      </c>
      <c r="AW248">
        <f>IF(ISBLANK(Tabla7[[#This Row],[15/01/2018]]),0,Tabla7[[#This Row],[15/01/2018]])</f>
        <v>4808</v>
      </c>
      <c r="AX248">
        <f>IF(ISBLANK(Tabla7[[#This Row],[15/02/2018]]),0,Tabla7[[#This Row],[15/02/2018]])</f>
        <v>5668</v>
      </c>
      <c r="AY248">
        <f>IF(ISBLANK(Tabla7[[#This Row],[15/03/2018]]),0,Tabla7[[#This Row],[15/03/2018]])</f>
        <v>6369</v>
      </c>
      <c r="AZ248">
        <f>IF(ISBLANK(Tabla7[[#This Row],[15/04/2018]]),0,Tabla7[[#This Row],[15/04/2018]])</f>
        <v>7089</v>
      </c>
      <c r="BA248">
        <f>IF(ISBLANK(Tabla7[[#This Row],[15/05/2018]]),0,Tabla7[[#This Row],[15/05/2018]])</f>
        <v>7673</v>
      </c>
      <c r="BB248">
        <f>IF(ISBLANK(Tabla7[[#This Row],[15/06/2018]]),0,Tabla7[[#This Row],[15/06/2018]])</f>
        <v>8237</v>
      </c>
      <c r="BC248">
        <f>IF(ISBLANK(Tabla7[[#This Row],[15/07/2018]]),0,Tabla7[[#This Row],[15/07/2018]])</f>
        <v>8780</v>
      </c>
      <c r="BD248">
        <f>IF(ISBLANK(Tabla7[[#This Row],[15/08/2018]]),0,Tabla7[[#This Row],[15/08/2018]])</f>
        <v>9305</v>
      </c>
      <c r="BE248">
        <f>IF(ISBLANK(Tabla7[[#This Row],[15/09/2018]]),0,Tabla7[[#This Row],[15/09/2018]])</f>
        <v>9970</v>
      </c>
      <c r="BF248">
        <f>IF(ISBLANK(Tabla7[[#This Row],[15/10/2018]]),0,Tabla7[[#This Row],[15/10/2018]])</f>
        <v>10610</v>
      </c>
      <c r="BG248">
        <f>IF(ISBLANK(Tabla7[[#This Row],[15/11/2018]]),0,Tabla7[[#This Row],[15/11/2018]])</f>
        <v>11415</v>
      </c>
      <c r="BH248">
        <f>IF(ISBLANK(Tabla7[[#This Row],[15/12/2018]]),0,Tabla7[[#This Row],[15/12/2018]])</f>
        <v>12339</v>
      </c>
      <c r="BI248">
        <f>IF(ISBLANK(Tabla7[[#This Row],[28/12/2018]]),0,Tabla7[[#This Row],[28/12/2018]])</f>
        <v>0</v>
      </c>
      <c r="BN24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('717083063','V','VCT06','131','ALUM EXTERIOR DIRECCION','INTERIOR CT (7)','','Instalado 20/06/17 Lectura inicial 0');</v>
      </c>
      <c r="BO248" t="s">
        <v>243</v>
      </c>
      <c r="BP248" s="632" t="str">
        <f>CONCATENATE("insert into lecturas values ","('",Tabla7[[#This Row],[CONTADOR]],"',STR_TO_DATE('",Tabla7[[#Headers],[31/12/2017]],"','%d/%m/%Y'),",AV248,"),","('",Tabla7[[#This Row],[CONTADOR]],"',STR_TO_DATE('",Tabla7[[#Headers],[15/01/2018]],"','%d/%m/%Y'),",AW248,"),","('",Tabla7[[#This Row],[CONTADOR]],"',STR_TO_DATE('",Tabla7[[#Headers],[15/02/2018]],"','%d/%m/%Y'),",AX248,"),","('",Tabla7[[#This Row],[CONTADOR]],"',STR_TO_DATE('",Tabla7[[#Headers],[15/03/2018]],"','%d/%m/%Y'),",AY248,"),","('",Tabla7[[#This Row],[CONTADOR]],"',STR_TO_DATE('",Tabla7[[#Headers],[15/04/2018]],"','%d/%m/%Y'),",AZ248,"),","('",Tabla7[[#This Row],[CONTADOR]],"',STR_TO_DATE('",Tabla7[[#Headers],[15/05/2018]],"','%d/%m/%Y'),",BA248,"),","('",Tabla7[[#This Row],[CONTADOR]],"',STR_TO_DATE('",Tabla7[[#Headers],[15/06/2018]],"','%d/%m/%Y'),",BB248,"),","('",Tabla7[[#This Row],[CONTADOR]],"',STR_TO_DATE('",Tabla7[[#Headers],[15/07/2018]],"','%d/%m/%Y'),",BC248,"),","('",Tabla7[[#This Row],[CONTADOR]],"',STR_TO_DATE('",Tabla7[[#Headers],[15/08/2018]],"','%d/%m/%Y'),",BD248,"),","('",Tabla7[[#This Row],[CONTADOR]],"',STR_TO_DATE('",Tabla7[[#Headers],[15/09/2018]],"','%d/%m/%Y'),",BE248,"),","('",Tabla7[[#This Row],[CONTADOR]],"',STR_TO_DATE('",Tabla7[[#Headers],[15/10/2018]],"','%d/%m/%Y'),",BF248,"),","('",Tabla7[[#This Row],[CONTADOR]],"',STR_TO_DATE('",Tabla7[[#Headers],[15/11/2018]],"','%d/%m/%Y'),",BG248,"),","('",Tabla7[[#This Row],[CONTADOR]],"',STR_TO_DATE('",Tabla7[[#Headers],[15/12/2018]],"','%d/%m/%Y'),",BH248,");")</f>
        <v>insert into lecturas values ('717083063',STR_TO_DATE('31/12/2017','%d/%m/%Y'),4395),('717083063',STR_TO_DATE('15/01/2018','%d/%m/%Y'),4808),('717083063',STR_TO_DATE('15/02/2018','%d/%m/%Y'),5668),('717083063',STR_TO_DATE('15/03/2018','%d/%m/%Y'),6369),('717083063',STR_TO_DATE('15/04/2018','%d/%m/%Y'),7089),('717083063',STR_TO_DATE('15/05/2018','%d/%m/%Y'),7673),('717083063',STR_TO_DATE('15/06/2018','%d/%m/%Y'),8237),('717083063',STR_TO_DATE('15/07/2018','%d/%m/%Y'),8780),('717083063',STR_TO_DATE('15/08/2018','%d/%m/%Y'),9305),('717083063',STR_TO_DATE('15/09/2018','%d/%m/%Y'),9970),('717083063',STR_TO_DATE('15/10/2018','%d/%m/%Y'),10610),('717083063',STR_TO_DATE('15/11/2018','%d/%m/%Y'),11415),('717083063',STR_TO_DATE('15/12/2018','%d/%m/%Y'),12339);</v>
      </c>
    </row>
    <row r="249" spans="1:68" ht="18" customHeight="1" x14ac:dyDescent="0.25">
      <c r="A249" s="241" t="s">
        <v>19</v>
      </c>
      <c r="B249" s="60"/>
      <c r="C249" s="342">
        <v>717084017</v>
      </c>
      <c r="D249" s="60" t="s">
        <v>55</v>
      </c>
      <c r="E249" s="258">
        <v>140</v>
      </c>
      <c r="F249" s="274" t="s">
        <v>1003</v>
      </c>
      <c r="G249" s="274" t="s">
        <v>1004</v>
      </c>
      <c r="H249" s="2" t="s">
        <v>915</v>
      </c>
      <c r="I249" s="2" t="s">
        <v>1021</v>
      </c>
      <c r="J249" s="311">
        <v>40669</v>
      </c>
      <c r="K249" s="311">
        <v>44293</v>
      </c>
      <c r="L249" s="311">
        <v>54215</v>
      </c>
      <c r="M249" s="311">
        <v>63527</v>
      </c>
      <c r="N249" s="311">
        <v>70098</v>
      </c>
      <c r="O249" s="311">
        <v>72307</v>
      </c>
      <c r="P249" s="311">
        <v>74511</v>
      </c>
      <c r="Q249" s="311">
        <v>82267</v>
      </c>
      <c r="R249" s="311">
        <v>91041</v>
      </c>
      <c r="S249" s="311">
        <v>99881</v>
      </c>
      <c r="T249" s="311">
        <v>104758</v>
      </c>
      <c r="U249" s="311">
        <v>110509</v>
      </c>
      <c r="V249" s="353">
        <v>118514</v>
      </c>
      <c r="W249" s="311"/>
      <c r="X249" s="2"/>
      <c r="Y249" s="2">
        <f t="shared" si="67"/>
        <v>3624</v>
      </c>
      <c r="Z249" s="2">
        <f t="shared" ref="Z249:Z316" si="84">IF(OR(ISBLANK(L249),ISBLANK(K249)),"",IF(AND(L249&gt;=K249,L249-K249&lt;=L249),(L249-K249)*$AK249,"!!!!"))</f>
        <v>9922</v>
      </c>
      <c r="AA249" s="2">
        <f t="shared" si="83"/>
        <v>9312</v>
      </c>
      <c r="AB249" s="2">
        <f t="shared" ref="AB249:AB280" si="85">IF(OR(ISBLANK(N249),ISBLANK(M249)),"",IF(AND(N249&gt;=M249,N249-M249&lt;=N249),(N249-M249)*$AK249,"!!!!"))</f>
        <v>6571</v>
      </c>
      <c r="AC249" s="275">
        <f t="shared" si="72"/>
        <v>2209</v>
      </c>
      <c r="AD249" s="2">
        <f t="shared" si="73"/>
        <v>2204</v>
      </c>
      <c r="AE249" s="2">
        <f t="shared" si="74"/>
        <v>7756</v>
      </c>
      <c r="AF249" s="2">
        <f t="shared" si="75"/>
        <v>8774</v>
      </c>
      <c r="AG249" s="2">
        <f t="shared" si="76"/>
        <v>8840</v>
      </c>
      <c r="AH249" s="2">
        <f t="shared" si="79"/>
        <v>4877</v>
      </c>
      <c r="AI249" s="2">
        <f t="shared" si="77"/>
        <v>5751</v>
      </c>
      <c r="AJ249" s="2">
        <f t="shared" si="78"/>
        <v>8005</v>
      </c>
      <c r="AK249" s="406">
        <v>1</v>
      </c>
      <c r="AL249" s="412">
        <f t="shared" ca="1" si="68"/>
        <v>70098</v>
      </c>
      <c r="AM249" s="311">
        <f t="shared" ca="1" si="69"/>
        <v>72307</v>
      </c>
      <c r="AN249" s="274">
        <f ca="1">IF(AND(Tabla7[[#This Row],[UltLec]]&lt;&gt;0,Tabla7[[#This Row],[PenLect]]&lt;&gt;0),(AM249-AL249)*Tabla7[[#This Row],[RT]],"N/A")</f>
        <v>2209</v>
      </c>
      <c r="AO249" s="273" t="s">
        <v>862</v>
      </c>
      <c r="AP249" s="392" t="s">
        <v>1190</v>
      </c>
      <c r="AQ249" s="392" t="s">
        <v>1189</v>
      </c>
      <c r="AR249" s="407">
        <f t="shared" si="70"/>
        <v>0</v>
      </c>
      <c r="AT249" s="2">
        <f t="shared" ca="1" si="71"/>
        <v>0.33617409831075939</v>
      </c>
      <c r="AV249">
        <f>IF(ISBLANK(Tabla7[[#This Row],[31/12/2017]]),0,Tabla7[[#This Row],[31/12/2017]])</f>
        <v>40669</v>
      </c>
      <c r="AW249">
        <f>IF(ISBLANK(Tabla7[[#This Row],[15/01/2018]]),0,Tabla7[[#This Row],[15/01/2018]])</f>
        <v>44293</v>
      </c>
      <c r="AX249">
        <f>IF(ISBLANK(Tabla7[[#This Row],[15/02/2018]]),0,Tabla7[[#This Row],[15/02/2018]])</f>
        <v>54215</v>
      </c>
      <c r="AY249">
        <f>IF(ISBLANK(Tabla7[[#This Row],[15/03/2018]]),0,Tabla7[[#This Row],[15/03/2018]])</f>
        <v>63527</v>
      </c>
      <c r="AZ249">
        <f>IF(ISBLANK(Tabla7[[#This Row],[15/04/2018]]),0,Tabla7[[#This Row],[15/04/2018]])</f>
        <v>70098</v>
      </c>
      <c r="BA249">
        <f>IF(ISBLANK(Tabla7[[#This Row],[15/05/2018]]),0,Tabla7[[#This Row],[15/05/2018]])</f>
        <v>72307</v>
      </c>
      <c r="BB249">
        <f>IF(ISBLANK(Tabla7[[#This Row],[15/06/2018]]),0,Tabla7[[#This Row],[15/06/2018]])</f>
        <v>74511</v>
      </c>
      <c r="BC249">
        <f>IF(ISBLANK(Tabla7[[#This Row],[15/07/2018]]),0,Tabla7[[#This Row],[15/07/2018]])</f>
        <v>82267</v>
      </c>
      <c r="BD249">
        <f>IF(ISBLANK(Tabla7[[#This Row],[15/08/2018]]),0,Tabla7[[#This Row],[15/08/2018]])</f>
        <v>91041</v>
      </c>
      <c r="BE249">
        <f>IF(ISBLANK(Tabla7[[#This Row],[15/09/2018]]),0,Tabla7[[#This Row],[15/09/2018]])</f>
        <v>99881</v>
      </c>
      <c r="BF249">
        <f>IF(ISBLANK(Tabla7[[#This Row],[15/10/2018]]),0,Tabla7[[#This Row],[15/10/2018]])</f>
        <v>104758</v>
      </c>
      <c r="BG249">
        <f>IF(ISBLANK(Tabla7[[#This Row],[15/11/2018]]),0,Tabla7[[#This Row],[15/11/2018]])</f>
        <v>110509</v>
      </c>
      <c r="BH249">
        <f>IF(ISBLANK(Tabla7[[#This Row],[15/12/2018]]),0,Tabla7[[#This Row],[15/12/2018]])</f>
        <v>118514</v>
      </c>
      <c r="BI249">
        <f>IF(ISBLANK(Tabla7[[#This Row],[28/12/2018]]),0,Tabla7[[#This Row],[28/12/2018]])</f>
        <v>0</v>
      </c>
      <c r="BN24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('717084017','V','VCT06','140','AIRE ACONDICIONADO DIRECCION','INTERIOR CT (1)','Alta 19/6/17','Añadido el 25/08/17 Lectura inicial?¿?¿?');</v>
      </c>
      <c r="BO249" t="s">
        <v>243</v>
      </c>
      <c r="BP249" s="632" t="str">
        <f>CONCATENATE("insert into lecturas values ","('",Tabla7[[#This Row],[CONTADOR]],"',STR_TO_DATE('",Tabla7[[#Headers],[31/12/2017]],"','%d/%m/%Y'),",AV249,"),","('",Tabla7[[#This Row],[CONTADOR]],"',STR_TO_DATE('",Tabla7[[#Headers],[15/01/2018]],"','%d/%m/%Y'),",AW249,"),","('",Tabla7[[#This Row],[CONTADOR]],"',STR_TO_DATE('",Tabla7[[#Headers],[15/02/2018]],"','%d/%m/%Y'),",AX249,"),","('",Tabla7[[#This Row],[CONTADOR]],"',STR_TO_DATE('",Tabla7[[#Headers],[15/03/2018]],"','%d/%m/%Y'),",AY249,"),","('",Tabla7[[#This Row],[CONTADOR]],"',STR_TO_DATE('",Tabla7[[#Headers],[15/04/2018]],"','%d/%m/%Y'),",AZ249,"),","('",Tabla7[[#This Row],[CONTADOR]],"',STR_TO_DATE('",Tabla7[[#Headers],[15/05/2018]],"','%d/%m/%Y'),",BA249,"),","('",Tabla7[[#This Row],[CONTADOR]],"',STR_TO_DATE('",Tabla7[[#Headers],[15/06/2018]],"','%d/%m/%Y'),",BB249,"),","('",Tabla7[[#This Row],[CONTADOR]],"',STR_TO_DATE('",Tabla7[[#Headers],[15/07/2018]],"','%d/%m/%Y'),",BC249,"),","('",Tabla7[[#This Row],[CONTADOR]],"',STR_TO_DATE('",Tabla7[[#Headers],[15/08/2018]],"','%d/%m/%Y'),",BD249,"),","('",Tabla7[[#This Row],[CONTADOR]],"',STR_TO_DATE('",Tabla7[[#Headers],[15/09/2018]],"','%d/%m/%Y'),",BE249,"),","('",Tabla7[[#This Row],[CONTADOR]],"',STR_TO_DATE('",Tabla7[[#Headers],[15/10/2018]],"','%d/%m/%Y'),",BF249,"),","('",Tabla7[[#This Row],[CONTADOR]],"',STR_TO_DATE('",Tabla7[[#Headers],[15/11/2018]],"','%d/%m/%Y'),",BG249,"),","('",Tabla7[[#This Row],[CONTADOR]],"',STR_TO_DATE('",Tabla7[[#Headers],[15/12/2018]],"','%d/%m/%Y'),",BH249,");")</f>
        <v>insert into lecturas values ('717084017',STR_TO_DATE('31/12/2017','%d/%m/%Y'),40669),('717084017',STR_TO_DATE('15/01/2018','%d/%m/%Y'),44293),('717084017',STR_TO_DATE('15/02/2018','%d/%m/%Y'),54215),('717084017',STR_TO_DATE('15/03/2018','%d/%m/%Y'),63527),('717084017',STR_TO_DATE('15/04/2018','%d/%m/%Y'),70098),('717084017',STR_TO_DATE('15/05/2018','%d/%m/%Y'),72307),('717084017',STR_TO_DATE('15/06/2018','%d/%m/%Y'),74511),('717084017',STR_TO_DATE('15/07/2018','%d/%m/%Y'),82267),('717084017',STR_TO_DATE('15/08/2018','%d/%m/%Y'),91041),('717084017',STR_TO_DATE('15/09/2018','%d/%m/%Y'),99881),('717084017',STR_TO_DATE('15/10/2018','%d/%m/%Y'),104758),('717084017',STR_TO_DATE('15/11/2018','%d/%m/%Y'),110509),('717084017',STR_TO_DATE('15/12/2018','%d/%m/%Y'),118514);</v>
      </c>
    </row>
    <row r="250" spans="1:68" ht="18" customHeight="1" x14ac:dyDescent="0.25">
      <c r="A250" s="241" t="s">
        <v>19</v>
      </c>
      <c r="B250" s="60"/>
      <c r="C250" s="342">
        <v>717084039</v>
      </c>
      <c r="D250" s="60" t="s">
        <v>55</v>
      </c>
      <c r="E250" s="258">
        <v>140</v>
      </c>
      <c r="F250" s="2" t="s">
        <v>925</v>
      </c>
      <c r="G250" s="2" t="s">
        <v>1011</v>
      </c>
      <c r="H250" s="274"/>
      <c r="I250" s="2" t="s">
        <v>928</v>
      </c>
      <c r="J250" s="311">
        <v>8721</v>
      </c>
      <c r="K250" s="311">
        <v>9395</v>
      </c>
      <c r="L250" s="311">
        <v>10811</v>
      </c>
      <c r="M250" s="311">
        <v>12076</v>
      </c>
      <c r="N250" s="311">
        <v>13373</v>
      </c>
      <c r="O250" s="311">
        <v>14586</v>
      </c>
      <c r="P250" s="311">
        <v>16008</v>
      </c>
      <c r="Q250" s="311">
        <v>17765</v>
      </c>
      <c r="R250" s="311">
        <v>19414</v>
      </c>
      <c r="S250" s="311">
        <v>21253</v>
      </c>
      <c r="T250" s="311">
        <v>22670</v>
      </c>
      <c r="U250" s="492">
        <v>24200</v>
      </c>
      <c r="V250" s="353">
        <v>26010</v>
      </c>
      <c r="W250" s="2"/>
      <c r="X250" s="2"/>
      <c r="Y250" s="2">
        <f t="shared" ref="Y250:Y316" si="86">IF(OR(ISBLANK(K250),ISBLANK(J250)),"",IF(AND(K250&gt;=J250,K250-J250&lt;=K250),(K250-J250)*$AK250,"!!!!"))</f>
        <v>674</v>
      </c>
      <c r="Z250" s="2">
        <f t="shared" si="84"/>
        <v>1416</v>
      </c>
      <c r="AA250" s="2">
        <f t="shared" ref="AA250:AA281" si="87">IF(OR(ISBLANK(M250),ISBLANK(L250)),"",IF(AND(M250&gt;=L250,M250-L250&lt;=M250),(M250-L250)*$AK250,"!!!!"))</f>
        <v>1265</v>
      </c>
      <c r="AB250" s="2">
        <f t="shared" si="85"/>
        <v>1297</v>
      </c>
      <c r="AC250" s="2">
        <f t="shared" si="72"/>
        <v>1213</v>
      </c>
      <c r="AD250" s="2">
        <f t="shared" si="73"/>
        <v>1422</v>
      </c>
      <c r="AE250" s="2">
        <f t="shared" si="74"/>
        <v>1757</v>
      </c>
      <c r="AF250" s="2">
        <f t="shared" si="75"/>
        <v>1649</v>
      </c>
      <c r="AG250" s="2">
        <f t="shared" si="76"/>
        <v>1839</v>
      </c>
      <c r="AH250" s="2">
        <f t="shared" si="79"/>
        <v>1417</v>
      </c>
      <c r="AI250" s="2">
        <f t="shared" si="77"/>
        <v>1530</v>
      </c>
      <c r="AJ250" s="2">
        <f t="shared" si="78"/>
        <v>1810</v>
      </c>
      <c r="AK250" s="406">
        <v>1</v>
      </c>
      <c r="AL250" s="412">
        <f t="shared" ca="1" si="68"/>
        <v>13373</v>
      </c>
      <c r="AM250" s="311">
        <f t="shared" ca="1" si="69"/>
        <v>14586</v>
      </c>
      <c r="AN250" s="274">
        <f ca="1">IF(AND(Tabla7[[#This Row],[UltLec]]&lt;&gt;0,Tabla7[[#This Row],[PenLect]]&lt;&gt;0),(AM250-AL250)*Tabla7[[#This Row],[RT]],"N/A")</f>
        <v>1213</v>
      </c>
      <c r="AO250" s="273" t="s">
        <v>862</v>
      </c>
      <c r="AP250" s="392" t="s">
        <v>1190</v>
      </c>
      <c r="AQ250" s="392" t="s">
        <v>1189</v>
      </c>
      <c r="AR250" s="407">
        <f t="shared" si="70"/>
        <v>0</v>
      </c>
      <c r="AT250" s="2">
        <f t="shared" ca="1" si="71"/>
        <v>0.93523515805705471</v>
      </c>
      <c r="AV250">
        <f>IF(ISBLANK(Tabla7[[#This Row],[31/12/2017]]),0,Tabla7[[#This Row],[31/12/2017]])</f>
        <v>8721</v>
      </c>
      <c r="AW250">
        <f>IF(ISBLANK(Tabla7[[#This Row],[15/01/2018]]),0,Tabla7[[#This Row],[15/01/2018]])</f>
        <v>9395</v>
      </c>
      <c r="AX250">
        <f>IF(ISBLANK(Tabla7[[#This Row],[15/02/2018]]),0,Tabla7[[#This Row],[15/02/2018]])</f>
        <v>10811</v>
      </c>
      <c r="AY250">
        <f>IF(ISBLANK(Tabla7[[#This Row],[15/03/2018]]),0,Tabla7[[#This Row],[15/03/2018]])</f>
        <v>12076</v>
      </c>
      <c r="AZ250">
        <f>IF(ISBLANK(Tabla7[[#This Row],[15/04/2018]]),0,Tabla7[[#This Row],[15/04/2018]])</f>
        <v>13373</v>
      </c>
      <c r="BA250">
        <f>IF(ISBLANK(Tabla7[[#This Row],[15/05/2018]]),0,Tabla7[[#This Row],[15/05/2018]])</f>
        <v>14586</v>
      </c>
      <c r="BB250">
        <f>IF(ISBLANK(Tabla7[[#This Row],[15/06/2018]]),0,Tabla7[[#This Row],[15/06/2018]])</f>
        <v>16008</v>
      </c>
      <c r="BC250">
        <f>IF(ISBLANK(Tabla7[[#This Row],[15/07/2018]]),0,Tabla7[[#This Row],[15/07/2018]])</f>
        <v>17765</v>
      </c>
      <c r="BD250">
        <f>IF(ISBLANK(Tabla7[[#This Row],[15/08/2018]]),0,Tabla7[[#This Row],[15/08/2018]])</f>
        <v>19414</v>
      </c>
      <c r="BE250">
        <f>IF(ISBLANK(Tabla7[[#This Row],[15/09/2018]]),0,Tabla7[[#This Row],[15/09/2018]])</f>
        <v>21253</v>
      </c>
      <c r="BF250">
        <f>IF(ISBLANK(Tabla7[[#This Row],[15/10/2018]]),0,Tabla7[[#This Row],[15/10/2018]])</f>
        <v>22670</v>
      </c>
      <c r="BG250">
        <f>IF(ISBLANK(Tabla7[[#This Row],[15/11/2018]]),0,Tabla7[[#This Row],[15/11/2018]])</f>
        <v>24200</v>
      </c>
      <c r="BH250">
        <f>IF(ISBLANK(Tabla7[[#This Row],[15/12/2018]]),0,Tabla7[[#This Row],[15/12/2018]])</f>
        <v>26010</v>
      </c>
      <c r="BI250">
        <f>IF(ISBLANK(Tabla7[[#This Row],[28/12/2018]]),0,Tabla7[[#This Row],[28/12/2018]])</f>
        <v>0</v>
      </c>
      <c r="BN25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('717084039','V','VCT06','140','SAI GARAJE','INTERIOR CT (8)','','Instalado 20/06/17 Lectura inicial 230');</v>
      </c>
      <c r="BO250" t="s">
        <v>243</v>
      </c>
      <c r="BP250" s="632" t="str">
        <f>CONCATENATE("insert into lecturas values ","('",Tabla7[[#This Row],[CONTADOR]],"',STR_TO_DATE('",Tabla7[[#Headers],[31/12/2017]],"','%d/%m/%Y'),",AV250,"),","('",Tabla7[[#This Row],[CONTADOR]],"',STR_TO_DATE('",Tabla7[[#Headers],[15/01/2018]],"','%d/%m/%Y'),",AW250,"),","('",Tabla7[[#This Row],[CONTADOR]],"',STR_TO_DATE('",Tabla7[[#Headers],[15/02/2018]],"','%d/%m/%Y'),",AX250,"),","('",Tabla7[[#This Row],[CONTADOR]],"',STR_TO_DATE('",Tabla7[[#Headers],[15/03/2018]],"','%d/%m/%Y'),",AY250,"),","('",Tabla7[[#This Row],[CONTADOR]],"',STR_TO_DATE('",Tabla7[[#Headers],[15/04/2018]],"','%d/%m/%Y'),",AZ250,"),","('",Tabla7[[#This Row],[CONTADOR]],"',STR_TO_DATE('",Tabla7[[#Headers],[15/05/2018]],"','%d/%m/%Y'),",BA250,"),","('",Tabla7[[#This Row],[CONTADOR]],"',STR_TO_DATE('",Tabla7[[#Headers],[15/06/2018]],"','%d/%m/%Y'),",BB250,"),","('",Tabla7[[#This Row],[CONTADOR]],"',STR_TO_DATE('",Tabla7[[#Headers],[15/07/2018]],"','%d/%m/%Y'),",BC250,"),","('",Tabla7[[#This Row],[CONTADOR]],"',STR_TO_DATE('",Tabla7[[#Headers],[15/08/2018]],"','%d/%m/%Y'),",BD250,"),","('",Tabla7[[#This Row],[CONTADOR]],"',STR_TO_DATE('",Tabla7[[#Headers],[15/09/2018]],"','%d/%m/%Y'),",BE250,"),","('",Tabla7[[#This Row],[CONTADOR]],"',STR_TO_DATE('",Tabla7[[#Headers],[15/10/2018]],"','%d/%m/%Y'),",BF250,"),","('",Tabla7[[#This Row],[CONTADOR]],"',STR_TO_DATE('",Tabla7[[#Headers],[15/11/2018]],"','%d/%m/%Y'),",BG250,"),","('",Tabla7[[#This Row],[CONTADOR]],"',STR_TO_DATE('",Tabla7[[#Headers],[15/12/2018]],"','%d/%m/%Y'),",BH250,");")</f>
        <v>insert into lecturas values ('717084039',STR_TO_DATE('31/12/2017','%d/%m/%Y'),8721),('717084039',STR_TO_DATE('15/01/2018','%d/%m/%Y'),9395),('717084039',STR_TO_DATE('15/02/2018','%d/%m/%Y'),10811),('717084039',STR_TO_DATE('15/03/2018','%d/%m/%Y'),12076),('717084039',STR_TO_DATE('15/04/2018','%d/%m/%Y'),13373),('717084039',STR_TO_DATE('15/05/2018','%d/%m/%Y'),14586),('717084039',STR_TO_DATE('15/06/2018','%d/%m/%Y'),16008),('717084039',STR_TO_DATE('15/07/2018','%d/%m/%Y'),17765),('717084039',STR_TO_DATE('15/08/2018','%d/%m/%Y'),19414),('717084039',STR_TO_DATE('15/09/2018','%d/%m/%Y'),21253),('717084039',STR_TO_DATE('15/10/2018','%d/%m/%Y'),22670),('717084039',STR_TO_DATE('15/11/2018','%d/%m/%Y'),24200),('717084039',STR_TO_DATE('15/12/2018','%d/%m/%Y'),26010);</v>
      </c>
    </row>
    <row r="251" spans="1:68" ht="18" customHeight="1" x14ac:dyDescent="0.25">
      <c r="A251" s="241" t="s">
        <v>19</v>
      </c>
      <c r="B251" s="60"/>
      <c r="C251" s="342">
        <v>717093061</v>
      </c>
      <c r="D251" s="60" t="s">
        <v>55</v>
      </c>
      <c r="E251" s="258">
        <v>140</v>
      </c>
      <c r="F251" s="2" t="s">
        <v>437</v>
      </c>
      <c r="G251" s="2" t="s">
        <v>1005</v>
      </c>
      <c r="H251" s="274" t="s">
        <v>1022</v>
      </c>
      <c r="I251" s="2" t="s">
        <v>1021</v>
      </c>
      <c r="J251" s="311">
        <v>26925</v>
      </c>
      <c r="K251" s="311">
        <v>27907</v>
      </c>
      <c r="L251" s="311">
        <v>29593</v>
      </c>
      <c r="M251" s="311">
        <v>30843</v>
      </c>
      <c r="N251" s="311">
        <v>31449</v>
      </c>
      <c r="O251" s="311">
        <v>31873</v>
      </c>
      <c r="P251" s="311">
        <v>32397</v>
      </c>
      <c r="Q251" s="311">
        <v>41106</v>
      </c>
      <c r="R251" s="311">
        <v>48378</v>
      </c>
      <c r="S251" s="311">
        <v>57560</v>
      </c>
      <c r="T251" s="311">
        <v>59335</v>
      </c>
      <c r="U251" s="311">
        <v>60318</v>
      </c>
      <c r="V251" s="353">
        <v>61526</v>
      </c>
      <c r="W251" s="311"/>
      <c r="X251" s="2"/>
      <c r="Y251" s="2">
        <f t="shared" si="86"/>
        <v>982</v>
      </c>
      <c r="Z251" s="2">
        <f t="shared" si="84"/>
        <v>1686</v>
      </c>
      <c r="AA251" s="2">
        <f t="shared" si="87"/>
        <v>1250</v>
      </c>
      <c r="AB251" s="2">
        <f t="shared" si="85"/>
        <v>606</v>
      </c>
      <c r="AC251" s="2">
        <f t="shared" si="72"/>
        <v>424</v>
      </c>
      <c r="AD251" s="2">
        <f t="shared" si="73"/>
        <v>524</v>
      </c>
      <c r="AE251" s="2">
        <f t="shared" si="74"/>
        <v>8709</v>
      </c>
      <c r="AF251" s="2">
        <f t="shared" si="75"/>
        <v>7272</v>
      </c>
      <c r="AG251" s="2">
        <f t="shared" si="76"/>
        <v>9182</v>
      </c>
      <c r="AH251" s="2">
        <f t="shared" si="79"/>
        <v>1775</v>
      </c>
      <c r="AI251" s="2">
        <f t="shared" si="77"/>
        <v>983</v>
      </c>
      <c r="AJ251" s="2">
        <f t="shared" si="78"/>
        <v>1208</v>
      </c>
      <c r="AK251" s="406">
        <v>1</v>
      </c>
      <c r="AL251" s="412">
        <f t="shared" ca="1" si="68"/>
        <v>31449</v>
      </c>
      <c r="AM251" s="311">
        <f t="shared" ca="1" si="69"/>
        <v>31873</v>
      </c>
      <c r="AN251" s="274">
        <f ca="1">IF(AND(Tabla7[[#This Row],[UltLec]]&lt;&gt;0,Tabla7[[#This Row],[PenLect]]&lt;&gt;0),(AM251-AL251)*Tabla7[[#This Row],[RT]],"N/A")</f>
        <v>424</v>
      </c>
      <c r="AO251" s="273" t="s">
        <v>862</v>
      </c>
      <c r="AP251" s="392" t="s">
        <v>1190</v>
      </c>
      <c r="AQ251" s="392" t="s">
        <v>1189</v>
      </c>
      <c r="AR251" s="407">
        <f t="shared" si="70"/>
        <v>0</v>
      </c>
      <c r="AT251" s="2">
        <f t="shared" ca="1" si="71"/>
        <v>0.6996699669966997</v>
      </c>
      <c r="AV251">
        <f>IF(ISBLANK(Tabla7[[#This Row],[31/12/2017]]),0,Tabla7[[#This Row],[31/12/2017]])</f>
        <v>26925</v>
      </c>
      <c r="AW251">
        <f>IF(ISBLANK(Tabla7[[#This Row],[15/01/2018]]),0,Tabla7[[#This Row],[15/01/2018]])</f>
        <v>27907</v>
      </c>
      <c r="AX251">
        <f>IF(ISBLANK(Tabla7[[#This Row],[15/02/2018]]),0,Tabla7[[#This Row],[15/02/2018]])</f>
        <v>29593</v>
      </c>
      <c r="AY251">
        <f>IF(ISBLANK(Tabla7[[#This Row],[15/03/2018]]),0,Tabla7[[#This Row],[15/03/2018]])</f>
        <v>30843</v>
      </c>
      <c r="AZ251">
        <f>IF(ISBLANK(Tabla7[[#This Row],[15/04/2018]]),0,Tabla7[[#This Row],[15/04/2018]])</f>
        <v>31449</v>
      </c>
      <c r="BA251">
        <f>IF(ISBLANK(Tabla7[[#This Row],[15/05/2018]]),0,Tabla7[[#This Row],[15/05/2018]])</f>
        <v>31873</v>
      </c>
      <c r="BB251">
        <f>IF(ISBLANK(Tabla7[[#This Row],[15/06/2018]]),0,Tabla7[[#This Row],[15/06/2018]])</f>
        <v>32397</v>
      </c>
      <c r="BC251">
        <f>IF(ISBLANK(Tabla7[[#This Row],[15/07/2018]]),0,Tabla7[[#This Row],[15/07/2018]])</f>
        <v>41106</v>
      </c>
      <c r="BD251">
        <f>IF(ISBLANK(Tabla7[[#This Row],[15/08/2018]]),0,Tabla7[[#This Row],[15/08/2018]])</f>
        <v>48378</v>
      </c>
      <c r="BE251">
        <f>IF(ISBLANK(Tabla7[[#This Row],[15/09/2018]]),0,Tabla7[[#This Row],[15/09/2018]])</f>
        <v>57560</v>
      </c>
      <c r="BF251">
        <f>IF(ISBLANK(Tabla7[[#This Row],[15/10/2018]]),0,Tabla7[[#This Row],[15/10/2018]])</f>
        <v>59335</v>
      </c>
      <c r="BG251">
        <f>IF(ISBLANK(Tabla7[[#This Row],[15/11/2018]]),0,Tabla7[[#This Row],[15/11/2018]])</f>
        <v>60318</v>
      </c>
      <c r="BH251">
        <f>IF(ISBLANK(Tabla7[[#This Row],[15/12/2018]]),0,Tabla7[[#This Row],[15/12/2018]])</f>
        <v>61526</v>
      </c>
      <c r="BI251">
        <f>IF(ISBLANK(Tabla7[[#This Row],[28/12/2018]]),0,Tabla7[[#This Row],[28/12/2018]])</f>
        <v>0</v>
      </c>
      <c r="BN25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('717093061','V','VCT06','140','POLIDEPORTIVO','INTERIOR CT (2)','Alta 12/6/17 50/5 Pero ya parametrizado.','Añadido el 25/08/17 Lectura inicial?¿?¿?');</v>
      </c>
      <c r="BO251" t="s">
        <v>243</v>
      </c>
      <c r="BP251" s="632" t="str">
        <f>CONCATENATE("insert into lecturas values ","('",Tabla7[[#This Row],[CONTADOR]],"',STR_TO_DATE('",Tabla7[[#Headers],[31/12/2017]],"','%d/%m/%Y'),",AV251,"),","('",Tabla7[[#This Row],[CONTADOR]],"',STR_TO_DATE('",Tabla7[[#Headers],[15/01/2018]],"','%d/%m/%Y'),",AW251,"),","('",Tabla7[[#This Row],[CONTADOR]],"',STR_TO_DATE('",Tabla7[[#Headers],[15/02/2018]],"','%d/%m/%Y'),",AX251,"),","('",Tabla7[[#This Row],[CONTADOR]],"',STR_TO_DATE('",Tabla7[[#Headers],[15/03/2018]],"','%d/%m/%Y'),",AY251,"),","('",Tabla7[[#This Row],[CONTADOR]],"',STR_TO_DATE('",Tabla7[[#Headers],[15/04/2018]],"','%d/%m/%Y'),",AZ251,"),","('",Tabla7[[#This Row],[CONTADOR]],"',STR_TO_DATE('",Tabla7[[#Headers],[15/05/2018]],"','%d/%m/%Y'),",BA251,"),","('",Tabla7[[#This Row],[CONTADOR]],"',STR_TO_DATE('",Tabla7[[#Headers],[15/06/2018]],"','%d/%m/%Y'),",BB251,"),","('",Tabla7[[#This Row],[CONTADOR]],"',STR_TO_DATE('",Tabla7[[#Headers],[15/07/2018]],"','%d/%m/%Y'),",BC251,"),","('",Tabla7[[#This Row],[CONTADOR]],"',STR_TO_DATE('",Tabla7[[#Headers],[15/08/2018]],"','%d/%m/%Y'),",BD251,"),","('",Tabla7[[#This Row],[CONTADOR]],"',STR_TO_DATE('",Tabla7[[#Headers],[15/09/2018]],"','%d/%m/%Y'),",BE251,"),","('",Tabla7[[#This Row],[CONTADOR]],"',STR_TO_DATE('",Tabla7[[#Headers],[15/10/2018]],"','%d/%m/%Y'),",BF251,"),","('",Tabla7[[#This Row],[CONTADOR]],"',STR_TO_DATE('",Tabla7[[#Headers],[15/11/2018]],"','%d/%m/%Y'),",BG251,"),","('",Tabla7[[#This Row],[CONTADOR]],"',STR_TO_DATE('",Tabla7[[#Headers],[15/12/2018]],"','%d/%m/%Y'),",BH251,");")</f>
        <v>insert into lecturas values ('717093061',STR_TO_DATE('31/12/2017','%d/%m/%Y'),26925),('717093061',STR_TO_DATE('15/01/2018','%d/%m/%Y'),27907),('717093061',STR_TO_DATE('15/02/2018','%d/%m/%Y'),29593),('717093061',STR_TO_DATE('15/03/2018','%d/%m/%Y'),30843),('717093061',STR_TO_DATE('15/04/2018','%d/%m/%Y'),31449),('717093061',STR_TO_DATE('15/05/2018','%d/%m/%Y'),31873),('717093061',STR_TO_DATE('15/06/2018','%d/%m/%Y'),32397),('717093061',STR_TO_DATE('15/07/2018','%d/%m/%Y'),41106),('717093061',STR_TO_DATE('15/08/2018','%d/%m/%Y'),48378),('717093061',STR_TO_DATE('15/09/2018','%d/%m/%Y'),57560),('717093061',STR_TO_DATE('15/10/2018','%d/%m/%Y'),59335),('717093061',STR_TO_DATE('15/11/2018','%d/%m/%Y'),60318),('717093061',STR_TO_DATE('15/12/2018','%d/%m/%Y'),61526);</v>
      </c>
    </row>
    <row r="252" spans="1:68" ht="18" customHeight="1" x14ac:dyDescent="0.25">
      <c r="A252" s="241" t="s">
        <v>19</v>
      </c>
      <c r="B252" s="60"/>
      <c r="C252" s="342" t="s">
        <v>56</v>
      </c>
      <c r="D252" s="60" t="s">
        <v>55</v>
      </c>
      <c r="E252" s="258">
        <v>39254</v>
      </c>
      <c r="F252" s="2" t="s">
        <v>57</v>
      </c>
      <c r="G252" s="2" t="s">
        <v>58</v>
      </c>
      <c r="H252" s="2"/>
      <c r="I252" s="2"/>
      <c r="J252" s="311">
        <v>97160</v>
      </c>
      <c r="K252" s="311">
        <v>97549</v>
      </c>
      <c r="L252" s="311">
        <v>98425</v>
      </c>
      <c r="M252" s="354">
        <v>99233</v>
      </c>
      <c r="N252" s="354">
        <v>99794</v>
      </c>
      <c r="O252" s="354">
        <v>100377</v>
      </c>
      <c r="P252" s="354">
        <v>100986</v>
      </c>
      <c r="Q252" s="354">
        <v>101618</v>
      </c>
      <c r="R252" s="354">
        <v>102100</v>
      </c>
      <c r="S252" s="354">
        <v>102722</v>
      </c>
      <c r="T252" s="354">
        <v>103472</v>
      </c>
      <c r="U252" s="354">
        <v>104016</v>
      </c>
      <c r="V252" s="354">
        <v>104881</v>
      </c>
      <c r="W252" s="354"/>
      <c r="X252" s="265"/>
      <c r="Y252" s="265">
        <f t="shared" si="86"/>
        <v>389</v>
      </c>
      <c r="Z252" s="265">
        <f t="shared" si="84"/>
        <v>876</v>
      </c>
      <c r="AA252" s="265">
        <f t="shared" si="87"/>
        <v>808</v>
      </c>
      <c r="AB252" s="265">
        <f t="shared" si="85"/>
        <v>561</v>
      </c>
      <c r="AC252" s="2">
        <f t="shared" si="72"/>
        <v>583</v>
      </c>
      <c r="AD252" s="265">
        <f t="shared" si="73"/>
        <v>609</v>
      </c>
      <c r="AE252" s="265">
        <f t="shared" si="74"/>
        <v>632</v>
      </c>
      <c r="AF252" s="265">
        <f t="shared" si="75"/>
        <v>482</v>
      </c>
      <c r="AG252" s="265">
        <f t="shared" si="76"/>
        <v>622</v>
      </c>
      <c r="AH252" s="265">
        <f t="shared" si="79"/>
        <v>750</v>
      </c>
      <c r="AI252" s="265">
        <f t="shared" si="77"/>
        <v>544</v>
      </c>
      <c r="AJ252" s="265">
        <f t="shared" si="78"/>
        <v>865</v>
      </c>
      <c r="AK252" s="410">
        <v>1</v>
      </c>
      <c r="AL252" s="308">
        <f t="shared" ca="1" si="68"/>
        <v>99794</v>
      </c>
      <c r="AM252" s="354">
        <f t="shared" ca="1" si="69"/>
        <v>100377</v>
      </c>
      <c r="AN252" s="308">
        <f ca="1">IF(AND(Tabla7[[#This Row],[UltLec]]&lt;&gt;0,Tabla7[[#This Row],[PenLect]]&lt;&gt;0),(AM252-AL252)*Tabla7[[#This Row],[RT]],"N/A")</f>
        <v>583</v>
      </c>
      <c r="AO252" s="357" t="s">
        <v>862</v>
      </c>
      <c r="AP252" s="392" t="s">
        <v>1190</v>
      </c>
      <c r="AQ252" s="392" t="s">
        <v>1189</v>
      </c>
      <c r="AR252" s="407">
        <f t="shared" si="70"/>
        <v>0</v>
      </c>
      <c r="AT252" s="2">
        <f t="shared" ca="1" si="71"/>
        <v>1.0392156862745099</v>
      </c>
      <c r="AV252">
        <f>IF(ISBLANK(Tabla7[[#This Row],[31/12/2017]]),0,Tabla7[[#This Row],[31/12/2017]])</f>
        <v>97160</v>
      </c>
      <c r="AW252">
        <f>IF(ISBLANK(Tabla7[[#This Row],[15/01/2018]]),0,Tabla7[[#This Row],[15/01/2018]])</f>
        <v>97549</v>
      </c>
      <c r="AX252">
        <f>IF(ISBLANK(Tabla7[[#This Row],[15/02/2018]]),0,Tabla7[[#This Row],[15/02/2018]])</f>
        <v>98425</v>
      </c>
      <c r="AY252">
        <f>IF(ISBLANK(Tabla7[[#This Row],[15/03/2018]]),0,Tabla7[[#This Row],[15/03/2018]])</f>
        <v>99233</v>
      </c>
      <c r="AZ252">
        <f>IF(ISBLANK(Tabla7[[#This Row],[15/04/2018]]),0,Tabla7[[#This Row],[15/04/2018]])</f>
        <v>99794</v>
      </c>
      <c r="BA252">
        <f>IF(ISBLANK(Tabla7[[#This Row],[15/05/2018]]),0,Tabla7[[#This Row],[15/05/2018]])</f>
        <v>100377</v>
      </c>
      <c r="BB252">
        <f>IF(ISBLANK(Tabla7[[#This Row],[15/06/2018]]),0,Tabla7[[#This Row],[15/06/2018]])</f>
        <v>100986</v>
      </c>
      <c r="BC252">
        <f>IF(ISBLANK(Tabla7[[#This Row],[15/07/2018]]),0,Tabla7[[#This Row],[15/07/2018]])</f>
        <v>101618</v>
      </c>
      <c r="BD252">
        <f>IF(ISBLANK(Tabla7[[#This Row],[15/08/2018]]),0,Tabla7[[#This Row],[15/08/2018]])</f>
        <v>102100</v>
      </c>
      <c r="BE252">
        <f>IF(ISBLANK(Tabla7[[#This Row],[15/09/2018]]),0,Tabla7[[#This Row],[15/09/2018]])</f>
        <v>102722</v>
      </c>
      <c r="BF252">
        <f>IF(ISBLANK(Tabla7[[#This Row],[15/10/2018]]),0,Tabla7[[#This Row],[15/10/2018]])</f>
        <v>103472</v>
      </c>
      <c r="BG252">
        <f>IF(ISBLANK(Tabla7[[#This Row],[15/11/2018]]),0,Tabla7[[#This Row],[15/11/2018]])</f>
        <v>104016</v>
      </c>
      <c r="BH252">
        <f>IF(ISBLANK(Tabla7[[#This Row],[15/12/2018]]),0,Tabla7[[#This Row],[15/12/2018]])</f>
        <v>104881</v>
      </c>
      <c r="BI252">
        <f>IF(ISBLANK(Tabla7[[#This Row],[28/12/2018]]),0,Tabla7[[#This Row],[28/12/2018]])</f>
        <v>0</v>
      </c>
      <c r="BN25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('LW00014344','V','VCT06','39254','DELEGACION DEL GOBIERNO','EXT EDIFICIO SANIDAD','','');</v>
      </c>
      <c r="BO252" t="s">
        <v>243</v>
      </c>
      <c r="BP252" s="632" t="str">
        <f>CONCATENATE("insert into lecturas values ","('",Tabla7[[#This Row],[CONTADOR]],"',STR_TO_DATE('",Tabla7[[#Headers],[31/12/2017]],"','%d/%m/%Y'),",AV252,"),","('",Tabla7[[#This Row],[CONTADOR]],"',STR_TO_DATE('",Tabla7[[#Headers],[15/01/2018]],"','%d/%m/%Y'),",AW252,"),","('",Tabla7[[#This Row],[CONTADOR]],"',STR_TO_DATE('",Tabla7[[#Headers],[15/02/2018]],"','%d/%m/%Y'),",AX252,"),","('",Tabla7[[#This Row],[CONTADOR]],"',STR_TO_DATE('",Tabla7[[#Headers],[15/03/2018]],"','%d/%m/%Y'),",AY252,"),","('",Tabla7[[#This Row],[CONTADOR]],"',STR_TO_DATE('",Tabla7[[#Headers],[15/04/2018]],"','%d/%m/%Y'),",AZ252,"),","('",Tabla7[[#This Row],[CONTADOR]],"',STR_TO_DATE('",Tabla7[[#Headers],[15/05/2018]],"','%d/%m/%Y'),",BA252,"),","('",Tabla7[[#This Row],[CONTADOR]],"',STR_TO_DATE('",Tabla7[[#Headers],[15/06/2018]],"','%d/%m/%Y'),",BB252,"),","('",Tabla7[[#This Row],[CONTADOR]],"',STR_TO_DATE('",Tabla7[[#Headers],[15/07/2018]],"','%d/%m/%Y'),",BC252,"),","('",Tabla7[[#This Row],[CONTADOR]],"',STR_TO_DATE('",Tabla7[[#Headers],[15/08/2018]],"','%d/%m/%Y'),",BD252,"),","('",Tabla7[[#This Row],[CONTADOR]],"',STR_TO_DATE('",Tabla7[[#Headers],[15/09/2018]],"','%d/%m/%Y'),",BE252,"),","('",Tabla7[[#This Row],[CONTADOR]],"',STR_TO_DATE('",Tabla7[[#Headers],[15/10/2018]],"','%d/%m/%Y'),",BF252,"),","('",Tabla7[[#This Row],[CONTADOR]],"',STR_TO_DATE('",Tabla7[[#Headers],[15/11/2018]],"','%d/%m/%Y'),",BG252,"),","('",Tabla7[[#This Row],[CONTADOR]],"',STR_TO_DATE('",Tabla7[[#Headers],[15/12/2018]],"','%d/%m/%Y'),",BH252,");")</f>
        <v>insert into lecturas values ('LW00014344',STR_TO_DATE('31/12/2017','%d/%m/%Y'),97160),('LW00014344',STR_TO_DATE('15/01/2018','%d/%m/%Y'),97549),('LW00014344',STR_TO_DATE('15/02/2018','%d/%m/%Y'),98425),('LW00014344',STR_TO_DATE('15/03/2018','%d/%m/%Y'),99233),('LW00014344',STR_TO_DATE('15/04/2018','%d/%m/%Y'),99794),('LW00014344',STR_TO_DATE('15/05/2018','%d/%m/%Y'),100377),('LW00014344',STR_TO_DATE('15/06/2018','%d/%m/%Y'),100986),('LW00014344',STR_TO_DATE('15/07/2018','%d/%m/%Y'),101618),('LW00014344',STR_TO_DATE('15/08/2018','%d/%m/%Y'),102100),('LW00014344',STR_TO_DATE('15/09/2018','%d/%m/%Y'),102722),('LW00014344',STR_TO_DATE('15/10/2018','%d/%m/%Y'),103472),('LW00014344',STR_TO_DATE('15/11/2018','%d/%m/%Y'),104016),('LW00014344',STR_TO_DATE('15/12/2018','%d/%m/%Y'),104881);</v>
      </c>
    </row>
    <row r="253" spans="1:68" ht="18" customHeight="1" x14ac:dyDescent="0.25">
      <c r="A253" s="241" t="s">
        <v>19</v>
      </c>
      <c r="B253" s="60"/>
      <c r="C253" s="342" t="s">
        <v>66</v>
      </c>
      <c r="D253" s="60" t="s">
        <v>55</v>
      </c>
      <c r="E253" s="258">
        <v>150</v>
      </c>
      <c r="F253" s="2" t="s">
        <v>816</v>
      </c>
      <c r="G253" s="2" t="s">
        <v>1006</v>
      </c>
      <c r="H253" s="2" t="s">
        <v>67</v>
      </c>
      <c r="I253" s="2"/>
      <c r="J253" s="311">
        <v>455697</v>
      </c>
      <c r="K253" s="311">
        <v>457762</v>
      </c>
      <c r="L253" s="311">
        <v>462459</v>
      </c>
      <c r="M253" s="311">
        <v>466820</v>
      </c>
      <c r="N253" s="311">
        <v>470262</v>
      </c>
      <c r="O253" s="311">
        <v>472813</v>
      </c>
      <c r="P253" s="311">
        <v>476223</v>
      </c>
      <c r="Q253" s="311">
        <v>481904</v>
      </c>
      <c r="R253" s="311">
        <v>488418</v>
      </c>
      <c r="S253" s="311">
        <v>494630</v>
      </c>
      <c r="T253" s="311">
        <v>498459</v>
      </c>
      <c r="U253" s="311">
        <v>502213</v>
      </c>
      <c r="V253" s="311">
        <v>505695</v>
      </c>
      <c r="W253" s="311"/>
      <c r="X253" s="2"/>
      <c r="Y253" s="2">
        <f t="shared" si="86"/>
        <v>2065</v>
      </c>
      <c r="Z253" s="2">
        <f t="shared" si="84"/>
        <v>4697</v>
      </c>
      <c r="AA253" s="2">
        <f t="shared" si="87"/>
        <v>4361</v>
      </c>
      <c r="AB253" s="2">
        <f t="shared" si="85"/>
        <v>3442</v>
      </c>
      <c r="AC253" s="2">
        <f t="shared" si="72"/>
        <v>2551</v>
      </c>
      <c r="AD253" s="2">
        <f t="shared" si="73"/>
        <v>3410</v>
      </c>
      <c r="AE253" s="2">
        <f t="shared" si="74"/>
        <v>5681</v>
      </c>
      <c r="AF253" s="2">
        <f t="shared" si="75"/>
        <v>6514</v>
      </c>
      <c r="AG253" s="2">
        <f t="shared" si="76"/>
        <v>6212</v>
      </c>
      <c r="AH253" s="2">
        <f t="shared" si="79"/>
        <v>3829</v>
      </c>
      <c r="AI253" s="2">
        <f t="shared" si="77"/>
        <v>3754</v>
      </c>
      <c r="AJ253" s="2">
        <f t="shared" si="78"/>
        <v>3482</v>
      </c>
      <c r="AK253" s="406">
        <v>1</v>
      </c>
      <c r="AL253" s="274">
        <f t="shared" ca="1" si="68"/>
        <v>470262</v>
      </c>
      <c r="AM253" s="311">
        <f t="shared" ca="1" si="69"/>
        <v>472813</v>
      </c>
      <c r="AN253" s="274">
        <f ca="1">IF(AND(Tabla7[[#This Row],[UltLec]]&lt;&gt;0,Tabla7[[#This Row],[PenLect]]&lt;&gt;0),(AM253-AL253)*Tabla7[[#This Row],[RT]],"N/A")</f>
        <v>2551</v>
      </c>
      <c r="AO253" s="273" t="s">
        <v>862</v>
      </c>
      <c r="AP253" s="392" t="s">
        <v>1190</v>
      </c>
      <c r="AQ253" s="392" t="s">
        <v>1189</v>
      </c>
      <c r="AR253" s="407">
        <f t="shared" si="70"/>
        <v>0</v>
      </c>
      <c r="AT253" s="2">
        <f t="shared" ca="1" si="71"/>
        <v>0.74113887274840207</v>
      </c>
      <c r="AV253">
        <f>IF(ISBLANK(Tabla7[[#This Row],[31/12/2017]]),0,Tabla7[[#This Row],[31/12/2017]])</f>
        <v>455697</v>
      </c>
      <c r="AW253">
        <f>IF(ISBLANK(Tabla7[[#This Row],[15/01/2018]]),0,Tabla7[[#This Row],[15/01/2018]])</f>
        <v>457762</v>
      </c>
      <c r="AX253">
        <f>IF(ISBLANK(Tabla7[[#This Row],[15/02/2018]]),0,Tabla7[[#This Row],[15/02/2018]])</f>
        <v>462459</v>
      </c>
      <c r="AY253">
        <f>IF(ISBLANK(Tabla7[[#This Row],[15/03/2018]]),0,Tabla7[[#This Row],[15/03/2018]])</f>
        <v>466820</v>
      </c>
      <c r="AZ253">
        <f>IF(ISBLANK(Tabla7[[#This Row],[15/04/2018]]),0,Tabla7[[#This Row],[15/04/2018]])</f>
        <v>470262</v>
      </c>
      <c r="BA253">
        <f>IF(ISBLANK(Tabla7[[#This Row],[15/05/2018]]),0,Tabla7[[#This Row],[15/05/2018]])</f>
        <v>472813</v>
      </c>
      <c r="BB253">
        <f>IF(ISBLANK(Tabla7[[#This Row],[15/06/2018]]),0,Tabla7[[#This Row],[15/06/2018]])</f>
        <v>476223</v>
      </c>
      <c r="BC253">
        <f>IF(ISBLANK(Tabla7[[#This Row],[15/07/2018]]),0,Tabla7[[#This Row],[15/07/2018]])</f>
        <v>481904</v>
      </c>
      <c r="BD253">
        <f>IF(ISBLANK(Tabla7[[#This Row],[15/08/2018]]),0,Tabla7[[#This Row],[15/08/2018]])</f>
        <v>488418</v>
      </c>
      <c r="BE253">
        <f>IF(ISBLANK(Tabla7[[#This Row],[15/09/2018]]),0,Tabla7[[#This Row],[15/09/2018]])</f>
        <v>494630</v>
      </c>
      <c r="BF253">
        <f>IF(ISBLANK(Tabla7[[#This Row],[15/10/2018]]),0,Tabla7[[#This Row],[15/10/2018]])</f>
        <v>498459</v>
      </c>
      <c r="BG253">
        <f>IF(ISBLANK(Tabla7[[#This Row],[15/11/2018]]),0,Tabla7[[#This Row],[15/11/2018]])</f>
        <v>502213</v>
      </c>
      <c r="BH253">
        <f>IF(ISBLANK(Tabla7[[#This Row],[15/12/2018]]),0,Tabla7[[#This Row],[15/12/2018]])</f>
        <v>505695</v>
      </c>
      <c r="BI253">
        <f>IF(ISBLANK(Tabla7[[#This Row],[28/12/2018]]),0,Tabla7[[#This Row],[28/12/2018]])</f>
        <v>0</v>
      </c>
      <c r="BN25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('LW00042595','V','VCT06','150','APV COMEDOR','INTERIOR CT (3)','COMEDOR','');</v>
      </c>
      <c r="BO253" t="s">
        <v>243</v>
      </c>
      <c r="BP253" s="632" t="str">
        <f>CONCATENATE("insert into lecturas values ","('",Tabla7[[#This Row],[CONTADOR]],"',STR_TO_DATE('",Tabla7[[#Headers],[31/12/2017]],"','%d/%m/%Y'),",AV253,"),","('",Tabla7[[#This Row],[CONTADOR]],"',STR_TO_DATE('",Tabla7[[#Headers],[15/01/2018]],"','%d/%m/%Y'),",AW253,"),","('",Tabla7[[#This Row],[CONTADOR]],"',STR_TO_DATE('",Tabla7[[#Headers],[15/02/2018]],"','%d/%m/%Y'),",AX253,"),","('",Tabla7[[#This Row],[CONTADOR]],"',STR_TO_DATE('",Tabla7[[#Headers],[15/03/2018]],"','%d/%m/%Y'),",AY253,"),","('",Tabla7[[#This Row],[CONTADOR]],"',STR_TO_DATE('",Tabla7[[#Headers],[15/04/2018]],"','%d/%m/%Y'),",AZ253,"),","('",Tabla7[[#This Row],[CONTADOR]],"',STR_TO_DATE('",Tabla7[[#Headers],[15/05/2018]],"','%d/%m/%Y'),",BA253,"),","('",Tabla7[[#This Row],[CONTADOR]],"',STR_TO_DATE('",Tabla7[[#Headers],[15/06/2018]],"','%d/%m/%Y'),",BB253,"),","('",Tabla7[[#This Row],[CONTADOR]],"',STR_TO_DATE('",Tabla7[[#Headers],[15/07/2018]],"','%d/%m/%Y'),",BC253,"),","('",Tabla7[[#This Row],[CONTADOR]],"',STR_TO_DATE('",Tabla7[[#Headers],[15/08/2018]],"','%d/%m/%Y'),",BD253,"),","('",Tabla7[[#This Row],[CONTADOR]],"',STR_TO_DATE('",Tabla7[[#Headers],[15/09/2018]],"','%d/%m/%Y'),",BE253,"),","('",Tabla7[[#This Row],[CONTADOR]],"',STR_TO_DATE('",Tabla7[[#Headers],[15/10/2018]],"','%d/%m/%Y'),",BF253,"),","('",Tabla7[[#This Row],[CONTADOR]],"',STR_TO_DATE('",Tabla7[[#Headers],[15/11/2018]],"','%d/%m/%Y'),",BG253,"),","('",Tabla7[[#This Row],[CONTADOR]],"',STR_TO_DATE('",Tabla7[[#Headers],[15/12/2018]],"','%d/%m/%Y'),",BH253,");")</f>
        <v>insert into lecturas values ('LW00042595',STR_TO_DATE('31/12/2017','%d/%m/%Y'),455697),('LW00042595',STR_TO_DATE('15/01/2018','%d/%m/%Y'),457762),('LW00042595',STR_TO_DATE('15/02/2018','%d/%m/%Y'),462459),('LW00042595',STR_TO_DATE('15/03/2018','%d/%m/%Y'),466820),('LW00042595',STR_TO_DATE('15/04/2018','%d/%m/%Y'),470262),('LW00042595',STR_TO_DATE('15/05/2018','%d/%m/%Y'),472813),('LW00042595',STR_TO_DATE('15/06/2018','%d/%m/%Y'),476223),('LW00042595',STR_TO_DATE('15/07/2018','%d/%m/%Y'),481904),('LW00042595',STR_TO_DATE('15/08/2018','%d/%m/%Y'),488418),('LW00042595',STR_TO_DATE('15/09/2018','%d/%m/%Y'),494630),('LW00042595',STR_TO_DATE('15/10/2018','%d/%m/%Y'),498459),('LW00042595',STR_TO_DATE('15/11/2018','%d/%m/%Y'),502213),('LW00042595',STR_TO_DATE('15/12/2018','%d/%m/%Y'),505695);</v>
      </c>
    </row>
    <row r="254" spans="1:68" ht="18" customHeight="1" x14ac:dyDescent="0.25">
      <c r="A254" s="241" t="s">
        <v>19</v>
      </c>
      <c r="B254" s="60"/>
      <c r="C254" s="342" t="s">
        <v>68</v>
      </c>
      <c r="D254" s="60" t="s">
        <v>55</v>
      </c>
      <c r="E254" s="258">
        <v>39088</v>
      </c>
      <c r="F254" s="2" t="s">
        <v>436</v>
      </c>
      <c r="G254" s="2" t="s">
        <v>69</v>
      </c>
      <c r="H254" s="2"/>
      <c r="I254" s="2"/>
      <c r="J254" s="311">
        <v>719559</v>
      </c>
      <c r="K254" s="311">
        <v>723500</v>
      </c>
      <c r="L254" s="311">
        <v>728441</v>
      </c>
      <c r="M254" s="311">
        <v>734353</v>
      </c>
      <c r="N254" s="311">
        <v>740619</v>
      </c>
      <c r="O254" s="311">
        <v>746025</v>
      </c>
      <c r="P254" s="311">
        <v>752912</v>
      </c>
      <c r="Q254" s="311">
        <v>758000</v>
      </c>
      <c r="R254" s="311">
        <v>772204</v>
      </c>
      <c r="S254" s="311">
        <v>780598</v>
      </c>
      <c r="T254" s="311">
        <v>787465</v>
      </c>
      <c r="U254" s="492">
        <v>794204</v>
      </c>
      <c r="V254" s="311">
        <v>801258</v>
      </c>
      <c r="W254" s="2"/>
      <c r="X254" s="2"/>
      <c r="Y254" s="2">
        <f t="shared" si="86"/>
        <v>3941</v>
      </c>
      <c r="Z254" s="2">
        <f t="shared" si="84"/>
        <v>4941</v>
      </c>
      <c r="AA254" s="2">
        <f t="shared" si="87"/>
        <v>5912</v>
      </c>
      <c r="AB254" s="2">
        <f t="shared" si="85"/>
        <v>6266</v>
      </c>
      <c r="AC254" s="2">
        <f t="shared" si="72"/>
        <v>5406</v>
      </c>
      <c r="AD254" s="2">
        <f t="shared" si="73"/>
        <v>6887</v>
      </c>
      <c r="AE254" s="2">
        <f t="shared" si="74"/>
        <v>5088</v>
      </c>
      <c r="AF254" s="2">
        <f t="shared" si="75"/>
        <v>14204</v>
      </c>
      <c r="AG254" s="2">
        <f t="shared" si="76"/>
        <v>8394</v>
      </c>
      <c r="AH254" s="2">
        <f t="shared" si="79"/>
        <v>6867</v>
      </c>
      <c r="AI254" s="2">
        <f t="shared" si="77"/>
        <v>6739</v>
      </c>
      <c r="AJ254" s="2">
        <f t="shared" si="78"/>
        <v>7054</v>
      </c>
      <c r="AK254" s="406">
        <v>1</v>
      </c>
      <c r="AL254" s="274">
        <f t="shared" ca="1" si="68"/>
        <v>740619</v>
      </c>
      <c r="AM254" s="311">
        <f t="shared" ca="1" si="69"/>
        <v>746025</v>
      </c>
      <c r="AN254" s="274">
        <f ca="1">IF(AND(Tabla7[[#This Row],[UltLec]]&lt;&gt;0,Tabla7[[#This Row],[PenLect]]&lt;&gt;0),(AM254-AL254)*Tabla7[[#This Row],[RT]],"N/A")</f>
        <v>5406</v>
      </c>
      <c r="AO254" s="273" t="s">
        <v>862</v>
      </c>
      <c r="AP254" s="392" t="s">
        <v>1190</v>
      </c>
      <c r="AQ254" s="392" t="s">
        <v>1189</v>
      </c>
      <c r="AR254" s="407">
        <f t="shared" si="70"/>
        <v>0</v>
      </c>
      <c r="AT254" s="2">
        <f t="shared" ca="1" si="71"/>
        <v>0.86275135652729018</v>
      </c>
      <c r="AV254">
        <f>IF(ISBLANK(Tabla7[[#This Row],[31/12/2017]]),0,Tabla7[[#This Row],[31/12/2017]])</f>
        <v>719559</v>
      </c>
      <c r="AW254">
        <f>IF(ISBLANK(Tabla7[[#This Row],[15/01/2018]]),0,Tabla7[[#This Row],[15/01/2018]])</f>
        <v>723500</v>
      </c>
      <c r="AX254">
        <f>IF(ISBLANK(Tabla7[[#This Row],[15/02/2018]]),0,Tabla7[[#This Row],[15/02/2018]])</f>
        <v>728441</v>
      </c>
      <c r="AY254">
        <f>IF(ISBLANK(Tabla7[[#This Row],[15/03/2018]]),0,Tabla7[[#This Row],[15/03/2018]])</f>
        <v>734353</v>
      </c>
      <c r="AZ254">
        <f>IF(ISBLANK(Tabla7[[#This Row],[15/04/2018]]),0,Tabla7[[#This Row],[15/04/2018]])</f>
        <v>740619</v>
      </c>
      <c r="BA254">
        <f>IF(ISBLANK(Tabla7[[#This Row],[15/05/2018]]),0,Tabla7[[#This Row],[15/05/2018]])</f>
        <v>746025</v>
      </c>
      <c r="BB254">
        <f>IF(ISBLANK(Tabla7[[#This Row],[15/06/2018]]),0,Tabla7[[#This Row],[15/06/2018]])</f>
        <v>752912</v>
      </c>
      <c r="BC254">
        <f>IF(ISBLANK(Tabla7[[#This Row],[15/07/2018]]),0,Tabla7[[#This Row],[15/07/2018]])</f>
        <v>758000</v>
      </c>
      <c r="BD254">
        <f>IF(ISBLANK(Tabla7[[#This Row],[15/08/2018]]),0,Tabla7[[#This Row],[15/08/2018]])</f>
        <v>772204</v>
      </c>
      <c r="BE254">
        <f>IF(ISBLANK(Tabla7[[#This Row],[15/09/2018]]),0,Tabla7[[#This Row],[15/09/2018]])</f>
        <v>780598</v>
      </c>
      <c r="BF254">
        <f>IF(ISBLANK(Tabla7[[#This Row],[15/10/2018]]),0,Tabla7[[#This Row],[15/10/2018]])</f>
        <v>787465</v>
      </c>
      <c r="BG254">
        <f>IF(ISBLANK(Tabla7[[#This Row],[15/11/2018]]),0,Tabla7[[#This Row],[15/11/2018]])</f>
        <v>794204</v>
      </c>
      <c r="BH254">
        <f>IF(ISBLANK(Tabla7[[#This Row],[15/12/2018]]),0,Tabla7[[#This Row],[15/12/2018]])</f>
        <v>801258</v>
      </c>
      <c r="BI254">
        <f>IF(ISBLANK(Tabla7[[#This Row],[28/12/2018]]),0,Tabla7[[#This Row],[28/12/2018]])</f>
        <v>0</v>
      </c>
      <c r="BN25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('LW00043081','V','VCT06','39088','DEL TORO IBAÑEZ, S.L. ','SOTANO BAR ADUANA','','');</v>
      </c>
      <c r="BO254" t="s">
        <v>243</v>
      </c>
      <c r="BP254" s="632" t="str">
        <f>CONCATENATE("insert into lecturas values ","('",Tabla7[[#This Row],[CONTADOR]],"',STR_TO_DATE('",Tabla7[[#Headers],[31/12/2017]],"','%d/%m/%Y'),",AV254,"),","('",Tabla7[[#This Row],[CONTADOR]],"',STR_TO_DATE('",Tabla7[[#Headers],[15/01/2018]],"','%d/%m/%Y'),",AW254,"),","('",Tabla7[[#This Row],[CONTADOR]],"',STR_TO_DATE('",Tabla7[[#Headers],[15/02/2018]],"','%d/%m/%Y'),",AX254,"),","('",Tabla7[[#This Row],[CONTADOR]],"',STR_TO_DATE('",Tabla7[[#Headers],[15/03/2018]],"','%d/%m/%Y'),",AY254,"),","('",Tabla7[[#This Row],[CONTADOR]],"',STR_TO_DATE('",Tabla7[[#Headers],[15/04/2018]],"','%d/%m/%Y'),",AZ254,"),","('",Tabla7[[#This Row],[CONTADOR]],"',STR_TO_DATE('",Tabla7[[#Headers],[15/05/2018]],"','%d/%m/%Y'),",BA254,"),","('",Tabla7[[#This Row],[CONTADOR]],"',STR_TO_DATE('",Tabla7[[#Headers],[15/06/2018]],"','%d/%m/%Y'),",BB254,"),","('",Tabla7[[#This Row],[CONTADOR]],"',STR_TO_DATE('",Tabla7[[#Headers],[15/07/2018]],"','%d/%m/%Y'),",BC254,"),","('",Tabla7[[#This Row],[CONTADOR]],"',STR_TO_DATE('",Tabla7[[#Headers],[15/08/2018]],"','%d/%m/%Y'),",BD254,"),","('",Tabla7[[#This Row],[CONTADOR]],"',STR_TO_DATE('",Tabla7[[#Headers],[15/09/2018]],"','%d/%m/%Y'),",BE254,"),","('",Tabla7[[#This Row],[CONTADOR]],"',STR_TO_DATE('",Tabla7[[#Headers],[15/10/2018]],"','%d/%m/%Y'),",BF254,"),","('",Tabla7[[#This Row],[CONTADOR]],"',STR_TO_DATE('",Tabla7[[#Headers],[15/11/2018]],"','%d/%m/%Y'),",BG254,"),","('",Tabla7[[#This Row],[CONTADOR]],"',STR_TO_DATE('",Tabla7[[#Headers],[15/12/2018]],"','%d/%m/%Y'),",BH254,");")</f>
        <v>insert into lecturas values ('LW00043081',STR_TO_DATE('31/12/2017','%d/%m/%Y'),719559),('LW00043081',STR_TO_DATE('15/01/2018','%d/%m/%Y'),723500),('LW00043081',STR_TO_DATE('15/02/2018','%d/%m/%Y'),728441),('LW00043081',STR_TO_DATE('15/03/2018','%d/%m/%Y'),734353),('LW00043081',STR_TO_DATE('15/04/2018','%d/%m/%Y'),740619),('LW00043081',STR_TO_DATE('15/05/2018','%d/%m/%Y'),746025),('LW00043081',STR_TO_DATE('15/06/2018','%d/%m/%Y'),752912),('LW00043081',STR_TO_DATE('15/07/2018','%d/%m/%Y'),758000),('LW00043081',STR_TO_DATE('15/08/2018','%d/%m/%Y'),772204),('LW00043081',STR_TO_DATE('15/09/2018','%d/%m/%Y'),780598),('LW00043081',STR_TO_DATE('15/10/2018','%d/%m/%Y'),787465),('LW00043081',STR_TO_DATE('15/11/2018','%d/%m/%Y'),794204),('LW00043081',STR_TO_DATE('15/12/2018','%d/%m/%Y'),801258);</v>
      </c>
    </row>
    <row r="255" spans="1:68" ht="18" customHeight="1" x14ac:dyDescent="0.25">
      <c r="A255" s="241" t="s">
        <v>19</v>
      </c>
      <c r="B255" s="60">
        <v>32026</v>
      </c>
      <c r="C255" s="342" t="s">
        <v>61</v>
      </c>
      <c r="D255" s="60" t="s">
        <v>55</v>
      </c>
      <c r="E255" s="258">
        <v>39160</v>
      </c>
      <c r="F255" s="2" t="s">
        <v>62</v>
      </c>
      <c r="G255" s="2" t="s">
        <v>1007</v>
      </c>
      <c r="H255" s="2"/>
      <c r="I255" s="2"/>
      <c r="J255" s="311">
        <v>189620</v>
      </c>
      <c r="K255" s="311">
        <v>190209</v>
      </c>
      <c r="L255" s="311">
        <v>191520</v>
      </c>
      <c r="M255" s="311">
        <v>192755</v>
      </c>
      <c r="N255" s="311">
        <v>193780</v>
      </c>
      <c r="O255" s="311">
        <v>194658</v>
      </c>
      <c r="P255" s="311">
        <v>195763</v>
      </c>
      <c r="Q255" s="311">
        <v>197336</v>
      </c>
      <c r="R255" s="311">
        <v>198906</v>
      </c>
      <c r="S255" s="311">
        <v>200477</v>
      </c>
      <c r="T255" s="311">
        <v>201537</v>
      </c>
      <c r="U255" s="311">
        <v>202572</v>
      </c>
      <c r="V255" s="311">
        <v>203870</v>
      </c>
      <c r="W255" s="311"/>
      <c r="X255" s="2"/>
      <c r="Y255" s="2">
        <f t="shared" si="86"/>
        <v>589</v>
      </c>
      <c r="Z255" s="2">
        <f t="shared" si="84"/>
        <v>1311</v>
      </c>
      <c r="AA255" s="2">
        <f t="shared" si="87"/>
        <v>1235</v>
      </c>
      <c r="AB255" s="2">
        <f t="shared" si="85"/>
        <v>1025</v>
      </c>
      <c r="AC255" s="2">
        <f t="shared" si="72"/>
        <v>878</v>
      </c>
      <c r="AD255" s="2">
        <f t="shared" si="73"/>
        <v>1105</v>
      </c>
      <c r="AE255" s="2">
        <f t="shared" si="74"/>
        <v>1573</v>
      </c>
      <c r="AF255" s="2">
        <f t="shared" si="75"/>
        <v>1570</v>
      </c>
      <c r="AG255" s="2">
        <f t="shared" si="76"/>
        <v>1571</v>
      </c>
      <c r="AH255" s="2">
        <f t="shared" si="79"/>
        <v>1060</v>
      </c>
      <c r="AI255" s="2">
        <f t="shared" si="77"/>
        <v>1035</v>
      </c>
      <c r="AJ255" s="2">
        <f t="shared" si="78"/>
        <v>1298</v>
      </c>
      <c r="AK255" s="406">
        <v>1</v>
      </c>
      <c r="AL255" s="274">
        <f t="shared" ca="1" si="68"/>
        <v>193780</v>
      </c>
      <c r="AM255" s="311">
        <f t="shared" ca="1" si="69"/>
        <v>194658</v>
      </c>
      <c r="AN255" s="274">
        <f ca="1">IF(AND(Tabla7[[#This Row],[UltLec]]&lt;&gt;0,Tabla7[[#This Row],[PenLect]]&lt;&gt;0),(AM255-AL255)*Tabla7[[#This Row],[RT]],"N/A")</f>
        <v>878</v>
      </c>
      <c r="AO255" s="273" t="s">
        <v>862</v>
      </c>
      <c r="AP255" s="392" t="s">
        <v>1190</v>
      </c>
      <c r="AQ255" s="392" t="s">
        <v>1189</v>
      </c>
      <c r="AR255" s="407">
        <f t="shared" si="70"/>
        <v>0</v>
      </c>
      <c r="AT255" s="2">
        <f t="shared" ca="1" si="71"/>
        <v>0.85658536585365852</v>
      </c>
      <c r="AV255">
        <f>IF(ISBLANK(Tabla7[[#This Row],[31/12/2017]]),0,Tabla7[[#This Row],[31/12/2017]])</f>
        <v>189620</v>
      </c>
      <c r="AW255">
        <f>IF(ISBLANK(Tabla7[[#This Row],[15/01/2018]]),0,Tabla7[[#This Row],[15/01/2018]])</f>
        <v>190209</v>
      </c>
      <c r="AX255">
        <f>IF(ISBLANK(Tabla7[[#This Row],[15/02/2018]]),0,Tabla7[[#This Row],[15/02/2018]])</f>
        <v>191520</v>
      </c>
      <c r="AY255">
        <f>IF(ISBLANK(Tabla7[[#This Row],[15/03/2018]]),0,Tabla7[[#This Row],[15/03/2018]])</f>
        <v>192755</v>
      </c>
      <c r="AZ255">
        <f>IF(ISBLANK(Tabla7[[#This Row],[15/04/2018]]),0,Tabla7[[#This Row],[15/04/2018]])</f>
        <v>193780</v>
      </c>
      <c r="BA255">
        <f>IF(ISBLANK(Tabla7[[#This Row],[15/05/2018]]),0,Tabla7[[#This Row],[15/05/2018]])</f>
        <v>194658</v>
      </c>
      <c r="BB255">
        <f>IF(ISBLANK(Tabla7[[#This Row],[15/06/2018]]),0,Tabla7[[#This Row],[15/06/2018]])</f>
        <v>195763</v>
      </c>
      <c r="BC255">
        <f>IF(ISBLANK(Tabla7[[#This Row],[15/07/2018]]),0,Tabla7[[#This Row],[15/07/2018]])</f>
        <v>197336</v>
      </c>
      <c r="BD255">
        <f>IF(ISBLANK(Tabla7[[#This Row],[15/08/2018]]),0,Tabla7[[#This Row],[15/08/2018]])</f>
        <v>198906</v>
      </c>
      <c r="BE255">
        <f>IF(ISBLANK(Tabla7[[#This Row],[15/09/2018]]),0,Tabla7[[#This Row],[15/09/2018]])</f>
        <v>200477</v>
      </c>
      <c r="BF255">
        <f>IF(ISBLANK(Tabla7[[#This Row],[15/10/2018]]),0,Tabla7[[#This Row],[15/10/2018]])</f>
        <v>201537</v>
      </c>
      <c r="BG255">
        <f>IF(ISBLANK(Tabla7[[#This Row],[15/11/2018]]),0,Tabla7[[#This Row],[15/11/2018]])</f>
        <v>202572</v>
      </c>
      <c r="BH255">
        <f>IF(ISBLANK(Tabla7[[#This Row],[15/12/2018]]),0,Tabla7[[#This Row],[15/12/2018]])</f>
        <v>203870</v>
      </c>
      <c r="BI255">
        <f>IF(ISBLANK(Tabla7[[#This Row],[28/12/2018]]),0,Tabla7[[#This Row],[28/12/2018]])</f>
        <v>0</v>
      </c>
      <c r="BN25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('LW00044322','V','VCT06','39160','CONSELLERIA SANIDAD','INTERIOR CT (4)','','');</v>
      </c>
      <c r="BO255" t="s">
        <v>243</v>
      </c>
      <c r="BP255" s="632" t="str">
        <f>CONCATENATE("insert into lecturas values ","('",Tabla7[[#This Row],[CONTADOR]],"',STR_TO_DATE('",Tabla7[[#Headers],[31/12/2017]],"','%d/%m/%Y'),",AV255,"),","('",Tabla7[[#This Row],[CONTADOR]],"',STR_TO_DATE('",Tabla7[[#Headers],[15/01/2018]],"','%d/%m/%Y'),",AW255,"),","('",Tabla7[[#This Row],[CONTADOR]],"',STR_TO_DATE('",Tabla7[[#Headers],[15/02/2018]],"','%d/%m/%Y'),",AX255,"),","('",Tabla7[[#This Row],[CONTADOR]],"',STR_TO_DATE('",Tabla7[[#Headers],[15/03/2018]],"','%d/%m/%Y'),",AY255,"),","('",Tabla7[[#This Row],[CONTADOR]],"',STR_TO_DATE('",Tabla7[[#Headers],[15/04/2018]],"','%d/%m/%Y'),",AZ255,"),","('",Tabla7[[#This Row],[CONTADOR]],"',STR_TO_DATE('",Tabla7[[#Headers],[15/05/2018]],"','%d/%m/%Y'),",BA255,"),","('",Tabla7[[#This Row],[CONTADOR]],"',STR_TO_DATE('",Tabla7[[#Headers],[15/06/2018]],"','%d/%m/%Y'),",BB255,"),","('",Tabla7[[#This Row],[CONTADOR]],"',STR_TO_DATE('",Tabla7[[#Headers],[15/07/2018]],"','%d/%m/%Y'),",BC255,"),","('",Tabla7[[#This Row],[CONTADOR]],"',STR_TO_DATE('",Tabla7[[#Headers],[15/08/2018]],"','%d/%m/%Y'),",BD255,"),","('",Tabla7[[#This Row],[CONTADOR]],"',STR_TO_DATE('",Tabla7[[#Headers],[15/09/2018]],"','%d/%m/%Y'),",BE255,"),","('",Tabla7[[#This Row],[CONTADOR]],"',STR_TO_DATE('",Tabla7[[#Headers],[15/10/2018]],"','%d/%m/%Y'),",BF255,"),","('",Tabla7[[#This Row],[CONTADOR]],"',STR_TO_DATE('",Tabla7[[#Headers],[15/11/2018]],"','%d/%m/%Y'),",BG255,"),","('",Tabla7[[#This Row],[CONTADOR]],"',STR_TO_DATE('",Tabla7[[#Headers],[15/12/2018]],"','%d/%m/%Y'),",BH255,");")</f>
        <v>insert into lecturas values ('LW00044322',STR_TO_DATE('31/12/2017','%d/%m/%Y'),189620),('LW00044322',STR_TO_DATE('15/01/2018','%d/%m/%Y'),190209),('LW00044322',STR_TO_DATE('15/02/2018','%d/%m/%Y'),191520),('LW00044322',STR_TO_DATE('15/03/2018','%d/%m/%Y'),192755),('LW00044322',STR_TO_DATE('15/04/2018','%d/%m/%Y'),193780),('LW00044322',STR_TO_DATE('15/05/2018','%d/%m/%Y'),194658),('LW00044322',STR_TO_DATE('15/06/2018','%d/%m/%Y'),195763),('LW00044322',STR_TO_DATE('15/07/2018','%d/%m/%Y'),197336),('LW00044322',STR_TO_DATE('15/08/2018','%d/%m/%Y'),198906),('LW00044322',STR_TO_DATE('15/09/2018','%d/%m/%Y'),200477),('LW00044322',STR_TO_DATE('15/10/2018','%d/%m/%Y'),201537),('LW00044322',STR_TO_DATE('15/11/2018','%d/%m/%Y'),202572),('LW00044322',STR_TO_DATE('15/12/2018','%d/%m/%Y'),203870);</v>
      </c>
    </row>
    <row r="256" spans="1:68" ht="18" customHeight="1" x14ac:dyDescent="0.25">
      <c r="A256" s="241" t="s">
        <v>19</v>
      </c>
      <c r="B256" s="60"/>
      <c r="C256" s="342" t="s">
        <v>59</v>
      </c>
      <c r="D256" s="60" t="s">
        <v>55</v>
      </c>
      <c r="E256" s="258">
        <v>39255</v>
      </c>
      <c r="F256" s="2" t="s">
        <v>60</v>
      </c>
      <c r="G256" s="2" t="s">
        <v>58</v>
      </c>
      <c r="H256" s="2"/>
      <c r="I256" s="2"/>
      <c r="J256" s="311">
        <v>811716</v>
      </c>
      <c r="K256" s="311">
        <v>815613</v>
      </c>
      <c r="L256" s="311">
        <v>825921</v>
      </c>
      <c r="M256" s="311">
        <v>833838</v>
      </c>
      <c r="N256" s="311">
        <v>840790</v>
      </c>
      <c r="O256" s="311">
        <v>846915</v>
      </c>
      <c r="P256" s="311">
        <v>854464</v>
      </c>
      <c r="Q256" s="311">
        <v>865317</v>
      </c>
      <c r="R256" s="311">
        <v>876264</v>
      </c>
      <c r="S256" s="311">
        <v>888404</v>
      </c>
      <c r="T256" s="311">
        <v>896316</v>
      </c>
      <c r="U256" s="311">
        <v>896316</v>
      </c>
      <c r="V256" s="311">
        <v>912158</v>
      </c>
      <c r="W256" s="311"/>
      <c r="X256" s="2"/>
      <c r="Y256" s="2">
        <f t="shared" si="86"/>
        <v>3897</v>
      </c>
      <c r="Z256" s="2">
        <f t="shared" si="84"/>
        <v>10308</v>
      </c>
      <c r="AA256" s="2">
        <f t="shared" si="87"/>
        <v>7917</v>
      </c>
      <c r="AB256" s="2">
        <f t="shared" si="85"/>
        <v>6952</v>
      </c>
      <c r="AC256" s="2">
        <f t="shared" si="72"/>
        <v>6125</v>
      </c>
      <c r="AD256" s="2">
        <f t="shared" si="73"/>
        <v>7549</v>
      </c>
      <c r="AE256" s="2">
        <f t="shared" si="74"/>
        <v>10853</v>
      </c>
      <c r="AF256" s="2">
        <f t="shared" si="75"/>
        <v>10947</v>
      </c>
      <c r="AG256" s="2">
        <f t="shared" si="76"/>
        <v>12140</v>
      </c>
      <c r="AH256" s="2">
        <f t="shared" si="79"/>
        <v>7912</v>
      </c>
      <c r="AI256" s="2">
        <f t="shared" si="77"/>
        <v>0</v>
      </c>
      <c r="AJ256" s="2">
        <f t="shared" si="78"/>
        <v>15842</v>
      </c>
      <c r="AK256" s="406">
        <v>1</v>
      </c>
      <c r="AL256" s="274">
        <f t="shared" ca="1" si="68"/>
        <v>840790</v>
      </c>
      <c r="AM256" s="311">
        <f t="shared" ca="1" si="69"/>
        <v>846915</v>
      </c>
      <c r="AN256" s="274">
        <f ca="1">IF(AND(Tabla7[[#This Row],[UltLec]]&lt;&gt;0,Tabla7[[#This Row],[PenLect]]&lt;&gt;0),(AM256-AL256)*Tabla7[[#This Row],[RT]],"N/A")</f>
        <v>6125</v>
      </c>
      <c r="AO256" s="273" t="s">
        <v>862</v>
      </c>
      <c r="AP256" s="392" t="s">
        <v>1190</v>
      </c>
      <c r="AQ256" s="392" t="s">
        <v>1189</v>
      </c>
      <c r="AR256" s="407">
        <f t="shared" si="70"/>
        <v>0</v>
      </c>
      <c r="AT256" s="2">
        <f t="shared" ca="1" si="71"/>
        <v>0.88104142692750287</v>
      </c>
      <c r="AV256">
        <f>IF(ISBLANK(Tabla7[[#This Row],[31/12/2017]]),0,Tabla7[[#This Row],[31/12/2017]])</f>
        <v>811716</v>
      </c>
      <c r="AW256">
        <f>IF(ISBLANK(Tabla7[[#This Row],[15/01/2018]]),0,Tabla7[[#This Row],[15/01/2018]])</f>
        <v>815613</v>
      </c>
      <c r="AX256">
        <f>IF(ISBLANK(Tabla7[[#This Row],[15/02/2018]]),0,Tabla7[[#This Row],[15/02/2018]])</f>
        <v>825921</v>
      </c>
      <c r="AY256">
        <f>IF(ISBLANK(Tabla7[[#This Row],[15/03/2018]]),0,Tabla7[[#This Row],[15/03/2018]])</f>
        <v>833838</v>
      </c>
      <c r="AZ256">
        <f>IF(ISBLANK(Tabla7[[#This Row],[15/04/2018]]),0,Tabla7[[#This Row],[15/04/2018]])</f>
        <v>840790</v>
      </c>
      <c r="BA256">
        <f>IF(ISBLANK(Tabla7[[#This Row],[15/05/2018]]),0,Tabla7[[#This Row],[15/05/2018]])</f>
        <v>846915</v>
      </c>
      <c r="BB256">
        <f>IF(ISBLANK(Tabla7[[#This Row],[15/06/2018]]),0,Tabla7[[#This Row],[15/06/2018]])</f>
        <v>854464</v>
      </c>
      <c r="BC256">
        <f>IF(ISBLANK(Tabla7[[#This Row],[15/07/2018]]),0,Tabla7[[#This Row],[15/07/2018]])</f>
        <v>865317</v>
      </c>
      <c r="BD256">
        <f>IF(ISBLANK(Tabla7[[#This Row],[15/08/2018]]),0,Tabla7[[#This Row],[15/08/2018]])</f>
        <v>876264</v>
      </c>
      <c r="BE256">
        <f>IF(ISBLANK(Tabla7[[#This Row],[15/09/2018]]),0,Tabla7[[#This Row],[15/09/2018]])</f>
        <v>888404</v>
      </c>
      <c r="BF256">
        <f>IF(ISBLANK(Tabla7[[#This Row],[15/10/2018]]),0,Tabla7[[#This Row],[15/10/2018]])</f>
        <v>896316</v>
      </c>
      <c r="BG256">
        <f>IF(ISBLANK(Tabla7[[#This Row],[15/11/2018]]),0,Tabla7[[#This Row],[15/11/2018]])</f>
        <v>896316</v>
      </c>
      <c r="BH256">
        <f>IF(ISBLANK(Tabla7[[#This Row],[15/12/2018]]),0,Tabla7[[#This Row],[15/12/2018]])</f>
        <v>912158</v>
      </c>
      <c r="BI256">
        <f>IF(ISBLANK(Tabla7[[#This Row],[28/12/2018]]),0,Tabla7[[#This Row],[28/12/2018]])</f>
        <v>0</v>
      </c>
      <c r="BN25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('LW00180924','V','VCT06','39255','DELEGACION DEL  GOBIERNO','EXT EDIFICIO SANIDAD','','');</v>
      </c>
      <c r="BO256" t="s">
        <v>243</v>
      </c>
      <c r="BP256" s="632" t="str">
        <f>CONCATENATE("insert into lecturas values ","('",Tabla7[[#This Row],[CONTADOR]],"',STR_TO_DATE('",Tabla7[[#Headers],[31/12/2017]],"','%d/%m/%Y'),",AV256,"),","('",Tabla7[[#This Row],[CONTADOR]],"',STR_TO_DATE('",Tabla7[[#Headers],[15/01/2018]],"','%d/%m/%Y'),",AW256,"),","('",Tabla7[[#This Row],[CONTADOR]],"',STR_TO_DATE('",Tabla7[[#Headers],[15/02/2018]],"','%d/%m/%Y'),",AX256,"),","('",Tabla7[[#This Row],[CONTADOR]],"',STR_TO_DATE('",Tabla7[[#Headers],[15/03/2018]],"','%d/%m/%Y'),",AY256,"),","('",Tabla7[[#This Row],[CONTADOR]],"',STR_TO_DATE('",Tabla7[[#Headers],[15/04/2018]],"','%d/%m/%Y'),",AZ256,"),","('",Tabla7[[#This Row],[CONTADOR]],"',STR_TO_DATE('",Tabla7[[#Headers],[15/05/2018]],"','%d/%m/%Y'),",BA256,"),","('",Tabla7[[#This Row],[CONTADOR]],"',STR_TO_DATE('",Tabla7[[#Headers],[15/06/2018]],"','%d/%m/%Y'),",BB256,"),","('",Tabla7[[#This Row],[CONTADOR]],"',STR_TO_DATE('",Tabla7[[#Headers],[15/07/2018]],"','%d/%m/%Y'),",BC256,"),","('",Tabla7[[#This Row],[CONTADOR]],"',STR_TO_DATE('",Tabla7[[#Headers],[15/08/2018]],"','%d/%m/%Y'),",BD256,"),","('",Tabla7[[#This Row],[CONTADOR]],"',STR_TO_DATE('",Tabla7[[#Headers],[15/09/2018]],"','%d/%m/%Y'),",BE256,"),","('",Tabla7[[#This Row],[CONTADOR]],"',STR_TO_DATE('",Tabla7[[#Headers],[15/10/2018]],"','%d/%m/%Y'),",BF256,"),","('",Tabla7[[#This Row],[CONTADOR]],"',STR_TO_DATE('",Tabla7[[#Headers],[15/11/2018]],"','%d/%m/%Y'),",BG256,"),","('",Tabla7[[#This Row],[CONTADOR]],"',STR_TO_DATE('",Tabla7[[#Headers],[15/12/2018]],"','%d/%m/%Y'),",BH256,");")</f>
        <v>insert into lecturas values ('LW00180924',STR_TO_DATE('31/12/2017','%d/%m/%Y'),811716),('LW00180924',STR_TO_DATE('15/01/2018','%d/%m/%Y'),815613),('LW00180924',STR_TO_DATE('15/02/2018','%d/%m/%Y'),825921),('LW00180924',STR_TO_DATE('15/03/2018','%d/%m/%Y'),833838),('LW00180924',STR_TO_DATE('15/04/2018','%d/%m/%Y'),840790),('LW00180924',STR_TO_DATE('15/05/2018','%d/%m/%Y'),846915),('LW00180924',STR_TO_DATE('15/06/2018','%d/%m/%Y'),854464),('LW00180924',STR_TO_DATE('15/07/2018','%d/%m/%Y'),865317),('LW00180924',STR_TO_DATE('15/08/2018','%d/%m/%Y'),876264),('LW00180924',STR_TO_DATE('15/09/2018','%d/%m/%Y'),888404),('LW00180924',STR_TO_DATE('15/10/2018','%d/%m/%Y'),896316),('LW00180924',STR_TO_DATE('15/11/2018','%d/%m/%Y'),896316),('LW00180924',STR_TO_DATE('15/12/2018','%d/%m/%Y'),912158);</v>
      </c>
    </row>
    <row r="257" spans="1:68" ht="18" customHeight="1" x14ac:dyDescent="0.25">
      <c r="A257" s="241" t="s">
        <v>19</v>
      </c>
      <c r="B257" s="60"/>
      <c r="C257" s="342" t="s">
        <v>64</v>
      </c>
      <c r="D257" s="60" t="s">
        <v>55</v>
      </c>
      <c r="E257" s="258">
        <v>140</v>
      </c>
      <c r="F257" s="2" t="s">
        <v>887</v>
      </c>
      <c r="G257" s="2" t="s">
        <v>1008</v>
      </c>
      <c r="H257" s="265" t="s">
        <v>65</v>
      </c>
      <c r="I257" s="265"/>
      <c r="J257" s="354">
        <v>771239</v>
      </c>
      <c r="K257" s="354">
        <v>783672</v>
      </c>
      <c r="L257" s="354">
        <v>801591</v>
      </c>
      <c r="M257" s="354">
        <v>817370</v>
      </c>
      <c r="N257" s="354">
        <v>830141</v>
      </c>
      <c r="O257" s="354">
        <v>840980</v>
      </c>
      <c r="P257" s="354">
        <v>851166</v>
      </c>
      <c r="Q257" s="354">
        <v>864355</v>
      </c>
      <c r="R257" s="354">
        <v>877914</v>
      </c>
      <c r="S257" s="354">
        <v>894510</v>
      </c>
      <c r="T257" s="354">
        <v>904394</v>
      </c>
      <c r="U257" s="354">
        <v>916685</v>
      </c>
      <c r="V257" s="354">
        <v>927553</v>
      </c>
      <c r="W257" s="354"/>
      <c r="X257" s="354"/>
      <c r="Y257" s="2">
        <f t="shared" si="86"/>
        <v>12433</v>
      </c>
      <c r="Z257" s="2">
        <f t="shared" si="84"/>
        <v>17919</v>
      </c>
      <c r="AA257" s="2">
        <f t="shared" si="87"/>
        <v>15779</v>
      </c>
      <c r="AB257" s="2">
        <f t="shared" si="85"/>
        <v>12771</v>
      </c>
      <c r="AC257" s="2">
        <f t="shared" si="72"/>
        <v>10839</v>
      </c>
      <c r="AD257" s="2">
        <f t="shared" si="73"/>
        <v>10186</v>
      </c>
      <c r="AE257" s="2">
        <f t="shared" si="74"/>
        <v>13189</v>
      </c>
      <c r="AF257" s="2">
        <f t="shared" si="75"/>
        <v>13559</v>
      </c>
      <c r="AG257" s="2">
        <f t="shared" si="76"/>
        <v>16596</v>
      </c>
      <c r="AH257" s="2">
        <f t="shared" si="79"/>
        <v>9884</v>
      </c>
      <c r="AI257" s="2">
        <f t="shared" si="77"/>
        <v>12291</v>
      </c>
      <c r="AJ257" s="2">
        <f t="shared" si="78"/>
        <v>10868</v>
      </c>
      <c r="AK257" s="406">
        <v>1</v>
      </c>
      <c r="AL257" s="274">
        <f t="shared" ca="1" si="68"/>
        <v>830141</v>
      </c>
      <c r="AM257" s="311">
        <f t="shared" ca="1" si="69"/>
        <v>840980</v>
      </c>
      <c r="AN257" s="274">
        <f ca="1">IF(AND(Tabla7[[#This Row],[UltLec]]&lt;&gt;0,Tabla7[[#This Row],[PenLect]]&lt;&gt;0),(AM257-AL257)*Tabla7[[#This Row],[RT]],"N/A")</f>
        <v>10839</v>
      </c>
      <c r="AO257" s="273" t="s">
        <v>862</v>
      </c>
      <c r="AP257" s="392" t="s">
        <v>1190</v>
      </c>
      <c r="AQ257" s="392" t="s">
        <v>1189</v>
      </c>
      <c r="AR257" s="407">
        <f t="shared" si="70"/>
        <v>0</v>
      </c>
      <c r="AT257" s="2">
        <f t="shared" ca="1" si="71"/>
        <v>0.84871975569649993</v>
      </c>
      <c r="AV257">
        <f>IF(ISBLANK(Tabla7[[#This Row],[31/12/2017]]),0,Tabla7[[#This Row],[31/12/2017]])</f>
        <v>771239</v>
      </c>
      <c r="AW257">
        <f>IF(ISBLANK(Tabla7[[#This Row],[15/01/2018]]),0,Tabla7[[#This Row],[15/01/2018]])</f>
        <v>783672</v>
      </c>
      <c r="AX257">
        <f>IF(ISBLANK(Tabla7[[#This Row],[15/02/2018]]),0,Tabla7[[#This Row],[15/02/2018]])</f>
        <v>801591</v>
      </c>
      <c r="AY257">
        <f>IF(ISBLANK(Tabla7[[#This Row],[15/03/2018]]),0,Tabla7[[#This Row],[15/03/2018]])</f>
        <v>817370</v>
      </c>
      <c r="AZ257">
        <f>IF(ISBLANK(Tabla7[[#This Row],[15/04/2018]]),0,Tabla7[[#This Row],[15/04/2018]])</f>
        <v>830141</v>
      </c>
      <c r="BA257">
        <f>IF(ISBLANK(Tabla7[[#This Row],[15/05/2018]]),0,Tabla7[[#This Row],[15/05/2018]])</f>
        <v>840980</v>
      </c>
      <c r="BB257">
        <f>IF(ISBLANK(Tabla7[[#This Row],[15/06/2018]]),0,Tabla7[[#This Row],[15/06/2018]])</f>
        <v>851166</v>
      </c>
      <c r="BC257">
        <f>IF(ISBLANK(Tabla7[[#This Row],[15/07/2018]]),0,Tabla7[[#This Row],[15/07/2018]])</f>
        <v>864355</v>
      </c>
      <c r="BD257">
        <f>IF(ISBLANK(Tabla7[[#This Row],[15/08/2018]]),0,Tabla7[[#This Row],[15/08/2018]])</f>
        <v>877914</v>
      </c>
      <c r="BE257">
        <f>IF(ISBLANK(Tabla7[[#This Row],[15/09/2018]]),0,Tabla7[[#This Row],[15/09/2018]])</f>
        <v>894510</v>
      </c>
      <c r="BF257">
        <f>IF(ISBLANK(Tabla7[[#This Row],[15/10/2018]]),0,Tabla7[[#This Row],[15/10/2018]])</f>
        <v>904394</v>
      </c>
      <c r="BG257">
        <f>IF(ISBLANK(Tabla7[[#This Row],[15/11/2018]]),0,Tabla7[[#This Row],[15/11/2018]])</f>
        <v>916685</v>
      </c>
      <c r="BH257">
        <f>IF(ISBLANK(Tabla7[[#This Row],[15/12/2018]]),0,Tabla7[[#This Row],[15/12/2018]])</f>
        <v>927553</v>
      </c>
      <c r="BI257">
        <f>IF(ISBLANK(Tabla7[[#This Row],[28/12/2018]]),0,Tabla7[[#This Row],[28/12/2018]])</f>
        <v>0</v>
      </c>
      <c r="BN25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('LW00181288','V','VCT06','140','APV Almacen y Talleres','INTERIOR CT (5)','Ha dado la vuelta','');</v>
      </c>
      <c r="BO257" t="s">
        <v>243</v>
      </c>
      <c r="BP257" s="632" t="str">
        <f>CONCATENATE("insert into lecturas values ","('",Tabla7[[#This Row],[CONTADOR]],"',STR_TO_DATE('",Tabla7[[#Headers],[31/12/2017]],"','%d/%m/%Y'),",AV257,"),","('",Tabla7[[#This Row],[CONTADOR]],"',STR_TO_DATE('",Tabla7[[#Headers],[15/01/2018]],"','%d/%m/%Y'),",AW257,"),","('",Tabla7[[#This Row],[CONTADOR]],"',STR_TO_DATE('",Tabla7[[#Headers],[15/02/2018]],"','%d/%m/%Y'),",AX257,"),","('",Tabla7[[#This Row],[CONTADOR]],"',STR_TO_DATE('",Tabla7[[#Headers],[15/03/2018]],"','%d/%m/%Y'),",AY257,"),","('",Tabla7[[#This Row],[CONTADOR]],"',STR_TO_DATE('",Tabla7[[#Headers],[15/04/2018]],"','%d/%m/%Y'),",AZ257,"),","('",Tabla7[[#This Row],[CONTADOR]],"',STR_TO_DATE('",Tabla7[[#Headers],[15/05/2018]],"','%d/%m/%Y'),",BA257,"),","('",Tabla7[[#This Row],[CONTADOR]],"',STR_TO_DATE('",Tabla7[[#Headers],[15/06/2018]],"','%d/%m/%Y'),",BB257,"),","('",Tabla7[[#This Row],[CONTADOR]],"',STR_TO_DATE('",Tabla7[[#Headers],[15/07/2018]],"','%d/%m/%Y'),",BC257,"),","('",Tabla7[[#This Row],[CONTADOR]],"',STR_TO_DATE('",Tabla7[[#Headers],[15/08/2018]],"','%d/%m/%Y'),",BD257,"),","('",Tabla7[[#This Row],[CONTADOR]],"',STR_TO_DATE('",Tabla7[[#Headers],[15/09/2018]],"','%d/%m/%Y'),",BE257,"),","('",Tabla7[[#This Row],[CONTADOR]],"',STR_TO_DATE('",Tabla7[[#Headers],[15/10/2018]],"','%d/%m/%Y'),",BF257,"),","('",Tabla7[[#This Row],[CONTADOR]],"',STR_TO_DATE('",Tabla7[[#Headers],[15/11/2018]],"','%d/%m/%Y'),",BG257,"),","('",Tabla7[[#This Row],[CONTADOR]],"',STR_TO_DATE('",Tabla7[[#Headers],[15/12/2018]],"','%d/%m/%Y'),",BH257,");")</f>
        <v>insert into lecturas values ('LW00181288',STR_TO_DATE('31/12/2017','%d/%m/%Y'),771239),('LW00181288',STR_TO_DATE('15/01/2018','%d/%m/%Y'),783672),('LW00181288',STR_TO_DATE('15/02/2018','%d/%m/%Y'),801591),('LW00181288',STR_TO_DATE('15/03/2018','%d/%m/%Y'),817370),('LW00181288',STR_TO_DATE('15/04/2018','%d/%m/%Y'),830141),('LW00181288',STR_TO_DATE('15/05/2018','%d/%m/%Y'),840980),('LW00181288',STR_TO_DATE('15/06/2018','%d/%m/%Y'),851166),('LW00181288',STR_TO_DATE('15/07/2018','%d/%m/%Y'),864355),('LW00181288',STR_TO_DATE('15/08/2018','%d/%m/%Y'),877914),('LW00181288',STR_TO_DATE('15/09/2018','%d/%m/%Y'),894510),('LW00181288',STR_TO_DATE('15/10/2018','%d/%m/%Y'),904394),('LW00181288',STR_TO_DATE('15/11/2018','%d/%m/%Y'),916685),('LW00181288',STR_TO_DATE('15/12/2018','%d/%m/%Y'),927553);</v>
      </c>
    </row>
    <row r="258" spans="1:68" ht="18" customHeight="1" x14ac:dyDescent="0.25">
      <c r="A258" s="362" t="s">
        <v>739</v>
      </c>
      <c r="B258" s="60"/>
      <c r="C258" s="363" t="s">
        <v>722</v>
      </c>
      <c r="D258" s="364" t="s">
        <v>55</v>
      </c>
      <c r="E258" s="365">
        <v>140</v>
      </c>
      <c r="F258" s="367" t="s">
        <v>888</v>
      </c>
      <c r="G258" s="367" t="s">
        <v>70</v>
      </c>
      <c r="H258" s="367" t="s">
        <v>71</v>
      </c>
      <c r="I258" s="367"/>
      <c r="J258" s="368">
        <v>18189</v>
      </c>
      <c r="K258" s="368">
        <v>18250</v>
      </c>
      <c r="L258" s="311">
        <v>18582</v>
      </c>
      <c r="M258" s="311">
        <v>18739</v>
      </c>
      <c r="N258" s="311">
        <v>18868</v>
      </c>
      <c r="O258" s="311">
        <v>18985</v>
      </c>
      <c r="P258" s="311">
        <v>19150</v>
      </c>
      <c r="Q258" s="311">
        <v>19200</v>
      </c>
      <c r="R258" s="311">
        <v>19419</v>
      </c>
      <c r="S258" s="311">
        <v>19577</v>
      </c>
      <c r="T258" s="311">
        <v>19672</v>
      </c>
      <c r="U258" s="614">
        <v>19783</v>
      </c>
      <c r="V258" s="366"/>
      <c r="W258" s="367"/>
      <c r="X258" s="367"/>
      <c r="Y258" s="367">
        <f t="shared" si="86"/>
        <v>61</v>
      </c>
      <c r="Z258" s="367">
        <f t="shared" si="84"/>
        <v>332</v>
      </c>
      <c r="AA258" s="367">
        <f t="shared" si="87"/>
        <v>157</v>
      </c>
      <c r="AB258" s="367">
        <f t="shared" si="85"/>
        <v>129</v>
      </c>
      <c r="AC258" s="367">
        <f t="shared" si="72"/>
        <v>117</v>
      </c>
      <c r="AD258" s="367">
        <f t="shared" si="73"/>
        <v>165</v>
      </c>
      <c r="AE258" s="367">
        <f t="shared" si="74"/>
        <v>50</v>
      </c>
      <c r="AF258" s="367">
        <f t="shared" si="75"/>
        <v>219</v>
      </c>
      <c r="AG258" s="367">
        <f t="shared" si="76"/>
        <v>158</v>
      </c>
      <c r="AH258" s="367">
        <f t="shared" si="79"/>
        <v>95</v>
      </c>
      <c r="AI258" s="367">
        <f t="shared" si="77"/>
        <v>111</v>
      </c>
      <c r="AJ258" s="367" t="str">
        <f t="shared" si="78"/>
        <v/>
      </c>
      <c r="AK258" s="414">
        <v>1</v>
      </c>
      <c r="AL258" s="366">
        <f t="shared" ca="1" si="68"/>
        <v>18868</v>
      </c>
      <c r="AM258" s="368">
        <f t="shared" ca="1" si="69"/>
        <v>18985</v>
      </c>
      <c r="AN258" s="366">
        <f ca="1">IF(AND(Tabla7[[#This Row],[UltLec]]&lt;&gt;0,Tabla7[[#This Row],[PenLect]]&lt;&gt;0),(AM258-AL258)*Tabla7[[#This Row],[RT]],"N/A")</f>
        <v>117</v>
      </c>
      <c r="AO258" s="370" t="s">
        <v>862</v>
      </c>
      <c r="AP258" s="392" t="s">
        <v>1190</v>
      </c>
      <c r="AQ258" s="392" t="s">
        <v>1189</v>
      </c>
      <c r="AR258" s="415">
        <f t="shared" si="70"/>
        <v>0</v>
      </c>
      <c r="AT258" s="2">
        <f t="shared" ca="1" si="71"/>
        <v>0.90697674418604646</v>
      </c>
      <c r="AV258">
        <f>IF(ISBLANK(Tabla7[[#This Row],[31/12/2017]]),0,Tabla7[[#This Row],[31/12/2017]])</f>
        <v>18189</v>
      </c>
      <c r="AW258">
        <f>IF(ISBLANK(Tabla7[[#This Row],[15/01/2018]]),0,Tabla7[[#This Row],[15/01/2018]])</f>
        <v>18250</v>
      </c>
      <c r="AX258">
        <f>IF(ISBLANK(Tabla7[[#This Row],[15/02/2018]]),0,Tabla7[[#This Row],[15/02/2018]])</f>
        <v>18582</v>
      </c>
      <c r="AY258">
        <f>IF(ISBLANK(Tabla7[[#This Row],[15/03/2018]]),0,Tabla7[[#This Row],[15/03/2018]])</f>
        <v>18739</v>
      </c>
      <c r="AZ258">
        <f>IF(ISBLANK(Tabla7[[#This Row],[15/04/2018]]),0,Tabla7[[#This Row],[15/04/2018]])</f>
        <v>18868</v>
      </c>
      <c r="BA258">
        <f>IF(ISBLANK(Tabla7[[#This Row],[15/05/2018]]),0,Tabla7[[#This Row],[15/05/2018]])</f>
        <v>18985</v>
      </c>
      <c r="BB258">
        <f>IF(ISBLANK(Tabla7[[#This Row],[15/06/2018]]),0,Tabla7[[#This Row],[15/06/2018]])</f>
        <v>19150</v>
      </c>
      <c r="BC258">
        <f>IF(ISBLANK(Tabla7[[#This Row],[15/07/2018]]),0,Tabla7[[#This Row],[15/07/2018]])</f>
        <v>19200</v>
      </c>
      <c r="BD258">
        <f>IF(ISBLANK(Tabla7[[#This Row],[15/08/2018]]),0,Tabla7[[#This Row],[15/08/2018]])</f>
        <v>19419</v>
      </c>
      <c r="BE258">
        <f>IF(ISBLANK(Tabla7[[#This Row],[15/09/2018]]),0,Tabla7[[#This Row],[15/09/2018]])</f>
        <v>19577</v>
      </c>
      <c r="BF258">
        <f>IF(ISBLANK(Tabla7[[#This Row],[15/10/2018]]),0,Tabla7[[#This Row],[15/10/2018]])</f>
        <v>19672</v>
      </c>
      <c r="BG258">
        <f>IF(ISBLANK(Tabla7[[#This Row],[15/11/2018]]),0,Tabla7[[#This Row],[15/11/2018]])</f>
        <v>19783</v>
      </c>
      <c r="BH258">
        <f>IF(ISBLANK(Tabla7[[#This Row],[15/12/2018]]),0,Tabla7[[#This Row],[15/12/2018]])</f>
        <v>0</v>
      </c>
      <c r="BI258">
        <f>IF(ISBLANK(Tabla7[[#This Row],[28/12/2018]]),0,Tabla7[[#This Row],[28/12/2018]])</f>
        <v>0</v>
      </c>
      <c r="BN25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('TOMA MUELLE coche nº2','VREP','VCT06','140','APV Coche S.E','Parking talleres','Coche S.E. ( Renault)','');</v>
      </c>
      <c r="BO258" t="s">
        <v>243</v>
      </c>
      <c r="BP258" s="632" t="str">
        <f>CONCATENATE("insert into lecturas values ","('",Tabla7[[#This Row],[CONTADOR]],"',STR_TO_DATE('",Tabla7[[#Headers],[31/12/2017]],"','%d/%m/%Y'),",AV258,"),","('",Tabla7[[#This Row],[CONTADOR]],"',STR_TO_DATE('",Tabla7[[#Headers],[15/01/2018]],"','%d/%m/%Y'),",AW258,"),","('",Tabla7[[#This Row],[CONTADOR]],"',STR_TO_DATE('",Tabla7[[#Headers],[15/02/2018]],"','%d/%m/%Y'),",AX258,"),","('",Tabla7[[#This Row],[CONTADOR]],"',STR_TO_DATE('",Tabla7[[#Headers],[15/03/2018]],"','%d/%m/%Y'),",AY258,"),","('",Tabla7[[#This Row],[CONTADOR]],"',STR_TO_DATE('",Tabla7[[#Headers],[15/04/2018]],"','%d/%m/%Y'),",AZ258,"),","('",Tabla7[[#This Row],[CONTADOR]],"',STR_TO_DATE('",Tabla7[[#Headers],[15/05/2018]],"','%d/%m/%Y'),",BA258,"),","('",Tabla7[[#This Row],[CONTADOR]],"',STR_TO_DATE('",Tabla7[[#Headers],[15/06/2018]],"','%d/%m/%Y'),",BB258,"),","('",Tabla7[[#This Row],[CONTADOR]],"',STR_TO_DATE('",Tabla7[[#Headers],[15/07/2018]],"','%d/%m/%Y'),",BC258,"),","('",Tabla7[[#This Row],[CONTADOR]],"',STR_TO_DATE('",Tabla7[[#Headers],[15/08/2018]],"','%d/%m/%Y'),",BD258,"),","('",Tabla7[[#This Row],[CONTADOR]],"',STR_TO_DATE('",Tabla7[[#Headers],[15/09/2018]],"','%d/%m/%Y'),",BE258,"),","('",Tabla7[[#This Row],[CONTADOR]],"',STR_TO_DATE('",Tabla7[[#Headers],[15/10/2018]],"','%d/%m/%Y'),",BF258,"),","('",Tabla7[[#This Row],[CONTADOR]],"',STR_TO_DATE('",Tabla7[[#Headers],[15/11/2018]],"','%d/%m/%Y'),",BG258,"),","('",Tabla7[[#This Row],[CONTADOR]],"',STR_TO_DATE('",Tabla7[[#Headers],[15/12/2018]],"','%d/%m/%Y'),",BH258,");")</f>
        <v>insert into lecturas values ('TOMA MUELLE coche nº2',STR_TO_DATE('31/12/2017','%d/%m/%Y'),18189),('TOMA MUELLE coche nº2',STR_TO_DATE('15/01/2018','%d/%m/%Y'),18250),('TOMA MUELLE coche nº2',STR_TO_DATE('15/02/2018','%d/%m/%Y'),18582),('TOMA MUELLE coche nº2',STR_TO_DATE('15/03/2018','%d/%m/%Y'),18739),('TOMA MUELLE coche nº2',STR_TO_DATE('15/04/2018','%d/%m/%Y'),18868),('TOMA MUELLE coche nº2',STR_TO_DATE('15/05/2018','%d/%m/%Y'),18985),('TOMA MUELLE coche nº2',STR_TO_DATE('15/06/2018','%d/%m/%Y'),19150),('TOMA MUELLE coche nº2',STR_TO_DATE('15/07/2018','%d/%m/%Y'),19200),('TOMA MUELLE coche nº2',STR_TO_DATE('15/08/2018','%d/%m/%Y'),19419),('TOMA MUELLE coche nº2',STR_TO_DATE('15/09/2018','%d/%m/%Y'),19577),('TOMA MUELLE coche nº2',STR_TO_DATE('15/10/2018','%d/%m/%Y'),19672),('TOMA MUELLE coche nº2',STR_TO_DATE('15/11/2018','%d/%m/%Y'),19783),('TOMA MUELLE coche nº2',STR_TO_DATE('15/12/2018','%d/%m/%Y'),0);</v>
      </c>
    </row>
    <row r="259" spans="1:68" ht="18" customHeight="1" x14ac:dyDescent="0.25">
      <c r="A259" s="372" t="s">
        <v>1196</v>
      </c>
      <c r="B259" s="60">
        <v>1495</v>
      </c>
      <c r="C259" s="373" t="s">
        <v>72</v>
      </c>
      <c r="D259" s="374" t="s">
        <v>55</v>
      </c>
      <c r="E259" s="375">
        <v>39256</v>
      </c>
      <c r="F259" s="376" t="s">
        <v>73</v>
      </c>
      <c r="G259" s="376" t="s">
        <v>74</v>
      </c>
      <c r="H259" s="376"/>
      <c r="I259" s="376"/>
      <c r="J259" s="383">
        <v>12600</v>
      </c>
      <c r="K259" s="383">
        <v>12600</v>
      </c>
      <c r="L259" s="383">
        <v>12600</v>
      </c>
      <c r="M259" s="383">
        <v>12600</v>
      </c>
      <c r="N259" s="383">
        <v>12600</v>
      </c>
      <c r="O259" s="383">
        <v>12600</v>
      </c>
      <c r="P259" s="383">
        <v>12600</v>
      </c>
      <c r="Q259" s="383">
        <v>12600</v>
      </c>
      <c r="R259" s="383">
        <v>12600</v>
      </c>
      <c r="S259" s="383">
        <v>12600</v>
      </c>
      <c r="T259" s="383">
        <v>12600</v>
      </c>
      <c r="U259" s="383">
        <v>12600</v>
      </c>
      <c r="V259" s="383">
        <v>12600</v>
      </c>
      <c r="W259" s="383">
        <v>12600</v>
      </c>
      <c r="X259" s="376"/>
      <c r="Y259" s="376">
        <f t="shared" si="86"/>
        <v>0</v>
      </c>
      <c r="Z259" s="376">
        <f t="shared" si="84"/>
        <v>0</v>
      </c>
      <c r="AA259" s="376">
        <f t="shared" si="87"/>
        <v>0</v>
      </c>
      <c r="AB259" s="376">
        <f t="shared" si="85"/>
        <v>0</v>
      </c>
      <c r="AC259" s="376">
        <f t="shared" si="72"/>
        <v>0</v>
      </c>
      <c r="AD259" s="376">
        <f t="shared" si="73"/>
        <v>0</v>
      </c>
      <c r="AE259" s="376">
        <f t="shared" si="74"/>
        <v>0</v>
      </c>
      <c r="AF259" s="376">
        <f t="shared" si="75"/>
        <v>0</v>
      </c>
      <c r="AG259" s="376">
        <f t="shared" si="76"/>
        <v>0</v>
      </c>
      <c r="AH259" s="376">
        <f t="shared" si="79"/>
        <v>0</v>
      </c>
      <c r="AI259" s="376">
        <f t="shared" si="77"/>
        <v>0</v>
      </c>
      <c r="AJ259" s="376">
        <f t="shared" si="78"/>
        <v>0</v>
      </c>
      <c r="AK259" s="408">
        <v>1</v>
      </c>
      <c r="AL259" s="377">
        <f t="shared" ref="AL259:AL322" ca="1" si="88">IF(DAY(TODAY())&lt;16,INDEX(J259:X259,1,MONTH(TODAY())-1),INDEX(J259:X259,1,MONTH(TODAY())))</f>
        <v>12600</v>
      </c>
      <c r="AM259" s="383">
        <f t="shared" ref="AM259:AM322" ca="1" si="89">IF(DAY(TODAY())&lt;16,INDEX(J259:X259,1,MONTH(TODAY())),INDEX(J259:X259,1,MONTH(TODAY())+1))</f>
        <v>12600</v>
      </c>
      <c r="AN259" s="377">
        <f ca="1">IF(AND(Tabla7[[#This Row],[UltLec]]&lt;&gt;0,Tabla7[[#This Row],[PenLect]]&lt;&gt;0),(AM259-AL259)*Tabla7[[#This Row],[RT]],"N/A")</f>
        <v>0</v>
      </c>
      <c r="AO259" s="380" t="s">
        <v>1281</v>
      </c>
      <c r="AP259" s="433" t="s">
        <v>1190</v>
      </c>
      <c r="AQ259" s="433" t="s">
        <v>1189</v>
      </c>
      <c r="AR259" s="409">
        <f t="shared" ref="AR259:AR322" si="90">COUNTIF(Y259:AJ259,"!!!!")</f>
        <v>0</v>
      </c>
      <c r="AT259" s="2" t="str">
        <f t="shared" ca="1" si="71"/>
        <v>0</v>
      </c>
      <c r="AV259">
        <f>IF(ISBLANK(Tabla7[[#This Row],[31/12/2017]]),0,Tabla7[[#This Row],[31/12/2017]])</f>
        <v>12600</v>
      </c>
      <c r="AW259">
        <f>IF(ISBLANK(Tabla7[[#This Row],[15/01/2018]]),0,Tabla7[[#This Row],[15/01/2018]])</f>
        <v>12600</v>
      </c>
      <c r="AX259">
        <f>IF(ISBLANK(Tabla7[[#This Row],[15/02/2018]]),0,Tabla7[[#This Row],[15/02/2018]])</f>
        <v>12600</v>
      </c>
      <c r="AY259">
        <f>IF(ISBLANK(Tabla7[[#This Row],[15/03/2018]]),0,Tabla7[[#This Row],[15/03/2018]])</f>
        <v>12600</v>
      </c>
      <c r="AZ259">
        <f>IF(ISBLANK(Tabla7[[#This Row],[15/04/2018]]),0,Tabla7[[#This Row],[15/04/2018]])</f>
        <v>12600</v>
      </c>
      <c r="BA259">
        <f>IF(ISBLANK(Tabla7[[#This Row],[15/05/2018]]),0,Tabla7[[#This Row],[15/05/2018]])</f>
        <v>12600</v>
      </c>
      <c r="BB259">
        <f>IF(ISBLANK(Tabla7[[#This Row],[15/06/2018]]),0,Tabla7[[#This Row],[15/06/2018]])</f>
        <v>12600</v>
      </c>
      <c r="BC259">
        <f>IF(ISBLANK(Tabla7[[#This Row],[15/07/2018]]),0,Tabla7[[#This Row],[15/07/2018]])</f>
        <v>12600</v>
      </c>
      <c r="BD259">
        <f>IF(ISBLANK(Tabla7[[#This Row],[15/08/2018]]),0,Tabla7[[#This Row],[15/08/2018]])</f>
        <v>12600</v>
      </c>
      <c r="BE259">
        <f>IF(ISBLANK(Tabla7[[#This Row],[15/09/2018]]),0,Tabla7[[#This Row],[15/09/2018]])</f>
        <v>12600</v>
      </c>
      <c r="BF259">
        <f>IF(ISBLANK(Tabla7[[#This Row],[15/10/2018]]),0,Tabla7[[#This Row],[15/10/2018]])</f>
        <v>12600</v>
      </c>
      <c r="BG259">
        <f>IF(ISBLANK(Tabla7[[#This Row],[15/11/2018]]),0,Tabla7[[#This Row],[15/11/2018]])</f>
        <v>12600</v>
      </c>
      <c r="BH259">
        <f>IF(ISBLANK(Tabla7[[#This Row],[15/12/2018]]),0,Tabla7[[#This Row],[15/12/2018]])</f>
        <v>12600</v>
      </c>
      <c r="BI259">
        <f>IF(ISBLANK(Tabla7[[#This Row],[28/12/2018]]),0,Tabla7[[#This Row],[28/12/2018]])</f>
        <v>12600</v>
      </c>
      <c r="BN25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('virtual1','VBAJA','VCT06','39256','COLEGIO AGENTE DE ADUANAS','PB ANT. DIRECCION','','');</v>
      </c>
      <c r="BO259" t="s">
        <v>243</v>
      </c>
      <c r="BP259" s="632" t="str">
        <f>CONCATENATE("insert into lecturas values ","('",Tabla7[[#This Row],[CONTADOR]],"',STR_TO_DATE('",Tabla7[[#Headers],[31/12/2017]],"','%d/%m/%Y'),",AV259,"),","('",Tabla7[[#This Row],[CONTADOR]],"',STR_TO_DATE('",Tabla7[[#Headers],[15/01/2018]],"','%d/%m/%Y'),",AW259,"),","('",Tabla7[[#This Row],[CONTADOR]],"',STR_TO_DATE('",Tabla7[[#Headers],[15/02/2018]],"','%d/%m/%Y'),",AX259,"),","('",Tabla7[[#This Row],[CONTADOR]],"',STR_TO_DATE('",Tabla7[[#Headers],[15/03/2018]],"','%d/%m/%Y'),",AY259,"),","('",Tabla7[[#This Row],[CONTADOR]],"',STR_TO_DATE('",Tabla7[[#Headers],[15/04/2018]],"','%d/%m/%Y'),",AZ259,"),","('",Tabla7[[#This Row],[CONTADOR]],"',STR_TO_DATE('",Tabla7[[#Headers],[15/05/2018]],"','%d/%m/%Y'),",BA259,"),","('",Tabla7[[#This Row],[CONTADOR]],"',STR_TO_DATE('",Tabla7[[#Headers],[15/06/2018]],"','%d/%m/%Y'),",BB259,"),","('",Tabla7[[#This Row],[CONTADOR]],"',STR_TO_DATE('",Tabla7[[#Headers],[15/07/2018]],"','%d/%m/%Y'),",BC259,"),","('",Tabla7[[#This Row],[CONTADOR]],"',STR_TO_DATE('",Tabla7[[#Headers],[15/08/2018]],"','%d/%m/%Y'),",BD259,"),","('",Tabla7[[#This Row],[CONTADOR]],"',STR_TO_DATE('",Tabla7[[#Headers],[15/09/2018]],"','%d/%m/%Y'),",BE259,"),","('",Tabla7[[#This Row],[CONTADOR]],"',STR_TO_DATE('",Tabla7[[#Headers],[15/10/2018]],"','%d/%m/%Y'),",BF259,"),","('",Tabla7[[#This Row],[CONTADOR]],"',STR_TO_DATE('",Tabla7[[#Headers],[15/11/2018]],"','%d/%m/%Y'),",BG259,"),","('",Tabla7[[#This Row],[CONTADOR]],"',STR_TO_DATE('",Tabla7[[#Headers],[15/12/2018]],"','%d/%m/%Y'),",BH259,");")</f>
        <v>insert into lecturas values ('virtual1',STR_TO_DATE('31/12/2017','%d/%m/%Y'),12600),('virtual1',STR_TO_DATE('15/01/2018','%d/%m/%Y'),12600),('virtual1',STR_TO_DATE('15/02/2018','%d/%m/%Y'),12600),('virtual1',STR_TO_DATE('15/03/2018','%d/%m/%Y'),12600),('virtual1',STR_TO_DATE('15/04/2018','%d/%m/%Y'),12600),('virtual1',STR_TO_DATE('15/05/2018','%d/%m/%Y'),12600),('virtual1',STR_TO_DATE('15/06/2018','%d/%m/%Y'),12600),('virtual1',STR_TO_DATE('15/07/2018','%d/%m/%Y'),12600),('virtual1',STR_TO_DATE('15/08/2018','%d/%m/%Y'),12600),('virtual1',STR_TO_DATE('15/09/2018','%d/%m/%Y'),12600),('virtual1',STR_TO_DATE('15/10/2018','%d/%m/%Y'),12600),('virtual1',STR_TO_DATE('15/11/2018','%d/%m/%Y'),12600),('virtual1',STR_TO_DATE('15/12/2018','%d/%m/%Y'),12600);</v>
      </c>
    </row>
    <row r="260" spans="1:68" ht="18" customHeight="1" x14ac:dyDescent="0.25">
      <c r="A260" s="372" t="s">
        <v>1196</v>
      </c>
      <c r="B260" s="60"/>
      <c r="C260" s="373" t="s">
        <v>75</v>
      </c>
      <c r="D260" s="374" t="s">
        <v>55</v>
      </c>
      <c r="E260" s="375">
        <v>39396</v>
      </c>
      <c r="F260" s="376" t="s">
        <v>73</v>
      </c>
      <c r="G260" s="376" t="s">
        <v>74</v>
      </c>
      <c r="H260" s="376"/>
      <c r="I260" s="377"/>
      <c r="J260" s="383">
        <v>36095</v>
      </c>
      <c r="K260" s="383">
        <v>36095</v>
      </c>
      <c r="L260" s="383">
        <v>36095</v>
      </c>
      <c r="M260" s="383">
        <v>36095</v>
      </c>
      <c r="N260" s="383">
        <v>36095</v>
      </c>
      <c r="O260" s="383">
        <v>36095</v>
      </c>
      <c r="P260" s="383">
        <v>36095</v>
      </c>
      <c r="Q260" s="383">
        <v>36095</v>
      </c>
      <c r="R260" s="383">
        <v>36095</v>
      </c>
      <c r="S260" s="383">
        <v>36095</v>
      </c>
      <c r="T260" s="383">
        <v>36095</v>
      </c>
      <c r="U260" s="383">
        <v>36095</v>
      </c>
      <c r="V260" s="383">
        <v>36095</v>
      </c>
      <c r="W260" s="383">
        <v>36095</v>
      </c>
      <c r="X260" s="376"/>
      <c r="Y260" s="376">
        <f t="shared" si="86"/>
        <v>0</v>
      </c>
      <c r="Z260" s="376">
        <f t="shared" si="84"/>
        <v>0</v>
      </c>
      <c r="AA260" s="376">
        <f t="shared" si="87"/>
        <v>0</v>
      </c>
      <c r="AB260" s="376">
        <f t="shared" si="85"/>
        <v>0</v>
      </c>
      <c r="AC260" s="376">
        <f t="shared" si="72"/>
        <v>0</v>
      </c>
      <c r="AD260" s="376">
        <f t="shared" si="73"/>
        <v>0</v>
      </c>
      <c r="AE260" s="376">
        <f t="shared" si="74"/>
        <v>0</v>
      </c>
      <c r="AF260" s="376">
        <f t="shared" si="75"/>
        <v>0</v>
      </c>
      <c r="AG260" s="376">
        <f t="shared" si="76"/>
        <v>0</v>
      </c>
      <c r="AH260" s="376">
        <f t="shared" si="79"/>
        <v>0</v>
      </c>
      <c r="AI260" s="376">
        <f t="shared" si="77"/>
        <v>0</v>
      </c>
      <c r="AJ260" s="376">
        <f t="shared" si="78"/>
        <v>0</v>
      </c>
      <c r="AK260" s="408">
        <v>1</v>
      </c>
      <c r="AL260" s="377">
        <f t="shared" ca="1" si="88"/>
        <v>36095</v>
      </c>
      <c r="AM260" s="383">
        <f t="shared" ca="1" si="89"/>
        <v>36095</v>
      </c>
      <c r="AN260" s="377">
        <f ca="1">IF(AND(Tabla7[[#This Row],[UltLec]]&lt;&gt;0,Tabla7[[#This Row],[PenLect]]&lt;&gt;0),(AM260-AL260)*Tabla7[[#This Row],[RT]],"N/A")</f>
        <v>0</v>
      </c>
      <c r="AO260" s="380" t="s">
        <v>1281</v>
      </c>
      <c r="AP260" s="433" t="s">
        <v>1190</v>
      </c>
      <c r="AQ260" s="433" t="s">
        <v>1189</v>
      </c>
      <c r="AR260" s="409">
        <f t="shared" si="90"/>
        <v>0</v>
      </c>
      <c r="AT260" s="2" t="str">
        <f t="shared" ca="1" si="71"/>
        <v>0</v>
      </c>
      <c r="AV260">
        <f>IF(ISBLANK(Tabla7[[#This Row],[31/12/2017]]),0,Tabla7[[#This Row],[31/12/2017]])</f>
        <v>36095</v>
      </c>
      <c r="AW260">
        <f>IF(ISBLANK(Tabla7[[#This Row],[15/01/2018]]),0,Tabla7[[#This Row],[15/01/2018]])</f>
        <v>36095</v>
      </c>
      <c r="AX260">
        <f>IF(ISBLANK(Tabla7[[#This Row],[15/02/2018]]),0,Tabla7[[#This Row],[15/02/2018]])</f>
        <v>36095</v>
      </c>
      <c r="AY260">
        <f>IF(ISBLANK(Tabla7[[#This Row],[15/03/2018]]),0,Tabla7[[#This Row],[15/03/2018]])</f>
        <v>36095</v>
      </c>
      <c r="AZ260">
        <f>IF(ISBLANK(Tabla7[[#This Row],[15/04/2018]]),0,Tabla7[[#This Row],[15/04/2018]])</f>
        <v>36095</v>
      </c>
      <c r="BA260">
        <f>IF(ISBLANK(Tabla7[[#This Row],[15/05/2018]]),0,Tabla7[[#This Row],[15/05/2018]])</f>
        <v>36095</v>
      </c>
      <c r="BB260">
        <f>IF(ISBLANK(Tabla7[[#This Row],[15/06/2018]]),0,Tabla7[[#This Row],[15/06/2018]])</f>
        <v>36095</v>
      </c>
      <c r="BC260">
        <f>IF(ISBLANK(Tabla7[[#This Row],[15/07/2018]]),0,Tabla7[[#This Row],[15/07/2018]])</f>
        <v>36095</v>
      </c>
      <c r="BD260">
        <f>IF(ISBLANK(Tabla7[[#This Row],[15/08/2018]]),0,Tabla7[[#This Row],[15/08/2018]])</f>
        <v>36095</v>
      </c>
      <c r="BE260">
        <f>IF(ISBLANK(Tabla7[[#This Row],[15/09/2018]]),0,Tabla7[[#This Row],[15/09/2018]])</f>
        <v>36095</v>
      </c>
      <c r="BF260">
        <f>IF(ISBLANK(Tabla7[[#This Row],[15/10/2018]]),0,Tabla7[[#This Row],[15/10/2018]])</f>
        <v>36095</v>
      </c>
      <c r="BG260">
        <f>IF(ISBLANK(Tabla7[[#This Row],[15/11/2018]]),0,Tabla7[[#This Row],[15/11/2018]])</f>
        <v>36095</v>
      </c>
      <c r="BH260">
        <f>IF(ISBLANK(Tabla7[[#This Row],[15/12/2018]]),0,Tabla7[[#This Row],[15/12/2018]])</f>
        <v>36095</v>
      </c>
      <c r="BI260">
        <f>IF(ISBLANK(Tabla7[[#This Row],[28/12/2018]]),0,Tabla7[[#This Row],[28/12/2018]])</f>
        <v>36095</v>
      </c>
      <c r="BN26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('virtual2','VBAJA','VCT06','39396','COLEGIO AGENTE DE ADUANAS','PB ANT. DIRECCION','','');</v>
      </c>
      <c r="BO260" t="s">
        <v>243</v>
      </c>
      <c r="BP260" s="632" t="str">
        <f>CONCATENATE("insert into lecturas values ","('",Tabla7[[#This Row],[CONTADOR]],"',STR_TO_DATE('",Tabla7[[#Headers],[31/12/2017]],"','%d/%m/%Y'),",AV260,"),","('",Tabla7[[#This Row],[CONTADOR]],"',STR_TO_DATE('",Tabla7[[#Headers],[15/01/2018]],"','%d/%m/%Y'),",AW260,"),","('",Tabla7[[#This Row],[CONTADOR]],"',STR_TO_DATE('",Tabla7[[#Headers],[15/02/2018]],"','%d/%m/%Y'),",AX260,"),","('",Tabla7[[#This Row],[CONTADOR]],"',STR_TO_DATE('",Tabla7[[#Headers],[15/03/2018]],"','%d/%m/%Y'),",AY260,"),","('",Tabla7[[#This Row],[CONTADOR]],"',STR_TO_DATE('",Tabla7[[#Headers],[15/04/2018]],"','%d/%m/%Y'),",AZ260,"),","('",Tabla7[[#This Row],[CONTADOR]],"',STR_TO_DATE('",Tabla7[[#Headers],[15/05/2018]],"','%d/%m/%Y'),",BA260,"),","('",Tabla7[[#This Row],[CONTADOR]],"',STR_TO_DATE('",Tabla7[[#Headers],[15/06/2018]],"','%d/%m/%Y'),",BB260,"),","('",Tabla7[[#This Row],[CONTADOR]],"',STR_TO_DATE('",Tabla7[[#Headers],[15/07/2018]],"','%d/%m/%Y'),",BC260,"),","('",Tabla7[[#This Row],[CONTADOR]],"',STR_TO_DATE('",Tabla7[[#Headers],[15/08/2018]],"','%d/%m/%Y'),",BD260,"),","('",Tabla7[[#This Row],[CONTADOR]],"',STR_TO_DATE('",Tabla7[[#Headers],[15/09/2018]],"','%d/%m/%Y'),",BE260,"),","('",Tabla7[[#This Row],[CONTADOR]],"',STR_TO_DATE('",Tabla7[[#Headers],[15/10/2018]],"','%d/%m/%Y'),",BF260,"),","('",Tabla7[[#This Row],[CONTADOR]],"',STR_TO_DATE('",Tabla7[[#Headers],[15/11/2018]],"','%d/%m/%Y'),",BG260,"),","('",Tabla7[[#This Row],[CONTADOR]],"',STR_TO_DATE('",Tabla7[[#Headers],[15/12/2018]],"','%d/%m/%Y'),",BH260,");")</f>
        <v>insert into lecturas values ('virtual2',STR_TO_DATE('31/12/2017','%d/%m/%Y'),36095),('virtual2',STR_TO_DATE('15/01/2018','%d/%m/%Y'),36095),('virtual2',STR_TO_DATE('15/02/2018','%d/%m/%Y'),36095),('virtual2',STR_TO_DATE('15/03/2018','%d/%m/%Y'),36095),('virtual2',STR_TO_DATE('15/04/2018','%d/%m/%Y'),36095),('virtual2',STR_TO_DATE('15/05/2018','%d/%m/%Y'),36095),('virtual2',STR_TO_DATE('15/06/2018','%d/%m/%Y'),36095),('virtual2',STR_TO_DATE('15/07/2018','%d/%m/%Y'),36095),('virtual2',STR_TO_DATE('15/08/2018','%d/%m/%Y'),36095),('virtual2',STR_TO_DATE('15/09/2018','%d/%m/%Y'),36095),('virtual2',STR_TO_DATE('15/10/2018','%d/%m/%Y'),36095),('virtual2',STR_TO_DATE('15/11/2018','%d/%m/%Y'),36095),('virtual2',STR_TO_DATE('15/12/2018','%d/%m/%Y'),36095);</v>
      </c>
    </row>
    <row r="261" spans="1:68" ht="18" customHeight="1" x14ac:dyDescent="0.25">
      <c r="A261" s="372" t="s">
        <v>1196</v>
      </c>
      <c r="B261" s="60"/>
      <c r="C261" s="373" t="s">
        <v>76</v>
      </c>
      <c r="D261" s="374" t="s">
        <v>55</v>
      </c>
      <c r="E261" s="375">
        <v>39399</v>
      </c>
      <c r="F261" s="376" t="s">
        <v>73</v>
      </c>
      <c r="G261" s="376" t="s">
        <v>77</v>
      </c>
      <c r="H261" s="376"/>
      <c r="I261" s="376"/>
      <c r="J261" s="383">
        <v>50208</v>
      </c>
      <c r="K261" s="383">
        <v>50208</v>
      </c>
      <c r="L261" s="383">
        <v>50208</v>
      </c>
      <c r="M261" s="383">
        <v>50208</v>
      </c>
      <c r="N261" s="383">
        <v>50208</v>
      </c>
      <c r="O261" s="383">
        <v>50208</v>
      </c>
      <c r="P261" s="383">
        <v>50208</v>
      </c>
      <c r="Q261" s="383">
        <v>50208</v>
      </c>
      <c r="R261" s="383">
        <v>50208</v>
      </c>
      <c r="S261" s="383">
        <v>50208</v>
      </c>
      <c r="T261" s="383">
        <v>50208</v>
      </c>
      <c r="U261" s="383">
        <v>50208</v>
      </c>
      <c r="V261" s="383">
        <v>50208</v>
      </c>
      <c r="W261" s="383">
        <v>50208</v>
      </c>
      <c r="X261" s="376"/>
      <c r="Y261" s="376">
        <f t="shared" si="86"/>
        <v>0</v>
      </c>
      <c r="Z261" s="376">
        <f t="shared" si="84"/>
        <v>0</v>
      </c>
      <c r="AA261" s="376">
        <f t="shared" si="87"/>
        <v>0</v>
      </c>
      <c r="AB261" s="376">
        <f t="shared" si="85"/>
        <v>0</v>
      </c>
      <c r="AC261" s="376">
        <f t="shared" si="72"/>
        <v>0</v>
      </c>
      <c r="AD261" s="376">
        <f t="shared" si="73"/>
        <v>0</v>
      </c>
      <c r="AE261" s="376">
        <f t="shared" si="74"/>
        <v>0</v>
      </c>
      <c r="AF261" s="376">
        <f t="shared" si="75"/>
        <v>0</v>
      </c>
      <c r="AG261" s="376">
        <f t="shared" si="76"/>
        <v>0</v>
      </c>
      <c r="AH261" s="376">
        <f t="shared" si="79"/>
        <v>0</v>
      </c>
      <c r="AI261" s="376">
        <f t="shared" si="77"/>
        <v>0</v>
      </c>
      <c r="AJ261" s="376">
        <f t="shared" si="78"/>
        <v>0</v>
      </c>
      <c r="AK261" s="408">
        <v>1</v>
      </c>
      <c r="AL261" s="377">
        <f t="shared" ca="1" si="88"/>
        <v>50208</v>
      </c>
      <c r="AM261" s="383">
        <f t="shared" ca="1" si="89"/>
        <v>50208</v>
      </c>
      <c r="AN261" s="377">
        <f ca="1">IF(AND(Tabla7[[#This Row],[UltLec]]&lt;&gt;0,Tabla7[[#This Row],[PenLect]]&lt;&gt;0),(AM261-AL261)*Tabla7[[#This Row],[RT]],"N/A")</f>
        <v>0</v>
      </c>
      <c r="AO261" s="380" t="s">
        <v>1281</v>
      </c>
      <c r="AP261" s="433" t="s">
        <v>1190</v>
      </c>
      <c r="AQ261" s="433" t="s">
        <v>1189</v>
      </c>
      <c r="AR261" s="409">
        <f t="shared" si="90"/>
        <v>0</v>
      </c>
      <c r="AT261" s="2" t="str">
        <f t="shared" ref="AT261:AT324" ca="1" si="91">IF(IF(DAY(TODAY())&gt;15,INDEX($Y261:$AJ261,1,MONTH(TODAY())-1),INDEX($Y261:$AJ261,1,MONTH(TODAY())-2))=0,"0",IF(DAY(TODAY())&gt;15,INDEX($Y261:$AJ261,1,MONTH(TODAY())),INDEX($Y261:$AJ261,1,MONTH(TODAY())-1))/IF(DAY(TODAY())&gt;15,INDEX($Y261:$AJ261,1,MONTH(TODAY())-1),INDEX($Y261:$AJ261,1,MONTH(TODAY())-2)))</f>
        <v>0</v>
      </c>
      <c r="AV261">
        <f>IF(ISBLANK(Tabla7[[#This Row],[31/12/2017]]),0,Tabla7[[#This Row],[31/12/2017]])</f>
        <v>50208</v>
      </c>
      <c r="AW261">
        <f>IF(ISBLANK(Tabla7[[#This Row],[15/01/2018]]),0,Tabla7[[#This Row],[15/01/2018]])</f>
        <v>50208</v>
      </c>
      <c r="AX261">
        <f>IF(ISBLANK(Tabla7[[#This Row],[15/02/2018]]),0,Tabla7[[#This Row],[15/02/2018]])</f>
        <v>50208</v>
      </c>
      <c r="AY261">
        <f>IF(ISBLANK(Tabla7[[#This Row],[15/03/2018]]),0,Tabla7[[#This Row],[15/03/2018]])</f>
        <v>50208</v>
      </c>
      <c r="AZ261">
        <f>IF(ISBLANK(Tabla7[[#This Row],[15/04/2018]]),0,Tabla7[[#This Row],[15/04/2018]])</f>
        <v>50208</v>
      </c>
      <c r="BA261">
        <f>IF(ISBLANK(Tabla7[[#This Row],[15/05/2018]]),0,Tabla7[[#This Row],[15/05/2018]])</f>
        <v>50208</v>
      </c>
      <c r="BB261">
        <f>IF(ISBLANK(Tabla7[[#This Row],[15/06/2018]]),0,Tabla7[[#This Row],[15/06/2018]])</f>
        <v>50208</v>
      </c>
      <c r="BC261">
        <f>IF(ISBLANK(Tabla7[[#This Row],[15/07/2018]]),0,Tabla7[[#This Row],[15/07/2018]])</f>
        <v>50208</v>
      </c>
      <c r="BD261">
        <f>IF(ISBLANK(Tabla7[[#This Row],[15/08/2018]]),0,Tabla7[[#This Row],[15/08/2018]])</f>
        <v>50208</v>
      </c>
      <c r="BE261">
        <f>IF(ISBLANK(Tabla7[[#This Row],[15/09/2018]]),0,Tabla7[[#This Row],[15/09/2018]])</f>
        <v>50208</v>
      </c>
      <c r="BF261">
        <f>IF(ISBLANK(Tabla7[[#This Row],[15/10/2018]]),0,Tabla7[[#This Row],[15/10/2018]])</f>
        <v>50208</v>
      </c>
      <c r="BG261">
        <f>IF(ISBLANK(Tabla7[[#This Row],[15/11/2018]]),0,Tabla7[[#This Row],[15/11/2018]])</f>
        <v>50208</v>
      </c>
      <c r="BH261">
        <f>IF(ISBLANK(Tabla7[[#This Row],[15/12/2018]]),0,Tabla7[[#This Row],[15/12/2018]])</f>
        <v>50208</v>
      </c>
      <c r="BI261">
        <f>IF(ISBLANK(Tabla7[[#This Row],[28/12/2018]]),0,Tabla7[[#This Row],[28/12/2018]])</f>
        <v>50208</v>
      </c>
      <c r="BN26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('virtual3','VBAJA','VCT06','39399','COLEGIO AGENTE DE ADUANAS','SALA MAQUINAS','','');</v>
      </c>
      <c r="BO261" t="s">
        <v>243</v>
      </c>
      <c r="BP261" s="632" t="str">
        <f>CONCATENATE("insert into lecturas values ","('",Tabla7[[#This Row],[CONTADOR]],"',STR_TO_DATE('",Tabla7[[#Headers],[31/12/2017]],"','%d/%m/%Y'),",AV261,"),","('",Tabla7[[#This Row],[CONTADOR]],"',STR_TO_DATE('",Tabla7[[#Headers],[15/01/2018]],"','%d/%m/%Y'),",AW261,"),","('",Tabla7[[#This Row],[CONTADOR]],"',STR_TO_DATE('",Tabla7[[#Headers],[15/02/2018]],"','%d/%m/%Y'),",AX261,"),","('",Tabla7[[#This Row],[CONTADOR]],"',STR_TO_DATE('",Tabla7[[#Headers],[15/03/2018]],"','%d/%m/%Y'),",AY261,"),","('",Tabla7[[#This Row],[CONTADOR]],"',STR_TO_DATE('",Tabla7[[#Headers],[15/04/2018]],"','%d/%m/%Y'),",AZ261,"),","('",Tabla7[[#This Row],[CONTADOR]],"',STR_TO_DATE('",Tabla7[[#Headers],[15/05/2018]],"','%d/%m/%Y'),",BA261,"),","('",Tabla7[[#This Row],[CONTADOR]],"',STR_TO_DATE('",Tabla7[[#Headers],[15/06/2018]],"','%d/%m/%Y'),",BB261,"),","('",Tabla7[[#This Row],[CONTADOR]],"',STR_TO_DATE('",Tabla7[[#Headers],[15/07/2018]],"','%d/%m/%Y'),",BC261,"),","('",Tabla7[[#This Row],[CONTADOR]],"',STR_TO_DATE('",Tabla7[[#Headers],[15/08/2018]],"','%d/%m/%Y'),",BD261,"),","('",Tabla7[[#This Row],[CONTADOR]],"',STR_TO_DATE('",Tabla7[[#Headers],[15/09/2018]],"','%d/%m/%Y'),",BE261,"),","('",Tabla7[[#This Row],[CONTADOR]],"',STR_TO_DATE('",Tabla7[[#Headers],[15/10/2018]],"','%d/%m/%Y'),",BF261,"),","('",Tabla7[[#This Row],[CONTADOR]],"',STR_TO_DATE('",Tabla7[[#Headers],[15/11/2018]],"','%d/%m/%Y'),",BG261,"),","('",Tabla7[[#This Row],[CONTADOR]],"',STR_TO_DATE('",Tabla7[[#Headers],[15/12/2018]],"','%d/%m/%Y'),",BH261,");")</f>
        <v>insert into lecturas values ('virtual3',STR_TO_DATE('31/12/2017','%d/%m/%Y'),50208),('virtual3',STR_TO_DATE('15/01/2018','%d/%m/%Y'),50208),('virtual3',STR_TO_DATE('15/02/2018','%d/%m/%Y'),50208),('virtual3',STR_TO_DATE('15/03/2018','%d/%m/%Y'),50208),('virtual3',STR_TO_DATE('15/04/2018','%d/%m/%Y'),50208),('virtual3',STR_TO_DATE('15/05/2018','%d/%m/%Y'),50208),('virtual3',STR_TO_DATE('15/06/2018','%d/%m/%Y'),50208),('virtual3',STR_TO_DATE('15/07/2018','%d/%m/%Y'),50208),('virtual3',STR_TO_DATE('15/08/2018','%d/%m/%Y'),50208),('virtual3',STR_TO_DATE('15/09/2018','%d/%m/%Y'),50208),('virtual3',STR_TO_DATE('15/10/2018','%d/%m/%Y'),50208),('virtual3',STR_TO_DATE('15/11/2018','%d/%m/%Y'),50208),('virtual3',STR_TO_DATE('15/12/2018','%d/%m/%Y'),50208);</v>
      </c>
    </row>
    <row r="262" spans="1:68" ht="18" customHeight="1" x14ac:dyDescent="0.25">
      <c r="A262" s="241" t="s">
        <v>740</v>
      </c>
      <c r="B262" s="60"/>
      <c r="C262" s="223" t="s">
        <v>78</v>
      </c>
      <c r="D262" s="60" t="s">
        <v>723</v>
      </c>
      <c r="E262" s="258">
        <v>0</v>
      </c>
      <c r="F262" s="274" t="s">
        <v>889</v>
      </c>
      <c r="G262" s="2" t="s">
        <v>819</v>
      </c>
      <c r="H262" s="2"/>
      <c r="I262" s="274"/>
      <c r="J262" s="311">
        <v>5965608</v>
      </c>
      <c r="K262" s="311">
        <v>6004527</v>
      </c>
      <c r="L262" s="311">
        <v>6082785</v>
      </c>
      <c r="M262" s="311">
        <v>6151687</v>
      </c>
      <c r="N262" s="311">
        <v>6211260</v>
      </c>
      <c r="O262" s="311">
        <v>6270812</v>
      </c>
      <c r="P262" s="311">
        <v>6326012</v>
      </c>
      <c r="Q262" s="311">
        <v>6414369</v>
      </c>
      <c r="R262" s="311">
        <v>6504070</v>
      </c>
      <c r="S262" s="550">
        <v>6604074</v>
      </c>
      <c r="T262" s="550">
        <v>6672894</v>
      </c>
      <c r="U262" s="311">
        <v>6722505</v>
      </c>
      <c r="V262" s="311">
        <v>6789104</v>
      </c>
      <c r="W262" s="318"/>
      <c r="X262" s="2"/>
      <c r="Y262" s="2">
        <f t="shared" si="86"/>
        <v>38919</v>
      </c>
      <c r="Z262" s="2">
        <f t="shared" si="84"/>
        <v>78258</v>
      </c>
      <c r="AA262" s="2">
        <f t="shared" si="87"/>
        <v>68902</v>
      </c>
      <c r="AB262" s="2">
        <f t="shared" si="85"/>
        <v>59573</v>
      </c>
      <c r="AC262" s="2">
        <f t="shared" ref="AC262:AC316" si="92">IF(OR(ISBLANK(O262),ISBLANK(N262)),"",IF(AND(O262&gt;=N262,O262-N262&lt;=O262),(O262-N262)*$AK262,"!!!!"))</f>
        <v>59552</v>
      </c>
      <c r="AD262" s="2">
        <f t="shared" ref="AD262:AD316" si="93">IF(OR(ISBLANK(P262),ISBLANK(O262)),"",IF(AND(P262&gt;=O262,P262-O262&lt;=P262),(P262-O262)*$AK262,"!!!!"))</f>
        <v>55200</v>
      </c>
      <c r="AE262" s="2">
        <f t="shared" ref="AE262:AE316" si="94">IF(OR(ISBLANK(Q262),ISBLANK(P262)),"",IF(AND(Q262&gt;=P262,Q262-P262&lt;=Q262),(Q262-P262)*$AK262,"!!!!"))</f>
        <v>88357</v>
      </c>
      <c r="AF262" s="2">
        <f t="shared" ref="AF262:AF316" si="95">IF(OR(ISBLANK(R262),ISBLANK(Q262)),"",IF(AND(R262&gt;=Q262,R262-Q262&lt;=R262),(R262-Q262)*$AK262,"!!!!"))</f>
        <v>89701</v>
      </c>
      <c r="AG262" s="2">
        <f t="shared" ref="AG262:AG316" si="96">IF(OR(ISBLANK(S262),ISBLANK(R262)),"",IF(AND(S262&gt;=R262,S262-R262&lt;=S262),(S262-R262)*$AK262,"!!!!"))</f>
        <v>100004</v>
      </c>
      <c r="AH262" s="2">
        <f t="shared" si="79"/>
        <v>68820</v>
      </c>
      <c r="AI262" s="2">
        <f t="shared" ref="AI262:AI316" si="97">IF(OR(ISBLANK(U262),ISBLANK(T262)),"",IF(AND(U262&gt;=T262,U262-T262&lt;=U262),(U262-T262)*$AK262,"!!!!"))</f>
        <v>49611</v>
      </c>
      <c r="AJ262" s="2">
        <f t="shared" ref="AJ262:AJ316" si="98">IF(OR(ISBLANK(V262),ISBLANK(U262)),"",IF(AND(V262&gt;=U262,V262-U262&lt;=V262),(V262-U262)*$AK262,"!!!!"))</f>
        <v>66599</v>
      </c>
      <c r="AK262" s="406">
        <v>1</v>
      </c>
      <c r="AL262" s="274">
        <f t="shared" ca="1" si="88"/>
        <v>6211260</v>
      </c>
      <c r="AM262" s="311">
        <f t="shared" ca="1" si="89"/>
        <v>6270812</v>
      </c>
      <c r="AN262" s="274">
        <f ca="1">IF(AND(Tabla7[[#This Row],[UltLec]]&lt;&gt;0,Tabla7[[#This Row],[PenLect]]&lt;&gt;0),(AM262-AL262)*Tabla7[[#This Row],[RT]],"N/A")</f>
        <v>59552</v>
      </c>
      <c r="AO262" s="273" t="s">
        <v>862</v>
      </c>
      <c r="AP262" s="392" t="s">
        <v>1191</v>
      </c>
      <c r="AQ262" s="392" t="s">
        <v>818</v>
      </c>
      <c r="AR262" s="407">
        <f t="shared" si="90"/>
        <v>0</v>
      </c>
      <c r="AT262" s="2">
        <f t="shared" ca="1" si="91"/>
        <v>0.99964749131317876</v>
      </c>
      <c r="AV262">
        <f>IF(ISBLANK(Tabla7[[#This Row],[31/12/2017]]),0,Tabla7[[#This Row],[31/12/2017]])</f>
        <v>5965608</v>
      </c>
      <c r="AW262">
        <f>IF(ISBLANK(Tabla7[[#This Row],[15/01/2018]]),0,Tabla7[[#This Row],[15/01/2018]])</f>
        <v>6004527</v>
      </c>
      <c r="AX262">
        <f>IF(ISBLANK(Tabla7[[#This Row],[15/02/2018]]),0,Tabla7[[#This Row],[15/02/2018]])</f>
        <v>6082785</v>
      </c>
      <c r="AY262">
        <f>IF(ISBLANK(Tabla7[[#This Row],[15/03/2018]]),0,Tabla7[[#This Row],[15/03/2018]])</f>
        <v>6151687</v>
      </c>
      <c r="AZ262">
        <f>IF(ISBLANK(Tabla7[[#This Row],[15/04/2018]]),0,Tabla7[[#This Row],[15/04/2018]])</f>
        <v>6211260</v>
      </c>
      <c r="BA262">
        <f>IF(ISBLANK(Tabla7[[#This Row],[15/05/2018]]),0,Tabla7[[#This Row],[15/05/2018]])</f>
        <v>6270812</v>
      </c>
      <c r="BB262">
        <f>IF(ISBLANK(Tabla7[[#This Row],[15/06/2018]]),0,Tabla7[[#This Row],[15/06/2018]])</f>
        <v>6326012</v>
      </c>
      <c r="BC262">
        <f>IF(ISBLANK(Tabla7[[#This Row],[15/07/2018]]),0,Tabla7[[#This Row],[15/07/2018]])</f>
        <v>6414369</v>
      </c>
      <c r="BD262">
        <f>IF(ISBLANK(Tabla7[[#This Row],[15/08/2018]]),0,Tabla7[[#This Row],[15/08/2018]])</f>
        <v>6504070</v>
      </c>
      <c r="BE262">
        <f>IF(ISBLANK(Tabla7[[#This Row],[15/09/2018]]),0,Tabla7[[#This Row],[15/09/2018]])</f>
        <v>6604074</v>
      </c>
      <c r="BF262">
        <f>IF(ISBLANK(Tabla7[[#This Row],[15/10/2018]]),0,Tabla7[[#This Row],[15/10/2018]])</f>
        <v>6672894</v>
      </c>
      <c r="BG262">
        <f>IF(ISBLANK(Tabla7[[#This Row],[15/11/2018]]),0,Tabla7[[#This Row],[15/11/2018]])</f>
        <v>6722505</v>
      </c>
      <c r="BH262">
        <f>IF(ISBLANK(Tabla7[[#This Row],[15/12/2018]]),0,Tabla7[[#This Row],[15/12/2018]])</f>
        <v>6789104</v>
      </c>
      <c r="BI262">
        <f>IF(ISBLANK(Tabla7[[#This Row],[28/12/2018]]),0,Tabla7[[#This Row],[28/12/2018]])</f>
        <v>0</v>
      </c>
      <c r="BN26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('PMCT6','VTOT','VCT06Y','0','APV PM Totalizador','EN SCADA','','');</v>
      </c>
      <c r="BO262" t="s">
        <v>243</v>
      </c>
      <c r="BP262" s="632" t="str">
        <f>CONCATENATE("insert into lecturas values ","('",Tabla7[[#This Row],[CONTADOR]],"',STR_TO_DATE('",Tabla7[[#Headers],[31/12/2017]],"','%d/%m/%Y'),",AV262,"),","('",Tabla7[[#This Row],[CONTADOR]],"',STR_TO_DATE('",Tabla7[[#Headers],[15/01/2018]],"','%d/%m/%Y'),",AW262,"),","('",Tabla7[[#This Row],[CONTADOR]],"',STR_TO_DATE('",Tabla7[[#Headers],[15/02/2018]],"','%d/%m/%Y'),",AX262,"),","('",Tabla7[[#This Row],[CONTADOR]],"',STR_TO_DATE('",Tabla7[[#Headers],[15/03/2018]],"','%d/%m/%Y'),",AY262,"),","('",Tabla7[[#This Row],[CONTADOR]],"',STR_TO_DATE('",Tabla7[[#Headers],[15/04/2018]],"','%d/%m/%Y'),",AZ262,"),","('",Tabla7[[#This Row],[CONTADOR]],"',STR_TO_DATE('",Tabla7[[#Headers],[15/05/2018]],"','%d/%m/%Y'),",BA262,"),","('",Tabla7[[#This Row],[CONTADOR]],"',STR_TO_DATE('",Tabla7[[#Headers],[15/06/2018]],"','%d/%m/%Y'),",BB262,"),","('",Tabla7[[#This Row],[CONTADOR]],"',STR_TO_DATE('",Tabla7[[#Headers],[15/07/2018]],"','%d/%m/%Y'),",BC262,"),","('",Tabla7[[#This Row],[CONTADOR]],"',STR_TO_DATE('",Tabla7[[#Headers],[15/08/2018]],"','%d/%m/%Y'),",BD262,"),","('",Tabla7[[#This Row],[CONTADOR]],"',STR_TO_DATE('",Tabla7[[#Headers],[15/09/2018]],"','%d/%m/%Y'),",BE262,"),","('",Tabla7[[#This Row],[CONTADOR]],"',STR_TO_DATE('",Tabla7[[#Headers],[15/10/2018]],"','%d/%m/%Y'),",BF262,"),","('",Tabla7[[#This Row],[CONTADOR]],"',STR_TO_DATE('",Tabla7[[#Headers],[15/11/2018]],"','%d/%m/%Y'),",BG262,"),","('",Tabla7[[#This Row],[CONTADOR]],"',STR_TO_DATE('",Tabla7[[#Headers],[15/12/2018]],"','%d/%m/%Y'),",BH262,");")</f>
        <v>insert into lecturas values ('PMCT6',STR_TO_DATE('31/12/2017','%d/%m/%Y'),5965608),('PMCT6',STR_TO_DATE('15/01/2018','%d/%m/%Y'),6004527),('PMCT6',STR_TO_DATE('15/02/2018','%d/%m/%Y'),6082785),('PMCT6',STR_TO_DATE('15/03/2018','%d/%m/%Y'),6151687),('PMCT6',STR_TO_DATE('15/04/2018','%d/%m/%Y'),6211260),('PMCT6',STR_TO_DATE('15/05/2018','%d/%m/%Y'),6270812),('PMCT6',STR_TO_DATE('15/06/2018','%d/%m/%Y'),6326012),('PMCT6',STR_TO_DATE('15/07/2018','%d/%m/%Y'),6414369),('PMCT6',STR_TO_DATE('15/08/2018','%d/%m/%Y'),6504070),('PMCT6',STR_TO_DATE('15/09/2018','%d/%m/%Y'),6604074),('PMCT6',STR_TO_DATE('15/10/2018','%d/%m/%Y'),6672894),('PMCT6',STR_TO_DATE('15/11/2018','%d/%m/%Y'),6722505),('PMCT6',STR_TO_DATE('15/12/2018','%d/%m/%Y'),6789104);</v>
      </c>
    </row>
    <row r="263" spans="1:68" ht="18" customHeight="1" x14ac:dyDescent="0.25">
      <c r="A263" s="241" t="s">
        <v>19</v>
      </c>
      <c r="B263" s="60"/>
      <c r="C263" s="223" t="s">
        <v>79</v>
      </c>
      <c r="D263" s="60" t="s">
        <v>724</v>
      </c>
      <c r="E263" s="258">
        <v>140</v>
      </c>
      <c r="F263" s="2" t="s">
        <v>891</v>
      </c>
      <c r="G263" s="2"/>
      <c r="H263" s="2" t="s">
        <v>687</v>
      </c>
      <c r="I263" s="2" t="s">
        <v>815</v>
      </c>
      <c r="J263" s="311">
        <v>2715318</v>
      </c>
      <c r="K263" s="311">
        <v>2724433</v>
      </c>
      <c r="L263" s="311">
        <v>2746382</v>
      </c>
      <c r="M263" s="311">
        <v>2765194</v>
      </c>
      <c r="N263" s="311">
        <v>2783268</v>
      </c>
      <c r="O263" s="454">
        <v>2811166</v>
      </c>
      <c r="P263" s="311">
        <v>2830973</v>
      </c>
      <c r="Q263" s="311">
        <v>2862488</v>
      </c>
      <c r="R263" s="311">
        <v>2885408</v>
      </c>
      <c r="S263" s="311">
        <v>2918081</v>
      </c>
      <c r="T263" s="311">
        <v>2946992</v>
      </c>
      <c r="U263" s="311">
        <v>2962285</v>
      </c>
      <c r="V263" s="311">
        <v>2996234</v>
      </c>
      <c r="W263" s="311">
        <f>W262-SUBTOTAL(109,W247:W261)</f>
        <v>-98903</v>
      </c>
      <c r="X263" s="274"/>
      <c r="Y263" s="2">
        <f t="shared" si="86"/>
        <v>9115</v>
      </c>
      <c r="Z263" s="2">
        <f t="shared" si="84"/>
        <v>21949</v>
      </c>
      <c r="AA263" s="2">
        <f t="shared" si="87"/>
        <v>18812</v>
      </c>
      <c r="AB263" s="2">
        <f t="shared" si="85"/>
        <v>18074</v>
      </c>
      <c r="AC263" s="2">
        <f t="shared" si="92"/>
        <v>27898</v>
      </c>
      <c r="AD263" s="2">
        <f t="shared" si="93"/>
        <v>19807</v>
      </c>
      <c r="AE263" s="2">
        <f t="shared" si="94"/>
        <v>31515</v>
      </c>
      <c r="AF263" s="2">
        <f t="shared" si="95"/>
        <v>22920</v>
      </c>
      <c r="AG263" s="2">
        <f t="shared" si="96"/>
        <v>32673</v>
      </c>
      <c r="AH263" s="2">
        <f t="shared" ref="AH263:AH316" si="99">IF(OR(ISBLANK(T263),ISBLANK(S263)),"",IF(AND(T263&gt;=S263,T263-S263&lt;=T263),(T263-S263)*$AK263,"!!!!"))</f>
        <v>28911</v>
      </c>
      <c r="AI263" s="2">
        <f t="shared" si="97"/>
        <v>15293</v>
      </c>
      <c r="AJ263" s="2">
        <f t="shared" si="98"/>
        <v>33949</v>
      </c>
      <c r="AK263" s="406">
        <v>1</v>
      </c>
      <c r="AL263" s="274">
        <f t="shared" ca="1" si="88"/>
        <v>2783268</v>
      </c>
      <c r="AM263" s="311">
        <f t="shared" ca="1" si="89"/>
        <v>2811166</v>
      </c>
      <c r="AN263" s="274">
        <f ca="1">IF(AND(Tabla7[[#This Row],[UltLec]]&lt;&gt;0,Tabla7[[#This Row],[PenLect]]&lt;&gt;0),(AM263-AL263)*Tabla7[[#This Row],[RT]],"N/A")</f>
        <v>27898</v>
      </c>
      <c r="AO263" s="273"/>
      <c r="AP263" s="392" t="s">
        <v>1191</v>
      </c>
      <c r="AQ263" s="392" t="s">
        <v>818</v>
      </c>
      <c r="AR263" s="407">
        <f t="shared" si="90"/>
        <v>0</v>
      </c>
      <c r="AT263" s="2">
        <f t="shared" ca="1" si="91"/>
        <v>1.543543211242669</v>
      </c>
      <c r="AV263">
        <f>IF(ISBLANK(Tabla7[[#This Row],[31/12/2017]]),0,Tabla7[[#This Row],[31/12/2017]])</f>
        <v>2715318</v>
      </c>
      <c r="AW263">
        <f>IF(ISBLANK(Tabla7[[#This Row],[15/01/2018]]),0,Tabla7[[#This Row],[15/01/2018]])</f>
        <v>2724433</v>
      </c>
      <c r="AX263">
        <f>IF(ISBLANK(Tabla7[[#This Row],[15/02/2018]]),0,Tabla7[[#This Row],[15/02/2018]])</f>
        <v>2746382</v>
      </c>
      <c r="AY263">
        <f>IF(ISBLANK(Tabla7[[#This Row],[15/03/2018]]),0,Tabla7[[#This Row],[15/03/2018]])</f>
        <v>2765194</v>
      </c>
      <c r="AZ263">
        <f>IF(ISBLANK(Tabla7[[#This Row],[15/04/2018]]),0,Tabla7[[#This Row],[15/04/2018]])</f>
        <v>2783268</v>
      </c>
      <c r="BA263">
        <f>IF(ISBLANK(Tabla7[[#This Row],[15/05/2018]]),0,Tabla7[[#This Row],[15/05/2018]])</f>
        <v>2811166</v>
      </c>
      <c r="BB263">
        <f>IF(ISBLANK(Tabla7[[#This Row],[15/06/2018]]),0,Tabla7[[#This Row],[15/06/2018]])</f>
        <v>2830973</v>
      </c>
      <c r="BC263">
        <f>IF(ISBLANK(Tabla7[[#This Row],[15/07/2018]]),0,Tabla7[[#This Row],[15/07/2018]])</f>
        <v>2862488</v>
      </c>
      <c r="BD263">
        <f>IF(ISBLANK(Tabla7[[#This Row],[15/08/2018]]),0,Tabla7[[#This Row],[15/08/2018]])</f>
        <v>2885408</v>
      </c>
      <c r="BE263">
        <f>IF(ISBLANK(Tabla7[[#This Row],[15/09/2018]]),0,Tabla7[[#This Row],[15/09/2018]])</f>
        <v>2918081</v>
      </c>
      <c r="BF263">
        <f>IF(ISBLANK(Tabla7[[#This Row],[15/10/2018]]),0,Tabla7[[#This Row],[15/10/2018]])</f>
        <v>2946992</v>
      </c>
      <c r="BG263">
        <f>IF(ISBLANK(Tabla7[[#This Row],[15/11/2018]]),0,Tabla7[[#This Row],[15/11/2018]])</f>
        <v>2962285</v>
      </c>
      <c r="BH263">
        <f>IF(ISBLANK(Tabla7[[#This Row],[15/12/2018]]),0,Tabla7[[#This Row],[15/12/2018]])</f>
        <v>2996234</v>
      </c>
      <c r="BI263">
        <f>IF(ISBLANK(Tabla7[[#This Row],[28/12/2018]]),0,Tabla7[[#This Row],[28/12/2018]])</f>
        <v>-98903</v>
      </c>
      <c r="BN26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('VIRTUALCT06','V','VCT06Z','140','APV ED,ANT. DIRECCIÓN, CLINICA, POLIDEPOR., LOC. SINDICALES','','ED,ANT. DIRECCIÓN, CLINICA, POLIDEPOR., LOC. SINDICALES','PASAR A TEXTO ESTATICO');</v>
      </c>
      <c r="BO263" t="s">
        <v>243</v>
      </c>
      <c r="BP263" s="632" t="str">
        <f>CONCATENATE("insert into lecturas values ","('",Tabla7[[#This Row],[CONTADOR]],"',STR_TO_DATE('",Tabla7[[#Headers],[31/12/2017]],"','%d/%m/%Y'),",AV263,"),","('",Tabla7[[#This Row],[CONTADOR]],"',STR_TO_DATE('",Tabla7[[#Headers],[15/01/2018]],"','%d/%m/%Y'),",AW263,"),","('",Tabla7[[#This Row],[CONTADOR]],"',STR_TO_DATE('",Tabla7[[#Headers],[15/02/2018]],"','%d/%m/%Y'),",AX263,"),","('",Tabla7[[#This Row],[CONTADOR]],"',STR_TO_DATE('",Tabla7[[#Headers],[15/03/2018]],"','%d/%m/%Y'),",AY263,"),","('",Tabla7[[#This Row],[CONTADOR]],"',STR_TO_DATE('",Tabla7[[#Headers],[15/04/2018]],"','%d/%m/%Y'),",AZ263,"),","('",Tabla7[[#This Row],[CONTADOR]],"',STR_TO_DATE('",Tabla7[[#Headers],[15/05/2018]],"','%d/%m/%Y'),",BA263,"),","('",Tabla7[[#This Row],[CONTADOR]],"',STR_TO_DATE('",Tabla7[[#Headers],[15/06/2018]],"','%d/%m/%Y'),",BB263,"),","('",Tabla7[[#This Row],[CONTADOR]],"',STR_TO_DATE('",Tabla7[[#Headers],[15/07/2018]],"','%d/%m/%Y'),",BC263,"),","('",Tabla7[[#This Row],[CONTADOR]],"',STR_TO_DATE('",Tabla7[[#Headers],[15/08/2018]],"','%d/%m/%Y'),",BD263,"),","('",Tabla7[[#This Row],[CONTADOR]],"',STR_TO_DATE('",Tabla7[[#Headers],[15/09/2018]],"','%d/%m/%Y'),",BE263,"),","('",Tabla7[[#This Row],[CONTADOR]],"',STR_TO_DATE('",Tabla7[[#Headers],[15/10/2018]],"','%d/%m/%Y'),",BF263,"),","('",Tabla7[[#This Row],[CONTADOR]],"',STR_TO_DATE('",Tabla7[[#Headers],[15/11/2018]],"','%d/%m/%Y'),",BG263,"),","('",Tabla7[[#This Row],[CONTADOR]],"',STR_TO_DATE('",Tabla7[[#Headers],[15/12/2018]],"','%d/%m/%Y'),",BH263,");")</f>
        <v>insert into lecturas values ('VIRTUALCT06',STR_TO_DATE('31/12/2017','%d/%m/%Y'),2715318),('VIRTUALCT06',STR_TO_DATE('15/01/2018','%d/%m/%Y'),2724433),('VIRTUALCT06',STR_TO_DATE('15/02/2018','%d/%m/%Y'),2746382),('VIRTUALCT06',STR_TO_DATE('15/03/2018','%d/%m/%Y'),2765194),('VIRTUALCT06',STR_TO_DATE('15/04/2018','%d/%m/%Y'),2783268),('VIRTUALCT06',STR_TO_DATE('15/05/2018','%d/%m/%Y'),2811166),('VIRTUALCT06',STR_TO_DATE('15/06/2018','%d/%m/%Y'),2830973),('VIRTUALCT06',STR_TO_DATE('15/07/2018','%d/%m/%Y'),2862488),('VIRTUALCT06',STR_TO_DATE('15/08/2018','%d/%m/%Y'),2885408),('VIRTUALCT06',STR_TO_DATE('15/09/2018','%d/%m/%Y'),2918081),('VIRTUALCT06',STR_TO_DATE('15/10/2018','%d/%m/%Y'),2946992),('VIRTUALCT06',STR_TO_DATE('15/11/2018','%d/%m/%Y'),2962285),('VIRTUALCT06',STR_TO_DATE('15/12/2018','%d/%m/%Y'),2996234);</v>
      </c>
    </row>
    <row r="264" spans="1:68" ht="18" customHeight="1" x14ac:dyDescent="0.25">
      <c r="A264" s="372" t="s">
        <v>1196</v>
      </c>
      <c r="B264" s="60"/>
      <c r="C264" s="373" t="s">
        <v>1332</v>
      </c>
      <c r="D264" s="541" t="s">
        <v>80</v>
      </c>
      <c r="E264" s="542">
        <v>39142</v>
      </c>
      <c r="F264" s="543" t="s">
        <v>82</v>
      </c>
      <c r="G264" s="543" t="s">
        <v>84</v>
      </c>
      <c r="H264" s="543" t="s">
        <v>1382</v>
      </c>
      <c r="I264" s="543" t="s">
        <v>85</v>
      </c>
      <c r="J264" s="544">
        <v>4323</v>
      </c>
      <c r="K264" s="544">
        <v>4325</v>
      </c>
      <c r="L264" s="544">
        <v>4329</v>
      </c>
      <c r="M264" s="544">
        <v>4332</v>
      </c>
      <c r="N264" s="544">
        <v>4340</v>
      </c>
      <c r="O264" s="544">
        <v>4346</v>
      </c>
      <c r="P264" s="544">
        <v>4346</v>
      </c>
      <c r="Q264" s="544"/>
      <c r="R264" s="544">
        <v>0</v>
      </c>
      <c r="S264" s="545">
        <v>0</v>
      </c>
      <c r="T264" s="545"/>
      <c r="U264" s="544"/>
      <c r="V264" s="545"/>
      <c r="W264" s="543"/>
      <c r="X264" s="543"/>
      <c r="Y264" s="543">
        <f t="shared" si="86"/>
        <v>160</v>
      </c>
      <c r="Z264" s="543">
        <f t="shared" si="84"/>
        <v>320</v>
      </c>
      <c r="AA264" s="543">
        <f t="shared" si="87"/>
        <v>240</v>
      </c>
      <c r="AB264" s="543">
        <f t="shared" si="85"/>
        <v>640</v>
      </c>
      <c r="AC264" s="543">
        <f t="shared" si="92"/>
        <v>480</v>
      </c>
      <c r="AD264" s="543">
        <f t="shared" si="93"/>
        <v>0</v>
      </c>
      <c r="AE264" s="543" t="str">
        <f t="shared" si="94"/>
        <v/>
      </c>
      <c r="AF264" s="543" t="str">
        <f t="shared" si="95"/>
        <v/>
      </c>
      <c r="AG264" s="543">
        <f t="shared" si="96"/>
        <v>0</v>
      </c>
      <c r="AH264" s="543" t="str">
        <f t="shared" si="99"/>
        <v/>
      </c>
      <c r="AI264" s="543" t="str">
        <f t="shared" si="97"/>
        <v/>
      </c>
      <c r="AJ264" s="543" t="str">
        <f t="shared" si="98"/>
        <v/>
      </c>
      <c r="AK264" s="546">
        <v>80</v>
      </c>
      <c r="AL264" s="545">
        <f t="shared" ca="1" si="88"/>
        <v>4340</v>
      </c>
      <c r="AM264" s="544">
        <f t="shared" ca="1" si="89"/>
        <v>4346</v>
      </c>
      <c r="AN264" s="545">
        <f ca="1">IF(AND(Tabla7[[#This Row],[UltLec]]&lt;&gt;0,Tabla7[[#This Row],[PenLect]]&lt;&gt;0),(AM264-AL264)*Tabla7[[#This Row],[RT]],"N/A")</f>
        <v>480</v>
      </c>
      <c r="AO264" s="547" t="s">
        <v>1281</v>
      </c>
      <c r="AP264" s="548" t="s">
        <v>1190</v>
      </c>
      <c r="AQ264" s="548" t="s">
        <v>1189</v>
      </c>
      <c r="AR264" s="549">
        <f t="shared" si="90"/>
        <v>0</v>
      </c>
      <c r="AT264" s="2">
        <f t="shared" ca="1" si="91"/>
        <v>0.75</v>
      </c>
      <c r="AV264">
        <f>IF(ISBLANK(Tabla7[[#This Row],[31/12/2017]]),0,Tabla7[[#This Row],[31/12/2017]])</f>
        <v>4323</v>
      </c>
      <c r="AW264">
        <f>IF(ISBLANK(Tabla7[[#This Row],[15/01/2018]]),0,Tabla7[[#This Row],[15/01/2018]])</f>
        <v>4325</v>
      </c>
      <c r="AX264">
        <f>IF(ISBLANK(Tabla7[[#This Row],[15/02/2018]]),0,Tabla7[[#This Row],[15/02/2018]])</f>
        <v>4329</v>
      </c>
      <c r="AY264">
        <f>IF(ISBLANK(Tabla7[[#This Row],[15/03/2018]]),0,Tabla7[[#This Row],[15/03/2018]])</f>
        <v>4332</v>
      </c>
      <c r="AZ264">
        <f>IF(ISBLANK(Tabla7[[#This Row],[15/04/2018]]),0,Tabla7[[#This Row],[15/04/2018]])</f>
        <v>4340</v>
      </c>
      <c r="BA264">
        <f>IF(ISBLANK(Tabla7[[#This Row],[15/05/2018]]),0,Tabla7[[#This Row],[15/05/2018]])</f>
        <v>4346</v>
      </c>
      <c r="BB264">
        <f>IF(ISBLANK(Tabla7[[#This Row],[15/06/2018]]),0,Tabla7[[#This Row],[15/06/2018]])</f>
        <v>4346</v>
      </c>
      <c r="BC264">
        <f>IF(ISBLANK(Tabla7[[#This Row],[15/07/2018]]),0,Tabla7[[#This Row],[15/07/2018]])</f>
        <v>0</v>
      </c>
      <c r="BD264">
        <f>IF(ISBLANK(Tabla7[[#This Row],[15/08/2018]]),0,Tabla7[[#This Row],[15/08/2018]])</f>
        <v>0</v>
      </c>
      <c r="BE264">
        <f>IF(ISBLANK(Tabla7[[#This Row],[15/09/2018]]),0,Tabla7[[#This Row],[15/09/2018]])</f>
        <v>0</v>
      </c>
      <c r="BF264">
        <f>IF(ISBLANK(Tabla7[[#This Row],[15/10/2018]]),0,Tabla7[[#This Row],[15/10/2018]])</f>
        <v>0</v>
      </c>
      <c r="BG264">
        <f>IF(ISBLANK(Tabla7[[#This Row],[15/11/2018]]),0,Tabla7[[#This Row],[15/11/2018]])</f>
        <v>0</v>
      </c>
      <c r="BH264">
        <f>IF(ISBLANK(Tabla7[[#This Row],[15/12/2018]]),0,Tabla7[[#This Row],[15/12/2018]])</f>
        <v>0</v>
      </c>
      <c r="BI264">
        <f>IF(ISBLANK(Tabla7[[#This Row],[28/12/2018]]),0,Tabla7[[#This Row],[28/12/2018]])</f>
        <v>0</v>
      </c>
      <c r="BN26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('BGJQCBJ010575845','VBAJA','VCT07','39142','CONSORCIO VALENCIA 2007','EXTERIOR DEL CT.7','Retirada hornacina, contador desaparecido (23/07/2018)','Facturación retenida');</v>
      </c>
      <c r="BO264" t="s">
        <v>243</v>
      </c>
      <c r="BP264" s="632" t="str">
        <f>CONCATENATE("insert into lecturas values ","('",Tabla7[[#This Row],[CONTADOR]],"',STR_TO_DATE('",Tabla7[[#Headers],[31/12/2017]],"','%d/%m/%Y'),",AV264,"),","('",Tabla7[[#This Row],[CONTADOR]],"',STR_TO_DATE('",Tabla7[[#Headers],[15/01/2018]],"','%d/%m/%Y'),",AW264,"),","('",Tabla7[[#This Row],[CONTADOR]],"',STR_TO_DATE('",Tabla7[[#Headers],[15/02/2018]],"','%d/%m/%Y'),",AX264,"),","('",Tabla7[[#This Row],[CONTADOR]],"',STR_TO_DATE('",Tabla7[[#Headers],[15/03/2018]],"','%d/%m/%Y'),",AY264,"),","('",Tabla7[[#This Row],[CONTADOR]],"',STR_TO_DATE('",Tabla7[[#Headers],[15/04/2018]],"','%d/%m/%Y'),",AZ264,"),","('",Tabla7[[#This Row],[CONTADOR]],"',STR_TO_DATE('",Tabla7[[#Headers],[15/05/2018]],"','%d/%m/%Y'),",BA264,"),","('",Tabla7[[#This Row],[CONTADOR]],"',STR_TO_DATE('",Tabla7[[#Headers],[15/06/2018]],"','%d/%m/%Y'),",BB264,"),","('",Tabla7[[#This Row],[CONTADOR]],"',STR_TO_DATE('",Tabla7[[#Headers],[15/07/2018]],"','%d/%m/%Y'),",BC264,"),","('",Tabla7[[#This Row],[CONTADOR]],"',STR_TO_DATE('",Tabla7[[#Headers],[15/08/2018]],"','%d/%m/%Y'),",BD264,"),","('",Tabla7[[#This Row],[CONTADOR]],"',STR_TO_DATE('",Tabla7[[#Headers],[15/09/2018]],"','%d/%m/%Y'),",BE264,"),","('",Tabla7[[#This Row],[CONTADOR]],"',STR_TO_DATE('",Tabla7[[#Headers],[15/10/2018]],"','%d/%m/%Y'),",BF264,"),","('",Tabla7[[#This Row],[CONTADOR]],"',STR_TO_DATE('",Tabla7[[#Headers],[15/11/2018]],"','%d/%m/%Y'),",BG264,"),","('",Tabla7[[#This Row],[CONTADOR]],"',STR_TO_DATE('",Tabla7[[#Headers],[15/12/2018]],"','%d/%m/%Y'),",BH264,");")</f>
        <v>insert into lecturas values ('BGJQCBJ010575845',STR_TO_DATE('31/12/2017','%d/%m/%Y'),4323),('BGJQCBJ010575845',STR_TO_DATE('15/01/2018','%d/%m/%Y'),4325),('BGJQCBJ010575845',STR_TO_DATE('15/02/2018','%d/%m/%Y'),4329),('BGJQCBJ010575845',STR_TO_DATE('15/03/2018','%d/%m/%Y'),4332),('BGJQCBJ010575845',STR_TO_DATE('15/04/2018','%d/%m/%Y'),4340),('BGJQCBJ010575845',STR_TO_DATE('15/05/2018','%d/%m/%Y'),4346),('BGJQCBJ010575845',STR_TO_DATE('15/06/2018','%d/%m/%Y'),4346),('BGJQCBJ010575845',STR_TO_DATE('15/07/2018','%d/%m/%Y'),0),('BGJQCBJ010575845',STR_TO_DATE('15/08/2018','%d/%m/%Y'),0),('BGJQCBJ010575845',STR_TO_DATE('15/09/2018','%d/%m/%Y'),0),('BGJQCBJ010575845',STR_TO_DATE('15/10/2018','%d/%m/%Y'),0),('BGJQCBJ010575845',STR_TO_DATE('15/11/2018','%d/%m/%Y'),0),('BGJQCBJ010575845',STR_TO_DATE('15/12/2018','%d/%m/%Y'),0);</v>
      </c>
    </row>
    <row r="265" spans="1:68" ht="18" customHeight="1" x14ac:dyDescent="0.25">
      <c r="A265" s="241" t="s">
        <v>19</v>
      </c>
      <c r="B265" s="60"/>
      <c r="C265" s="342" t="s">
        <v>81</v>
      </c>
      <c r="D265" s="315" t="s">
        <v>80</v>
      </c>
      <c r="E265" s="316">
        <v>39503</v>
      </c>
      <c r="F265" s="274" t="s">
        <v>82</v>
      </c>
      <c r="G265" s="2" t="s">
        <v>83</v>
      </c>
      <c r="H265" s="2" t="s">
        <v>438</v>
      </c>
      <c r="I265" s="2"/>
      <c r="J265" s="311">
        <v>139657</v>
      </c>
      <c r="K265" s="311">
        <v>142963</v>
      </c>
      <c r="L265" s="311">
        <v>148772</v>
      </c>
      <c r="M265" s="311">
        <v>152862</v>
      </c>
      <c r="N265" s="311">
        <v>156755</v>
      </c>
      <c r="O265" s="311">
        <v>159208</v>
      </c>
      <c r="P265" s="311">
        <v>162993</v>
      </c>
      <c r="Q265" s="311">
        <v>171079</v>
      </c>
      <c r="R265" s="311">
        <v>176297</v>
      </c>
      <c r="S265" s="311">
        <v>183530</v>
      </c>
      <c r="T265" s="311">
        <v>184696</v>
      </c>
      <c r="U265" s="493">
        <v>186198</v>
      </c>
      <c r="V265" s="493">
        <v>186954</v>
      </c>
      <c r="W265" s="351"/>
      <c r="X265" s="2"/>
      <c r="Y265" s="2">
        <f t="shared" si="86"/>
        <v>3306</v>
      </c>
      <c r="Z265" s="2">
        <f t="shared" si="84"/>
        <v>5809</v>
      </c>
      <c r="AA265" s="2">
        <f t="shared" si="87"/>
        <v>4090</v>
      </c>
      <c r="AB265" s="2">
        <f t="shared" si="85"/>
        <v>3893</v>
      </c>
      <c r="AC265" s="2">
        <f t="shared" si="92"/>
        <v>2453</v>
      </c>
      <c r="AD265" s="2">
        <f t="shared" si="93"/>
        <v>3785</v>
      </c>
      <c r="AE265" s="2">
        <f t="shared" si="94"/>
        <v>8086</v>
      </c>
      <c r="AF265" s="2">
        <f t="shared" si="95"/>
        <v>5218</v>
      </c>
      <c r="AG265" s="2">
        <f t="shared" si="96"/>
        <v>7233</v>
      </c>
      <c r="AH265" s="2">
        <f t="shared" si="99"/>
        <v>1166</v>
      </c>
      <c r="AI265" s="2">
        <f t="shared" si="97"/>
        <v>1502</v>
      </c>
      <c r="AJ265" s="2">
        <f t="shared" si="98"/>
        <v>756</v>
      </c>
      <c r="AK265" s="406">
        <v>1</v>
      </c>
      <c r="AL265" s="274">
        <f t="shared" ca="1" si="88"/>
        <v>156755</v>
      </c>
      <c r="AM265" s="311">
        <f t="shared" ca="1" si="89"/>
        <v>159208</v>
      </c>
      <c r="AN265" s="274">
        <f ca="1">IF(AND(Tabla7[[#This Row],[UltLec]]&lt;&gt;0,Tabla7[[#This Row],[PenLect]]&lt;&gt;0),(AM265-AL265)*Tabla7[[#This Row],[RT]],"N/A")</f>
        <v>2453</v>
      </c>
      <c r="AO265" s="273" t="s">
        <v>862</v>
      </c>
      <c r="AP265" s="392" t="s">
        <v>1190</v>
      </c>
      <c r="AQ265" s="392" t="s">
        <v>1189</v>
      </c>
      <c r="AR265" s="407">
        <f t="shared" si="90"/>
        <v>0</v>
      </c>
      <c r="AT265" s="2">
        <f t="shared" ca="1" si="91"/>
        <v>0.63010531723606478</v>
      </c>
      <c r="AV265">
        <f>IF(ISBLANK(Tabla7[[#This Row],[31/12/2017]]),0,Tabla7[[#This Row],[31/12/2017]])</f>
        <v>139657</v>
      </c>
      <c r="AW265">
        <f>IF(ISBLANK(Tabla7[[#This Row],[15/01/2018]]),0,Tabla7[[#This Row],[15/01/2018]])</f>
        <v>142963</v>
      </c>
      <c r="AX265">
        <f>IF(ISBLANK(Tabla7[[#This Row],[15/02/2018]]),0,Tabla7[[#This Row],[15/02/2018]])</f>
        <v>148772</v>
      </c>
      <c r="AY265">
        <f>IF(ISBLANK(Tabla7[[#This Row],[15/03/2018]]),0,Tabla7[[#This Row],[15/03/2018]])</f>
        <v>152862</v>
      </c>
      <c r="AZ265">
        <f>IF(ISBLANK(Tabla7[[#This Row],[15/04/2018]]),0,Tabla7[[#This Row],[15/04/2018]])</f>
        <v>156755</v>
      </c>
      <c r="BA265">
        <f>IF(ISBLANK(Tabla7[[#This Row],[15/05/2018]]),0,Tabla7[[#This Row],[15/05/2018]])</f>
        <v>159208</v>
      </c>
      <c r="BB265">
        <f>IF(ISBLANK(Tabla7[[#This Row],[15/06/2018]]),0,Tabla7[[#This Row],[15/06/2018]])</f>
        <v>162993</v>
      </c>
      <c r="BC265">
        <f>IF(ISBLANK(Tabla7[[#This Row],[15/07/2018]]),0,Tabla7[[#This Row],[15/07/2018]])</f>
        <v>171079</v>
      </c>
      <c r="BD265">
        <f>IF(ISBLANK(Tabla7[[#This Row],[15/08/2018]]),0,Tabla7[[#This Row],[15/08/2018]])</f>
        <v>176297</v>
      </c>
      <c r="BE265">
        <f>IF(ISBLANK(Tabla7[[#This Row],[15/09/2018]]),0,Tabla7[[#This Row],[15/09/2018]])</f>
        <v>183530</v>
      </c>
      <c r="BF265">
        <f>IF(ISBLANK(Tabla7[[#This Row],[15/10/2018]]),0,Tabla7[[#This Row],[15/10/2018]])</f>
        <v>184696</v>
      </c>
      <c r="BG265">
        <f>IF(ISBLANK(Tabla7[[#This Row],[15/11/2018]]),0,Tabla7[[#This Row],[15/11/2018]])</f>
        <v>186198</v>
      </c>
      <c r="BH265">
        <f>IF(ISBLANK(Tabla7[[#This Row],[15/12/2018]]),0,Tabla7[[#This Row],[15/12/2018]])</f>
        <v>186954</v>
      </c>
      <c r="BI265">
        <f>IF(ISBLANK(Tabla7[[#This Row],[28/12/2018]]),0,Tabla7[[#This Row],[28/12/2018]])</f>
        <v>0</v>
      </c>
      <c r="BN26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('LW00181658','V','VCT07','39503','CONSORCIO VALENCIA 2007','EN TINGLADO 2','Avisar antes 661201510','');</v>
      </c>
      <c r="BO265" t="s">
        <v>243</v>
      </c>
      <c r="BP265" s="632" t="str">
        <f>CONCATENATE("insert into lecturas values ","('",Tabla7[[#This Row],[CONTADOR]],"',STR_TO_DATE('",Tabla7[[#Headers],[31/12/2017]],"','%d/%m/%Y'),",AV265,"),","('",Tabla7[[#This Row],[CONTADOR]],"',STR_TO_DATE('",Tabla7[[#Headers],[15/01/2018]],"','%d/%m/%Y'),",AW265,"),","('",Tabla7[[#This Row],[CONTADOR]],"',STR_TO_DATE('",Tabla7[[#Headers],[15/02/2018]],"','%d/%m/%Y'),",AX265,"),","('",Tabla7[[#This Row],[CONTADOR]],"',STR_TO_DATE('",Tabla7[[#Headers],[15/03/2018]],"','%d/%m/%Y'),",AY265,"),","('",Tabla7[[#This Row],[CONTADOR]],"',STR_TO_DATE('",Tabla7[[#Headers],[15/04/2018]],"','%d/%m/%Y'),",AZ265,"),","('",Tabla7[[#This Row],[CONTADOR]],"',STR_TO_DATE('",Tabla7[[#Headers],[15/05/2018]],"','%d/%m/%Y'),",BA265,"),","('",Tabla7[[#This Row],[CONTADOR]],"',STR_TO_DATE('",Tabla7[[#Headers],[15/06/2018]],"','%d/%m/%Y'),",BB265,"),","('",Tabla7[[#This Row],[CONTADOR]],"',STR_TO_DATE('",Tabla7[[#Headers],[15/07/2018]],"','%d/%m/%Y'),",BC265,"),","('",Tabla7[[#This Row],[CONTADOR]],"',STR_TO_DATE('",Tabla7[[#Headers],[15/08/2018]],"','%d/%m/%Y'),",BD265,"),","('",Tabla7[[#This Row],[CONTADOR]],"',STR_TO_DATE('",Tabla7[[#Headers],[15/09/2018]],"','%d/%m/%Y'),",BE265,"),","('",Tabla7[[#This Row],[CONTADOR]],"',STR_TO_DATE('",Tabla7[[#Headers],[15/10/2018]],"','%d/%m/%Y'),",BF265,"),","('",Tabla7[[#This Row],[CONTADOR]],"',STR_TO_DATE('",Tabla7[[#Headers],[15/11/2018]],"','%d/%m/%Y'),",BG265,"),","('",Tabla7[[#This Row],[CONTADOR]],"',STR_TO_DATE('",Tabla7[[#Headers],[15/12/2018]],"','%d/%m/%Y'),",BH265,");")</f>
        <v>insert into lecturas values ('LW00181658',STR_TO_DATE('31/12/2017','%d/%m/%Y'),139657),('LW00181658',STR_TO_DATE('15/01/2018','%d/%m/%Y'),142963),('LW00181658',STR_TO_DATE('15/02/2018','%d/%m/%Y'),148772),('LW00181658',STR_TO_DATE('15/03/2018','%d/%m/%Y'),152862),('LW00181658',STR_TO_DATE('15/04/2018','%d/%m/%Y'),156755),('LW00181658',STR_TO_DATE('15/05/2018','%d/%m/%Y'),159208),('LW00181658',STR_TO_DATE('15/06/2018','%d/%m/%Y'),162993),('LW00181658',STR_TO_DATE('15/07/2018','%d/%m/%Y'),171079),('LW00181658',STR_TO_DATE('15/08/2018','%d/%m/%Y'),176297),('LW00181658',STR_TO_DATE('15/09/2018','%d/%m/%Y'),183530),('LW00181658',STR_TO_DATE('15/10/2018','%d/%m/%Y'),184696),('LW00181658',STR_TO_DATE('15/11/2018','%d/%m/%Y'),186198),('LW00181658',STR_TO_DATE('15/12/2018','%d/%m/%Y'),186954);</v>
      </c>
    </row>
    <row r="266" spans="1:68" ht="18" customHeight="1" x14ac:dyDescent="0.25">
      <c r="A266" s="372" t="s">
        <v>1196</v>
      </c>
      <c r="B266" s="60"/>
      <c r="C266" s="373">
        <v>52577618</v>
      </c>
      <c r="D266" s="374" t="s">
        <v>86</v>
      </c>
      <c r="E266" s="375">
        <v>1</v>
      </c>
      <c r="F266" s="377" t="s">
        <v>755</v>
      </c>
      <c r="G266" s="376" t="s">
        <v>63</v>
      </c>
      <c r="H266" s="376" t="s">
        <v>1354</v>
      </c>
      <c r="I266" s="377" t="s">
        <v>801</v>
      </c>
      <c r="J266" s="383">
        <v>39802</v>
      </c>
      <c r="K266" s="383">
        <v>39808</v>
      </c>
      <c r="L266" s="383">
        <v>39820</v>
      </c>
      <c r="M266" s="383">
        <v>39832</v>
      </c>
      <c r="N266" s="383">
        <v>39988</v>
      </c>
      <c r="O266" s="383"/>
      <c r="P266" s="383"/>
      <c r="Q266" s="383"/>
      <c r="R266" s="383"/>
      <c r="S266" s="377"/>
      <c r="T266" s="377"/>
      <c r="U266" s="519"/>
      <c r="V266" s="377"/>
      <c r="W266" s="377"/>
      <c r="X266" s="376"/>
      <c r="Y266" s="376">
        <f t="shared" si="86"/>
        <v>1200</v>
      </c>
      <c r="Z266" s="376">
        <f t="shared" si="84"/>
        <v>2400</v>
      </c>
      <c r="AA266" s="376">
        <f t="shared" si="87"/>
        <v>2400</v>
      </c>
      <c r="AB266" s="376">
        <f t="shared" si="85"/>
        <v>31200</v>
      </c>
      <c r="AC266" s="376" t="str">
        <f t="shared" si="92"/>
        <v/>
      </c>
      <c r="AD266" s="376" t="str">
        <f t="shared" si="93"/>
        <v/>
      </c>
      <c r="AE266" s="376" t="str">
        <f t="shared" si="94"/>
        <v/>
      </c>
      <c r="AF266" s="376" t="str">
        <f t="shared" si="95"/>
        <v/>
      </c>
      <c r="AG266" s="376" t="str">
        <f t="shared" si="96"/>
        <v/>
      </c>
      <c r="AH266" s="376" t="str">
        <f t="shared" si="99"/>
        <v/>
      </c>
      <c r="AI266" s="376" t="str">
        <f t="shared" si="97"/>
        <v/>
      </c>
      <c r="AJ266" s="376" t="str">
        <f t="shared" si="98"/>
        <v/>
      </c>
      <c r="AK266" s="408">
        <v>200</v>
      </c>
      <c r="AL266" s="377">
        <f t="shared" ca="1" si="88"/>
        <v>39988</v>
      </c>
      <c r="AM266" s="383">
        <f t="shared" ca="1" si="89"/>
        <v>0</v>
      </c>
      <c r="AN266" s="377" t="str">
        <f ca="1">IF(AND(Tabla7[[#This Row],[UltLec]]&lt;&gt;0,Tabla7[[#This Row],[PenLect]]&lt;&gt;0),(AM266-AL266)*Tabla7[[#This Row],[RT]],"N/A")</f>
        <v>N/A</v>
      </c>
      <c r="AO266" s="380"/>
      <c r="AP266" s="433" t="s">
        <v>1190</v>
      </c>
      <c r="AQ266" s="433" t="s">
        <v>1189</v>
      </c>
      <c r="AR266" s="409">
        <f t="shared" si="90"/>
        <v>0</v>
      </c>
      <c r="AT266" s="2" t="e">
        <f t="shared" ca="1" si="91"/>
        <v>#VALUE!</v>
      </c>
      <c r="AV266">
        <f>IF(ISBLANK(Tabla7[[#This Row],[31/12/2017]]),0,Tabla7[[#This Row],[31/12/2017]])</f>
        <v>39802</v>
      </c>
      <c r="AW266">
        <f>IF(ISBLANK(Tabla7[[#This Row],[15/01/2018]]),0,Tabla7[[#This Row],[15/01/2018]])</f>
        <v>39808</v>
      </c>
      <c r="AX266">
        <f>IF(ISBLANK(Tabla7[[#This Row],[15/02/2018]]),0,Tabla7[[#This Row],[15/02/2018]])</f>
        <v>39820</v>
      </c>
      <c r="AY266">
        <f>IF(ISBLANK(Tabla7[[#This Row],[15/03/2018]]),0,Tabla7[[#This Row],[15/03/2018]])</f>
        <v>39832</v>
      </c>
      <c r="AZ266">
        <f>IF(ISBLANK(Tabla7[[#This Row],[15/04/2018]]),0,Tabla7[[#This Row],[15/04/2018]])</f>
        <v>39988</v>
      </c>
      <c r="BA266">
        <f>IF(ISBLANK(Tabla7[[#This Row],[15/05/2018]]),0,Tabla7[[#This Row],[15/05/2018]])</f>
        <v>0</v>
      </c>
      <c r="BB266">
        <f>IF(ISBLANK(Tabla7[[#This Row],[15/06/2018]]),0,Tabla7[[#This Row],[15/06/2018]])</f>
        <v>0</v>
      </c>
      <c r="BC266">
        <f>IF(ISBLANK(Tabla7[[#This Row],[15/07/2018]]),0,Tabla7[[#This Row],[15/07/2018]])</f>
        <v>0</v>
      </c>
      <c r="BD266">
        <f>IF(ISBLANK(Tabla7[[#This Row],[15/08/2018]]),0,Tabla7[[#This Row],[15/08/2018]])</f>
        <v>0</v>
      </c>
      <c r="BE266">
        <f>IF(ISBLANK(Tabla7[[#This Row],[15/09/2018]]),0,Tabla7[[#This Row],[15/09/2018]])</f>
        <v>0</v>
      </c>
      <c r="BF266">
        <f>IF(ISBLANK(Tabla7[[#This Row],[15/10/2018]]),0,Tabla7[[#This Row],[15/10/2018]])</f>
        <v>0</v>
      </c>
      <c r="BG266">
        <f>IF(ISBLANK(Tabla7[[#This Row],[15/11/2018]]),0,Tabla7[[#This Row],[15/11/2018]])</f>
        <v>0</v>
      </c>
      <c r="BH266">
        <f>IF(ISBLANK(Tabla7[[#This Row],[15/12/2018]]),0,Tabla7[[#This Row],[15/12/2018]])</f>
        <v>0</v>
      </c>
      <c r="BI266">
        <f>IF(ISBLANK(Tabla7[[#This Row],[28/12/2018]]),0,Tabla7[[#This Row],[28/12/2018]])</f>
        <v>0</v>
      </c>
      <c r="BN26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('52577618','VBAJA','VCT08','1','TOTALIZADOR ACTIVA DEL CT 8','EN CT','Retirado entorno al 10/04/18','1000/5');</v>
      </c>
      <c r="BO266" t="s">
        <v>243</v>
      </c>
      <c r="BP266" s="632" t="str">
        <f>CONCATENATE("insert into lecturas values ","('",Tabla7[[#This Row],[CONTADOR]],"',STR_TO_DATE('",Tabla7[[#Headers],[31/12/2017]],"','%d/%m/%Y'),",AV266,"),","('",Tabla7[[#This Row],[CONTADOR]],"',STR_TO_DATE('",Tabla7[[#Headers],[15/01/2018]],"','%d/%m/%Y'),",AW266,"),","('",Tabla7[[#This Row],[CONTADOR]],"',STR_TO_DATE('",Tabla7[[#Headers],[15/02/2018]],"','%d/%m/%Y'),",AX266,"),","('",Tabla7[[#This Row],[CONTADOR]],"',STR_TO_DATE('",Tabla7[[#Headers],[15/03/2018]],"','%d/%m/%Y'),",AY266,"),","('",Tabla7[[#This Row],[CONTADOR]],"',STR_TO_DATE('",Tabla7[[#Headers],[15/04/2018]],"','%d/%m/%Y'),",AZ266,"),","('",Tabla7[[#This Row],[CONTADOR]],"',STR_TO_DATE('",Tabla7[[#Headers],[15/05/2018]],"','%d/%m/%Y'),",BA266,"),","('",Tabla7[[#This Row],[CONTADOR]],"',STR_TO_DATE('",Tabla7[[#Headers],[15/06/2018]],"','%d/%m/%Y'),",BB266,"),","('",Tabla7[[#This Row],[CONTADOR]],"',STR_TO_DATE('",Tabla7[[#Headers],[15/07/2018]],"','%d/%m/%Y'),",BC266,"),","('",Tabla7[[#This Row],[CONTADOR]],"',STR_TO_DATE('",Tabla7[[#Headers],[15/08/2018]],"','%d/%m/%Y'),",BD266,"),","('",Tabla7[[#This Row],[CONTADOR]],"',STR_TO_DATE('",Tabla7[[#Headers],[15/09/2018]],"','%d/%m/%Y'),",BE266,"),","('",Tabla7[[#This Row],[CONTADOR]],"',STR_TO_DATE('",Tabla7[[#Headers],[15/10/2018]],"','%d/%m/%Y'),",BF266,"),","('",Tabla7[[#This Row],[CONTADOR]],"',STR_TO_DATE('",Tabla7[[#Headers],[15/11/2018]],"','%d/%m/%Y'),",BG266,"),","('",Tabla7[[#This Row],[CONTADOR]],"',STR_TO_DATE('",Tabla7[[#Headers],[15/12/2018]],"','%d/%m/%Y'),",BH266,");")</f>
        <v>insert into lecturas values ('52577618',STR_TO_DATE('31/12/2017','%d/%m/%Y'),39802),('52577618',STR_TO_DATE('15/01/2018','%d/%m/%Y'),39808),('52577618',STR_TO_DATE('15/02/2018','%d/%m/%Y'),39820),('52577618',STR_TO_DATE('15/03/2018','%d/%m/%Y'),39832),('52577618',STR_TO_DATE('15/04/2018','%d/%m/%Y'),39988),('52577618',STR_TO_DATE('15/05/2018','%d/%m/%Y'),0),('52577618',STR_TO_DATE('15/06/2018','%d/%m/%Y'),0),('52577618',STR_TO_DATE('15/07/2018','%d/%m/%Y'),0),('52577618',STR_TO_DATE('15/08/2018','%d/%m/%Y'),0),('52577618',STR_TO_DATE('15/09/2018','%d/%m/%Y'),0),('52577618',STR_TO_DATE('15/10/2018','%d/%m/%Y'),0),('52577618',STR_TO_DATE('15/11/2018','%d/%m/%Y'),0),('52577618',STR_TO_DATE('15/12/2018','%d/%m/%Y'),0);</v>
      </c>
    </row>
    <row r="267" spans="1:68" ht="18" customHeight="1" x14ac:dyDescent="0.25">
      <c r="A267" s="241" t="s">
        <v>19</v>
      </c>
      <c r="B267" s="60"/>
      <c r="C267" s="342" t="s">
        <v>751</v>
      </c>
      <c r="D267" s="60" t="s">
        <v>86</v>
      </c>
      <c r="E267" s="258">
        <v>132</v>
      </c>
      <c r="F267" s="274" t="s">
        <v>1310</v>
      </c>
      <c r="G267" s="2" t="s">
        <v>885</v>
      </c>
      <c r="H267" s="2"/>
      <c r="I267" s="2"/>
      <c r="J267" s="311">
        <v>82652</v>
      </c>
      <c r="K267" s="311">
        <v>83047</v>
      </c>
      <c r="L267" s="311">
        <v>83800</v>
      </c>
      <c r="M267" s="311">
        <v>84435</v>
      </c>
      <c r="N267" s="311">
        <v>85074</v>
      </c>
      <c r="O267" s="311">
        <v>85543</v>
      </c>
      <c r="P267" s="311">
        <v>86026</v>
      </c>
      <c r="Q267" s="311">
        <v>86536</v>
      </c>
      <c r="R267" s="311">
        <v>87029</v>
      </c>
      <c r="S267" s="311">
        <v>87624</v>
      </c>
      <c r="T267" s="311">
        <v>88197</v>
      </c>
      <c r="U267" s="493">
        <v>88936</v>
      </c>
      <c r="V267" s="493">
        <v>89769</v>
      </c>
      <c r="W267" s="351"/>
      <c r="X267" s="2"/>
      <c r="Y267" s="2">
        <f t="shared" si="86"/>
        <v>395</v>
      </c>
      <c r="Z267" s="2">
        <f t="shared" si="84"/>
        <v>753</v>
      </c>
      <c r="AA267" s="2">
        <f t="shared" si="87"/>
        <v>635</v>
      </c>
      <c r="AB267" s="2">
        <f t="shared" si="85"/>
        <v>639</v>
      </c>
      <c r="AC267" s="2">
        <f t="shared" si="92"/>
        <v>469</v>
      </c>
      <c r="AD267" s="2">
        <f t="shared" si="93"/>
        <v>483</v>
      </c>
      <c r="AE267" s="2">
        <f t="shared" si="94"/>
        <v>510</v>
      </c>
      <c r="AF267" s="2">
        <f t="shared" si="95"/>
        <v>493</v>
      </c>
      <c r="AG267" s="2">
        <f t="shared" si="96"/>
        <v>595</v>
      </c>
      <c r="AH267" s="2">
        <f t="shared" si="99"/>
        <v>573</v>
      </c>
      <c r="AI267" s="2">
        <f t="shared" si="97"/>
        <v>739</v>
      </c>
      <c r="AJ267" s="2">
        <f t="shared" si="98"/>
        <v>833</v>
      </c>
      <c r="AK267" s="406">
        <v>1</v>
      </c>
      <c r="AL267" s="274">
        <f t="shared" ca="1" si="88"/>
        <v>85074</v>
      </c>
      <c r="AM267" s="311">
        <f t="shared" ca="1" si="89"/>
        <v>85543</v>
      </c>
      <c r="AN267" s="274">
        <f ca="1">IF(AND(Tabla7[[#This Row],[UltLec]]&lt;&gt;0,Tabla7[[#This Row],[PenLect]]&lt;&gt;0),(AM267-AL267)*Tabla7[[#This Row],[RT]],"N/A")</f>
        <v>469</v>
      </c>
      <c r="AO267" s="273" t="s">
        <v>862</v>
      </c>
      <c r="AP267" s="392" t="s">
        <v>1190</v>
      </c>
      <c r="AQ267" s="392" t="s">
        <v>1189</v>
      </c>
      <c r="AR267" s="407">
        <f t="shared" si="90"/>
        <v>0</v>
      </c>
      <c r="AT267" s="2">
        <f t="shared" ca="1" si="91"/>
        <v>0.7339593114241002</v>
      </c>
      <c r="AV267">
        <f>IF(ISBLANK(Tabla7[[#This Row],[31/12/2017]]),0,Tabla7[[#This Row],[31/12/2017]])</f>
        <v>82652</v>
      </c>
      <c r="AW267">
        <f>IF(ISBLANK(Tabla7[[#This Row],[15/01/2018]]),0,Tabla7[[#This Row],[15/01/2018]])</f>
        <v>83047</v>
      </c>
      <c r="AX267">
        <f>IF(ISBLANK(Tabla7[[#This Row],[15/02/2018]]),0,Tabla7[[#This Row],[15/02/2018]])</f>
        <v>83800</v>
      </c>
      <c r="AY267">
        <f>IF(ISBLANK(Tabla7[[#This Row],[15/03/2018]]),0,Tabla7[[#This Row],[15/03/2018]])</f>
        <v>84435</v>
      </c>
      <c r="AZ267">
        <f>IF(ISBLANK(Tabla7[[#This Row],[15/04/2018]]),0,Tabla7[[#This Row],[15/04/2018]])</f>
        <v>85074</v>
      </c>
      <c r="BA267">
        <f>IF(ISBLANK(Tabla7[[#This Row],[15/05/2018]]),0,Tabla7[[#This Row],[15/05/2018]])</f>
        <v>85543</v>
      </c>
      <c r="BB267">
        <f>IF(ISBLANK(Tabla7[[#This Row],[15/06/2018]]),0,Tabla7[[#This Row],[15/06/2018]])</f>
        <v>86026</v>
      </c>
      <c r="BC267">
        <f>IF(ISBLANK(Tabla7[[#This Row],[15/07/2018]]),0,Tabla7[[#This Row],[15/07/2018]])</f>
        <v>86536</v>
      </c>
      <c r="BD267">
        <f>IF(ISBLANK(Tabla7[[#This Row],[15/08/2018]]),0,Tabla7[[#This Row],[15/08/2018]])</f>
        <v>87029</v>
      </c>
      <c r="BE267">
        <f>IF(ISBLANK(Tabla7[[#This Row],[15/09/2018]]),0,Tabla7[[#This Row],[15/09/2018]])</f>
        <v>87624</v>
      </c>
      <c r="BF267">
        <f>IF(ISBLANK(Tabla7[[#This Row],[15/10/2018]]),0,Tabla7[[#This Row],[15/10/2018]])</f>
        <v>88197</v>
      </c>
      <c r="BG267">
        <f>IF(ISBLANK(Tabla7[[#This Row],[15/11/2018]]),0,Tabla7[[#This Row],[15/11/2018]])</f>
        <v>88936</v>
      </c>
      <c r="BH267">
        <f>IF(ISBLANK(Tabla7[[#This Row],[15/12/2018]]),0,Tabla7[[#This Row],[15/12/2018]])</f>
        <v>89769</v>
      </c>
      <c r="BI267">
        <f>IF(ISBLANK(Tabla7[[#This Row],[28/12/2018]]),0,Tabla7[[#This Row],[28/12/2018]])</f>
        <v>0</v>
      </c>
      <c r="BN26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('LW00042807','V','VCT08','132','APV ALUMBRADO TORRES (DOS)','DOS TORRES ROTONDA NAZARET','','');</v>
      </c>
      <c r="BO267" t="s">
        <v>243</v>
      </c>
      <c r="BP267" s="632" t="str">
        <f>CONCATENATE("insert into lecturas values ","('",Tabla7[[#This Row],[CONTADOR]],"',STR_TO_DATE('",Tabla7[[#Headers],[31/12/2017]],"','%d/%m/%Y'),",AV267,"),","('",Tabla7[[#This Row],[CONTADOR]],"',STR_TO_DATE('",Tabla7[[#Headers],[15/01/2018]],"','%d/%m/%Y'),",AW267,"),","('",Tabla7[[#This Row],[CONTADOR]],"',STR_TO_DATE('",Tabla7[[#Headers],[15/02/2018]],"','%d/%m/%Y'),",AX267,"),","('",Tabla7[[#This Row],[CONTADOR]],"',STR_TO_DATE('",Tabla7[[#Headers],[15/03/2018]],"','%d/%m/%Y'),",AY267,"),","('",Tabla7[[#This Row],[CONTADOR]],"',STR_TO_DATE('",Tabla7[[#Headers],[15/04/2018]],"','%d/%m/%Y'),",AZ267,"),","('",Tabla7[[#This Row],[CONTADOR]],"',STR_TO_DATE('",Tabla7[[#Headers],[15/05/2018]],"','%d/%m/%Y'),",BA267,"),","('",Tabla7[[#This Row],[CONTADOR]],"',STR_TO_DATE('",Tabla7[[#Headers],[15/06/2018]],"','%d/%m/%Y'),",BB267,"),","('",Tabla7[[#This Row],[CONTADOR]],"',STR_TO_DATE('",Tabla7[[#Headers],[15/07/2018]],"','%d/%m/%Y'),",BC267,"),","('",Tabla7[[#This Row],[CONTADOR]],"',STR_TO_DATE('",Tabla7[[#Headers],[15/08/2018]],"','%d/%m/%Y'),",BD267,"),","('",Tabla7[[#This Row],[CONTADOR]],"',STR_TO_DATE('",Tabla7[[#Headers],[15/09/2018]],"','%d/%m/%Y'),",BE267,"),","('",Tabla7[[#This Row],[CONTADOR]],"',STR_TO_DATE('",Tabla7[[#Headers],[15/10/2018]],"','%d/%m/%Y'),",BF267,"),","('",Tabla7[[#This Row],[CONTADOR]],"',STR_TO_DATE('",Tabla7[[#Headers],[15/11/2018]],"','%d/%m/%Y'),",BG267,"),","('",Tabla7[[#This Row],[CONTADOR]],"',STR_TO_DATE('",Tabla7[[#Headers],[15/12/2018]],"','%d/%m/%Y'),",BH267,");")</f>
        <v>insert into lecturas values ('LW00042807',STR_TO_DATE('31/12/2017','%d/%m/%Y'),82652),('LW00042807',STR_TO_DATE('15/01/2018','%d/%m/%Y'),83047),('LW00042807',STR_TO_DATE('15/02/2018','%d/%m/%Y'),83800),('LW00042807',STR_TO_DATE('15/03/2018','%d/%m/%Y'),84435),('LW00042807',STR_TO_DATE('15/04/2018','%d/%m/%Y'),85074),('LW00042807',STR_TO_DATE('15/05/2018','%d/%m/%Y'),85543),('LW00042807',STR_TO_DATE('15/06/2018','%d/%m/%Y'),86026),('LW00042807',STR_TO_DATE('15/07/2018','%d/%m/%Y'),86536),('LW00042807',STR_TO_DATE('15/08/2018','%d/%m/%Y'),87029),('LW00042807',STR_TO_DATE('15/09/2018','%d/%m/%Y'),87624),('LW00042807',STR_TO_DATE('15/10/2018','%d/%m/%Y'),88197),('LW00042807',STR_TO_DATE('15/11/2018','%d/%m/%Y'),88936),('LW00042807',STR_TO_DATE('15/12/2018','%d/%m/%Y'),89769);</v>
      </c>
    </row>
    <row r="268" spans="1:68" ht="18" customHeight="1" x14ac:dyDescent="0.25">
      <c r="A268" s="241" t="s">
        <v>19</v>
      </c>
      <c r="B268" s="60">
        <v>4450</v>
      </c>
      <c r="C268" s="342" t="s">
        <v>87</v>
      </c>
      <c r="D268" s="60" t="s">
        <v>86</v>
      </c>
      <c r="E268" s="258">
        <v>39742</v>
      </c>
      <c r="F268" s="2" t="s">
        <v>88</v>
      </c>
      <c r="G268" s="2" t="s">
        <v>89</v>
      </c>
      <c r="H268" s="265" t="s">
        <v>735</v>
      </c>
      <c r="I268" s="265"/>
      <c r="J268" s="354">
        <v>5247352</v>
      </c>
      <c r="K268" s="354">
        <v>5309237</v>
      </c>
      <c r="L268" s="354">
        <v>5429058</v>
      </c>
      <c r="M268" s="354">
        <v>5509345</v>
      </c>
      <c r="N268" s="354">
        <v>5589114</v>
      </c>
      <c r="O268" s="311">
        <v>5667311</v>
      </c>
      <c r="P268" s="276">
        <v>5758032</v>
      </c>
      <c r="Q268" s="503">
        <v>5869419</v>
      </c>
      <c r="R268" s="503">
        <v>5959015</v>
      </c>
      <c r="S268" s="503">
        <v>6069491</v>
      </c>
      <c r="T268" s="503">
        <v>6158194</v>
      </c>
      <c r="U268" s="615">
        <v>6245906</v>
      </c>
      <c r="V268" s="354">
        <v>6342364</v>
      </c>
      <c r="W268" s="308"/>
      <c r="X268" s="2"/>
      <c r="Y268" s="2">
        <f t="shared" si="86"/>
        <v>61885</v>
      </c>
      <c r="Z268" s="2">
        <f t="shared" si="84"/>
        <v>119821</v>
      </c>
      <c r="AA268" s="2">
        <f t="shared" si="87"/>
        <v>80287</v>
      </c>
      <c r="AB268" s="2">
        <f t="shared" si="85"/>
        <v>79769</v>
      </c>
      <c r="AC268" s="2">
        <f t="shared" si="92"/>
        <v>78197</v>
      </c>
      <c r="AD268" s="2">
        <f t="shared" si="93"/>
        <v>90721</v>
      </c>
      <c r="AE268" s="2">
        <f t="shared" si="94"/>
        <v>111387</v>
      </c>
      <c r="AF268" s="2">
        <f t="shared" si="95"/>
        <v>89596</v>
      </c>
      <c r="AG268" s="2">
        <f t="shared" si="96"/>
        <v>110476</v>
      </c>
      <c r="AH268" s="2">
        <f t="shared" si="99"/>
        <v>88703</v>
      </c>
      <c r="AI268" s="2">
        <f t="shared" si="97"/>
        <v>87712</v>
      </c>
      <c r="AJ268" s="2">
        <f t="shared" si="98"/>
        <v>96458</v>
      </c>
      <c r="AK268" s="406">
        <v>1</v>
      </c>
      <c r="AL268" s="274">
        <f t="shared" ca="1" si="88"/>
        <v>5589114</v>
      </c>
      <c r="AM268" s="311">
        <f t="shared" ca="1" si="89"/>
        <v>5667311</v>
      </c>
      <c r="AN268" s="274">
        <f ca="1">IF(AND(Tabla7[[#This Row],[UltLec]]&lt;&gt;0,Tabla7[[#This Row],[PenLect]]&lt;&gt;0),(AM268-AL268)*Tabla7[[#This Row],[RT]],"N/A")</f>
        <v>78197</v>
      </c>
      <c r="AO268" s="273" t="s">
        <v>862</v>
      </c>
      <c r="AP268" s="392" t="s">
        <v>1190</v>
      </c>
      <c r="AQ268" s="392" t="s">
        <v>1189</v>
      </c>
      <c r="AR268" s="407">
        <f t="shared" si="90"/>
        <v>0</v>
      </c>
      <c r="AT268" s="2">
        <f t="shared" ca="1" si="91"/>
        <v>0.98029309631561135</v>
      </c>
      <c r="AV268">
        <f>IF(ISBLANK(Tabla7[[#This Row],[31/12/2017]]),0,Tabla7[[#This Row],[31/12/2017]])</f>
        <v>5247352</v>
      </c>
      <c r="AW268">
        <f>IF(ISBLANK(Tabla7[[#This Row],[15/01/2018]]),0,Tabla7[[#This Row],[15/01/2018]])</f>
        <v>5309237</v>
      </c>
      <c r="AX268">
        <f>IF(ISBLANK(Tabla7[[#This Row],[15/02/2018]]),0,Tabla7[[#This Row],[15/02/2018]])</f>
        <v>5429058</v>
      </c>
      <c r="AY268">
        <f>IF(ISBLANK(Tabla7[[#This Row],[15/03/2018]]),0,Tabla7[[#This Row],[15/03/2018]])</f>
        <v>5509345</v>
      </c>
      <c r="AZ268">
        <f>IF(ISBLANK(Tabla7[[#This Row],[15/04/2018]]),0,Tabla7[[#This Row],[15/04/2018]])</f>
        <v>5589114</v>
      </c>
      <c r="BA268">
        <f>IF(ISBLANK(Tabla7[[#This Row],[15/05/2018]]),0,Tabla7[[#This Row],[15/05/2018]])</f>
        <v>5667311</v>
      </c>
      <c r="BB268">
        <f>IF(ISBLANK(Tabla7[[#This Row],[15/06/2018]]),0,Tabla7[[#This Row],[15/06/2018]])</f>
        <v>5758032</v>
      </c>
      <c r="BC268">
        <f>IF(ISBLANK(Tabla7[[#This Row],[15/07/2018]]),0,Tabla7[[#This Row],[15/07/2018]])</f>
        <v>5869419</v>
      </c>
      <c r="BD268">
        <f>IF(ISBLANK(Tabla7[[#This Row],[15/08/2018]]),0,Tabla7[[#This Row],[15/08/2018]])</f>
        <v>5959015</v>
      </c>
      <c r="BE268">
        <f>IF(ISBLANK(Tabla7[[#This Row],[15/09/2018]]),0,Tabla7[[#This Row],[15/09/2018]])</f>
        <v>6069491</v>
      </c>
      <c r="BF268">
        <f>IF(ISBLANK(Tabla7[[#This Row],[15/10/2018]]),0,Tabla7[[#This Row],[15/10/2018]])</f>
        <v>6158194</v>
      </c>
      <c r="BG268">
        <f>IF(ISBLANK(Tabla7[[#This Row],[15/11/2018]]),0,Tabla7[[#This Row],[15/11/2018]])</f>
        <v>6245906</v>
      </c>
      <c r="BH268">
        <f>IF(ISBLANK(Tabla7[[#This Row],[15/12/2018]]),0,Tabla7[[#This Row],[15/12/2018]])</f>
        <v>6342364</v>
      </c>
      <c r="BI268">
        <f>IF(ISBLANK(Tabla7[[#This Row],[28/12/2018]]),0,Tabla7[[#This Row],[28/12/2018]])</f>
        <v>0</v>
      </c>
      <c r="BN26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('LW00181679','V','VCT08','39742','CIUDAD DE ARTES Y CIENCIAS','EN TINGLADO 5','Primer digito indica nº vuelta y se añade manualmente.','');</v>
      </c>
      <c r="BO268" t="s">
        <v>243</v>
      </c>
      <c r="BP268" s="632" t="str">
        <f>CONCATENATE("insert into lecturas values ","('",Tabla7[[#This Row],[CONTADOR]],"',STR_TO_DATE('",Tabla7[[#Headers],[31/12/2017]],"','%d/%m/%Y'),",AV268,"),","('",Tabla7[[#This Row],[CONTADOR]],"',STR_TO_DATE('",Tabla7[[#Headers],[15/01/2018]],"','%d/%m/%Y'),",AW268,"),","('",Tabla7[[#This Row],[CONTADOR]],"',STR_TO_DATE('",Tabla7[[#Headers],[15/02/2018]],"','%d/%m/%Y'),",AX268,"),","('",Tabla7[[#This Row],[CONTADOR]],"',STR_TO_DATE('",Tabla7[[#Headers],[15/03/2018]],"','%d/%m/%Y'),",AY268,"),","('",Tabla7[[#This Row],[CONTADOR]],"',STR_TO_DATE('",Tabla7[[#Headers],[15/04/2018]],"','%d/%m/%Y'),",AZ268,"),","('",Tabla7[[#This Row],[CONTADOR]],"',STR_TO_DATE('",Tabla7[[#Headers],[15/05/2018]],"','%d/%m/%Y'),",BA268,"),","('",Tabla7[[#This Row],[CONTADOR]],"',STR_TO_DATE('",Tabla7[[#Headers],[15/06/2018]],"','%d/%m/%Y'),",BB268,"),","('",Tabla7[[#This Row],[CONTADOR]],"',STR_TO_DATE('",Tabla7[[#Headers],[15/07/2018]],"','%d/%m/%Y'),",BC268,"),","('",Tabla7[[#This Row],[CONTADOR]],"',STR_TO_DATE('",Tabla7[[#Headers],[15/08/2018]],"','%d/%m/%Y'),",BD268,"),","('",Tabla7[[#This Row],[CONTADOR]],"',STR_TO_DATE('",Tabla7[[#Headers],[15/09/2018]],"','%d/%m/%Y'),",BE268,"),","('",Tabla7[[#This Row],[CONTADOR]],"',STR_TO_DATE('",Tabla7[[#Headers],[15/10/2018]],"','%d/%m/%Y'),",BF268,"),","('",Tabla7[[#This Row],[CONTADOR]],"',STR_TO_DATE('",Tabla7[[#Headers],[15/11/2018]],"','%d/%m/%Y'),",BG268,"),","('",Tabla7[[#This Row],[CONTADOR]],"',STR_TO_DATE('",Tabla7[[#Headers],[15/12/2018]],"','%d/%m/%Y'),",BH268,");")</f>
        <v>insert into lecturas values ('LW00181679',STR_TO_DATE('31/12/2017','%d/%m/%Y'),5247352),('LW00181679',STR_TO_DATE('15/01/2018','%d/%m/%Y'),5309237),('LW00181679',STR_TO_DATE('15/02/2018','%d/%m/%Y'),5429058),('LW00181679',STR_TO_DATE('15/03/2018','%d/%m/%Y'),5509345),('LW00181679',STR_TO_DATE('15/04/2018','%d/%m/%Y'),5589114),('LW00181679',STR_TO_DATE('15/05/2018','%d/%m/%Y'),5667311),('LW00181679',STR_TO_DATE('15/06/2018','%d/%m/%Y'),5758032),('LW00181679',STR_TO_DATE('15/07/2018','%d/%m/%Y'),5869419),('LW00181679',STR_TO_DATE('15/08/2018','%d/%m/%Y'),5959015),('LW00181679',STR_TO_DATE('15/09/2018','%d/%m/%Y'),6069491),('LW00181679',STR_TO_DATE('15/10/2018','%d/%m/%Y'),6158194),('LW00181679',STR_TO_DATE('15/11/2018','%d/%m/%Y'),6245906),('LW00181679',STR_TO_DATE('15/12/2018','%d/%m/%Y'),6342364);</v>
      </c>
    </row>
    <row r="269" spans="1:68" ht="18" customHeight="1" x14ac:dyDescent="0.25">
      <c r="A269" s="241" t="s">
        <v>19</v>
      </c>
      <c r="B269" s="60"/>
      <c r="C269" s="342" t="s">
        <v>1331</v>
      </c>
      <c r="D269" s="60" t="s">
        <v>90</v>
      </c>
      <c r="E269" s="258">
        <v>39196</v>
      </c>
      <c r="F269" s="274" t="s">
        <v>91</v>
      </c>
      <c r="G269" s="274" t="s">
        <v>92</v>
      </c>
      <c r="H269" s="2" t="s">
        <v>93</v>
      </c>
      <c r="I269" s="2"/>
      <c r="J269" s="311">
        <v>196456</v>
      </c>
      <c r="K269" s="311">
        <v>197393</v>
      </c>
      <c r="L269" s="311">
        <v>199100</v>
      </c>
      <c r="M269" s="274">
        <v>200449</v>
      </c>
      <c r="N269" s="311">
        <v>201791</v>
      </c>
      <c r="O269" s="311">
        <v>202939</v>
      </c>
      <c r="P269" s="283">
        <v>204063</v>
      </c>
      <c r="Q269" s="274">
        <v>205103</v>
      </c>
      <c r="R269" s="313">
        <v>206130</v>
      </c>
      <c r="S269" s="311">
        <v>207538</v>
      </c>
      <c r="T269" s="311">
        <v>208812</v>
      </c>
      <c r="U269" s="492">
        <v>210548</v>
      </c>
      <c r="V269" s="493">
        <v>212444</v>
      </c>
      <c r="W269" s="2"/>
      <c r="X269" s="2"/>
      <c r="Y269" s="2">
        <f t="shared" si="86"/>
        <v>937</v>
      </c>
      <c r="Z269" s="2">
        <f t="shared" si="84"/>
        <v>1707</v>
      </c>
      <c r="AA269" s="2">
        <f t="shared" si="87"/>
        <v>1349</v>
      </c>
      <c r="AB269" s="2">
        <f t="shared" si="85"/>
        <v>1342</v>
      </c>
      <c r="AC269" s="2">
        <f t="shared" si="92"/>
        <v>1148</v>
      </c>
      <c r="AD269" s="2">
        <f t="shared" si="93"/>
        <v>1124</v>
      </c>
      <c r="AE269" s="2">
        <f t="shared" si="94"/>
        <v>1040</v>
      </c>
      <c r="AF269" s="2">
        <f t="shared" si="95"/>
        <v>1027</v>
      </c>
      <c r="AG269" s="2">
        <f t="shared" si="96"/>
        <v>1408</v>
      </c>
      <c r="AH269" s="2">
        <f t="shared" si="99"/>
        <v>1274</v>
      </c>
      <c r="AI269" s="2">
        <f t="shared" si="97"/>
        <v>1736</v>
      </c>
      <c r="AJ269" s="2">
        <f t="shared" si="98"/>
        <v>1896</v>
      </c>
      <c r="AK269" s="406">
        <v>1</v>
      </c>
      <c r="AL269" s="274">
        <f t="shared" ca="1" si="88"/>
        <v>201791</v>
      </c>
      <c r="AM269" s="311">
        <f t="shared" ca="1" si="89"/>
        <v>202939</v>
      </c>
      <c r="AN269" s="274">
        <f ca="1">IF(AND(Tabla7[[#This Row],[UltLec]]&lt;&gt;0,Tabla7[[#This Row],[PenLect]]&lt;&gt;0),(AM269-AL269)*Tabla7[[#This Row],[RT]],"N/A")</f>
        <v>1148</v>
      </c>
      <c r="AO269" s="273" t="s">
        <v>862</v>
      </c>
      <c r="AP269" s="392" t="s">
        <v>1190</v>
      </c>
      <c r="AQ269" s="392" t="s">
        <v>1189</v>
      </c>
      <c r="AR269" s="407">
        <f t="shared" si="90"/>
        <v>0</v>
      </c>
      <c r="AT269" s="2">
        <f t="shared" ca="1" si="91"/>
        <v>0.85543964232488823</v>
      </c>
      <c r="AV269">
        <f>IF(ISBLANK(Tabla7[[#This Row],[31/12/2017]]),0,Tabla7[[#This Row],[31/12/2017]])</f>
        <v>196456</v>
      </c>
      <c r="AW269">
        <f>IF(ISBLANK(Tabla7[[#This Row],[15/01/2018]]),0,Tabla7[[#This Row],[15/01/2018]])</f>
        <v>197393</v>
      </c>
      <c r="AX269">
        <f>IF(ISBLANK(Tabla7[[#This Row],[15/02/2018]]),0,Tabla7[[#This Row],[15/02/2018]])</f>
        <v>199100</v>
      </c>
      <c r="AY269">
        <f>IF(ISBLANK(Tabla7[[#This Row],[15/03/2018]]),0,Tabla7[[#This Row],[15/03/2018]])</f>
        <v>200449</v>
      </c>
      <c r="AZ269">
        <f>IF(ISBLANK(Tabla7[[#This Row],[15/04/2018]]),0,Tabla7[[#This Row],[15/04/2018]])</f>
        <v>201791</v>
      </c>
      <c r="BA269">
        <f>IF(ISBLANK(Tabla7[[#This Row],[15/05/2018]]),0,Tabla7[[#This Row],[15/05/2018]])</f>
        <v>202939</v>
      </c>
      <c r="BB269">
        <f>IF(ISBLANK(Tabla7[[#This Row],[15/06/2018]]),0,Tabla7[[#This Row],[15/06/2018]])</f>
        <v>204063</v>
      </c>
      <c r="BC269">
        <f>IF(ISBLANK(Tabla7[[#This Row],[15/07/2018]]),0,Tabla7[[#This Row],[15/07/2018]])</f>
        <v>205103</v>
      </c>
      <c r="BD269">
        <f>IF(ISBLANK(Tabla7[[#This Row],[15/08/2018]]),0,Tabla7[[#This Row],[15/08/2018]])</f>
        <v>206130</v>
      </c>
      <c r="BE269">
        <f>IF(ISBLANK(Tabla7[[#This Row],[15/09/2018]]),0,Tabla7[[#This Row],[15/09/2018]])</f>
        <v>207538</v>
      </c>
      <c r="BF269">
        <f>IF(ISBLANK(Tabla7[[#This Row],[15/10/2018]]),0,Tabla7[[#This Row],[15/10/2018]])</f>
        <v>208812</v>
      </c>
      <c r="BG269">
        <f>IF(ISBLANK(Tabla7[[#This Row],[15/11/2018]]),0,Tabla7[[#This Row],[15/11/2018]])</f>
        <v>210548</v>
      </c>
      <c r="BH269">
        <f>IF(ISBLANK(Tabla7[[#This Row],[15/12/2018]]),0,Tabla7[[#This Row],[15/12/2018]])</f>
        <v>212444</v>
      </c>
      <c r="BI269">
        <f>IF(ISBLANK(Tabla7[[#This Row],[28/12/2018]]),0,Tabla7[[#This Row],[28/12/2018]])</f>
        <v>0</v>
      </c>
      <c r="BN26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 BGJQHCD04040571163','V','VCT09','39196','CIA. TRASMEDITERANEA, S.A.','VT-0904','Torre de alumbrado M. de Poniente','');</v>
      </c>
      <c r="BO269" t="s">
        <v>243</v>
      </c>
      <c r="BP269" s="632" t="str">
        <f>CONCATENATE("insert into lecturas values ","('",Tabla7[[#This Row],[CONTADOR]],"',STR_TO_DATE('",Tabla7[[#Headers],[31/12/2017]],"','%d/%m/%Y'),",AV269,"),","('",Tabla7[[#This Row],[CONTADOR]],"',STR_TO_DATE('",Tabla7[[#Headers],[15/01/2018]],"','%d/%m/%Y'),",AW269,"),","('",Tabla7[[#This Row],[CONTADOR]],"',STR_TO_DATE('",Tabla7[[#Headers],[15/02/2018]],"','%d/%m/%Y'),",AX269,"),","('",Tabla7[[#This Row],[CONTADOR]],"',STR_TO_DATE('",Tabla7[[#Headers],[15/03/2018]],"','%d/%m/%Y'),",AY269,"),","('",Tabla7[[#This Row],[CONTADOR]],"',STR_TO_DATE('",Tabla7[[#Headers],[15/04/2018]],"','%d/%m/%Y'),",AZ269,"),","('",Tabla7[[#This Row],[CONTADOR]],"',STR_TO_DATE('",Tabla7[[#Headers],[15/05/2018]],"','%d/%m/%Y'),",BA269,"),","('",Tabla7[[#This Row],[CONTADOR]],"',STR_TO_DATE('",Tabla7[[#Headers],[15/06/2018]],"','%d/%m/%Y'),",BB269,"),","('",Tabla7[[#This Row],[CONTADOR]],"',STR_TO_DATE('",Tabla7[[#Headers],[15/07/2018]],"','%d/%m/%Y'),",BC269,"),","('",Tabla7[[#This Row],[CONTADOR]],"',STR_TO_DATE('",Tabla7[[#Headers],[15/08/2018]],"','%d/%m/%Y'),",BD269,"),","('",Tabla7[[#This Row],[CONTADOR]],"',STR_TO_DATE('",Tabla7[[#Headers],[15/09/2018]],"','%d/%m/%Y'),",BE269,"),","('",Tabla7[[#This Row],[CONTADOR]],"',STR_TO_DATE('",Tabla7[[#Headers],[15/10/2018]],"','%d/%m/%Y'),",BF269,"),","('",Tabla7[[#This Row],[CONTADOR]],"',STR_TO_DATE('",Tabla7[[#Headers],[15/11/2018]],"','%d/%m/%Y'),",BG269,"),","('",Tabla7[[#This Row],[CONTADOR]],"',STR_TO_DATE('",Tabla7[[#Headers],[15/12/2018]],"','%d/%m/%Y'),",BH269,");")</f>
        <v>insert into lecturas values (' BGJQHCD04040571163',STR_TO_DATE('31/12/2017','%d/%m/%Y'),196456),(' BGJQHCD04040571163',STR_TO_DATE('15/01/2018','%d/%m/%Y'),197393),(' BGJQHCD04040571163',STR_TO_DATE('15/02/2018','%d/%m/%Y'),199100),(' BGJQHCD04040571163',STR_TO_DATE('15/03/2018','%d/%m/%Y'),200449),(' BGJQHCD04040571163',STR_TO_DATE('15/04/2018','%d/%m/%Y'),201791),(' BGJQHCD04040571163',STR_TO_DATE('15/05/2018','%d/%m/%Y'),202939),(' BGJQHCD04040571163',STR_TO_DATE('15/06/2018','%d/%m/%Y'),204063),(' BGJQHCD04040571163',STR_TO_DATE('15/07/2018','%d/%m/%Y'),205103),(' BGJQHCD04040571163',STR_TO_DATE('15/08/2018','%d/%m/%Y'),206130),(' BGJQHCD04040571163',STR_TO_DATE('15/09/2018','%d/%m/%Y'),207538),(' BGJQHCD04040571163',STR_TO_DATE('15/10/2018','%d/%m/%Y'),208812),(' BGJQHCD04040571163',STR_TO_DATE('15/11/2018','%d/%m/%Y'),210548),(' BGJQHCD04040571163',STR_TO_DATE('15/12/2018','%d/%m/%Y'),212444);</v>
      </c>
    </row>
    <row r="270" spans="1:68" ht="18" customHeight="1" x14ac:dyDescent="0.25">
      <c r="A270" s="241" t="s">
        <v>19</v>
      </c>
      <c r="B270" s="60">
        <v>1083</v>
      </c>
      <c r="C270" s="342" t="s">
        <v>1228</v>
      </c>
      <c r="D270" s="60" t="s">
        <v>90</v>
      </c>
      <c r="E270" s="258">
        <v>39054</v>
      </c>
      <c r="F270" s="2" t="s">
        <v>102</v>
      </c>
      <c r="G270" s="2" t="s">
        <v>1013</v>
      </c>
      <c r="H270" s="2"/>
      <c r="I270" s="2"/>
      <c r="J270" s="311">
        <v>1623</v>
      </c>
      <c r="K270" s="311">
        <v>1677</v>
      </c>
      <c r="L270" s="311">
        <v>1820</v>
      </c>
      <c r="M270" s="311">
        <v>1925</v>
      </c>
      <c r="N270" s="311">
        <v>2033</v>
      </c>
      <c r="O270" s="311">
        <v>2127</v>
      </c>
      <c r="P270" s="1">
        <v>2275</v>
      </c>
      <c r="Q270" s="2">
        <v>2421</v>
      </c>
      <c r="R270" s="311">
        <v>2575</v>
      </c>
      <c r="S270" s="311">
        <v>2687</v>
      </c>
      <c r="T270" s="311">
        <v>2830</v>
      </c>
      <c r="U270" s="492">
        <v>2965</v>
      </c>
      <c r="V270" s="493">
        <v>3090</v>
      </c>
      <c r="W270" s="274"/>
      <c r="X270" s="2"/>
      <c r="Y270" s="2">
        <f t="shared" si="86"/>
        <v>54</v>
      </c>
      <c r="Z270" s="2">
        <f t="shared" si="84"/>
        <v>143</v>
      </c>
      <c r="AA270" s="2">
        <f t="shared" si="87"/>
        <v>105</v>
      </c>
      <c r="AB270" s="2">
        <f t="shared" si="85"/>
        <v>108</v>
      </c>
      <c r="AC270" s="2">
        <f t="shared" si="92"/>
        <v>94</v>
      </c>
      <c r="AD270" s="2">
        <f t="shared" si="93"/>
        <v>148</v>
      </c>
      <c r="AE270" s="2">
        <f t="shared" si="94"/>
        <v>146</v>
      </c>
      <c r="AF270" s="2">
        <f t="shared" si="95"/>
        <v>154</v>
      </c>
      <c r="AG270" s="2">
        <f t="shared" si="96"/>
        <v>112</v>
      </c>
      <c r="AH270" s="2">
        <f t="shared" si="99"/>
        <v>143</v>
      </c>
      <c r="AI270" s="2">
        <f t="shared" si="97"/>
        <v>135</v>
      </c>
      <c r="AJ270" s="2">
        <f t="shared" si="98"/>
        <v>125</v>
      </c>
      <c r="AK270" s="406">
        <v>1</v>
      </c>
      <c r="AL270" s="274">
        <f t="shared" ca="1" si="88"/>
        <v>2033</v>
      </c>
      <c r="AM270" s="311">
        <f t="shared" ca="1" si="89"/>
        <v>2127</v>
      </c>
      <c r="AN270" s="274">
        <f ca="1">IF(AND(Tabla7[[#This Row],[UltLec]]&lt;&gt;0,Tabla7[[#This Row],[PenLect]]&lt;&gt;0),(AM270-AL270)*Tabla7[[#This Row],[RT]],"N/A")</f>
        <v>94</v>
      </c>
      <c r="AO270" s="273" t="s">
        <v>862</v>
      </c>
      <c r="AP270" s="392" t="s">
        <v>1191</v>
      </c>
      <c r="AQ270" s="392" t="s">
        <v>1189</v>
      </c>
      <c r="AR270" s="407">
        <f t="shared" si="90"/>
        <v>0</v>
      </c>
      <c r="AT270" s="2">
        <f t="shared" ca="1" si="91"/>
        <v>0.87037037037037035</v>
      </c>
      <c r="AV270">
        <f>IF(ISBLANK(Tabla7[[#This Row],[31/12/2017]]),0,Tabla7[[#This Row],[31/12/2017]])</f>
        <v>1623</v>
      </c>
      <c r="AW270">
        <f>IF(ISBLANK(Tabla7[[#This Row],[15/01/2018]]),0,Tabla7[[#This Row],[15/01/2018]])</f>
        <v>1677</v>
      </c>
      <c r="AX270">
        <f>IF(ISBLANK(Tabla7[[#This Row],[15/02/2018]]),0,Tabla7[[#This Row],[15/02/2018]])</f>
        <v>1820</v>
      </c>
      <c r="AY270">
        <f>IF(ISBLANK(Tabla7[[#This Row],[15/03/2018]]),0,Tabla7[[#This Row],[15/03/2018]])</f>
        <v>1925</v>
      </c>
      <c r="AZ270">
        <f>IF(ISBLANK(Tabla7[[#This Row],[15/04/2018]]),0,Tabla7[[#This Row],[15/04/2018]])</f>
        <v>2033</v>
      </c>
      <c r="BA270">
        <f>IF(ISBLANK(Tabla7[[#This Row],[15/05/2018]]),0,Tabla7[[#This Row],[15/05/2018]])</f>
        <v>2127</v>
      </c>
      <c r="BB270">
        <f>IF(ISBLANK(Tabla7[[#This Row],[15/06/2018]]),0,Tabla7[[#This Row],[15/06/2018]])</f>
        <v>2275</v>
      </c>
      <c r="BC270">
        <f>IF(ISBLANK(Tabla7[[#This Row],[15/07/2018]]),0,Tabla7[[#This Row],[15/07/2018]])</f>
        <v>2421</v>
      </c>
      <c r="BD270">
        <f>IF(ISBLANK(Tabla7[[#This Row],[15/08/2018]]),0,Tabla7[[#This Row],[15/08/2018]])</f>
        <v>2575</v>
      </c>
      <c r="BE270">
        <f>IF(ISBLANK(Tabla7[[#This Row],[15/09/2018]]),0,Tabla7[[#This Row],[15/09/2018]])</f>
        <v>2687</v>
      </c>
      <c r="BF270">
        <f>IF(ISBLANK(Tabla7[[#This Row],[15/10/2018]]),0,Tabla7[[#This Row],[15/10/2018]])</f>
        <v>2830</v>
      </c>
      <c r="BG270">
        <f>IF(ISBLANK(Tabla7[[#This Row],[15/11/2018]]),0,Tabla7[[#This Row],[15/11/2018]])</f>
        <v>2965</v>
      </c>
      <c r="BH270">
        <f>IF(ISBLANK(Tabla7[[#This Row],[15/12/2018]]),0,Tabla7[[#This Row],[15/12/2018]])</f>
        <v>3090</v>
      </c>
      <c r="BI270">
        <f>IF(ISBLANK(Tabla7[[#This Row],[28/12/2018]]),0,Tabla7[[#This Row],[28/12/2018]])</f>
        <v>0</v>
      </c>
      <c r="BN27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('CXRUGBI16032811063','V','VCT09','39054','FEDER. SINDIC CIUDADANIA CCOO','EN CENTRALIZACION (02)','','');</v>
      </c>
      <c r="BO270" t="s">
        <v>243</v>
      </c>
      <c r="BP270" s="632" t="str">
        <f>CONCATENATE("insert into lecturas values ","('",Tabla7[[#This Row],[CONTADOR]],"',STR_TO_DATE('",Tabla7[[#Headers],[31/12/2017]],"','%d/%m/%Y'),",AV270,"),","('",Tabla7[[#This Row],[CONTADOR]],"',STR_TO_DATE('",Tabla7[[#Headers],[15/01/2018]],"','%d/%m/%Y'),",AW270,"),","('",Tabla7[[#This Row],[CONTADOR]],"',STR_TO_DATE('",Tabla7[[#Headers],[15/02/2018]],"','%d/%m/%Y'),",AX270,"),","('",Tabla7[[#This Row],[CONTADOR]],"',STR_TO_DATE('",Tabla7[[#Headers],[15/03/2018]],"','%d/%m/%Y'),",AY270,"),","('",Tabla7[[#This Row],[CONTADOR]],"',STR_TO_DATE('",Tabla7[[#Headers],[15/04/2018]],"','%d/%m/%Y'),",AZ270,"),","('",Tabla7[[#This Row],[CONTADOR]],"',STR_TO_DATE('",Tabla7[[#Headers],[15/05/2018]],"','%d/%m/%Y'),",BA270,"),","('",Tabla7[[#This Row],[CONTADOR]],"',STR_TO_DATE('",Tabla7[[#Headers],[15/06/2018]],"','%d/%m/%Y'),",BB270,"),","('",Tabla7[[#This Row],[CONTADOR]],"',STR_TO_DATE('",Tabla7[[#Headers],[15/07/2018]],"','%d/%m/%Y'),",BC270,"),","('",Tabla7[[#This Row],[CONTADOR]],"',STR_TO_DATE('",Tabla7[[#Headers],[15/08/2018]],"','%d/%m/%Y'),",BD270,"),","('",Tabla7[[#This Row],[CONTADOR]],"',STR_TO_DATE('",Tabla7[[#Headers],[15/09/2018]],"','%d/%m/%Y'),",BE270,"),","('",Tabla7[[#This Row],[CONTADOR]],"',STR_TO_DATE('",Tabla7[[#Headers],[15/10/2018]],"','%d/%m/%Y'),",BF270,"),","('",Tabla7[[#This Row],[CONTADOR]],"',STR_TO_DATE('",Tabla7[[#Headers],[15/11/2018]],"','%d/%m/%Y'),",BG270,"),","('",Tabla7[[#This Row],[CONTADOR]],"',STR_TO_DATE('",Tabla7[[#Headers],[15/12/2018]],"','%d/%m/%Y'),",BH270,");")</f>
        <v>insert into lecturas values ('CXRUGBI16032811063',STR_TO_DATE('31/12/2017','%d/%m/%Y'),1623),('CXRUGBI16032811063',STR_TO_DATE('15/01/2018','%d/%m/%Y'),1677),('CXRUGBI16032811063',STR_TO_DATE('15/02/2018','%d/%m/%Y'),1820),('CXRUGBI16032811063',STR_TO_DATE('15/03/2018','%d/%m/%Y'),1925),('CXRUGBI16032811063',STR_TO_DATE('15/04/2018','%d/%m/%Y'),2033),('CXRUGBI16032811063',STR_TO_DATE('15/05/2018','%d/%m/%Y'),2127),('CXRUGBI16032811063',STR_TO_DATE('15/06/2018','%d/%m/%Y'),2275),('CXRUGBI16032811063',STR_TO_DATE('15/07/2018','%d/%m/%Y'),2421),('CXRUGBI16032811063',STR_TO_DATE('15/08/2018','%d/%m/%Y'),2575),('CXRUGBI16032811063',STR_TO_DATE('15/09/2018','%d/%m/%Y'),2687),('CXRUGBI16032811063',STR_TO_DATE('15/10/2018','%d/%m/%Y'),2830),('CXRUGBI16032811063',STR_TO_DATE('15/11/2018','%d/%m/%Y'),2965),('CXRUGBI16032811063',STR_TO_DATE('15/12/2018','%d/%m/%Y'),3090);</v>
      </c>
    </row>
    <row r="271" spans="1:68" ht="18" customHeight="1" x14ac:dyDescent="0.25">
      <c r="A271" s="241" t="s">
        <v>19</v>
      </c>
      <c r="B271" s="60"/>
      <c r="C271" s="342" t="s">
        <v>1229</v>
      </c>
      <c r="D271" s="60" t="s">
        <v>90</v>
      </c>
      <c r="E271" s="258">
        <v>39057</v>
      </c>
      <c r="F271" s="2" t="s">
        <v>105</v>
      </c>
      <c r="G271" s="2" t="s">
        <v>1017</v>
      </c>
      <c r="H271" s="2"/>
      <c r="I271" s="2"/>
      <c r="J271" s="311">
        <v>647</v>
      </c>
      <c r="K271" s="311">
        <v>687</v>
      </c>
      <c r="L271" s="311">
        <v>744</v>
      </c>
      <c r="M271" s="311">
        <v>791</v>
      </c>
      <c r="N271" s="311">
        <v>837</v>
      </c>
      <c r="O271" s="311">
        <v>886</v>
      </c>
      <c r="P271" s="1">
        <v>961</v>
      </c>
      <c r="Q271" s="2">
        <v>1042</v>
      </c>
      <c r="R271" s="311">
        <v>1126</v>
      </c>
      <c r="S271" s="311">
        <v>1164</v>
      </c>
      <c r="T271" s="311">
        <v>1230</v>
      </c>
      <c r="U271" s="492">
        <v>1306</v>
      </c>
      <c r="V271" s="493">
        <v>1362</v>
      </c>
      <c r="W271" s="274"/>
      <c r="X271" s="2"/>
      <c r="Y271" s="2">
        <f t="shared" si="86"/>
        <v>40</v>
      </c>
      <c r="Z271" s="2">
        <f t="shared" si="84"/>
        <v>57</v>
      </c>
      <c r="AA271" s="2">
        <f t="shared" si="87"/>
        <v>47</v>
      </c>
      <c r="AB271" s="2">
        <f t="shared" si="85"/>
        <v>46</v>
      </c>
      <c r="AC271" s="2">
        <f t="shared" si="92"/>
        <v>49</v>
      </c>
      <c r="AD271" s="2">
        <f t="shared" si="93"/>
        <v>75</v>
      </c>
      <c r="AE271" s="2">
        <f t="shared" si="94"/>
        <v>81</v>
      </c>
      <c r="AF271" s="2">
        <f t="shared" si="95"/>
        <v>84</v>
      </c>
      <c r="AG271" s="2">
        <f t="shared" si="96"/>
        <v>38</v>
      </c>
      <c r="AH271" s="2">
        <f t="shared" si="99"/>
        <v>66</v>
      </c>
      <c r="AI271" s="2">
        <f t="shared" si="97"/>
        <v>76</v>
      </c>
      <c r="AJ271" s="2">
        <f t="shared" si="98"/>
        <v>56</v>
      </c>
      <c r="AK271" s="406">
        <v>1</v>
      </c>
      <c r="AL271" s="274">
        <f t="shared" ca="1" si="88"/>
        <v>837</v>
      </c>
      <c r="AM271" s="311">
        <f t="shared" ca="1" si="89"/>
        <v>886</v>
      </c>
      <c r="AN271" s="274">
        <f ca="1">IF(AND(Tabla7[[#This Row],[UltLec]]&lt;&gt;0,Tabla7[[#This Row],[PenLect]]&lt;&gt;0),(AM271-AL271)*Tabla7[[#This Row],[RT]],"N/A")</f>
        <v>49</v>
      </c>
      <c r="AO271" s="273" t="s">
        <v>862</v>
      </c>
      <c r="AP271" s="392" t="s">
        <v>1191</v>
      </c>
      <c r="AQ271" s="392" t="s">
        <v>1189</v>
      </c>
      <c r="AR271" s="407">
        <f t="shared" si="90"/>
        <v>0</v>
      </c>
      <c r="AT271" s="2">
        <f t="shared" ca="1" si="91"/>
        <v>1.0652173913043479</v>
      </c>
      <c r="AV271">
        <f>IF(ISBLANK(Tabla7[[#This Row],[31/12/2017]]),0,Tabla7[[#This Row],[31/12/2017]])</f>
        <v>647</v>
      </c>
      <c r="AW271">
        <f>IF(ISBLANK(Tabla7[[#This Row],[15/01/2018]]),0,Tabla7[[#This Row],[15/01/2018]])</f>
        <v>687</v>
      </c>
      <c r="AX271">
        <f>IF(ISBLANK(Tabla7[[#This Row],[15/02/2018]]),0,Tabla7[[#This Row],[15/02/2018]])</f>
        <v>744</v>
      </c>
      <c r="AY271">
        <f>IF(ISBLANK(Tabla7[[#This Row],[15/03/2018]]),0,Tabla7[[#This Row],[15/03/2018]])</f>
        <v>791</v>
      </c>
      <c r="AZ271">
        <f>IF(ISBLANK(Tabla7[[#This Row],[15/04/2018]]),0,Tabla7[[#This Row],[15/04/2018]])</f>
        <v>837</v>
      </c>
      <c r="BA271">
        <f>IF(ISBLANK(Tabla7[[#This Row],[15/05/2018]]),0,Tabla7[[#This Row],[15/05/2018]])</f>
        <v>886</v>
      </c>
      <c r="BB271">
        <f>IF(ISBLANK(Tabla7[[#This Row],[15/06/2018]]),0,Tabla7[[#This Row],[15/06/2018]])</f>
        <v>961</v>
      </c>
      <c r="BC271">
        <f>IF(ISBLANK(Tabla7[[#This Row],[15/07/2018]]),0,Tabla7[[#This Row],[15/07/2018]])</f>
        <v>1042</v>
      </c>
      <c r="BD271">
        <f>IF(ISBLANK(Tabla7[[#This Row],[15/08/2018]]),0,Tabla7[[#This Row],[15/08/2018]])</f>
        <v>1126</v>
      </c>
      <c r="BE271">
        <f>IF(ISBLANK(Tabla7[[#This Row],[15/09/2018]]),0,Tabla7[[#This Row],[15/09/2018]])</f>
        <v>1164</v>
      </c>
      <c r="BF271">
        <f>IF(ISBLANK(Tabla7[[#This Row],[15/10/2018]]),0,Tabla7[[#This Row],[15/10/2018]])</f>
        <v>1230</v>
      </c>
      <c r="BG271">
        <f>IF(ISBLANK(Tabla7[[#This Row],[15/11/2018]]),0,Tabla7[[#This Row],[15/11/2018]])</f>
        <v>1306</v>
      </c>
      <c r="BH271">
        <f>IF(ISBLANK(Tabla7[[#This Row],[15/12/2018]]),0,Tabla7[[#This Row],[15/12/2018]])</f>
        <v>1362</v>
      </c>
      <c r="BI271">
        <f>IF(ISBLANK(Tabla7[[#This Row],[28/12/2018]]),0,Tabla7[[#This Row],[28/12/2018]])</f>
        <v>0</v>
      </c>
      <c r="BN27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('CXRUGBI16032811065','V','VCT09','39057','FETCM - UGT','EN CENTRALIZACION (06)','','');</v>
      </c>
      <c r="BO271" t="s">
        <v>243</v>
      </c>
      <c r="BP271" s="632" t="str">
        <f>CONCATENATE("insert into lecturas values ","('",Tabla7[[#This Row],[CONTADOR]],"',STR_TO_DATE('",Tabla7[[#Headers],[31/12/2017]],"','%d/%m/%Y'),",AV271,"),","('",Tabla7[[#This Row],[CONTADOR]],"',STR_TO_DATE('",Tabla7[[#Headers],[15/01/2018]],"','%d/%m/%Y'),",AW271,"),","('",Tabla7[[#This Row],[CONTADOR]],"',STR_TO_DATE('",Tabla7[[#Headers],[15/02/2018]],"','%d/%m/%Y'),",AX271,"),","('",Tabla7[[#This Row],[CONTADOR]],"',STR_TO_DATE('",Tabla7[[#Headers],[15/03/2018]],"','%d/%m/%Y'),",AY271,"),","('",Tabla7[[#This Row],[CONTADOR]],"',STR_TO_DATE('",Tabla7[[#Headers],[15/04/2018]],"','%d/%m/%Y'),",AZ271,"),","('",Tabla7[[#This Row],[CONTADOR]],"',STR_TO_DATE('",Tabla7[[#Headers],[15/05/2018]],"','%d/%m/%Y'),",BA271,"),","('",Tabla7[[#This Row],[CONTADOR]],"',STR_TO_DATE('",Tabla7[[#Headers],[15/06/2018]],"','%d/%m/%Y'),",BB271,"),","('",Tabla7[[#This Row],[CONTADOR]],"',STR_TO_DATE('",Tabla7[[#Headers],[15/07/2018]],"','%d/%m/%Y'),",BC271,"),","('",Tabla7[[#This Row],[CONTADOR]],"',STR_TO_DATE('",Tabla7[[#Headers],[15/08/2018]],"','%d/%m/%Y'),",BD271,"),","('",Tabla7[[#This Row],[CONTADOR]],"',STR_TO_DATE('",Tabla7[[#Headers],[15/09/2018]],"','%d/%m/%Y'),",BE271,"),","('",Tabla7[[#This Row],[CONTADOR]],"',STR_TO_DATE('",Tabla7[[#Headers],[15/10/2018]],"','%d/%m/%Y'),",BF271,"),","('",Tabla7[[#This Row],[CONTADOR]],"',STR_TO_DATE('",Tabla7[[#Headers],[15/11/2018]],"','%d/%m/%Y'),",BG271,"),","('",Tabla7[[#This Row],[CONTADOR]],"',STR_TO_DATE('",Tabla7[[#Headers],[15/12/2018]],"','%d/%m/%Y'),",BH271,");")</f>
        <v>insert into lecturas values ('CXRUGBI16032811065',STR_TO_DATE('31/12/2017','%d/%m/%Y'),647),('CXRUGBI16032811065',STR_TO_DATE('15/01/2018','%d/%m/%Y'),687),('CXRUGBI16032811065',STR_TO_DATE('15/02/2018','%d/%m/%Y'),744),('CXRUGBI16032811065',STR_TO_DATE('15/03/2018','%d/%m/%Y'),791),('CXRUGBI16032811065',STR_TO_DATE('15/04/2018','%d/%m/%Y'),837),('CXRUGBI16032811065',STR_TO_DATE('15/05/2018','%d/%m/%Y'),886),('CXRUGBI16032811065',STR_TO_DATE('15/06/2018','%d/%m/%Y'),961),('CXRUGBI16032811065',STR_TO_DATE('15/07/2018','%d/%m/%Y'),1042),('CXRUGBI16032811065',STR_TO_DATE('15/08/2018','%d/%m/%Y'),1126),('CXRUGBI16032811065',STR_TO_DATE('15/09/2018','%d/%m/%Y'),1164),('CXRUGBI16032811065',STR_TO_DATE('15/10/2018','%d/%m/%Y'),1230),('CXRUGBI16032811065',STR_TO_DATE('15/11/2018','%d/%m/%Y'),1306),('CXRUGBI16032811065',STR_TO_DATE('15/12/2018','%d/%m/%Y'),1362);</v>
      </c>
    </row>
    <row r="272" spans="1:68" ht="18" customHeight="1" x14ac:dyDescent="0.25">
      <c r="A272" s="241" t="s">
        <v>19</v>
      </c>
      <c r="B272" s="60">
        <v>4219</v>
      </c>
      <c r="C272" s="342" t="s">
        <v>1230</v>
      </c>
      <c r="D272" s="60" t="s">
        <v>90</v>
      </c>
      <c r="E272" s="258">
        <v>39715</v>
      </c>
      <c r="F272" s="2" t="s">
        <v>98</v>
      </c>
      <c r="G272" s="2" t="s">
        <v>1015</v>
      </c>
      <c r="H272" s="2"/>
      <c r="I272" s="2"/>
      <c r="J272" s="311">
        <v>350</v>
      </c>
      <c r="K272" s="311">
        <v>366</v>
      </c>
      <c r="L272" s="311">
        <v>458</v>
      </c>
      <c r="M272" s="311">
        <v>491</v>
      </c>
      <c r="N272" s="311">
        <v>510</v>
      </c>
      <c r="O272" s="311">
        <v>535</v>
      </c>
      <c r="P272" s="1">
        <v>574</v>
      </c>
      <c r="Q272" s="2">
        <v>593</v>
      </c>
      <c r="R272" s="311">
        <v>613</v>
      </c>
      <c r="S272" s="311">
        <v>643</v>
      </c>
      <c r="T272" s="311">
        <v>665</v>
      </c>
      <c r="U272" s="492">
        <v>694</v>
      </c>
      <c r="V272" s="493">
        <v>747</v>
      </c>
      <c r="W272" s="274"/>
      <c r="X272" s="2"/>
      <c r="Y272" s="2">
        <f t="shared" si="86"/>
        <v>16</v>
      </c>
      <c r="Z272" s="2">
        <f t="shared" si="84"/>
        <v>92</v>
      </c>
      <c r="AA272" s="2">
        <f t="shared" si="87"/>
        <v>33</v>
      </c>
      <c r="AB272" s="2">
        <f t="shared" si="85"/>
        <v>19</v>
      </c>
      <c r="AC272" s="2">
        <f t="shared" si="92"/>
        <v>25</v>
      </c>
      <c r="AD272" s="2">
        <f t="shared" si="93"/>
        <v>39</v>
      </c>
      <c r="AE272" s="2">
        <f t="shared" si="94"/>
        <v>19</v>
      </c>
      <c r="AF272" s="2">
        <f t="shared" si="95"/>
        <v>20</v>
      </c>
      <c r="AG272" s="2">
        <f t="shared" si="96"/>
        <v>30</v>
      </c>
      <c r="AH272" s="2">
        <f t="shared" si="99"/>
        <v>22</v>
      </c>
      <c r="AI272" s="2">
        <f t="shared" si="97"/>
        <v>29</v>
      </c>
      <c r="AJ272" s="2">
        <f t="shared" si="98"/>
        <v>53</v>
      </c>
      <c r="AK272" s="406">
        <v>1</v>
      </c>
      <c r="AL272" s="274">
        <f t="shared" ca="1" si="88"/>
        <v>510</v>
      </c>
      <c r="AM272" s="311">
        <f t="shared" ca="1" si="89"/>
        <v>535</v>
      </c>
      <c r="AN272" s="274">
        <f ca="1">IF(AND(Tabla7[[#This Row],[UltLec]]&lt;&gt;0,Tabla7[[#This Row],[PenLect]]&lt;&gt;0),(AM272-AL272)*Tabla7[[#This Row],[RT]],"N/A")</f>
        <v>25</v>
      </c>
      <c r="AO272" s="273" t="s">
        <v>862</v>
      </c>
      <c r="AP272" s="392" t="s">
        <v>1191</v>
      </c>
      <c r="AQ272" s="392" t="s">
        <v>1189</v>
      </c>
      <c r="AR272" s="407">
        <f t="shared" si="90"/>
        <v>0</v>
      </c>
      <c r="AT272" s="2">
        <f t="shared" ca="1" si="91"/>
        <v>1.3157894736842106</v>
      </c>
      <c r="AV272">
        <f>IF(ISBLANK(Tabla7[[#This Row],[31/12/2017]]),0,Tabla7[[#This Row],[31/12/2017]])</f>
        <v>350</v>
      </c>
      <c r="AW272">
        <f>IF(ISBLANK(Tabla7[[#This Row],[15/01/2018]]),0,Tabla7[[#This Row],[15/01/2018]])</f>
        <v>366</v>
      </c>
      <c r="AX272">
        <f>IF(ISBLANK(Tabla7[[#This Row],[15/02/2018]]),0,Tabla7[[#This Row],[15/02/2018]])</f>
        <v>458</v>
      </c>
      <c r="AY272">
        <f>IF(ISBLANK(Tabla7[[#This Row],[15/03/2018]]),0,Tabla7[[#This Row],[15/03/2018]])</f>
        <v>491</v>
      </c>
      <c r="AZ272">
        <f>IF(ISBLANK(Tabla7[[#This Row],[15/04/2018]]),0,Tabla7[[#This Row],[15/04/2018]])</f>
        <v>510</v>
      </c>
      <c r="BA272">
        <f>IF(ISBLANK(Tabla7[[#This Row],[15/05/2018]]),0,Tabla7[[#This Row],[15/05/2018]])</f>
        <v>535</v>
      </c>
      <c r="BB272">
        <f>IF(ISBLANK(Tabla7[[#This Row],[15/06/2018]]),0,Tabla7[[#This Row],[15/06/2018]])</f>
        <v>574</v>
      </c>
      <c r="BC272">
        <f>IF(ISBLANK(Tabla7[[#This Row],[15/07/2018]]),0,Tabla7[[#This Row],[15/07/2018]])</f>
        <v>593</v>
      </c>
      <c r="BD272">
        <f>IF(ISBLANK(Tabla7[[#This Row],[15/08/2018]]),0,Tabla7[[#This Row],[15/08/2018]])</f>
        <v>613</v>
      </c>
      <c r="BE272">
        <f>IF(ISBLANK(Tabla7[[#This Row],[15/09/2018]]),0,Tabla7[[#This Row],[15/09/2018]])</f>
        <v>643</v>
      </c>
      <c r="BF272">
        <f>IF(ISBLANK(Tabla7[[#This Row],[15/10/2018]]),0,Tabla7[[#This Row],[15/10/2018]])</f>
        <v>665</v>
      </c>
      <c r="BG272">
        <f>IF(ISBLANK(Tabla7[[#This Row],[15/11/2018]]),0,Tabla7[[#This Row],[15/11/2018]])</f>
        <v>694</v>
      </c>
      <c r="BH272">
        <f>IF(ISBLANK(Tabla7[[#This Row],[15/12/2018]]),0,Tabla7[[#This Row],[15/12/2018]])</f>
        <v>747</v>
      </c>
      <c r="BI272">
        <f>IF(ISBLANK(Tabla7[[#This Row],[28/12/2018]]),0,Tabla7[[#This Row],[28/12/2018]])</f>
        <v>0</v>
      </c>
      <c r="BN27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('CXRUGBI16032811066','V','VCT09','39715','SGS ESPAÑOLA DE CONTROL','EN CENTRALIZACION (04)','','');</v>
      </c>
      <c r="BO272" t="s">
        <v>243</v>
      </c>
      <c r="BP272" s="632" t="str">
        <f>CONCATENATE("insert into lecturas values ","('",Tabla7[[#This Row],[CONTADOR]],"',STR_TO_DATE('",Tabla7[[#Headers],[31/12/2017]],"','%d/%m/%Y'),",AV272,"),","('",Tabla7[[#This Row],[CONTADOR]],"',STR_TO_DATE('",Tabla7[[#Headers],[15/01/2018]],"','%d/%m/%Y'),",AW272,"),","('",Tabla7[[#This Row],[CONTADOR]],"',STR_TO_DATE('",Tabla7[[#Headers],[15/02/2018]],"','%d/%m/%Y'),",AX272,"),","('",Tabla7[[#This Row],[CONTADOR]],"',STR_TO_DATE('",Tabla7[[#Headers],[15/03/2018]],"','%d/%m/%Y'),",AY272,"),","('",Tabla7[[#This Row],[CONTADOR]],"',STR_TO_DATE('",Tabla7[[#Headers],[15/04/2018]],"','%d/%m/%Y'),",AZ272,"),","('",Tabla7[[#This Row],[CONTADOR]],"',STR_TO_DATE('",Tabla7[[#Headers],[15/05/2018]],"','%d/%m/%Y'),",BA272,"),","('",Tabla7[[#This Row],[CONTADOR]],"',STR_TO_DATE('",Tabla7[[#Headers],[15/06/2018]],"','%d/%m/%Y'),",BB272,"),","('",Tabla7[[#This Row],[CONTADOR]],"',STR_TO_DATE('",Tabla7[[#Headers],[15/07/2018]],"','%d/%m/%Y'),",BC272,"),","('",Tabla7[[#This Row],[CONTADOR]],"',STR_TO_DATE('",Tabla7[[#Headers],[15/08/2018]],"','%d/%m/%Y'),",BD272,"),","('",Tabla7[[#This Row],[CONTADOR]],"',STR_TO_DATE('",Tabla7[[#Headers],[15/09/2018]],"','%d/%m/%Y'),",BE272,"),","('",Tabla7[[#This Row],[CONTADOR]],"',STR_TO_DATE('",Tabla7[[#Headers],[15/10/2018]],"','%d/%m/%Y'),",BF272,"),","('",Tabla7[[#This Row],[CONTADOR]],"',STR_TO_DATE('",Tabla7[[#Headers],[15/11/2018]],"','%d/%m/%Y'),",BG272,"),","('",Tabla7[[#This Row],[CONTADOR]],"',STR_TO_DATE('",Tabla7[[#Headers],[15/12/2018]],"','%d/%m/%Y'),",BH272,");")</f>
        <v>insert into lecturas values ('CXRUGBI16032811066',STR_TO_DATE('31/12/2017','%d/%m/%Y'),350),('CXRUGBI16032811066',STR_TO_DATE('15/01/2018','%d/%m/%Y'),366),('CXRUGBI16032811066',STR_TO_DATE('15/02/2018','%d/%m/%Y'),458),('CXRUGBI16032811066',STR_TO_DATE('15/03/2018','%d/%m/%Y'),491),('CXRUGBI16032811066',STR_TO_DATE('15/04/2018','%d/%m/%Y'),510),('CXRUGBI16032811066',STR_TO_DATE('15/05/2018','%d/%m/%Y'),535),('CXRUGBI16032811066',STR_TO_DATE('15/06/2018','%d/%m/%Y'),574),('CXRUGBI16032811066',STR_TO_DATE('15/07/2018','%d/%m/%Y'),593),('CXRUGBI16032811066',STR_TO_DATE('15/08/2018','%d/%m/%Y'),613),('CXRUGBI16032811066',STR_TO_DATE('15/09/2018','%d/%m/%Y'),643),('CXRUGBI16032811066',STR_TO_DATE('15/10/2018','%d/%m/%Y'),665),('CXRUGBI16032811066',STR_TO_DATE('15/11/2018','%d/%m/%Y'),694),('CXRUGBI16032811066',STR_TO_DATE('15/12/2018','%d/%m/%Y'),747);</v>
      </c>
    </row>
    <row r="273" spans="1:68" ht="18" customHeight="1" x14ac:dyDescent="0.25">
      <c r="A273" s="241" t="s">
        <v>19</v>
      </c>
      <c r="B273" s="60"/>
      <c r="C273" s="342" t="s">
        <v>1231</v>
      </c>
      <c r="D273" s="60" t="s">
        <v>90</v>
      </c>
      <c r="E273" s="258">
        <v>140</v>
      </c>
      <c r="F273" s="2" t="s">
        <v>890</v>
      </c>
      <c r="G273" s="2" t="s">
        <v>986</v>
      </c>
      <c r="H273" s="2" t="s">
        <v>99</v>
      </c>
      <c r="I273" s="2"/>
      <c r="J273" s="311">
        <v>130</v>
      </c>
      <c r="K273" s="311">
        <v>130</v>
      </c>
      <c r="L273" s="311">
        <v>130</v>
      </c>
      <c r="M273" s="311">
        <v>130</v>
      </c>
      <c r="N273" s="311">
        <v>130</v>
      </c>
      <c r="O273" s="311">
        <v>130</v>
      </c>
      <c r="P273" s="1">
        <v>130</v>
      </c>
      <c r="Q273" s="2">
        <v>130</v>
      </c>
      <c r="R273" s="311">
        <v>130</v>
      </c>
      <c r="S273" s="311">
        <v>130</v>
      </c>
      <c r="T273" s="311">
        <v>130</v>
      </c>
      <c r="U273" s="492">
        <v>130</v>
      </c>
      <c r="V273" s="493">
        <v>130</v>
      </c>
      <c r="W273" s="274"/>
      <c r="X273" s="2"/>
      <c r="Y273" s="2">
        <f t="shared" si="86"/>
        <v>0</v>
      </c>
      <c r="Z273" s="2">
        <f t="shared" si="84"/>
        <v>0</v>
      </c>
      <c r="AA273" s="2">
        <f t="shared" si="87"/>
        <v>0</v>
      </c>
      <c r="AB273" s="2">
        <f t="shared" si="85"/>
        <v>0</v>
      </c>
      <c r="AC273" s="2">
        <f t="shared" si="92"/>
        <v>0</v>
      </c>
      <c r="AD273" s="2">
        <f t="shared" si="93"/>
        <v>0</v>
      </c>
      <c r="AE273" s="2">
        <f t="shared" si="94"/>
        <v>0</v>
      </c>
      <c r="AF273" s="2">
        <f t="shared" si="95"/>
        <v>0</v>
      </c>
      <c r="AG273" s="2">
        <f t="shared" si="96"/>
        <v>0</v>
      </c>
      <c r="AH273" s="2">
        <f t="shared" si="99"/>
        <v>0</v>
      </c>
      <c r="AI273" s="2">
        <f t="shared" si="97"/>
        <v>0</v>
      </c>
      <c r="AJ273" s="2">
        <f t="shared" si="98"/>
        <v>0</v>
      </c>
      <c r="AK273" s="406">
        <v>1</v>
      </c>
      <c r="AL273" s="274">
        <f t="shared" ca="1" si="88"/>
        <v>130</v>
      </c>
      <c r="AM273" s="311">
        <f t="shared" ca="1" si="89"/>
        <v>130</v>
      </c>
      <c r="AN273" s="274">
        <f ca="1">IF(AND(Tabla7[[#This Row],[UltLec]]&lt;&gt;0,Tabla7[[#This Row],[PenLect]]&lt;&gt;0),(AM273-AL273)*Tabla7[[#This Row],[RT]],"N/A")</f>
        <v>0</v>
      </c>
      <c r="AO273" s="273" t="s">
        <v>862</v>
      </c>
      <c r="AP273" s="392" t="s">
        <v>1191</v>
      </c>
      <c r="AQ273" s="392" t="s">
        <v>1189</v>
      </c>
      <c r="AR273" s="407">
        <f t="shared" si="90"/>
        <v>0</v>
      </c>
      <c r="AT273" s="2" t="str">
        <f t="shared" ca="1" si="91"/>
        <v>0</v>
      </c>
      <c r="AV273">
        <f>IF(ISBLANK(Tabla7[[#This Row],[31/12/2017]]),0,Tabla7[[#This Row],[31/12/2017]])</f>
        <v>130</v>
      </c>
      <c r="AW273">
        <f>IF(ISBLANK(Tabla7[[#This Row],[15/01/2018]]),0,Tabla7[[#This Row],[15/01/2018]])</f>
        <v>130</v>
      </c>
      <c r="AX273">
        <f>IF(ISBLANK(Tabla7[[#This Row],[15/02/2018]]),0,Tabla7[[#This Row],[15/02/2018]])</f>
        <v>130</v>
      </c>
      <c r="AY273">
        <f>IF(ISBLANK(Tabla7[[#This Row],[15/03/2018]]),0,Tabla7[[#This Row],[15/03/2018]])</f>
        <v>130</v>
      </c>
      <c r="AZ273">
        <f>IF(ISBLANK(Tabla7[[#This Row],[15/04/2018]]),0,Tabla7[[#This Row],[15/04/2018]])</f>
        <v>130</v>
      </c>
      <c r="BA273">
        <f>IF(ISBLANK(Tabla7[[#This Row],[15/05/2018]]),0,Tabla7[[#This Row],[15/05/2018]])</f>
        <v>130</v>
      </c>
      <c r="BB273">
        <f>IF(ISBLANK(Tabla7[[#This Row],[15/06/2018]]),0,Tabla7[[#This Row],[15/06/2018]])</f>
        <v>130</v>
      </c>
      <c r="BC273">
        <f>IF(ISBLANK(Tabla7[[#This Row],[15/07/2018]]),0,Tabla7[[#This Row],[15/07/2018]])</f>
        <v>130</v>
      </c>
      <c r="BD273">
        <f>IF(ISBLANK(Tabla7[[#This Row],[15/08/2018]]),0,Tabla7[[#This Row],[15/08/2018]])</f>
        <v>130</v>
      </c>
      <c r="BE273">
        <f>IF(ISBLANK(Tabla7[[#This Row],[15/09/2018]]),0,Tabla7[[#This Row],[15/09/2018]])</f>
        <v>130</v>
      </c>
      <c r="BF273">
        <f>IF(ISBLANK(Tabla7[[#This Row],[15/10/2018]]),0,Tabla7[[#This Row],[15/10/2018]])</f>
        <v>130</v>
      </c>
      <c r="BG273">
        <f>IF(ISBLANK(Tabla7[[#This Row],[15/11/2018]]),0,Tabla7[[#This Row],[15/11/2018]])</f>
        <v>130</v>
      </c>
      <c r="BH273">
        <f>IF(ISBLANK(Tabla7[[#This Row],[15/12/2018]]),0,Tabla7[[#This Row],[15/12/2018]])</f>
        <v>130</v>
      </c>
      <c r="BI273">
        <f>IF(ISBLANK(Tabla7[[#This Row],[28/12/2018]]),0,Tabla7[[#This Row],[28/12/2018]])</f>
        <v>0</v>
      </c>
      <c r="BN27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('CXRUGBI16032811067','V','VCT09','140','APV COCHERON','EN CENTRALIZACION (12)','COCHERON EN SI','');</v>
      </c>
      <c r="BO273" t="s">
        <v>243</v>
      </c>
      <c r="BP273" s="632" t="str">
        <f>CONCATENATE("insert into lecturas values ","('",Tabla7[[#This Row],[CONTADOR]],"',STR_TO_DATE('",Tabla7[[#Headers],[31/12/2017]],"','%d/%m/%Y'),",AV273,"),","('",Tabla7[[#This Row],[CONTADOR]],"',STR_TO_DATE('",Tabla7[[#Headers],[15/01/2018]],"','%d/%m/%Y'),",AW273,"),","('",Tabla7[[#This Row],[CONTADOR]],"',STR_TO_DATE('",Tabla7[[#Headers],[15/02/2018]],"','%d/%m/%Y'),",AX273,"),","('",Tabla7[[#This Row],[CONTADOR]],"',STR_TO_DATE('",Tabla7[[#Headers],[15/03/2018]],"','%d/%m/%Y'),",AY273,"),","('",Tabla7[[#This Row],[CONTADOR]],"',STR_TO_DATE('",Tabla7[[#Headers],[15/04/2018]],"','%d/%m/%Y'),",AZ273,"),","('",Tabla7[[#This Row],[CONTADOR]],"',STR_TO_DATE('",Tabla7[[#Headers],[15/05/2018]],"','%d/%m/%Y'),",BA273,"),","('",Tabla7[[#This Row],[CONTADOR]],"',STR_TO_DATE('",Tabla7[[#Headers],[15/06/2018]],"','%d/%m/%Y'),",BB273,"),","('",Tabla7[[#This Row],[CONTADOR]],"',STR_TO_DATE('",Tabla7[[#Headers],[15/07/2018]],"','%d/%m/%Y'),",BC273,"),","('",Tabla7[[#This Row],[CONTADOR]],"',STR_TO_DATE('",Tabla7[[#Headers],[15/08/2018]],"','%d/%m/%Y'),",BD273,"),","('",Tabla7[[#This Row],[CONTADOR]],"',STR_TO_DATE('",Tabla7[[#Headers],[15/09/2018]],"','%d/%m/%Y'),",BE273,"),","('",Tabla7[[#This Row],[CONTADOR]],"',STR_TO_DATE('",Tabla7[[#Headers],[15/10/2018]],"','%d/%m/%Y'),",BF273,"),","('",Tabla7[[#This Row],[CONTADOR]],"',STR_TO_DATE('",Tabla7[[#Headers],[15/11/2018]],"','%d/%m/%Y'),",BG273,"),","('",Tabla7[[#This Row],[CONTADOR]],"',STR_TO_DATE('",Tabla7[[#Headers],[15/12/2018]],"','%d/%m/%Y'),",BH273,");")</f>
        <v>insert into lecturas values ('CXRUGBI16032811067',STR_TO_DATE('31/12/2017','%d/%m/%Y'),130),('CXRUGBI16032811067',STR_TO_DATE('15/01/2018','%d/%m/%Y'),130),('CXRUGBI16032811067',STR_TO_DATE('15/02/2018','%d/%m/%Y'),130),('CXRUGBI16032811067',STR_TO_DATE('15/03/2018','%d/%m/%Y'),130),('CXRUGBI16032811067',STR_TO_DATE('15/04/2018','%d/%m/%Y'),130),('CXRUGBI16032811067',STR_TO_DATE('15/05/2018','%d/%m/%Y'),130),('CXRUGBI16032811067',STR_TO_DATE('15/06/2018','%d/%m/%Y'),130),('CXRUGBI16032811067',STR_TO_DATE('15/07/2018','%d/%m/%Y'),130),('CXRUGBI16032811067',STR_TO_DATE('15/08/2018','%d/%m/%Y'),130),('CXRUGBI16032811067',STR_TO_DATE('15/09/2018','%d/%m/%Y'),130),('CXRUGBI16032811067',STR_TO_DATE('15/10/2018','%d/%m/%Y'),130),('CXRUGBI16032811067',STR_TO_DATE('15/11/2018','%d/%m/%Y'),130),('CXRUGBI16032811067',STR_TO_DATE('15/12/2018','%d/%m/%Y'),130);</v>
      </c>
    </row>
    <row r="274" spans="1:68" ht="18" customHeight="1" x14ac:dyDescent="0.25">
      <c r="A274" s="241" t="s">
        <v>19</v>
      </c>
      <c r="B274" s="60">
        <v>1485</v>
      </c>
      <c r="C274" s="342" t="s">
        <v>1232</v>
      </c>
      <c r="D274" s="60" t="s">
        <v>90</v>
      </c>
      <c r="E274" s="258">
        <v>39245</v>
      </c>
      <c r="F274" s="274" t="s">
        <v>98</v>
      </c>
      <c r="G274" s="274" t="s">
        <v>1018</v>
      </c>
      <c r="H274" s="2"/>
      <c r="I274" s="2"/>
      <c r="J274" s="311">
        <v>17625</v>
      </c>
      <c r="K274" s="311">
        <v>18368</v>
      </c>
      <c r="L274" s="311">
        <v>19907</v>
      </c>
      <c r="M274" s="311">
        <v>21279</v>
      </c>
      <c r="N274" s="311">
        <v>22463</v>
      </c>
      <c r="O274" s="311">
        <v>23504</v>
      </c>
      <c r="P274" s="1">
        <v>24625</v>
      </c>
      <c r="Q274" s="2">
        <v>26081</v>
      </c>
      <c r="R274" s="311">
        <v>27623</v>
      </c>
      <c r="S274" s="311">
        <v>29185</v>
      </c>
      <c r="T274" s="311">
        <v>30410</v>
      </c>
      <c r="U274" s="492">
        <v>31626</v>
      </c>
      <c r="V274" s="493">
        <v>33046</v>
      </c>
      <c r="W274" s="274"/>
      <c r="X274" s="2"/>
      <c r="Y274" s="2">
        <f t="shared" si="86"/>
        <v>743</v>
      </c>
      <c r="Z274" s="2">
        <f t="shared" si="84"/>
        <v>1539</v>
      </c>
      <c r="AA274" s="2">
        <f t="shared" si="87"/>
        <v>1372</v>
      </c>
      <c r="AB274" s="2">
        <f t="shared" si="85"/>
        <v>1184</v>
      </c>
      <c r="AC274" s="2">
        <f t="shared" si="92"/>
        <v>1041</v>
      </c>
      <c r="AD274" s="2">
        <f t="shared" si="93"/>
        <v>1121</v>
      </c>
      <c r="AE274" s="2">
        <f t="shared" si="94"/>
        <v>1456</v>
      </c>
      <c r="AF274" s="2">
        <f t="shared" si="95"/>
        <v>1542</v>
      </c>
      <c r="AG274" s="2">
        <f t="shared" si="96"/>
        <v>1562</v>
      </c>
      <c r="AH274" s="2">
        <f t="shared" si="99"/>
        <v>1225</v>
      </c>
      <c r="AI274" s="2">
        <f t="shared" si="97"/>
        <v>1216</v>
      </c>
      <c r="AJ274" s="2">
        <f t="shared" si="98"/>
        <v>1420</v>
      </c>
      <c r="AK274" s="406">
        <v>1</v>
      </c>
      <c r="AL274" s="274">
        <f t="shared" ca="1" si="88"/>
        <v>22463</v>
      </c>
      <c r="AM274" s="311">
        <f t="shared" ca="1" si="89"/>
        <v>23504</v>
      </c>
      <c r="AN274" s="274">
        <f ca="1">IF(AND(Tabla7[[#This Row],[UltLec]]&lt;&gt;0,Tabla7[[#This Row],[PenLect]]&lt;&gt;0),(AM274-AL274)*Tabla7[[#This Row],[RT]],"N/A")</f>
        <v>1041</v>
      </c>
      <c r="AO274" s="273" t="s">
        <v>862</v>
      </c>
      <c r="AP274" s="392" t="s">
        <v>1191</v>
      </c>
      <c r="AQ274" s="392" t="s">
        <v>1189</v>
      </c>
      <c r="AR274" s="407">
        <f t="shared" si="90"/>
        <v>0</v>
      </c>
      <c r="AT274" s="2">
        <f t="shared" ca="1" si="91"/>
        <v>0.87922297297297303</v>
      </c>
      <c r="AV274">
        <f>IF(ISBLANK(Tabla7[[#This Row],[31/12/2017]]),0,Tabla7[[#This Row],[31/12/2017]])</f>
        <v>17625</v>
      </c>
      <c r="AW274">
        <f>IF(ISBLANK(Tabla7[[#This Row],[15/01/2018]]),0,Tabla7[[#This Row],[15/01/2018]])</f>
        <v>18368</v>
      </c>
      <c r="AX274">
        <f>IF(ISBLANK(Tabla7[[#This Row],[15/02/2018]]),0,Tabla7[[#This Row],[15/02/2018]])</f>
        <v>19907</v>
      </c>
      <c r="AY274">
        <f>IF(ISBLANK(Tabla7[[#This Row],[15/03/2018]]),0,Tabla7[[#This Row],[15/03/2018]])</f>
        <v>21279</v>
      </c>
      <c r="AZ274">
        <f>IF(ISBLANK(Tabla7[[#This Row],[15/04/2018]]),0,Tabla7[[#This Row],[15/04/2018]])</f>
        <v>22463</v>
      </c>
      <c r="BA274">
        <f>IF(ISBLANK(Tabla7[[#This Row],[15/05/2018]]),0,Tabla7[[#This Row],[15/05/2018]])</f>
        <v>23504</v>
      </c>
      <c r="BB274">
        <f>IF(ISBLANK(Tabla7[[#This Row],[15/06/2018]]),0,Tabla7[[#This Row],[15/06/2018]])</f>
        <v>24625</v>
      </c>
      <c r="BC274">
        <f>IF(ISBLANK(Tabla7[[#This Row],[15/07/2018]]),0,Tabla7[[#This Row],[15/07/2018]])</f>
        <v>26081</v>
      </c>
      <c r="BD274">
        <f>IF(ISBLANK(Tabla7[[#This Row],[15/08/2018]]),0,Tabla7[[#This Row],[15/08/2018]])</f>
        <v>27623</v>
      </c>
      <c r="BE274">
        <f>IF(ISBLANK(Tabla7[[#This Row],[15/09/2018]]),0,Tabla7[[#This Row],[15/09/2018]])</f>
        <v>29185</v>
      </c>
      <c r="BF274">
        <f>IF(ISBLANK(Tabla7[[#This Row],[15/10/2018]]),0,Tabla7[[#This Row],[15/10/2018]])</f>
        <v>30410</v>
      </c>
      <c r="BG274">
        <f>IF(ISBLANK(Tabla7[[#This Row],[15/11/2018]]),0,Tabla7[[#This Row],[15/11/2018]])</f>
        <v>31626</v>
      </c>
      <c r="BH274">
        <f>IF(ISBLANK(Tabla7[[#This Row],[15/12/2018]]),0,Tabla7[[#This Row],[15/12/2018]])</f>
        <v>33046</v>
      </c>
      <c r="BI274">
        <f>IF(ISBLANK(Tabla7[[#This Row],[28/12/2018]]),0,Tabla7[[#This Row],[28/12/2018]])</f>
        <v>0</v>
      </c>
      <c r="BN27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('CXRUGBI16032811068','V','VCT09','39245','SGS ESPAÑOLA DE CONTROL','EN CENTRALIZACION (07)','','');</v>
      </c>
      <c r="BO274" t="s">
        <v>243</v>
      </c>
      <c r="BP274" s="632" t="str">
        <f>CONCATENATE("insert into lecturas values ","('",Tabla7[[#This Row],[CONTADOR]],"',STR_TO_DATE('",Tabla7[[#Headers],[31/12/2017]],"','%d/%m/%Y'),",AV274,"),","('",Tabla7[[#This Row],[CONTADOR]],"',STR_TO_DATE('",Tabla7[[#Headers],[15/01/2018]],"','%d/%m/%Y'),",AW274,"),","('",Tabla7[[#This Row],[CONTADOR]],"',STR_TO_DATE('",Tabla7[[#Headers],[15/02/2018]],"','%d/%m/%Y'),",AX274,"),","('",Tabla7[[#This Row],[CONTADOR]],"',STR_TO_DATE('",Tabla7[[#Headers],[15/03/2018]],"','%d/%m/%Y'),",AY274,"),","('",Tabla7[[#This Row],[CONTADOR]],"',STR_TO_DATE('",Tabla7[[#Headers],[15/04/2018]],"','%d/%m/%Y'),",AZ274,"),","('",Tabla7[[#This Row],[CONTADOR]],"',STR_TO_DATE('",Tabla7[[#Headers],[15/05/2018]],"','%d/%m/%Y'),",BA274,"),","('",Tabla7[[#This Row],[CONTADOR]],"',STR_TO_DATE('",Tabla7[[#Headers],[15/06/2018]],"','%d/%m/%Y'),",BB274,"),","('",Tabla7[[#This Row],[CONTADOR]],"',STR_TO_DATE('",Tabla7[[#Headers],[15/07/2018]],"','%d/%m/%Y'),",BC274,"),","('",Tabla7[[#This Row],[CONTADOR]],"',STR_TO_DATE('",Tabla7[[#Headers],[15/08/2018]],"','%d/%m/%Y'),",BD274,"),","('",Tabla7[[#This Row],[CONTADOR]],"',STR_TO_DATE('",Tabla7[[#Headers],[15/09/2018]],"','%d/%m/%Y'),",BE274,"),","('",Tabla7[[#This Row],[CONTADOR]],"',STR_TO_DATE('",Tabla7[[#Headers],[15/10/2018]],"','%d/%m/%Y'),",BF274,"),","('",Tabla7[[#This Row],[CONTADOR]],"',STR_TO_DATE('",Tabla7[[#Headers],[15/11/2018]],"','%d/%m/%Y'),",BG274,"),","('",Tabla7[[#This Row],[CONTADOR]],"',STR_TO_DATE('",Tabla7[[#Headers],[15/12/2018]],"','%d/%m/%Y'),",BH274,");")</f>
        <v>insert into lecturas values ('CXRUGBI16032811068',STR_TO_DATE('31/12/2017','%d/%m/%Y'),17625),('CXRUGBI16032811068',STR_TO_DATE('15/01/2018','%d/%m/%Y'),18368),('CXRUGBI16032811068',STR_TO_DATE('15/02/2018','%d/%m/%Y'),19907),('CXRUGBI16032811068',STR_TO_DATE('15/03/2018','%d/%m/%Y'),21279),('CXRUGBI16032811068',STR_TO_DATE('15/04/2018','%d/%m/%Y'),22463),('CXRUGBI16032811068',STR_TO_DATE('15/05/2018','%d/%m/%Y'),23504),('CXRUGBI16032811068',STR_TO_DATE('15/06/2018','%d/%m/%Y'),24625),('CXRUGBI16032811068',STR_TO_DATE('15/07/2018','%d/%m/%Y'),26081),('CXRUGBI16032811068',STR_TO_DATE('15/08/2018','%d/%m/%Y'),27623),('CXRUGBI16032811068',STR_TO_DATE('15/09/2018','%d/%m/%Y'),29185),('CXRUGBI16032811068',STR_TO_DATE('15/10/2018','%d/%m/%Y'),30410),('CXRUGBI16032811068',STR_TO_DATE('15/11/2018','%d/%m/%Y'),31626),('CXRUGBI16032811068',STR_TO_DATE('15/12/2018','%d/%m/%Y'),33046);</v>
      </c>
    </row>
    <row r="275" spans="1:68" ht="18" customHeight="1" x14ac:dyDescent="0.25">
      <c r="A275" s="241" t="s">
        <v>19</v>
      </c>
      <c r="B275" s="60">
        <v>4096</v>
      </c>
      <c r="C275" s="342" t="s">
        <v>1233</v>
      </c>
      <c r="D275" s="60" t="s">
        <v>90</v>
      </c>
      <c r="E275" s="258">
        <v>39695</v>
      </c>
      <c r="F275" s="274" t="s">
        <v>94</v>
      </c>
      <c r="G275" s="274" t="s">
        <v>1019</v>
      </c>
      <c r="H275" s="2"/>
      <c r="I275" s="2"/>
      <c r="J275" s="311">
        <v>22255</v>
      </c>
      <c r="K275" s="311">
        <v>23060</v>
      </c>
      <c r="L275" s="311">
        <v>24612</v>
      </c>
      <c r="M275" s="311">
        <v>26095</v>
      </c>
      <c r="N275" s="311">
        <v>27567</v>
      </c>
      <c r="O275" s="311">
        <v>28883</v>
      </c>
      <c r="P275" s="1">
        <v>30568</v>
      </c>
      <c r="Q275" s="2">
        <v>32596</v>
      </c>
      <c r="R275" s="311">
        <v>34769</v>
      </c>
      <c r="S275" s="311">
        <v>36952</v>
      </c>
      <c r="T275" s="311">
        <v>38726</v>
      </c>
      <c r="U275" s="492">
        <v>40352</v>
      </c>
      <c r="V275" s="493">
        <v>41844</v>
      </c>
      <c r="W275" s="274"/>
      <c r="X275" s="2"/>
      <c r="Y275" s="2">
        <f t="shared" si="86"/>
        <v>805</v>
      </c>
      <c r="Z275" s="2">
        <f t="shared" si="84"/>
        <v>1552</v>
      </c>
      <c r="AA275" s="2">
        <f t="shared" si="87"/>
        <v>1483</v>
      </c>
      <c r="AB275" s="2">
        <f t="shared" si="85"/>
        <v>1472</v>
      </c>
      <c r="AC275" s="2">
        <f t="shared" si="92"/>
        <v>1316</v>
      </c>
      <c r="AD275" s="2">
        <f t="shared" si="93"/>
        <v>1685</v>
      </c>
      <c r="AE275" s="2">
        <f t="shared" si="94"/>
        <v>2028</v>
      </c>
      <c r="AF275" s="2">
        <f t="shared" si="95"/>
        <v>2173</v>
      </c>
      <c r="AG275" s="2">
        <f t="shared" si="96"/>
        <v>2183</v>
      </c>
      <c r="AH275" s="2">
        <f t="shared" si="99"/>
        <v>1774</v>
      </c>
      <c r="AI275" s="2">
        <f t="shared" si="97"/>
        <v>1626</v>
      </c>
      <c r="AJ275" s="2">
        <f t="shared" si="98"/>
        <v>1492</v>
      </c>
      <c r="AK275" s="406">
        <v>1</v>
      </c>
      <c r="AL275" s="274">
        <f t="shared" ca="1" si="88"/>
        <v>27567</v>
      </c>
      <c r="AM275" s="311">
        <f t="shared" ca="1" si="89"/>
        <v>28883</v>
      </c>
      <c r="AN275" s="274">
        <f ca="1">IF(AND(Tabla7[[#This Row],[UltLec]]&lt;&gt;0,Tabla7[[#This Row],[PenLect]]&lt;&gt;0),(AM275-AL275)*Tabla7[[#This Row],[RT]],"N/A")</f>
        <v>1316</v>
      </c>
      <c r="AO275" s="273" t="s">
        <v>862</v>
      </c>
      <c r="AP275" s="392" t="s">
        <v>1191</v>
      </c>
      <c r="AQ275" s="392" t="s">
        <v>1189</v>
      </c>
      <c r="AR275" s="407">
        <f t="shared" si="90"/>
        <v>0</v>
      </c>
      <c r="AT275" s="2">
        <f t="shared" ca="1" si="91"/>
        <v>0.89402173913043481</v>
      </c>
      <c r="AV275">
        <f>IF(ISBLANK(Tabla7[[#This Row],[31/12/2017]]),0,Tabla7[[#This Row],[31/12/2017]])</f>
        <v>22255</v>
      </c>
      <c r="AW275">
        <f>IF(ISBLANK(Tabla7[[#This Row],[15/01/2018]]),0,Tabla7[[#This Row],[15/01/2018]])</f>
        <v>23060</v>
      </c>
      <c r="AX275">
        <f>IF(ISBLANK(Tabla7[[#This Row],[15/02/2018]]),0,Tabla7[[#This Row],[15/02/2018]])</f>
        <v>24612</v>
      </c>
      <c r="AY275">
        <f>IF(ISBLANK(Tabla7[[#This Row],[15/03/2018]]),0,Tabla7[[#This Row],[15/03/2018]])</f>
        <v>26095</v>
      </c>
      <c r="AZ275">
        <f>IF(ISBLANK(Tabla7[[#This Row],[15/04/2018]]),0,Tabla7[[#This Row],[15/04/2018]])</f>
        <v>27567</v>
      </c>
      <c r="BA275">
        <f>IF(ISBLANK(Tabla7[[#This Row],[15/05/2018]]),0,Tabla7[[#This Row],[15/05/2018]])</f>
        <v>28883</v>
      </c>
      <c r="BB275">
        <f>IF(ISBLANK(Tabla7[[#This Row],[15/06/2018]]),0,Tabla7[[#This Row],[15/06/2018]])</f>
        <v>30568</v>
      </c>
      <c r="BC275">
        <f>IF(ISBLANK(Tabla7[[#This Row],[15/07/2018]]),0,Tabla7[[#This Row],[15/07/2018]])</f>
        <v>32596</v>
      </c>
      <c r="BD275">
        <f>IF(ISBLANK(Tabla7[[#This Row],[15/08/2018]]),0,Tabla7[[#This Row],[15/08/2018]])</f>
        <v>34769</v>
      </c>
      <c r="BE275">
        <f>IF(ISBLANK(Tabla7[[#This Row],[15/09/2018]]),0,Tabla7[[#This Row],[15/09/2018]])</f>
        <v>36952</v>
      </c>
      <c r="BF275">
        <f>IF(ISBLANK(Tabla7[[#This Row],[15/10/2018]]),0,Tabla7[[#This Row],[15/10/2018]])</f>
        <v>38726</v>
      </c>
      <c r="BG275">
        <f>IF(ISBLANK(Tabla7[[#This Row],[15/11/2018]]),0,Tabla7[[#This Row],[15/11/2018]])</f>
        <v>40352</v>
      </c>
      <c r="BH275">
        <f>IF(ISBLANK(Tabla7[[#This Row],[15/12/2018]]),0,Tabla7[[#This Row],[15/12/2018]])</f>
        <v>41844</v>
      </c>
      <c r="BI275">
        <f>IF(ISBLANK(Tabla7[[#This Row],[28/12/2018]]),0,Tabla7[[#This Row],[28/12/2018]])</f>
        <v>0</v>
      </c>
      <c r="BN27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('CXRUGBI16032811069','V','VCT09','39695','TRANSPORTES ALONSO SALCEDO','EN CENTRALIZACION (08)','','');</v>
      </c>
      <c r="BO275" t="s">
        <v>243</v>
      </c>
      <c r="BP275" s="632" t="str">
        <f>CONCATENATE("insert into lecturas values ","('",Tabla7[[#This Row],[CONTADOR]],"',STR_TO_DATE('",Tabla7[[#Headers],[31/12/2017]],"','%d/%m/%Y'),",AV275,"),","('",Tabla7[[#This Row],[CONTADOR]],"',STR_TO_DATE('",Tabla7[[#Headers],[15/01/2018]],"','%d/%m/%Y'),",AW275,"),","('",Tabla7[[#This Row],[CONTADOR]],"',STR_TO_DATE('",Tabla7[[#Headers],[15/02/2018]],"','%d/%m/%Y'),",AX275,"),","('",Tabla7[[#This Row],[CONTADOR]],"',STR_TO_DATE('",Tabla7[[#Headers],[15/03/2018]],"','%d/%m/%Y'),",AY275,"),","('",Tabla7[[#This Row],[CONTADOR]],"',STR_TO_DATE('",Tabla7[[#Headers],[15/04/2018]],"','%d/%m/%Y'),",AZ275,"),","('",Tabla7[[#This Row],[CONTADOR]],"',STR_TO_DATE('",Tabla7[[#Headers],[15/05/2018]],"','%d/%m/%Y'),",BA275,"),","('",Tabla7[[#This Row],[CONTADOR]],"',STR_TO_DATE('",Tabla7[[#Headers],[15/06/2018]],"','%d/%m/%Y'),",BB275,"),","('",Tabla7[[#This Row],[CONTADOR]],"',STR_TO_DATE('",Tabla7[[#Headers],[15/07/2018]],"','%d/%m/%Y'),",BC275,"),","('",Tabla7[[#This Row],[CONTADOR]],"',STR_TO_DATE('",Tabla7[[#Headers],[15/08/2018]],"','%d/%m/%Y'),",BD275,"),","('",Tabla7[[#This Row],[CONTADOR]],"',STR_TO_DATE('",Tabla7[[#Headers],[15/09/2018]],"','%d/%m/%Y'),",BE275,"),","('",Tabla7[[#This Row],[CONTADOR]],"',STR_TO_DATE('",Tabla7[[#Headers],[15/10/2018]],"','%d/%m/%Y'),",BF275,"),","('",Tabla7[[#This Row],[CONTADOR]],"',STR_TO_DATE('",Tabla7[[#Headers],[15/11/2018]],"','%d/%m/%Y'),",BG275,"),","('",Tabla7[[#This Row],[CONTADOR]],"',STR_TO_DATE('",Tabla7[[#Headers],[15/12/2018]],"','%d/%m/%Y'),",BH275,");")</f>
        <v>insert into lecturas values ('CXRUGBI16032811069',STR_TO_DATE('31/12/2017','%d/%m/%Y'),22255),('CXRUGBI16032811069',STR_TO_DATE('15/01/2018','%d/%m/%Y'),23060),('CXRUGBI16032811069',STR_TO_DATE('15/02/2018','%d/%m/%Y'),24612),('CXRUGBI16032811069',STR_TO_DATE('15/03/2018','%d/%m/%Y'),26095),('CXRUGBI16032811069',STR_TO_DATE('15/04/2018','%d/%m/%Y'),27567),('CXRUGBI16032811069',STR_TO_DATE('15/05/2018','%d/%m/%Y'),28883),('CXRUGBI16032811069',STR_TO_DATE('15/06/2018','%d/%m/%Y'),30568),('CXRUGBI16032811069',STR_TO_DATE('15/07/2018','%d/%m/%Y'),32596),('CXRUGBI16032811069',STR_TO_DATE('15/08/2018','%d/%m/%Y'),34769),('CXRUGBI16032811069',STR_TO_DATE('15/09/2018','%d/%m/%Y'),36952),('CXRUGBI16032811069',STR_TO_DATE('15/10/2018','%d/%m/%Y'),38726),('CXRUGBI16032811069',STR_TO_DATE('15/11/2018','%d/%m/%Y'),40352),('CXRUGBI16032811069',STR_TO_DATE('15/12/2018','%d/%m/%Y'),41844);</v>
      </c>
    </row>
    <row r="276" spans="1:68" ht="18" customHeight="1" x14ac:dyDescent="0.25">
      <c r="A276" s="241" t="s">
        <v>19</v>
      </c>
      <c r="B276" s="60"/>
      <c r="C276" s="342" t="s">
        <v>1238</v>
      </c>
      <c r="D276" s="60" t="s">
        <v>90</v>
      </c>
      <c r="E276" s="258">
        <v>140</v>
      </c>
      <c r="F276" s="2" t="s">
        <v>691</v>
      </c>
      <c r="G276" s="2" t="s">
        <v>992</v>
      </c>
      <c r="H276" s="2"/>
      <c r="I276" s="2"/>
      <c r="J276" s="311">
        <v>3060</v>
      </c>
      <c r="K276" s="311">
        <v>3198</v>
      </c>
      <c r="L276" s="311">
        <v>3457</v>
      </c>
      <c r="M276" s="311">
        <v>3710</v>
      </c>
      <c r="N276" s="353">
        <v>3985</v>
      </c>
      <c r="O276" s="353">
        <v>4221</v>
      </c>
      <c r="P276" s="1">
        <v>4481</v>
      </c>
      <c r="Q276" s="2">
        <v>4719</v>
      </c>
      <c r="R276" s="311">
        <v>4963</v>
      </c>
      <c r="S276" s="311">
        <v>5210</v>
      </c>
      <c r="T276" s="311">
        <v>5446</v>
      </c>
      <c r="U276" s="492">
        <v>5741</v>
      </c>
      <c r="V276" s="493">
        <v>6035</v>
      </c>
      <c r="W276" s="274"/>
      <c r="X276" s="2"/>
      <c r="Y276" s="2">
        <f t="shared" si="86"/>
        <v>138</v>
      </c>
      <c r="Z276" s="275">
        <f t="shared" si="84"/>
        <v>259</v>
      </c>
      <c r="AA276" s="275">
        <f t="shared" si="87"/>
        <v>253</v>
      </c>
      <c r="AB276" s="275">
        <f t="shared" si="85"/>
        <v>275</v>
      </c>
      <c r="AC276" s="275">
        <f t="shared" si="92"/>
        <v>236</v>
      </c>
      <c r="AD276" s="2">
        <f t="shared" si="93"/>
        <v>260</v>
      </c>
      <c r="AE276" s="2">
        <f t="shared" si="94"/>
        <v>238</v>
      </c>
      <c r="AF276" s="2">
        <f t="shared" si="95"/>
        <v>244</v>
      </c>
      <c r="AG276" s="2">
        <f t="shared" si="96"/>
        <v>247</v>
      </c>
      <c r="AH276" s="2">
        <f t="shared" si="99"/>
        <v>236</v>
      </c>
      <c r="AI276" s="2">
        <f t="shared" si="97"/>
        <v>295</v>
      </c>
      <c r="AJ276" s="2">
        <f t="shared" si="98"/>
        <v>294</v>
      </c>
      <c r="AK276" s="406">
        <v>1</v>
      </c>
      <c r="AL276" s="274">
        <f t="shared" ca="1" si="88"/>
        <v>3985</v>
      </c>
      <c r="AM276" s="311">
        <f t="shared" ca="1" si="89"/>
        <v>4221</v>
      </c>
      <c r="AN276" s="274">
        <f ca="1">IF(AND(Tabla7[[#This Row],[UltLec]]&lt;&gt;0,Tabla7[[#This Row],[PenLect]]&lt;&gt;0),(AM276-AL276)*Tabla7[[#This Row],[RT]],"N/A")</f>
        <v>236</v>
      </c>
      <c r="AO276" s="273" t="s">
        <v>862</v>
      </c>
      <c r="AP276" s="392" t="s">
        <v>1191</v>
      </c>
      <c r="AQ276" s="392" t="s">
        <v>1189</v>
      </c>
      <c r="AR276" s="407">
        <f t="shared" si="90"/>
        <v>0</v>
      </c>
      <c r="AT276" s="2">
        <f t="shared" ca="1" si="91"/>
        <v>0.85818181818181816</v>
      </c>
      <c r="AV276">
        <f>IF(ISBLANK(Tabla7[[#This Row],[31/12/2017]]),0,Tabla7[[#This Row],[31/12/2017]])</f>
        <v>3060</v>
      </c>
      <c r="AW276">
        <f>IF(ISBLANK(Tabla7[[#This Row],[15/01/2018]]),0,Tabla7[[#This Row],[15/01/2018]])</f>
        <v>3198</v>
      </c>
      <c r="AX276">
        <f>IF(ISBLANK(Tabla7[[#This Row],[15/02/2018]]),0,Tabla7[[#This Row],[15/02/2018]])</f>
        <v>3457</v>
      </c>
      <c r="AY276">
        <f>IF(ISBLANK(Tabla7[[#This Row],[15/03/2018]]),0,Tabla7[[#This Row],[15/03/2018]])</f>
        <v>3710</v>
      </c>
      <c r="AZ276">
        <f>IF(ISBLANK(Tabla7[[#This Row],[15/04/2018]]),0,Tabla7[[#This Row],[15/04/2018]])</f>
        <v>3985</v>
      </c>
      <c r="BA276">
        <f>IF(ISBLANK(Tabla7[[#This Row],[15/05/2018]]),0,Tabla7[[#This Row],[15/05/2018]])</f>
        <v>4221</v>
      </c>
      <c r="BB276">
        <f>IF(ISBLANK(Tabla7[[#This Row],[15/06/2018]]),0,Tabla7[[#This Row],[15/06/2018]])</f>
        <v>4481</v>
      </c>
      <c r="BC276">
        <f>IF(ISBLANK(Tabla7[[#This Row],[15/07/2018]]),0,Tabla7[[#This Row],[15/07/2018]])</f>
        <v>4719</v>
      </c>
      <c r="BD276">
        <f>IF(ISBLANK(Tabla7[[#This Row],[15/08/2018]]),0,Tabla7[[#This Row],[15/08/2018]])</f>
        <v>4963</v>
      </c>
      <c r="BE276">
        <f>IF(ISBLANK(Tabla7[[#This Row],[15/09/2018]]),0,Tabla7[[#This Row],[15/09/2018]])</f>
        <v>5210</v>
      </c>
      <c r="BF276">
        <f>IF(ISBLANK(Tabla7[[#This Row],[15/10/2018]]),0,Tabla7[[#This Row],[15/10/2018]])</f>
        <v>5446</v>
      </c>
      <c r="BG276">
        <f>IF(ISBLANK(Tabla7[[#This Row],[15/11/2018]]),0,Tabla7[[#This Row],[15/11/2018]])</f>
        <v>5741</v>
      </c>
      <c r="BH276">
        <f>IF(ISBLANK(Tabla7[[#This Row],[15/12/2018]]),0,Tabla7[[#This Row],[15/12/2018]])</f>
        <v>6035</v>
      </c>
      <c r="BI276">
        <f>IF(ISBLANK(Tabla7[[#This Row],[28/12/2018]]),0,Tabla7[[#This Row],[28/12/2018]])</f>
        <v>0</v>
      </c>
      <c r="BN27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('CXRUGBI16032811070','V','VCT09','140','APV- SERVICIOS C.T.','EN CENTRALIZACION (10)','','');</v>
      </c>
      <c r="BO276" t="s">
        <v>243</v>
      </c>
      <c r="BP276" s="632" t="str">
        <f>CONCATENATE("insert into lecturas values ","('",Tabla7[[#This Row],[CONTADOR]],"',STR_TO_DATE('",Tabla7[[#Headers],[31/12/2017]],"','%d/%m/%Y'),",AV276,"),","('",Tabla7[[#This Row],[CONTADOR]],"',STR_TO_DATE('",Tabla7[[#Headers],[15/01/2018]],"','%d/%m/%Y'),",AW276,"),","('",Tabla7[[#This Row],[CONTADOR]],"',STR_TO_DATE('",Tabla7[[#Headers],[15/02/2018]],"','%d/%m/%Y'),",AX276,"),","('",Tabla7[[#This Row],[CONTADOR]],"',STR_TO_DATE('",Tabla7[[#Headers],[15/03/2018]],"','%d/%m/%Y'),",AY276,"),","('",Tabla7[[#This Row],[CONTADOR]],"',STR_TO_DATE('",Tabla7[[#Headers],[15/04/2018]],"','%d/%m/%Y'),",AZ276,"),","('",Tabla7[[#This Row],[CONTADOR]],"',STR_TO_DATE('",Tabla7[[#Headers],[15/05/2018]],"','%d/%m/%Y'),",BA276,"),","('",Tabla7[[#This Row],[CONTADOR]],"',STR_TO_DATE('",Tabla7[[#Headers],[15/06/2018]],"','%d/%m/%Y'),",BB276,"),","('",Tabla7[[#This Row],[CONTADOR]],"',STR_TO_DATE('",Tabla7[[#Headers],[15/07/2018]],"','%d/%m/%Y'),",BC276,"),","('",Tabla7[[#This Row],[CONTADOR]],"',STR_TO_DATE('",Tabla7[[#Headers],[15/08/2018]],"','%d/%m/%Y'),",BD276,"),","('",Tabla7[[#This Row],[CONTADOR]],"',STR_TO_DATE('",Tabla7[[#Headers],[15/09/2018]],"','%d/%m/%Y'),",BE276,"),","('",Tabla7[[#This Row],[CONTADOR]],"',STR_TO_DATE('",Tabla7[[#Headers],[15/10/2018]],"','%d/%m/%Y'),",BF276,"),","('",Tabla7[[#This Row],[CONTADOR]],"',STR_TO_DATE('",Tabla7[[#Headers],[15/11/2018]],"','%d/%m/%Y'),",BG276,"),","('",Tabla7[[#This Row],[CONTADOR]],"',STR_TO_DATE('",Tabla7[[#Headers],[15/12/2018]],"','%d/%m/%Y'),",BH276,");")</f>
        <v>insert into lecturas values ('CXRUGBI16032811070',STR_TO_DATE('31/12/2017','%d/%m/%Y'),3060),('CXRUGBI16032811070',STR_TO_DATE('15/01/2018','%d/%m/%Y'),3198),('CXRUGBI16032811070',STR_TO_DATE('15/02/2018','%d/%m/%Y'),3457),('CXRUGBI16032811070',STR_TO_DATE('15/03/2018','%d/%m/%Y'),3710),('CXRUGBI16032811070',STR_TO_DATE('15/04/2018','%d/%m/%Y'),3985),('CXRUGBI16032811070',STR_TO_DATE('15/05/2018','%d/%m/%Y'),4221),('CXRUGBI16032811070',STR_TO_DATE('15/06/2018','%d/%m/%Y'),4481),('CXRUGBI16032811070',STR_TO_DATE('15/07/2018','%d/%m/%Y'),4719),('CXRUGBI16032811070',STR_TO_DATE('15/08/2018','%d/%m/%Y'),4963),('CXRUGBI16032811070',STR_TO_DATE('15/09/2018','%d/%m/%Y'),5210),('CXRUGBI16032811070',STR_TO_DATE('15/10/2018','%d/%m/%Y'),5446),('CXRUGBI16032811070',STR_TO_DATE('15/11/2018','%d/%m/%Y'),5741),('CXRUGBI16032811070',STR_TO_DATE('15/12/2018','%d/%m/%Y'),6035);</v>
      </c>
    </row>
    <row r="277" spans="1:68" ht="18" customHeight="1" x14ac:dyDescent="0.25">
      <c r="A277" s="241" t="s">
        <v>19</v>
      </c>
      <c r="B277" s="60"/>
      <c r="C277" s="342" t="s">
        <v>1234</v>
      </c>
      <c r="D277" s="60" t="s">
        <v>90</v>
      </c>
      <c r="E277" s="258">
        <v>131</v>
      </c>
      <c r="F277" s="2" t="s">
        <v>1045</v>
      </c>
      <c r="G277" s="2" t="s">
        <v>988</v>
      </c>
      <c r="H277" s="274"/>
      <c r="I277" s="2"/>
      <c r="J277" s="311">
        <v>62062</v>
      </c>
      <c r="K277" s="311">
        <v>64905</v>
      </c>
      <c r="L277" s="311">
        <v>70940</v>
      </c>
      <c r="M277" s="311">
        <v>76771</v>
      </c>
      <c r="N277" s="311">
        <v>82086</v>
      </c>
      <c r="O277" s="311">
        <v>87143</v>
      </c>
      <c r="P277" s="1">
        <v>91908</v>
      </c>
      <c r="Q277" s="274">
        <v>95959</v>
      </c>
      <c r="R277" s="311">
        <v>100573</v>
      </c>
      <c r="S277" s="311">
        <v>106170</v>
      </c>
      <c r="T277" s="311">
        <v>111967</v>
      </c>
      <c r="U277" s="492">
        <v>119356</v>
      </c>
      <c r="V277" s="493">
        <v>126767</v>
      </c>
      <c r="W277" s="2"/>
      <c r="X277" s="2"/>
      <c r="Y277" s="2">
        <f t="shared" si="86"/>
        <v>2843</v>
      </c>
      <c r="Z277" s="2">
        <f t="shared" si="84"/>
        <v>6035</v>
      </c>
      <c r="AA277" s="2">
        <f t="shared" si="87"/>
        <v>5831</v>
      </c>
      <c r="AB277" s="2">
        <f t="shared" si="85"/>
        <v>5315</v>
      </c>
      <c r="AC277" s="2">
        <f t="shared" si="92"/>
        <v>5057</v>
      </c>
      <c r="AD277" s="2">
        <f t="shared" si="93"/>
        <v>4765</v>
      </c>
      <c r="AE277" s="2">
        <f t="shared" si="94"/>
        <v>4051</v>
      </c>
      <c r="AF277" s="2">
        <f t="shared" si="95"/>
        <v>4614</v>
      </c>
      <c r="AG277" s="2">
        <f t="shared" si="96"/>
        <v>5597</v>
      </c>
      <c r="AH277" s="2">
        <f t="shared" si="99"/>
        <v>5797</v>
      </c>
      <c r="AI277" s="2">
        <f t="shared" si="97"/>
        <v>7389</v>
      </c>
      <c r="AJ277" s="2">
        <f t="shared" si="98"/>
        <v>7411</v>
      </c>
      <c r="AK277" s="406">
        <v>1</v>
      </c>
      <c r="AL277" s="274">
        <f t="shared" ca="1" si="88"/>
        <v>82086</v>
      </c>
      <c r="AM277" s="311">
        <f t="shared" ca="1" si="89"/>
        <v>87143</v>
      </c>
      <c r="AN277" s="274">
        <f ca="1">IF(AND(Tabla7[[#This Row],[UltLec]]&lt;&gt;0,Tabla7[[#This Row],[PenLect]]&lt;&gt;0),(AM277-AL277)*Tabla7[[#This Row],[RT]],"N/A")</f>
        <v>5057</v>
      </c>
      <c r="AO277" s="273" t="s">
        <v>862</v>
      </c>
      <c r="AP277" s="392" t="s">
        <v>1191</v>
      </c>
      <c r="AQ277" s="392" t="s">
        <v>1189</v>
      </c>
      <c r="AR277" s="407">
        <f t="shared" si="90"/>
        <v>0</v>
      </c>
      <c r="AT277" s="2">
        <f t="shared" ca="1" si="91"/>
        <v>0.95145813734713081</v>
      </c>
      <c r="AV277">
        <f>IF(ISBLANK(Tabla7[[#This Row],[31/12/2017]]),0,Tabla7[[#This Row],[31/12/2017]])</f>
        <v>62062</v>
      </c>
      <c r="AW277">
        <f>IF(ISBLANK(Tabla7[[#This Row],[15/01/2018]]),0,Tabla7[[#This Row],[15/01/2018]])</f>
        <v>64905</v>
      </c>
      <c r="AX277">
        <f>IF(ISBLANK(Tabla7[[#This Row],[15/02/2018]]),0,Tabla7[[#This Row],[15/02/2018]])</f>
        <v>70940</v>
      </c>
      <c r="AY277">
        <f>IF(ISBLANK(Tabla7[[#This Row],[15/03/2018]]),0,Tabla7[[#This Row],[15/03/2018]])</f>
        <v>76771</v>
      </c>
      <c r="AZ277">
        <f>IF(ISBLANK(Tabla7[[#This Row],[15/04/2018]]),0,Tabla7[[#This Row],[15/04/2018]])</f>
        <v>82086</v>
      </c>
      <c r="BA277">
        <f>IF(ISBLANK(Tabla7[[#This Row],[15/05/2018]]),0,Tabla7[[#This Row],[15/05/2018]])</f>
        <v>87143</v>
      </c>
      <c r="BB277">
        <f>IF(ISBLANK(Tabla7[[#This Row],[15/06/2018]]),0,Tabla7[[#This Row],[15/06/2018]])</f>
        <v>91908</v>
      </c>
      <c r="BC277">
        <f>IF(ISBLANK(Tabla7[[#This Row],[15/07/2018]]),0,Tabla7[[#This Row],[15/07/2018]])</f>
        <v>95959</v>
      </c>
      <c r="BD277">
        <f>IF(ISBLANK(Tabla7[[#This Row],[15/08/2018]]),0,Tabla7[[#This Row],[15/08/2018]])</f>
        <v>100573</v>
      </c>
      <c r="BE277">
        <f>IF(ISBLANK(Tabla7[[#This Row],[15/09/2018]]),0,Tabla7[[#This Row],[15/09/2018]])</f>
        <v>106170</v>
      </c>
      <c r="BF277">
        <f>IF(ISBLANK(Tabla7[[#This Row],[15/10/2018]]),0,Tabla7[[#This Row],[15/10/2018]])</f>
        <v>111967</v>
      </c>
      <c r="BG277">
        <f>IF(ISBLANK(Tabla7[[#This Row],[15/11/2018]]),0,Tabla7[[#This Row],[15/11/2018]])</f>
        <v>119356</v>
      </c>
      <c r="BH277">
        <f>IF(ISBLANK(Tabla7[[#This Row],[15/12/2018]]),0,Tabla7[[#This Row],[15/12/2018]])</f>
        <v>126767</v>
      </c>
      <c r="BI277">
        <f>IF(ISBLANK(Tabla7[[#This Row],[28/12/2018]]),0,Tabla7[[#This Row],[28/12/2018]])</f>
        <v>0</v>
      </c>
      <c r="BN27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('CXRUGBI16032811071','V','VCT09','131','ALUMBRADO VIALES T0903 y T0904','EN CENTRALIZACION (11)','','');</v>
      </c>
      <c r="BO277" t="s">
        <v>243</v>
      </c>
      <c r="BP277" s="632" t="str">
        <f>CONCATENATE("insert into lecturas values ","('",Tabla7[[#This Row],[CONTADOR]],"',STR_TO_DATE('",Tabla7[[#Headers],[31/12/2017]],"','%d/%m/%Y'),",AV277,"),","('",Tabla7[[#This Row],[CONTADOR]],"',STR_TO_DATE('",Tabla7[[#Headers],[15/01/2018]],"','%d/%m/%Y'),",AW277,"),","('",Tabla7[[#This Row],[CONTADOR]],"',STR_TO_DATE('",Tabla7[[#Headers],[15/02/2018]],"','%d/%m/%Y'),",AX277,"),","('",Tabla7[[#This Row],[CONTADOR]],"',STR_TO_DATE('",Tabla7[[#Headers],[15/03/2018]],"','%d/%m/%Y'),",AY277,"),","('",Tabla7[[#This Row],[CONTADOR]],"',STR_TO_DATE('",Tabla7[[#Headers],[15/04/2018]],"','%d/%m/%Y'),",AZ277,"),","('",Tabla7[[#This Row],[CONTADOR]],"',STR_TO_DATE('",Tabla7[[#Headers],[15/05/2018]],"','%d/%m/%Y'),",BA277,"),","('",Tabla7[[#This Row],[CONTADOR]],"',STR_TO_DATE('",Tabla7[[#Headers],[15/06/2018]],"','%d/%m/%Y'),",BB277,"),","('",Tabla7[[#This Row],[CONTADOR]],"',STR_TO_DATE('",Tabla7[[#Headers],[15/07/2018]],"','%d/%m/%Y'),",BC277,"),","('",Tabla7[[#This Row],[CONTADOR]],"',STR_TO_DATE('",Tabla7[[#Headers],[15/08/2018]],"','%d/%m/%Y'),",BD277,"),","('",Tabla7[[#This Row],[CONTADOR]],"',STR_TO_DATE('",Tabla7[[#Headers],[15/09/2018]],"','%d/%m/%Y'),",BE277,"),","('",Tabla7[[#This Row],[CONTADOR]],"',STR_TO_DATE('",Tabla7[[#Headers],[15/10/2018]],"','%d/%m/%Y'),",BF277,"),","('",Tabla7[[#This Row],[CONTADOR]],"',STR_TO_DATE('",Tabla7[[#Headers],[15/11/2018]],"','%d/%m/%Y'),",BG277,"),","('",Tabla7[[#This Row],[CONTADOR]],"',STR_TO_DATE('",Tabla7[[#Headers],[15/12/2018]],"','%d/%m/%Y'),",BH277,");")</f>
        <v>insert into lecturas values ('CXRUGBI16032811071',STR_TO_DATE('31/12/2017','%d/%m/%Y'),62062),('CXRUGBI16032811071',STR_TO_DATE('15/01/2018','%d/%m/%Y'),64905),('CXRUGBI16032811071',STR_TO_DATE('15/02/2018','%d/%m/%Y'),70940),('CXRUGBI16032811071',STR_TO_DATE('15/03/2018','%d/%m/%Y'),76771),('CXRUGBI16032811071',STR_TO_DATE('15/04/2018','%d/%m/%Y'),82086),('CXRUGBI16032811071',STR_TO_DATE('15/05/2018','%d/%m/%Y'),87143),('CXRUGBI16032811071',STR_TO_DATE('15/06/2018','%d/%m/%Y'),91908),('CXRUGBI16032811071',STR_TO_DATE('15/07/2018','%d/%m/%Y'),95959),('CXRUGBI16032811071',STR_TO_DATE('15/08/2018','%d/%m/%Y'),100573),('CXRUGBI16032811071',STR_TO_DATE('15/09/2018','%d/%m/%Y'),106170),('CXRUGBI16032811071',STR_TO_DATE('15/10/2018','%d/%m/%Y'),111967),('CXRUGBI16032811071',STR_TO_DATE('15/11/2018','%d/%m/%Y'),119356),('CXRUGBI16032811071',STR_TO_DATE('15/12/2018','%d/%m/%Y'),126767);</v>
      </c>
    </row>
    <row r="278" spans="1:68" ht="18" customHeight="1" x14ac:dyDescent="0.25">
      <c r="A278" s="241" t="s">
        <v>19</v>
      </c>
      <c r="B278" s="60"/>
      <c r="C278" s="342" t="s">
        <v>1235</v>
      </c>
      <c r="D278" s="60" t="s">
        <v>90</v>
      </c>
      <c r="E278" s="258">
        <v>39022</v>
      </c>
      <c r="F278" s="2" t="s">
        <v>97</v>
      </c>
      <c r="G278" s="2" t="s">
        <v>1020</v>
      </c>
      <c r="H278" s="2"/>
      <c r="I278" s="2"/>
      <c r="J278" s="311">
        <v>3081</v>
      </c>
      <c r="K278" s="311">
        <v>3217</v>
      </c>
      <c r="L278" s="311">
        <v>3493</v>
      </c>
      <c r="M278" s="311">
        <v>3730</v>
      </c>
      <c r="N278" s="311">
        <v>3870</v>
      </c>
      <c r="O278" s="311">
        <v>3990</v>
      </c>
      <c r="P278" s="1">
        <v>4162</v>
      </c>
      <c r="Q278" s="2">
        <v>4402</v>
      </c>
      <c r="R278" s="311">
        <v>4684</v>
      </c>
      <c r="S278" s="311">
        <v>4961</v>
      </c>
      <c r="T278" s="311">
        <v>5182</v>
      </c>
      <c r="U278" s="492">
        <v>5352</v>
      </c>
      <c r="V278" s="493">
        <v>5596</v>
      </c>
      <c r="W278" s="274"/>
      <c r="X278" s="2"/>
      <c r="Y278" s="2">
        <f t="shared" si="86"/>
        <v>136</v>
      </c>
      <c r="Z278" s="2">
        <f t="shared" si="84"/>
        <v>276</v>
      </c>
      <c r="AA278" s="2">
        <f t="shared" si="87"/>
        <v>237</v>
      </c>
      <c r="AB278" s="2">
        <f t="shared" si="85"/>
        <v>140</v>
      </c>
      <c r="AC278" s="2">
        <f t="shared" si="92"/>
        <v>120</v>
      </c>
      <c r="AD278" s="2">
        <f t="shared" si="93"/>
        <v>172</v>
      </c>
      <c r="AE278" s="2">
        <f t="shared" si="94"/>
        <v>240</v>
      </c>
      <c r="AF278" s="2">
        <f t="shared" si="95"/>
        <v>282</v>
      </c>
      <c r="AG278" s="2">
        <f t="shared" si="96"/>
        <v>277</v>
      </c>
      <c r="AH278" s="2">
        <f t="shared" si="99"/>
        <v>221</v>
      </c>
      <c r="AI278" s="2">
        <f t="shared" si="97"/>
        <v>170</v>
      </c>
      <c r="AJ278" s="2">
        <f t="shared" si="98"/>
        <v>244</v>
      </c>
      <c r="AK278" s="406">
        <v>1</v>
      </c>
      <c r="AL278" s="274">
        <f t="shared" ca="1" si="88"/>
        <v>3870</v>
      </c>
      <c r="AM278" s="311">
        <f t="shared" ca="1" si="89"/>
        <v>3990</v>
      </c>
      <c r="AN278" s="274">
        <f ca="1">IF(AND(Tabla7[[#This Row],[UltLec]]&lt;&gt;0,Tabla7[[#This Row],[PenLect]]&lt;&gt;0),(AM278-AL278)*Tabla7[[#This Row],[RT]],"N/A")</f>
        <v>120</v>
      </c>
      <c r="AO278" s="273" t="s">
        <v>862</v>
      </c>
      <c r="AP278" s="392" t="s">
        <v>1191</v>
      </c>
      <c r="AQ278" s="392" t="s">
        <v>1189</v>
      </c>
      <c r="AR278" s="407">
        <f t="shared" si="90"/>
        <v>0</v>
      </c>
      <c r="AT278" s="2">
        <f t="shared" ca="1" si="91"/>
        <v>0.8571428571428571</v>
      </c>
      <c r="AV278">
        <f>IF(ISBLANK(Tabla7[[#This Row],[31/12/2017]]),0,Tabla7[[#This Row],[31/12/2017]])</f>
        <v>3081</v>
      </c>
      <c r="AW278">
        <f>IF(ISBLANK(Tabla7[[#This Row],[15/01/2018]]),0,Tabla7[[#This Row],[15/01/2018]])</f>
        <v>3217</v>
      </c>
      <c r="AX278">
        <f>IF(ISBLANK(Tabla7[[#This Row],[15/02/2018]]),0,Tabla7[[#This Row],[15/02/2018]])</f>
        <v>3493</v>
      </c>
      <c r="AY278">
        <f>IF(ISBLANK(Tabla7[[#This Row],[15/03/2018]]),0,Tabla7[[#This Row],[15/03/2018]])</f>
        <v>3730</v>
      </c>
      <c r="AZ278">
        <f>IF(ISBLANK(Tabla7[[#This Row],[15/04/2018]]),0,Tabla7[[#This Row],[15/04/2018]])</f>
        <v>3870</v>
      </c>
      <c r="BA278">
        <f>IF(ISBLANK(Tabla7[[#This Row],[15/05/2018]]),0,Tabla7[[#This Row],[15/05/2018]])</f>
        <v>3990</v>
      </c>
      <c r="BB278">
        <f>IF(ISBLANK(Tabla7[[#This Row],[15/06/2018]]),0,Tabla7[[#This Row],[15/06/2018]])</f>
        <v>4162</v>
      </c>
      <c r="BC278">
        <f>IF(ISBLANK(Tabla7[[#This Row],[15/07/2018]]),0,Tabla7[[#This Row],[15/07/2018]])</f>
        <v>4402</v>
      </c>
      <c r="BD278">
        <f>IF(ISBLANK(Tabla7[[#This Row],[15/08/2018]]),0,Tabla7[[#This Row],[15/08/2018]])</f>
        <v>4684</v>
      </c>
      <c r="BE278">
        <f>IF(ISBLANK(Tabla7[[#This Row],[15/09/2018]]),0,Tabla7[[#This Row],[15/09/2018]])</f>
        <v>4961</v>
      </c>
      <c r="BF278">
        <f>IF(ISBLANK(Tabla7[[#This Row],[15/10/2018]]),0,Tabla7[[#This Row],[15/10/2018]])</f>
        <v>5182</v>
      </c>
      <c r="BG278">
        <f>IF(ISBLANK(Tabla7[[#This Row],[15/11/2018]]),0,Tabla7[[#This Row],[15/11/2018]])</f>
        <v>5352</v>
      </c>
      <c r="BH278">
        <f>IF(ISBLANK(Tabla7[[#This Row],[15/12/2018]]),0,Tabla7[[#This Row],[15/12/2018]])</f>
        <v>5596</v>
      </c>
      <c r="BI278">
        <f>IF(ISBLANK(Tabla7[[#This Row],[28/12/2018]]),0,Tabla7[[#This Row],[28/12/2018]])</f>
        <v>0</v>
      </c>
      <c r="BN27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('CXRUGBI16032811072','V','VCT09','39022','JUAN AGUSTIN BLASCO CARBO','EN CENTRALIZACION (09)','','');</v>
      </c>
      <c r="BO278" t="s">
        <v>243</v>
      </c>
      <c r="BP278" s="632" t="str">
        <f>CONCATENATE("insert into lecturas values ","('",Tabla7[[#This Row],[CONTADOR]],"',STR_TO_DATE('",Tabla7[[#Headers],[31/12/2017]],"','%d/%m/%Y'),",AV278,"),","('",Tabla7[[#This Row],[CONTADOR]],"',STR_TO_DATE('",Tabla7[[#Headers],[15/01/2018]],"','%d/%m/%Y'),",AW278,"),","('",Tabla7[[#This Row],[CONTADOR]],"',STR_TO_DATE('",Tabla7[[#Headers],[15/02/2018]],"','%d/%m/%Y'),",AX278,"),","('",Tabla7[[#This Row],[CONTADOR]],"',STR_TO_DATE('",Tabla7[[#Headers],[15/03/2018]],"','%d/%m/%Y'),",AY278,"),","('",Tabla7[[#This Row],[CONTADOR]],"',STR_TO_DATE('",Tabla7[[#Headers],[15/04/2018]],"','%d/%m/%Y'),",AZ278,"),","('",Tabla7[[#This Row],[CONTADOR]],"',STR_TO_DATE('",Tabla7[[#Headers],[15/05/2018]],"','%d/%m/%Y'),",BA278,"),","('",Tabla7[[#This Row],[CONTADOR]],"',STR_TO_DATE('",Tabla7[[#Headers],[15/06/2018]],"','%d/%m/%Y'),",BB278,"),","('",Tabla7[[#This Row],[CONTADOR]],"',STR_TO_DATE('",Tabla7[[#Headers],[15/07/2018]],"','%d/%m/%Y'),",BC278,"),","('",Tabla7[[#This Row],[CONTADOR]],"',STR_TO_DATE('",Tabla7[[#Headers],[15/08/2018]],"','%d/%m/%Y'),",BD278,"),","('",Tabla7[[#This Row],[CONTADOR]],"',STR_TO_DATE('",Tabla7[[#Headers],[15/09/2018]],"','%d/%m/%Y'),",BE278,"),","('",Tabla7[[#This Row],[CONTADOR]],"',STR_TO_DATE('",Tabla7[[#Headers],[15/10/2018]],"','%d/%m/%Y'),",BF278,"),","('",Tabla7[[#This Row],[CONTADOR]],"',STR_TO_DATE('",Tabla7[[#Headers],[15/11/2018]],"','%d/%m/%Y'),",BG278,"),","('",Tabla7[[#This Row],[CONTADOR]],"',STR_TO_DATE('",Tabla7[[#Headers],[15/12/2018]],"','%d/%m/%Y'),",BH278,");")</f>
        <v>insert into lecturas values ('CXRUGBI16032811072',STR_TO_DATE('31/12/2017','%d/%m/%Y'),3081),('CXRUGBI16032811072',STR_TO_DATE('15/01/2018','%d/%m/%Y'),3217),('CXRUGBI16032811072',STR_TO_DATE('15/02/2018','%d/%m/%Y'),3493),('CXRUGBI16032811072',STR_TO_DATE('15/03/2018','%d/%m/%Y'),3730),('CXRUGBI16032811072',STR_TO_DATE('15/04/2018','%d/%m/%Y'),3870),('CXRUGBI16032811072',STR_TO_DATE('15/05/2018','%d/%m/%Y'),3990),('CXRUGBI16032811072',STR_TO_DATE('15/06/2018','%d/%m/%Y'),4162),('CXRUGBI16032811072',STR_TO_DATE('15/07/2018','%d/%m/%Y'),4402),('CXRUGBI16032811072',STR_TO_DATE('15/08/2018','%d/%m/%Y'),4684),('CXRUGBI16032811072',STR_TO_DATE('15/09/2018','%d/%m/%Y'),4961),('CXRUGBI16032811072',STR_TO_DATE('15/10/2018','%d/%m/%Y'),5182),('CXRUGBI16032811072',STR_TO_DATE('15/11/2018','%d/%m/%Y'),5352),('CXRUGBI16032811072',STR_TO_DATE('15/12/2018','%d/%m/%Y'),5596);</v>
      </c>
    </row>
    <row r="279" spans="1:68" ht="18" customHeight="1" x14ac:dyDescent="0.25">
      <c r="A279" s="372" t="s">
        <v>1196</v>
      </c>
      <c r="B279" s="60">
        <v>4086</v>
      </c>
      <c r="C279" s="342" t="s">
        <v>1236</v>
      </c>
      <c r="D279" s="374" t="s">
        <v>90</v>
      </c>
      <c r="E279" s="375">
        <v>39436</v>
      </c>
      <c r="F279" s="376" t="s">
        <v>95</v>
      </c>
      <c r="G279" s="376" t="s">
        <v>989</v>
      </c>
      <c r="H279" s="376" t="s">
        <v>96</v>
      </c>
      <c r="I279" s="376"/>
      <c r="J279" s="383">
        <v>21880</v>
      </c>
      <c r="K279" s="383">
        <v>22654</v>
      </c>
      <c r="L279" s="383">
        <v>24321</v>
      </c>
      <c r="M279" s="383">
        <v>26056</v>
      </c>
      <c r="N279" s="383">
        <v>27434</v>
      </c>
      <c r="O279" s="383">
        <v>28559</v>
      </c>
      <c r="P279" s="383">
        <v>28803</v>
      </c>
      <c r="Q279" s="383"/>
      <c r="R279" s="383"/>
      <c r="S279" s="383"/>
      <c r="T279" s="383"/>
      <c r="U279" s="383"/>
      <c r="V279" s="383">
        <v>33070</v>
      </c>
      <c r="W279" s="383"/>
      <c r="X279" s="376"/>
      <c r="Y279" s="376">
        <f t="shared" si="86"/>
        <v>774</v>
      </c>
      <c r="Z279" s="376">
        <f t="shared" si="84"/>
        <v>1667</v>
      </c>
      <c r="AA279" s="376">
        <f t="shared" si="87"/>
        <v>1735</v>
      </c>
      <c r="AB279" s="376">
        <f t="shared" si="85"/>
        <v>1378</v>
      </c>
      <c r="AC279" s="376">
        <f t="shared" si="92"/>
        <v>1125</v>
      </c>
      <c r="AD279" s="376">
        <f t="shared" si="93"/>
        <v>244</v>
      </c>
      <c r="AE279" s="376" t="str">
        <f t="shared" si="94"/>
        <v/>
      </c>
      <c r="AF279" s="376" t="str">
        <f t="shared" si="95"/>
        <v/>
      </c>
      <c r="AG279" s="376" t="str">
        <f t="shared" si="96"/>
        <v/>
      </c>
      <c r="AH279" s="376" t="str">
        <f t="shared" si="99"/>
        <v/>
      </c>
      <c r="AI279" s="376" t="str">
        <f t="shared" si="97"/>
        <v/>
      </c>
      <c r="AJ279" s="376" t="str">
        <f t="shared" si="98"/>
        <v/>
      </c>
      <c r="AK279" s="408">
        <v>1</v>
      </c>
      <c r="AL279" s="377">
        <f t="shared" ca="1" si="88"/>
        <v>27434</v>
      </c>
      <c r="AM279" s="383">
        <f t="shared" ca="1" si="89"/>
        <v>28559</v>
      </c>
      <c r="AN279" s="377">
        <f ca="1">IF(AND(Tabla7[[#This Row],[UltLec]]&lt;&gt;0,Tabla7[[#This Row],[PenLect]]&lt;&gt;0),(AM279-AL279)*Tabla7[[#This Row],[RT]],"N/A")</f>
        <v>1125</v>
      </c>
      <c r="AO279" s="380" t="s">
        <v>1281</v>
      </c>
      <c r="AP279" s="433" t="s">
        <v>1191</v>
      </c>
      <c r="AQ279" s="433" t="s">
        <v>1189</v>
      </c>
      <c r="AR279" s="409">
        <f t="shared" si="90"/>
        <v>0</v>
      </c>
      <c r="AT279" s="2">
        <f t="shared" ca="1" si="91"/>
        <v>0.81640058055152398</v>
      </c>
      <c r="AV279">
        <f>IF(ISBLANK(Tabla7[[#This Row],[31/12/2017]]),0,Tabla7[[#This Row],[31/12/2017]])</f>
        <v>21880</v>
      </c>
      <c r="AW279">
        <f>IF(ISBLANK(Tabla7[[#This Row],[15/01/2018]]),0,Tabla7[[#This Row],[15/01/2018]])</f>
        <v>22654</v>
      </c>
      <c r="AX279">
        <f>IF(ISBLANK(Tabla7[[#This Row],[15/02/2018]]),0,Tabla7[[#This Row],[15/02/2018]])</f>
        <v>24321</v>
      </c>
      <c r="AY279">
        <f>IF(ISBLANK(Tabla7[[#This Row],[15/03/2018]]),0,Tabla7[[#This Row],[15/03/2018]])</f>
        <v>26056</v>
      </c>
      <c r="AZ279">
        <f>IF(ISBLANK(Tabla7[[#This Row],[15/04/2018]]),0,Tabla7[[#This Row],[15/04/2018]])</f>
        <v>27434</v>
      </c>
      <c r="BA279">
        <f>IF(ISBLANK(Tabla7[[#This Row],[15/05/2018]]),0,Tabla7[[#This Row],[15/05/2018]])</f>
        <v>28559</v>
      </c>
      <c r="BB279">
        <f>IF(ISBLANK(Tabla7[[#This Row],[15/06/2018]]),0,Tabla7[[#This Row],[15/06/2018]])</f>
        <v>28803</v>
      </c>
      <c r="BC279">
        <f>IF(ISBLANK(Tabla7[[#This Row],[15/07/2018]]),0,Tabla7[[#This Row],[15/07/2018]])</f>
        <v>0</v>
      </c>
      <c r="BD279">
        <f>IF(ISBLANK(Tabla7[[#This Row],[15/08/2018]]),0,Tabla7[[#This Row],[15/08/2018]])</f>
        <v>0</v>
      </c>
      <c r="BE279">
        <f>IF(ISBLANK(Tabla7[[#This Row],[15/09/2018]]),0,Tabla7[[#This Row],[15/09/2018]])</f>
        <v>0</v>
      </c>
      <c r="BF279">
        <f>IF(ISBLANK(Tabla7[[#This Row],[15/10/2018]]),0,Tabla7[[#This Row],[15/10/2018]])</f>
        <v>0</v>
      </c>
      <c r="BG279">
        <f>IF(ISBLANK(Tabla7[[#This Row],[15/11/2018]]),0,Tabla7[[#This Row],[15/11/2018]])</f>
        <v>0</v>
      </c>
      <c r="BH279">
        <f>IF(ISBLANK(Tabla7[[#This Row],[15/12/2018]]),0,Tabla7[[#This Row],[15/12/2018]])</f>
        <v>33070</v>
      </c>
      <c r="BI279">
        <f>IF(ISBLANK(Tabla7[[#This Row],[28/12/2018]]),0,Tabla7[[#This Row],[28/12/2018]])</f>
        <v>0</v>
      </c>
      <c r="BN27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('CXRUGBI16032811073','VBAJA','VCT09','39436','LOGISTICA CHEMA BALLESTER','EN CENTRALIZACION (13)','SUSTITUYE A LW00012961','');</v>
      </c>
      <c r="BO279" t="s">
        <v>243</v>
      </c>
      <c r="BP279" s="632" t="str">
        <f>CONCATENATE("insert into lecturas values ","('",Tabla7[[#This Row],[CONTADOR]],"',STR_TO_DATE('",Tabla7[[#Headers],[31/12/2017]],"','%d/%m/%Y'),",AV279,"),","('",Tabla7[[#This Row],[CONTADOR]],"',STR_TO_DATE('",Tabla7[[#Headers],[15/01/2018]],"','%d/%m/%Y'),",AW279,"),","('",Tabla7[[#This Row],[CONTADOR]],"',STR_TO_DATE('",Tabla7[[#Headers],[15/02/2018]],"','%d/%m/%Y'),",AX279,"),","('",Tabla7[[#This Row],[CONTADOR]],"',STR_TO_DATE('",Tabla7[[#Headers],[15/03/2018]],"','%d/%m/%Y'),",AY279,"),","('",Tabla7[[#This Row],[CONTADOR]],"',STR_TO_DATE('",Tabla7[[#Headers],[15/04/2018]],"','%d/%m/%Y'),",AZ279,"),","('",Tabla7[[#This Row],[CONTADOR]],"',STR_TO_DATE('",Tabla7[[#Headers],[15/05/2018]],"','%d/%m/%Y'),",BA279,"),","('",Tabla7[[#This Row],[CONTADOR]],"',STR_TO_DATE('",Tabla7[[#Headers],[15/06/2018]],"','%d/%m/%Y'),",BB279,"),","('",Tabla7[[#This Row],[CONTADOR]],"',STR_TO_DATE('",Tabla7[[#Headers],[15/07/2018]],"','%d/%m/%Y'),",BC279,"),","('",Tabla7[[#This Row],[CONTADOR]],"',STR_TO_DATE('",Tabla7[[#Headers],[15/08/2018]],"','%d/%m/%Y'),",BD279,"),","('",Tabla7[[#This Row],[CONTADOR]],"',STR_TO_DATE('",Tabla7[[#Headers],[15/09/2018]],"','%d/%m/%Y'),",BE279,"),","('",Tabla7[[#This Row],[CONTADOR]],"',STR_TO_DATE('",Tabla7[[#Headers],[15/10/2018]],"','%d/%m/%Y'),",BF279,"),","('",Tabla7[[#This Row],[CONTADOR]],"',STR_TO_DATE('",Tabla7[[#Headers],[15/11/2018]],"','%d/%m/%Y'),",BG279,"),","('",Tabla7[[#This Row],[CONTADOR]],"',STR_TO_DATE('",Tabla7[[#Headers],[15/12/2018]],"','%d/%m/%Y'),",BH279,");")</f>
        <v>insert into lecturas values ('CXRUGBI16032811073',STR_TO_DATE('31/12/2017','%d/%m/%Y'),21880),('CXRUGBI16032811073',STR_TO_DATE('15/01/2018','%d/%m/%Y'),22654),('CXRUGBI16032811073',STR_TO_DATE('15/02/2018','%d/%m/%Y'),24321),('CXRUGBI16032811073',STR_TO_DATE('15/03/2018','%d/%m/%Y'),26056),('CXRUGBI16032811073',STR_TO_DATE('15/04/2018','%d/%m/%Y'),27434),('CXRUGBI16032811073',STR_TO_DATE('15/05/2018','%d/%m/%Y'),28559),('CXRUGBI16032811073',STR_TO_DATE('15/06/2018','%d/%m/%Y'),28803),('CXRUGBI16032811073',STR_TO_DATE('15/07/2018','%d/%m/%Y'),0),('CXRUGBI16032811073',STR_TO_DATE('15/08/2018','%d/%m/%Y'),0),('CXRUGBI16032811073',STR_TO_DATE('15/09/2018','%d/%m/%Y'),0),('CXRUGBI16032811073',STR_TO_DATE('15/10/2018','%d/%m/%Y'),0),('CXRUGBI16032811073',STR_TO_DATE('15/11/2018','%d/%m/%Y'),0),('CXRUGBI16032811073',STR_TO_DATE('15/12/2018','%d/%m/%Y'),33070);</v>
      </c>
    </row>
    <row r="280" spans="1:68" ht="18" customHeight="1" x14ac:dyDescent="0.25">
      <c r="A280" s="241" t="s">
        <v>19</v>
      </c>
      <c r="B280" s="60"/>
      <c r="C280" s="342" t="s">
        <v>1226</v>
      </c>
      <c r="D280" s="60" t="s">
        <v>90</v>
      </c>
      <c r="E280" s="258">
        <v>39650</v>
      </c>
      <c r="F280" s="2" t="s">
        <v>100</v>
      </c>
      <c r="G280" s="274" t="s">
        <v>1012</v>
      </c>
      <c r="H280" s="2"/>
      <c r="I280" s="2"/>
      <c r="J280" s="311">
        <v>93213</v>
      </c>
      <c r="K280" s="311">
        <v>96975</v>
      </c>
      <c r="L280" s="311">
        <v>104304</v>
      </c>
      <c r="M280" s="311">
        <v>111191</v>
      </c>
      <c r="N280" s="311">
        <v>117400</v>
      </c>
      <c r="O280" s="311">
        <v>123400</v>
      </c>
      <c r="P280" s="311">
        <v>130173</v>
      </c>
      <c r="Q280" s="2">
        <v>137745</v>
      </c>
      <c r="R280" s="311">
        <v>145834</v>
      </c>
      <c r="S280" s="311">
        <v>154559</v>
      </c>
      <c r="T280" s="311">
        <v>161609</v>
      </c>
      <c r="U280" s="492">
        <v>168752</v>
      </c>
      <c r="V280" s="492">
        <v>176098</v>
      </c>
      <c r="W280" s="274"/>
      <c r="X280" s="2"/>
      <c r="Y280" s="2">
        <f t="shared" si="86"/>
        <v>3762</v>
      </c>
      <c r="Z280" s="2">
        <f t="shared" si="84"/>
        <v>7329</v>
      </c>
      <c r="AA280" s="2">
        <f t="shared" si="87"/>
        <v>6887</v>
      </c>
      <c r="AB280" s="2">
        <f t="shared" si="85"/>
        <v>6209</v>
      </c>
      <c r="AC280" s="2">
        <f t="shared" si="92"/>
        <v>6000</v>
      </c>
      <c r="AD280" s="2">
        <f t="shared" si="93"/>
        <v>6773</v>
      </c>
      <c r="AE280" s="2">
        <f t="shared" si="94"/>
        <v>7572</v>
      </c>
      <c r="AF280" s="2">
        <f t="shared" si="95"/>
        <v>8089</v>
      </c>
      <c r="AG280" s="2">
        <f t="shared" si="96"/>
        <v>8725</v>
      </c>
      <c r="AH280" s="2">
        <f t="shared" si="99"/>
        <v>7050</v>
      </c>
      <c r="AI280" s="2">
        <f t="shared" si="97"/>
        <v>7143</v>
      </c>
      <c r="AJ280" s="2">
        <f t="shared" si="98"/>
        <v>7346</v>
      </c>
      <c r="AK280" s="406">
        <v>1</v>
      </c>
      <c r="AL280" s="274">
        <f t="shared" ca="1" si="88"/>
        <v>117400</v>
      </c>
      <c r="AM280" s="311">
        <f t="shared" ca="1" si="89"/>
        <v>123400</v>
      </c>
      <c r="AN280" s="274">
        <f ca="1">IF(AND(Tabla7[[#This Row],[UltLec]]&lt;&gt;0,Tabla7[[#This Row],[PenLect]]&lt;&gt;0),(AM280-AL280)*Tabla7[[#This Row],[RT]],"N/A")</f>
        <v>6000</v>
      </c>
      <c r="AO280" s="273" t="s">
        <v>862</v>
      </c>
      <c r="AP280" s="392" t="s">
        <v>1191</v>
      </c>
      <c r="AQ280" s="392" t="s">
        <v>1189</v>
      </c>
      <c r="AR280" s="407">
        <f t="shared" si="90"/>
        <v>0</v>
      </c>
      <c r="AT280" s="2">
        <f t="shared" ca="1" si="91"/>
        <v>0.96633918505395389</v>
      </c>
      <c r="AV280">
        <f>IF(ISBLANK(Tabla7[[#This Row],[31/12/2017]]),0,Tabla7[[#This Row],[31/12/2017]])</f>
        <v>93213</v>
      </c>
      <c r="AW280">
        <f>IF(ISBLANK(Tabla7[[#This Row],[15/01/2018]]),0,Tabla7[[#This Row],[15/01/2018]])</f>
        <v>96975</v>
      </c>
      <c r="AX280">
        <f>IF(ISBLANK(Tabla7[[#This Row],[15/02/2018]]),0,Tabla7[[#This Row],[15/02/2018]])</f>
        <v>104304</v>
      </c>
      <c r="AY280">
        <f>IF(ISBLANK(Tabla7[[#This Row],[15/03/2018]]),0,Tabla7[[#This Row],[15/03/2018]])</f>
        <v>111191</v>
      </c>
      <c r="AZ280">
        <f>IF(ISBLANK(Tabla7[[#This Row],[15/04/2018]]),0,Tabla7[[#This Row],[15/04/2018]])</f>
        <v>117400</v>
      </c>
      <c r="BA280">
        <f>IF(ISBLANK(Tabla7[[#This Row],[15/05/2018]]),0,Tabla7[[#This Row],[15/05/2018]])</f>
        <v>123400</v>
      </c>
      <c r="BB280">
        <f>IF(ISBLANK(Tabla7[[#This Row],[15/06/2018]]),0,Tabla7[[#This Row],[15/06/2018]])</f>
        <v>130173</v>
      </c>
      <c r="BC280">
        <f>IF(ISBLANK(Tabla7[[#This Row],[15/07/2018]]),0,Tabla7[[#This Row],[15/07/2018]])</f>
        <v>137745</v>
      </c>
      <c r="BD280">
        <f>IF(ISBLANK(Tabla7[[#This Row],[15/08/2018]]),0,Tabla7[[#This Row],[15/08/2018]])</f>
        <v>145834</v>
      </c>
      <c r="BE280">
        <f>IF(ISBLANK(Tabla7[[#This Row],[15/09/2018]]),0,Tabla7[[#This Row],[15/09/2018]])</f>
        <v>154559</v>
      </c>
      <c r="BF280">
        <f>IF(ISBLANK(Tabla7[[#This Row],[15/10/2018]]),0,Tabla7[[#This Row],[15/10/2018]])</f>
        <v>161609</v>
      </c>
      <c r="BG280">
        <f>IF(ISBLANK(Tabla7[[#This Row],[15/11/2018]]),0,Tabla7[[#This Row],[15/11/2018]])</f>
        <v>168752</v>
      </c>
      <c r="BH280">
        <f>IF(ISBLANK(Tabla7[[#This Row],[15/12/2018]]),0,Tabla7[[#This Row],[15/12/2018]])</f>
        <v>176098</v>
      </c>
      <c r="BI280">
        <f>IF(ISBLANK(Tabla7[[#This Row],[28/12/2018]]),0,Tabla7[[#This Row],[28/12/2018]])</f>
        <v>0</v>
      </c>
      <c r="BN28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('CXZVFER15051363895','V','VCT09','39650','DIR. TER. COMERCIO VCIA','EN CENTRALIZACION (01)','','');</v>
      </c>
      <c r="BO280" t="s">
        <v>243</v>
      </c>
      <c r="BP280" s="632" t="str">
        <f>CONCATENATE("insert into lecturas values ","('",Tabla7[[#This Row],[CONTADOR]],"',STR_TO_DATE('",Tabla7[[#Headers],[31/12/2017]],"','%d/%m/%Y'),",AV280,"),","('",Tabla7[[#This Row],[CONTADOR]],"',STR_TO_DATE('",Tabla7[[#Headers],[15/01/2018]],"','%d/%m/%Y'),",AW280,"),","('",Tabla7[[#This Row],[CONTADOR]],"',STR_TO_DATE('",Tabla7[[#Headers],[15/02/2018]],"','%d/%m/%Y'),",AX280,"),","('",Tabla7[[#This Row],[CONTADOR]],"',STR_TO_DATE('",Tabla7[[#Headers],[15/03/2018]],"','%d/%m/%Y'),",AY280,"),","('",Tabla7[[#This Row],[CONTADOR]],"',STR_TO_DATE('",Tabla7[[#Headers],[15/04/2018]],"','%d/%m/%Y'),",AZ280,"),","('",Tabla7[[#This Row],[CONTADOR]],"',STR_TO_DATE('",Tabla7[[#Headers],[15/05/2018]],"','%d/%m/%Y'),",BA280,"),","('",Tabla7[[#This Row],[CONTADOR]],"',STR_TO_DATE('",Tabla7[[#Headers],[15/06/2018]],"','%d/%m/%Y'),",BB280,"),","('",Tabla7[[#This Row],[CONTADOR]],"',STR_TO_DATE('",Tabla7[[#Headers],[15/07/2018]],"','%d/%m/%Y'),",BC280,"),","('",Tabla7[[#This Row],[CONTADOR]],"',STR_TO_DATE('",Tabla7[[#Headers],[15/08/2018]],"','%d/%m/%Y'),",BD280,"),","('",Tabla7[[#This Row],[CONTADOR]],"',STR_TO_DATE('",Tabla7[[#Headers],[15/09/2018]],"','%d/%m/%Y'),",BE280,"),","('",Tabla7[[#This Row],[CONTADOR]],"',STR_TO_DATE('",Tabla7[[#Headers],[15/10/2018]],"','%d/%m/%Y'),",BF280,"),","('",Tabla7[[#This Row],[CONTADOR]],"',STR_TO_DATE('",Tabla7[[#Headers],[15/11/2018]],"','%d/%m/%Y'),",BG280,"),","('",Tabla7[[#This Row],[CONTADOR]],"',STR_TO_DATE('",Tabla7[[#Headers],[15/12/2018]],"','%d/%m/%Y'),",BH280,");")</f>
        <v>insert into lecturas values ('CXZVFER15051363895',STR_TO_DATE('31/12/2017','%d/%m/%Y'),93213),('CXZVFER15051363895',STR_TO_DATE('15/01/2018','%d/%m/%Y'),96975),('CXZVFER15051363895',STR_TO_DATE('15/02/2018','%d/%m/%Y'),104304),('CXZVFER15051363895',STR_TO_DATE('15/03/2018','%d/%m/%Y'),111191),('CXZVFER15051363895',STR_TO_DATE('15/04/2018','%d/%m/%Y'),117400),('CXZVFER15051363895',STR_TO_DATE('15/05/2018','%d/%m/%Y'),123400),('CXZVFER15051363895',STR_TO_DATE('15/06/2018','%d/%m/%Y'),130173),('CXZVFER15051363895',STR_TO_DATE('15/07/2018','%d/%m/%Y'),137745),('CXZVFER15051363895',STR_TO_DATE('15/08/2018','%d/%m/%Y'),145834),('CXZVFER15051363895',STR_TO_DATE('15/09/2018','%d/%m/%Y'),154559),('CXZVFER15051363895',STR_TO_DATE('15/10/2018','%d/%m/%Y'),161609),('CXZVFER15051363895',STR_TO_DATE('15/11/2018','%d/%m/%Y'),168752),('CXZVFER15051363895',STR_TO_DATE('15/12/2018','%d/%m/%Y'),176098);</v>
      </c>
    </row>
    <row r="281" spans="1:68" ht="18" customHeight="1" x14ac:dyDescent="0.25">
      <c r="A281" s="241" t="s">
        <v>19</v>
      </c>
      <c r="B281" s="60"/>
      <c r="C281" s="342" t="s">
        <v>1227</v>
      </c>
      <c r="D281" s="60" t="s">
        <v>90</v>
      </c>
      <c r="E281" s="258">
        <v>39044</v>
      </c>
      <c r="F281" s="274" t="s">
        <v>689</v>
      </c>
      <c r="G281" s="274" t="s">
        <v>1016</v>
      </c>
      <c r="H281" s="2" t="s">
        <v>1264</v>
      </c>
      <c r="I281" s="2" t="s">
        <v>439</v>
      </c>
      <c r="J281" s="311">
        <v>17623</v>
      </c>
      <c r="K281" s="311">
        <v>18365</v>
      </c>
      <c r="L281" s="311">
        <v>19995</v>
      </c>
      <c r="M281" s="311">
        <v>21330</v>
      </c>
      <c r="N281" s="311">
        <v>22426</v>
      </c>
      <c r="O281" s="311">
        <v>23509</v>
      </c>
      <c r="P281" s="311">
        <v>25169</v>
      </c>
      <c r="Q281" s="2">
        <v>27128</v>
      </c>
      <c r="R281" s="311">
        <v>29255</v>
      </c>
      <c r="S281" s="311">
        <v>31287</v>
      </c>
      <c r="T281" s="311">
        <v>32790</v>
      </c>
      <c r="U281" s="492">
        <v>34158</v>
      </c>
      <c r="V281" s="492">
        <v>35558</v>
      </c>
      <c r="W281" s="274"/>
      <c r="X281" s="2"/>
      <c r="Y281" s="2">
        <f t="shared" si="86"/>
        <v>742</v>
      </c>
      <c r="Z281" s="2">
        <f t="shared" si="84"/>
        <v>1630</v>
      </c>
      <c r="AA281" s="2">
        <f t="shared" si="87"/>
        <v>1335</v>
      </c>
      <c r="AB281" s="2">
        <f t="shared" ref="AB281:AB299" si="100">IF(OR(ISBLANK(N281),ISBLANK(M281)),"",IF(AND(N281&gt;=M281,N281-M281&lt;=N281),(N281-M281)*$AK281,"!!!!"))</f>
        <v>1096</v>
      </c>
      <c r="AC281" s="2">
        <f t="shared" si="92"/>
        <v>1083</v>
      </c>
      <c r="AD281" s="2">
        <f t="shared" si="93"/>
        <v>1660</v>
      </c>
      <c r="AE281" s="2">
        <f t="shared" si="94"/>
        <v>1959</v>
      </c>
      <c r="AF281" s="2">
        <f t="shared" si="95"/>
        <v>2127</v>
      </c>
      <c r="AG281" s="2">
        <f t="shared" si="96"/>
        <v>2032</v>
      </c>
      <c r="AH281" s="2">
        <f t="shared" si="99"/>
        <v>1503</v>
      </c>
      <c r="AI281" s="2">
        <f t="shared" si="97"/>
        <v>1368</v>
      </c>
      <c r="AJ281" s="2">
        <f t="shared" si="98"/>
        <v>1400</v>
      </c>
      <c r="AK281" s="406">
        <v>1</v>
      </c>
      <c r="AL281" s="274">
        <f t="shared" ca="1" si="88"/>
        <v>22426</v>
      </c>
      <c r="AM281" s="311">
        <f t="shared" ca="1" si="89"/>
        <v>23509</v>
      </c>
      <c r="AN281" s="274">
        <f ca="1">IF(AND(Tabla7[[#This Row],[UltLec]]&lt;&gt;0,Tabla7[[#This Row],[PenLect]]&lt;&gt;0),(AM281-AL281)*Tabla7[[#This Row],[RT]],"N/A")</f>
        <v>1083</v>
      </c>
      <c r="AO281" s="273" t="s">
        <v>862</v>
      </c>
      <c r="AP281" s="392" t="s">
        <v>1191</v>
      </c>
      <c r="AQ281" s="392" t="s">
        <v>1189</v>
      </c>
      <c r="AR281" s="407">
        <f t="shared" si="90"/>
        <v>0</v>
      </c>
      <c r="AT281" s="2">
        <f t="shared" ca="1" si="91"/>
        <v>0.98813868613138689</v>
      </c>
      <c r="AV281">
        <f>IF(ISBLANK(Tabla7[[#This Row],[31/12/2017]]),0,Tabla7[[#This Row],[31/12/2017]])</f>
        <v>17623</v>
      </c>
      <c r="AW281">
        <f>IF(ISBLANK(Tabla7[[#This Row],[15/01/2018]]),0,Tabla7[[#This Row],[15/01/2018]])</f>
        <v>18365</v>
      </c>
      <c r="AX281">
        <f>IF(ISBLANK(Tabla7[[#This Row],[15/02/2018]]),0,Tabla7[[#This Row],[15/02/2018]])</f>
        <v>19995</v>
      </c>
      <c r="AY281">
        <f>IF(ISBLANK(Tabla7[[#This Row],[15/03/2018]]),0,Tabla7[[#This Row],[15/03/2018]])</f>
        <v>21330</v>
      </c>
      <c r="AZ281">
        <f>IF(ISBLANK(Tabla7[[#This Row],[15/04/2018]]),0,Tabla7[[#This Row],[15/04/2018]])</f>
        <v>22426</v>
      </c>
      <c r="BA281">
        <f>IF(ISBLANK(Tabla7[[#This Row],[15/05/2018]]),0,Tabla7[[#This Row],[15/05/2018]])</f>
        <v>23509</v>
      </c>
      <c r="BB281">
        <f>IF(ISBLANK(Tabla7[[#This Row],[15/06/2018]]),0,Tabla7[[#This Row],[15/06/2018]])</f>
        <v>25169</v>
      </c>
      <c r="BC281">
        <f>IF(ISBLANK(Tabla7[[#This Row],[15/07/2018]]),0,Tabla7[[#This Row],[15/07/2018]])</f>
        <v>27128</v>
      </c>
      <c r="BD281">
        <f>IF(ISBLANK(Tabla7[[#This Row],[15/08/2018]]),0,Tabla7[[#This Row],[15/08/2018]])</f>
        <v>29255</v>
      </c>
      <c r="BE281">
        <f>IF(ISBLANK(Tabla7[[#This Row],[15/09/2018]]),0,Tabla7[[#This Row],[15/09/2018]])</f>
        <v>31287</v>
      </c>
      <c r="BF281">
        <f>IF(ISBLANK(Tabla7[[#This Row],[15/10/2018]]),0,Tabla7[[#This Row],[15/10/2018]])</f>
        <v>32790</v>
      </c>
      <c r="BG281">
        <f>IF(ISBLANK(Tabla7[[#This Row],[15/11/2018]]),0,Tabla7[[#This Row],[15/11/2018]])</f>
        <v>34158</v>
      </c>
      <c r="BH281">
        <f>IF(ISBLANK(Tabla7[[#This Row],[15/12/2018]]),0,Tabla7[[#This Row],[15/12/2018]])</f>
        <v>35558</v>
      </c>
      <c r="BI281">
        <f>IF(ISBLANK(Tabla7[[#This Row],[28/12/2018]]),0,Tabla7[[#This Row],[28/12/2018]])</f>
        <v>0</v>
      </c>
      <c r="BN28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('CXZVFER15051363898','V','VCT09','39044','TRANSITOS COSTA ESTE, S.L.','EN CENTRALIZACION (05)','150/5 PERO YA LO APLICA EL PROPIO CONTADOR? CAMBIO DE SUMINISTRO A (TRANSISTOS COSTA ESTE, S.L.)','BAJA DE SUMINISTRO  A DEMAGRISA EL 26/06/2016 (LECTURA INICIAL 109306)');</v>
      </c>
      <c r="BO281" t="s">
        <v>243</v>
      </c>
      <c r="BP281" s="632" t="str">
        <f>CONCATENATE("insert into lecturas values ","('",Tabla7[[#This Row],[CONTADOR]],"',STR_TO_DATE('",Tabla7[[#Headers],[31/12/2017]],"','%d/%m/%Y'),",AV281,"),","('",Tabla7[[#This Row],[CONTADOR]],"',STR_TO_DATE('",Tabla7[[#Headers],[15/01/2018]],"','%d/%m/%Y'),",AW281,"),","('",Tabla7[[#This Row],[CONTADOR]],"',STR_TO_DATE('",Tabla7[[#Headers],[15/02/2018]],"','%d/%m/%Y'),",AX281,"),","('",Tabla7[[#This Row],[CONTADOR]],"',STR_TO_DATE('",Tabla7[[#Headers],[15/03/2018]],"','%d/%m/%Y'),",AY281,"),","('",Tabla7[[#This Row],[CONTADOR]],"',STR_TO_DATE('",Tabla7[[#Headers],[15/04/2018]],"','%d/%m/%Y'),",AZ281,"),","('",Tabla7[[#This Row],[CONTADOR]],"',STR_TO_DATE('",Tabla7[[#Headers],[15/05/2018]],"','%d/%m/%Y'),",BA281,"),","('",Tabla7[[#This Row],[CONTADOR]],"',STR_TO_DATE('",Tabla7[[#Headers],[15/06/2018]],"','%d/%m/%Y'),",BB281,"),","('",Tabla7[[#This Row],[CONTADOR]],"',STR_TO_DATE('",Tabla7[[#Headers],[15/07/2018]],"','%d/%m/%Y'),",BC281,"),","('",Tabla7[[#This Row],[CONTADOR]],"',STR_TO_DATE('",Tabla7[[#Headers],[15/08/2018]],"','%d/%m/%Y'),",BD281,"),","('",Tabla7[[#This Row],[CONTADOR]],"',STR_TO_DATE('",Tabla7[[#Headers],[15/09/2018]],"','%d/%m/%Y'),",BE281,"),","('",Tabla7[[#This Row],[CONTADOR]],"',STR_TO_DATE('",Tabla7[[#Headers],[15/10/2018]],"','%d/%m/%Y'),",BF281,"),","('",Tabla7[[#This Row],[CONTADOR]],"',STR_TO_DATE('",Tabla7[[#Headers],[15/11/2018]],"','%d/%m/%Y'),",BG281,"),","('",Tabla7[[#This Row],[CONTADOR]],"',STR_TO_DATE('",Tabla7[[#Headers],[15/12/2018]],"','%d/%m/%Y'),",BH281,");")</f>
        <v>insert into lecturas values ('CXZVFER15051363898',STR_TO_DATE('31/12/2017','%d/%m/%Y'),17623),('CXZVFER15051363898',STR_TO_DATE('15/01/2018','%d/%m/%Y'),18365),('CXZVFER15051363898',STR_TO_DATE('15/02/2018','%d/%m/%Y'),19995),('CXZVFER15051363898',STR_TO_DATE('15/03/2018','%d/%m/%Y'),21330),('CXZVFER15051363898',STR_TO_DATE('15/04/2018','%d/%m/%Y'),22426),('CXZVFER15051363898',STR_TO_DATE('15/05/2018','%d/%m/%Y'),23509),('CXZVFER15051363898',STR_TO_DATE('15/06/2018','%d/%m/%Y'),25169),('CXZVFER15051363898',STR_TO_DATE('15/07/2018','%d/%m/%Y'),27128),('CXZVFER15051363898',STR_TO_DATE('15/08/2018','%d/%m/%Y'),29255),('CXZVFER15051363898',STR_TO_DATE('15/09/2018','%d/%m/%Y'),31287),('CXZVFER15051363898',STR_TO_DATE('15/10/2018','%d/%m/%Y'),32790),('CXZVFER15051363898',STR_TO_DATE('15/11/2018','%d/%m/%Y'),34158),('CXZVFER15051363898',STR_TO_DATE('15/12/2018','%d/%m/%Y'),35558);</v>
      </c>
    </row>
    <row r="282" spans="1:68" ht="18" customHeight="1" x14ac:dyDescent="0.25">
      <c r="A282" s="241" t="s">
        <v>19</v>
      </c>
      <c r="B282" s="60"/>
      <c r="C282" s="342" t="s">
        <v>1225</v>
      </c>
      <c r="D282" s="258" t="s">
        <v>90</v>
      </c>
      <c r="E282" s="258">
        <v>39338</v>
      </c>
      <c r="F282" s="274" t="s">
        <v>103</v>
      </c>
      <c r="G282" s="274" t="s">
        <v>1014</v>
      </c>
      <c r="H282" s="2" t="s">
        <v>65</v>
      </c>
      <c r="I282" s="2"/>
      <c r="J282" s="311">
        <v>7223</v>
      </c>
      <c r="K282" s="311">
        <v>7223</v>
      </c>
      <c r="L282" s="311">
        <v>7223</v>
      </c>
      <c r="M282" s="311">
        <v>7223</v>
      </c>
      <c r="N282" s="311">
        <v>7223</v>
      </c>
      <c r="O282" s="311">
        <v>7223</v>
      </c>
      <c r="P282" s="311">
        <v>7223</v>
      </c>
      <c r="Q282" s="2">
        <v>7223</v>
      </c>
      <c r="R282" s="311">
        <v>7223</v>
      </c>
      <c r="S282" s="311">
        <v>7223</v>
      </c>
      <c r="T282" s="311">
        <v>7223</v>
      </c>
      <c r="U282" s="492">
        <v>7223</v>
      </c>
      <c r="V282" s="492">
        <v>7223</v>
      </c>
      <c r="W282" s="274"/>
      <c r="X282" s="2"/>
      <c r="Y282" s="2">
        <f t="shared" si="86"/>
        <v>0</v>
      </c>
      <c r="Z282" s="2">
        <f t="shared" si="84"/>
        <v>0</v>
      </c>
      <c r="AA282" s="2">
        <f t="shared" ref="AA282:AA299" si="101">IF(OR(ISBLANK(M282),ISBLANK(L282)),"",IF(AND(M282&gt;=L282,M282-L282&lt;=M282),(M282-L282)*$AK282,"!!!!"))</f>
        <v>0</v>
      </c>
      <c r="AB282" s="2">
        <f t="shared" si="100"/>
        <v>0</v>
      </c>
      <c r="AC282" s="2">
        <f t="shared" si="92"/>
        <v>0</v>
      </c>
      <c r="AD282" s="2">
        <f t="shared" si="93"/>
        <v>0</v>
      </c>
      <c r="AE282" s="2">
        <f t="shared" si="94"/>
        <v>0</v>
      </c>
      <c r="AF282" s="2">
        <f t="shared" si="95"/>
        <v>0</v>
      </c>
      <c r="AG282" s="2">
        <f t="shared" si="96"/>
        <v>0</v>
      </c>
      <c r="AH282" s="2">
        <f t="shared" si="99"/>
        <v>0</v>
      </c>
      <c r="AI282" s="2">
        <f t="shared" si="97"/>
        <v>0</v>
      </c>
      <c r="AJ282" s="2">
        <f t="shared" si="98"/>
        <v>0</v>
      </c>
      <c r="AK282" s="406">
        <v>1</v>
      </c>
      <c r="AL282" s="274">
        <f t="shared" ca="1" si="88"/>
        <v>7223</v>
      </c>
      <c r="AM282" s="311">
        <f t="shared" ca="1" si="89"/>
        <v>7223</v>
      </c>
      <c r="AN282" s="274">
        <f ca="1">IF(AND(Tabla7[[#This Row],[UltLec]]&lt;&gt;0,Tabla7[[#This Row],[PenLect]]&lt;&gt;0),(AM282-AL282)*Tabla7[[#This Row],[RT]],"N/A")</f>
        <v>0</v>
      </c>
      <c r="AO282" s="273" t="s">
        <v>862</v>
      </c>
      <c r="AP282" s="392" t="s">
        <v>1191</v>
      </c>
      <c r="AQ282" s="392" t="s">
        <v>1189</v>
      </c>
      <c r="AR282" s="407">
        <f t="shared" si="90"/>
        <v>0</v>
      </c>
      <c r="AT282" s="2" t="str">
        <f t="shared" ca="1" si="91"/>
        <v>0</v>
      </c>
      <c r="AV282">
        <f>IF(ISBLANK(Tabla7[[#This Row],[31/12/2017]]),0,Tabla7[[#This Row],[31/12/2017]])</f>
        <v>7223</v>
      </c>
      <c r="AW282">
        <f>IF(ISBLANK(Tabla7[[#This Row],[15/01/2018]]),0,Tabla7[[#This Row],[15/01/2018]])</f>
        <v>7223</v>
      </c>
      <c r="AX282">
        <f>IF(ISBLANK(Tabla7[[#This Row],[15/02/2018]]),0,Tabla7[[#This Row],[15/02/2018]])</f>
        <v>7223</v>
      </c>
      <c r="AY282">
        <f>IF(ISBLANK(Tabla7[[#This Row],[15/03/2018]]),0,Tabla7[[#This Row],[15/03/2018]])</f>
        <v>7223</v>
      </c>
      <c r="AZ282">
        <f>IF(ISBLANK(Tabla7[[#This Row],[15/04/2018]]),0,Tabla7[[#This Row],[15/04/2018]])</f>
        <v>7223</v>
      </c>
      <c r="BA282">
        <f>IF(ISBLANK(Tabla7[[#This Row],[15/05/2018]]),0,Tabla7[[#This Row],[15/05/2018]])</f>
        <v>7223</v>
      </c>
      <c r="BB282">
        <f>IF(ISBLANK(Tabla7[[#This Row],[15/06/2018]]),0,Tabla7[[#This Row],[15/06/2018]])</f>
        <v>7223</v>
      </c>
      <c r="BC282">
        <f>IF(ISBLANK(Tabla7[[#This Row],[15/07/2018]]),0,Tabla7[[#This Row],[15/07/2018]])</f>
        <v>7223</v>
      </c>
      <c r="BD282">
        <f>IF(ISBLANK(Tabla7[[#This Row],[15/08/2018]]),0,Tabla7[[#This Row],[15/08/2018]])</f>
        <v>7223</v>
      </c>
      <c r="BE282">
        <f>IF(ISBLANK(Tabla7[[#This Row],[15/09/2018]]),0,Tabla7[[#This Row],[15/09/2018]])</f>
        <v>7223</v>
      </c>
      <c r="BF282">
        <f>IF(ISBLANK(Tabla7[[#This Row],[15/10/2018]]),0,Tabla7[[#This Row],[15/10/2018]])</f>
        <v>7223</v>
      </c>
      <c r="BG282">
        <f>IF(ISBLANK(Tabla7[[#This Row],[15/11/2018]]),0,Tabla7[[#This Row],[15/11/2018]])</f>
        <v>7223</v>
      </c>
      <c r="BH282">
        <f>IF(ISBLANK(Tabla7[[#This Row],[15/12/2018]]),0,Tabla7[[#This Row],[15/12/2018]])</f>
        <v>7223</v>
      </c>
      <c r="BI282">
        <f>IF(ISBLANK(Tabla7[[#This Row],[28/12/2018]]),0,Tabla7[[#This Row],[28/12/2018]])</f>
        <v>0</v>
      </c>
      <c r="BN28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('CXZVFER16032811062','V','VCT09','39338','VICENTE MONSORIU LINARES','EN CENTRALIZACION (03)','Ha dado la vuelta','');</v>
      </c>
      <c r="BO282" t="s">
        <v>243</v>
      </c>
      <c r="BP282" s="632" t="str">
        <f>CONCATENATE("insert into lecturas values ","('",Tabla7[[#This Row],[CONTADOR]],"',STR_TO_DATE('",Tabla7[[#Headers],[31/12/2017]],"','%d/%m/%Y'),",AV282,"),","('",Tabla7[[#This Row],[CONTADOR]],"',STR_TO_DATE('",Tabla7[[#Headers],[15/01/2018]],"','%d/%m/%Y'),",AW282,"),","('",Tabla7[[#This Row],[CONTADOR]],"',STR_TO_DATE('",Tabla7[[#Headers],[15/02/2018]],"','%d/%m/%Y'),",AX282,"),","('",Tabla7[[#This Row],[CONTADOR]],"',STR_TO_DATE('",Tabla7[[#Headers],[15/03/2018]],"','%d/%m/%Y'),",AY282,"),","('",Tabla7[[#This Row],[CONTADOR]],"',STR_TO_DATE('",Tabla7[[#Headers],[15/04/2018]],"','%d/%m/%Y'),",AZ282,"),","('",Tabla7[[#This Row],[CONTADOR]],"',STR_TO_DATE('",Tabla7[[#Headers],[15/05/2018]],"','%d/%m/%Y'),",BA282,"),","('",Tabla7[[#This Row],[CONTADOR]],"',STR_TO_DATE('",Tabla7[[#Headers],[15/06/2018]],"','%d/%m/%Y'),",BB282,"),","('",Tabla7[[#This Row],[CONTADOR]],"',STR_TO_DATE('",Tabla7[[#Headers],[15/07/2018]],"','%d/%m/%Y'),",BC282,"),","('",Tabla7[[#This Row],[CONTADOR]],"',STR_TO_DATE('",Tabla7[[#Headers],[15/08/2018]],"','%d/%m/%Y'),",BD282,"),","('",Tabla7[[#This Row],[CONTADOR]],"',STR_TO_DATE('",Tabla7[[#Headers],[15/09/2018]],"','%d/%m/%Y'),",BE282,"),","('",Tabla7[[#This Row],[CONTADOR]],"',STR_TO_DATE('",Tabla7[[#Headers],[15/10/2018]],"','%d/%m/%Y'),",BF282,"),","('",Tabla7[[#This Row],[CONTADOR]],"',STR_TO_DATE('",Tabla7[[#Headers],[15/11/2018]],"','%d/%m/%Y'),",BG282,"),","('",Tabla7[[#This Row],[CONTADOR]],"',STR_TO_DATE('",Tabla7[[#Headers],[15/12/2018]],"','%d/%m/%Y'),",BH282,");")</f>
        <v>insert into lecturas values ('CXZVFER16032811062',STR_TO_DATE('31/12/2017','%d/%m/%Y'),7223),('CXZVFER16032811062',STR_TO_DATE('15/01/2018','%d/%m/%Y'),7223),('CXZVFER16032811062',STR_TO_DATE('15/02/2018','%d/%m/%Y'),7223),('CXZVFER16032811062',STR_TO_DATE('15/03/2018','%d/%m/%Y'),7223),('CXZVFER16032811062',STR_TO_DATE('15/04/2018','%d/%m/%Y'),7223),('CXZVFER16032811062',STR_TO_DATE('15/05/2018','%d/%m/%Y'),7223),('CXZVFER16032811062',STR_TO_DATE('15/06/2018','%d/%m/%Y'),7223),('CXZVFER16032811062',STR_TO_DATE('15/07/2018','%d/%m/%Y'),7223),('CXZVFER16032811062',STR_TO_DATE('15/08/2018','%d/%m/%Y'),7223),('CXZVFER16032811062',STR_TO_DATE('15/09/2018','%d/%m/%Y'),7223),('CXZVFER16032811062',STR_TO_DATE('15/10/2018','%d/%m/%Y'),7223),('CXZVFER16032811062',STR_TO_DATE('15/11/2018','%d/%m/%Y'),7223),('CXZVFER16032811062',STR_TO_DATE('15/12/2018','%d/%m/%Y'),7223);</v>
      </c>
    </row>
    <row r="283" spans="1:68" ht="18" customHeight="1" x14ac:dyDescent="0.25">
      <c r="A283" s="372" t="s">
        <v>1196</v>
      </c>
      <c r="B283" s="60">
        <v>1088</v>
      </c>
      <c r="C283" s="447" t="s">
        <v>1283</v>
      </c>
      <c r="D283" s="374" t="s">
        <v>90</v>
      </c>
      <c r="E283" s="375">
        <v>39154</v>
      </c>
      <c r="F283" s="376" t="s">
        <v>1054</v>
      </c>
      <c r="G283" s="376" t="s">
        <v>101</v>
      </c>
      <c r="H283" s="376" t="s">
        <v>690</v>
      </c>
      <c r="I283" s="376" t="s">
        <v>104</v>
      </c>
      <c r="J283" s="383"/>
      <c r="K283" s="383"/>
      <c r="L283" s="376"/>
      <c r="M283" s="376"/>
      <c r="N283" s="376"/>
      <c r="O283" s="383"/>
      <c r="P283" s="383"/>
      <c r="Q283" s="376"/>
      <c r="R283" s="376"/>
      <c r="S283" s="376"/>
      <c r="T283" s="376"/>
      <c r="U283" s="519"/>
      <c r="V283" s="377"/>
      <c r="W283" s="377"/>
      <c r="X283" s="376"/>
      <c r="Y283" s="376" t="str">
        <f t="shared" si="86"/>
        <v/>
      </c>
      <c r="Z283" s="376" t="str">
        <f t="shared" si="84"/>
        <v/>
      </c>
      <c r="AA283" s="376" t="str">
        <f t="shared" si="101"/>
        <v/>
      </c>
      <c r="AB283" s="376" t="str">
        <f t="shared" si="100"/>
        <v/>
      </c>
      <c r="AC283" s="376" t="str">
        <f t="shared" si="92"/>
        <v/>
      </c>
      <c r="AD283" s="376" t="str">
        <f t="shared" si="93"/>
        <v/>
      </c>
      <c r="AE283" s="376" t="str">
        <f t="shared" si="94"/>
        <v/>
      </c>
      <c r="AF283" s="376" t="str">
        <f t="shared" si="95"/>
        <v/>
      </c>
      <c r="AG283" s="376" t="str">
        <f t="shared" si="96"/>
        <v/>
      </c>
      <c r="AH283" s="376" t="str">
        <f t="shared" si="99"/>
        <v/>
      </c>
      <c r="AI283" s="376" t="str">
        <f t="shared" si="97"/>
        <v/>
      </c>
      <c r="AJ283" s="376" t="str">
        <f t="shared" si="98"/>
        <v/>
      </c>
      <c r="AK283" s="408">
        <v>1</v>
      </c>
      <c r="AL283" s="377">
        <f t="shared" ca="1" si="88"/>
        <v>0</v>
      </c>
      <c r="AM283" s="383">
        <f t="shared" ca="1" si="89"/>
        <v>0</v>
      </c>
      <c r="AN283" s="377">
        <v>0</v>
      </c>
      <c r="AO283" s="380" t="s">
        <v>1281</v>
      </c>
      <c r="AP283" s="433" t="s">
        <v>1191</v>
      </c>
      <c r="AQ283" s="433" t="s">
        <v>1189</v>
      </c>
      <c r="AR283" s="409">
        <f t="shared" si="90"/>
        <v>0</v>
      </c>
      <c r="AT283" s="2" t="e">
        <f t="shared" ca="1" si="91"/>
        <v>#VALUE!</v>
      </c>
      <c r="AV283">
        <f>IF(ISBLANK(Tabla7[[#This Row],[31/12/2017]]),0,Tabla7[[#This Row],[31/12/2017]])</f>
        <v>0</v>
      </c>
      <c r="AW283">
        <f>IF(ISBLANK(Tabla7[[#This Row],[15/01/2018]]),0,Tabla7[[#This Row],[15/01/2018]])</f>
        <v>0</v>
      </c>
      <c r="AX283">
        <f>IF(ISBLANK(Tabla7[[#This Row],[15/02/2018]]),0,Tabla7[[#This Row],[15/02/2018]])</f>
        <v>0</v>
      </c>
      <c r="AY283">
        <f>IF(ISBLANK(Tabla7[[#This Row],[15/03/2018]]),0,Tabla7[[#This Row],[15/03/2018]])</f>
        <v>0</v>
      </c>
      <c r="AZ283">
        <f>IF(ISBLANK(Tabla7[[#This Row],[15/04/2018]]),0,Tabla7[[#This Row],[15/04/2018]])</f>
        <v>0</v>
      </c>
      <c r="BA283">
        <f>IF(ISBLANK(Tabla7[[#This Row],[15/05/2018]]),0,Tabla7[[#This Row],[15/05/2018]])</f>
        <v>0</v>
      </c>
      <c r="BB283">
        <f>IF(ISBLANK(Tabla7[[#This Row],[15/06/2018]]),0,Tabla7[[#This Row],[15/06/2018]])</f>
        <v>0</v>
      </c>
      <c r="BC283">
        <f>IF(ISBLANK(Tabla7[[#This Row],[15/07/2018]]),0,Tabla7[[#This Row],[15/07/2018]])</f>
        <v>0</v>
      </c>
      <c r="BD283">
        <f>IF(ISBLANK(Tabla7[[#This Row],[15/08/2018]]),0,Tabla7[[#This Row],[15/08/2018]])</f>
        <v>0</v>
      </c>
      <c r="BE283">
        <f>IF(ISBLANK(Tabla7[[#This Row],[15/09/2018]]),0,Tabla7[[#This Row],[15/09/2018]])</f>
        <v>0</v>
      </c>
      <c r="BF283">
        <f>IF(ISBLANK(Tabla7[[#This Row],[15/10/2018]]),0,Tabla7[[#This Row],[15/10/2018]])</f>
        <v>0</v>
      </c>
      <c r="BG283">
        <f>IF(ISBLANK(Tabla7[[#This Row],[15/11/2018]]),0,Tabla7[[#This Row],[15/11/2018]])</f>
        <v>0</v>
      </c>
      <c r="BH283">
        <f>IF(ISBLANK(Tabla7[[#This Row],[15/12/2018]]),0,Tabla7[[#This Row],[15/12/2018]])</f>
        <v>0</v>
      </c>
      <c r="BI283">
        <f>IF(ISBLANK(Tabla7[[#This Row],[28/12/2018]]),0,Tabla7[[#This Row],[28/12/2018]])</f>
        <v>0</v>
      </c>
      <c r="BN28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('CXZVFER16051363898','VBAJA','VCT09','39154','BOMBEROS NO SE FACTURA','EN CENTRALIZACION','RESERVA','BOMBEROS (NO SE FACTURA)');</v>
      </c>
      <c r="BO283" t="s">
        <v>243</v>
      </c>
      <c r="BP283" s="632" t="str">
        <f>CONCATENATE("insert into lecturas values ","('",Tabla7[[#This Row],[CONTADOR]],"',STR_TO_DATE('",Tabla7[[#Headers],[31/12/2017]],"','%d/%m/%Y'),",AV283,"),","('",Tabla7[[#This Row],[CONTADOR]],"',STR_TO_DATE('",Tabla7[[#Headers],[15/01/2018]],"','%d/%m/%Y'),",AW283,"),","('",Tabla7[[#This Row],[CONTADOR]],"',STR_TO_DATE('",Tabla7[[#Headers],[15/02/2018]],"','%d/%m/%Y'),",AX283,"),","('",Tabla7[[#This Row],[CONTADOR]],"',STR_TO_DATE('",Tabla7[[#Headers],[15/03/2018]],"','%d/%m/%Y'),",AY283,"),","('",Tabla7[[#This Row],[CONTADOR]],"',STR_TO_DATE('",Tabla7[[#Headers],[15/04/2018]],"','%d/%m/%Y'),",AZ283,"),","('",Tabla7[[#This Row],[CONTADOR]],"',STR_TO_DATE('",Tabla7[[#Headers],[15/05/2018]],"','%d/%m/%Y'),",BA283,"),","('",Tabla7[[#This Row],[CONTADOR]],"',STR_TO_DATE('",Tabla7[[#Headers],[15/06/2018]],"','%d/%m/%Y'),",BB283,"),","('",Tabla7[[#This Row],[CONTADOR]],"',STR_TO_DATE('",Tabla7[[#Headers],[15/07/2018]],"','%d/%m/%Y'),",BC283,"),","('",Tabla7[[#This Row],[CONTADOR]],"',STR_TO_DATE('",Tabla7[[#Headers],[15/08/2018]],"','%d/%m/%Y'),",BD283,"),","('",Tabla7[[#This Row],[CONTADOR]],"',STR_TO_DATE('",Tabla7[[#Headers],[15/09/2018]],"','%d/%m/%Y'),",BE283,"),","('",Tabla7[[#This Row],[CONTADOR]],"',STR_TO_DATE('",Tabla7[[#Headers],[15/10/2018]],"','%d/%m/%Y'),",BF283,"),","('",Tabla7[[#This Row],[CONTADOR]],"',STR_TO_DATE('",Tabla7[[#Headers],[15/11/2018]],"','%d/%m/%Y'),",BG283,"),","('",Tabla7[[#This Row],[CONTADOR]],"',STR_TO_DATE('",Tabla7[[#Headers],[15/12/2018]],"','%d/%m/%Y'),",BH283,");")</f>
        <v>insert into lecturas values ('CXZVFER16051363898',STR_TO_DATE('31/12/2017','%d/%m/%Y'),0),('CXZVFER16051363898',STR_TO_DATE('15/01/2018','%d/%m/%Y'),0),('CXZVFER16051363898',STR_TO_DATE('15/02/2018','%d/%m/%Y'),0),('CXZVFER16051363898',STR_TO_DATE('15/03/2018','%d/%m/%Y'),0),('CXZVFER16051363898',STR_TO_DATE('15/04/2018','%d/%m/%Y'),0),('CXZVFER16051363898',STR_TO_DATE('15/05/2018','%d/%m/%Y'),0),('CXZVFER16051363898',STR_TO_DATE('15/06/2018','%d/%m/%Y'),0),('CXZVFER16051363898',STR_TO_DATE('15/07/2018','%d/%m/%Y'),0),('CXZVFER16051363898',STR_TO_DATE('15/08/2018','%d/%m/%Y'),0),('CXZVFER16051363898',STR_TO_DATE('15/09/2018','%d/%m/%Y'),0),('CXZVFER16051363898',STR_TO_DATE('15/10/2018','%d/%m/%Y'),0),('CXZVFER16051363898',STR_TO_DATE('15/11/2018','%d/%m/%Y'),0),('CXZVFER16051363898',STR_TO_DATE('15/12/2018','%d/%m/%Y'),0);</v>
      </c>
    </row>
    <row r="284" spans="1:68" ht="18" customHeight="1" x14ac:dyDescent="0.25">
      <c r="A284" s="372" t="s">
        <v>1196</v>
      </c>
      <c r="B284" s="432">
        <v>712</v>
      </c>
      <c r="C284" s="342" t="s">
        <v>109</v>
      </c>
      <c r="D284" s="374" t="s">
        <v>106</v>
      </c>
      <c r="E284" s="375">
        <v>39655</v>
      </c>
      <c r="F284" s="376" t="s">
        <v>110</v>
      </c>
      <c r="G284" s="376" t="s">
        <v>983</v>
      </c>
      <c r="H284" s="376" t="s">
        <v>735</v>
      </c>
      <c r="I284" s="376" t="s">
        <v>1265</v>
      </c>
      <c r="J284" s="383">
        <v>144299</v>
      </c>
      <c r="K284" s="383">
        <v>144301</v>
      </c>
      <c r="L284" s="376">
        <v>144301</v>
      </c>
      <c r="M284" s="376"/>
      <c r="N284" s="376"/>
      <c r="O284" s="383"/>
      <c r="P284" s="383"/>
      <c r="Q284" s="376"/>
      <c r="R284" s="376"/>
      <c r="S284" s="376"/>
      <c r="T284" s="376"/>
      <c r="U284" s="519"/>
      <c r="V284" s="376"/>
      <c r="W284" s="376"/>
      <c r="X284" s="376"/>
      <c r="Y284" s="376">
        <f t="shared" si="86"/>
        <v>2</v>
      </c>
      <c r="Z284" s="376">
        <f t="shared" si="84"/>
        <v>0</v>
      </c>
      <c r="AA284" s="376" t="str">
        <f t="shared" si="101"/>
        <v/>
      </c>
      <c r="AB284" s="376" t="str">
        <f t="shared" si="100"/>
        <v/>
      </c>
      <c r="AC284" s="376" t="str">
        <f t="shared" si="92"/>
        <v/>
      </c>
      <c r="AD284" s="376" t="str">
        <f t="shared" si="93"/>
        <v/>
      </c>
      <c r="AE284" s="376" t="str">
        <f t="shared" si="94"/>
        <v/>
      </c>
      <c r="AF284" s="376" t="str">
        <f t="shared" si="95"/>
        <v/>
      </c>
      <c r="AG284" s="376" t="str">
        <f t="shared" si="96"/>
        <v/>
      </c>
      <c r="AH284" s="376" t="str">
        <f t="shared" si="99"/>
        <v/>
      </c>
      <c r="AI284" s="376" t="str">
        <f t="shared" si="97"/>
        <v/>
      </c>
      <c r="AJ284" s="376" t="str">
        <f t="shared" si="98"/>
        <v/>
      </c>
      <c r="AK284" s="408">
        <v>1</v>
      </c>
      <c r="AL284" s="377">
        <f t="shared" ca="1" si="88"/>
        <v>0</v>
      </c>
      <c r="AM284" s="383">
        <f t="shared" ca="1" si="89"/>
        <v>0</v>
      </c>
      <c r="AN284" s="377" t="str">
        <f ca="1">IF(AND(Tabla7[[#This Row],[UltLec]]&lt;&gt;0,Tabla7[[#This Row],[PenLect]]&lt;&gt;0),(AM284-AL284)*Tabla7[[#This Row],[RT]],"N/A")</f>
        <v>N/A</v>
      </c>
      <c r="AO284" s="380" t="s">
        <v>1281</v>
      </c>
      <c r="AP284" s="433" t="s">
        <v>1190</v>
      </c>
      <c r="AQ284" s="433" t="s">
        <v>1189</v>
      </c>
      <c r="AR284" s="409">
        <f t="shared" si="90"/>
        <v>0</v>
      </c>
      <c r="AT284" s="2" t="e">
        <f t="shared" ca="1" si="91"/>
        <v>#VALUE!</v>
      </c>
      <c r="AV284">
        <f>IF(ISBLANK(Tabla7[[#This Row],[31/12/2017]]),0,Tabla7[[#This Row],[31/12/2017]])</f>
        <v>144299</v>
      </c>
      <c r="AW284">
        <f>IF(ISBLANK(Tabla7[[#This Row],[15/01/2018]]),0,Tabla7[[#This Row],[15/01/2018]])</f>
        <v>144301</v>
      </c>
      <c r="AX284">
        <f>IF(ISBLANK(Tabla7[[#This Row],[15/02/2018]]),0,Tabla7[[#This Row],[15/02/2018]])</f>
        <v>144301</v>
      </c>
      <c r="AY284">
        <f>IF(ISBLANK(Tabla7[[#This Row],[15/03/2018]]),0,Tabla7[[#This Row],[15/03/2018]])</f>
        <v>0</v>
      </c>
      <c r="AZ284">
        <f>IF(ISBLANK(Tabla7[[#This Row],[15/04/2018]]),0,Tabla7[[#This Row],[15/04/2018]])</f>
        <v>0</v>
      </c>
      <c r="BA284">
        <f>IF(ISBLANK(Tabla7[[#This Row],[15/05/2018]]),0,Tabla7[[#This Row],[15/05/2018]])</f>
        <v>0</v>
      </c>
      <c r="BB284">
        <f>IF(ISBLANK(Tabla7[[#This Row],[15/06/2018]]),0,Tabla7[[#This Row],[15/06/2018]])</f>
        <v>0</v>
      </c>
      <c r="BC284">
        <f>IF(ISBLANK(Tabla7[[#This Row],[15/07/2018]]),0,Tabla7[[#This Row],[15/07/2018]])</f>
        <v>0</v>
      </c>
      <c r="BD284">
        <f>IF(ISBLANK(Tabla7[[#This Row],[15/08/2018]]),0,Tabla7[[#This Row],[15/08/2018]])</f>
        <v>0</v>
      </c>
      <c r="BE284">
        <f>IF(ISBLANK(Tabla7[[#This Row],[15/09/2018]]),0,Tabla7[[#This Row],[15/09/2018]])</f>
        <v>0</v>
      </c>
      <c r="BF284">
        <f>IF(ISBLANK(Tabla7[[#This Row],[15/10/2018]]),0,Tabla7[[#This Row],[15/10/2018]])</f>
        <v>0</v>
      </c>
      <c r="BG284">
        <f>IF(ISBLANK(Tabla7[[#This Row],[15/11/2018]]),0,Tabla7[[#This Row],[15/11/2018]])</f>
        <v>0</v>
      </c>
      <c r="BH284">
        <f>IF(ISBLANK(Tabla7[[#This Row],[15/12/2018]]),0,Tabla7[[#This Row],[15/12/2018]])</f>
        <v>0</v>
      </c>
      <c r="BI284">
        <f>IF(ISBLANK(Tabla7[[#This Row],[28/12/2018]]),0,Tabla7[[#This Row],[28/12/2018]])</f>
        <v>0</v>
      </c>
      <c r="BN28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('LW00012554','VBAJA','VCT10','39655','TRANSPORTES REMEDIOS TORRES','EN CENTRALIZACION (2)','Primer digito indica nº vuelta y se añade manualmente.','Retirado del CT10');</v>
      </c>
      <c r="BO284" t="s">
        <v>243</v>
      </c>
      <c r="BP284" s="632" t="str">
        <f>CONCATENATE("insert into lecturas values ","('",Tabla7[[#This Row],[CONTADOR]],"',STR_TO_DATE('",Tabla7[[#Headers],[31/12/2017]],"','%d/%m/%Y'),",AV284,"),","('",Tabla7[[#This Row],[CONTADOR]],"',STR_TO_DATE('",Tabla7[[#Headers],[15/01/2018]],"','%d/%m/%Y'),",AW284,"),","('",Tabla7[[#This Row],[CONTADOR]],"',STR_TO_DATE('",Tabla7[[#Headers],[15/02/2018]],"','%d/%m/%Y'),",AX284,"),","('",Tabla7[[#This Row],[CONTADOR]],"',STR_TO_DATE('",Tabla7[[#Headers],[15/03/2018]],"','%d/%m/%Y'),",AY284,"),","('",Tabla7[[#This Row],[CONTADOR]],"',STR_TO_DATE('",Tabla7[[#Headers],[15/04/2018]],"','%d/%m/%Y'),",AZ284,"),","('",Tabla7[[#This Row],[CONTADOR]],"',STR_TO_DATE('",Tabla7[[#Headers],[15/05/2018]],"','%d/%m/%Y'),",BA284,"),","('",Tabla7[[#This Row],[CONTADOR]],"',STR_TO_DATE('",Tabla7[[#Headers],[15/06/2018]],"','%d/%m/%Y'),",BB284,"),","('",Tabla7[[#This Row],[CONTADOR]],"',STR_TO_DATE('",Tabla7[[#Headers],[15/07/2018]],"','%d/%m/%Y'),",BC284,"),","('",Tabla7[[#This Row],[CONTADOR]],"',STR_TO_DATE('",Tabla7[[#Headers],[15/08/2018]],"','%d/%m/%Y'),",BD284,"),","('",Tabla7[[#This Row],[CONTADOR]],"',STR_TO_DATE('",Tabla7[[#Headers],[15/09/2018]],"','%d/%m/%Y'),",BE284,"),","('",Tabla7[[#This Row],[CONTADOR]],"',STR_TO_DATE('",Tabla7[[#Headers],[15/10/2018]],"','%d/%m/%Y'),",BF284,"),","('",Tabla7[[#This Row],[CONTADOR]],"',STR_TO_DATE('",Tabla7[[#Headers],[15/11/2018]],"','%d/%m/%Y'),",BG284,"),","('",Tabla7[[#This Row],[CONTADOR]],"',STR_TO_DATE('",Tabla7[[#Headers],[15/12/2018]],"','%d/%m/%Y'),",BH284,");")</f>
        <v>insert into lecturas values ('LW00012554',STR_TO_DATE('31/12/2017','%d/%m/%Y'),144299),('LW00012554',STR_TO_DATE('15/01/2018','%d/%m/%Y'),144301),('LW00012554',STR_TO_DATE('15/02/2018','%d/%m/%Y'),144301),('LW00012554',STR_TO_DATE('15/03/2018','%d/%m/%Y'),0),('LW00012554',STR_TO_DATE('15/04/2018','%d/%m/%Y'),0),('LW00012554',STR_TO_DATE('15/05/2018','%d/%m/%Y'),0),('LW00012554',STR_TO_DATE('15/06/2018','%d/%m/%Y'),0),('LW00012554',STR_TO_DATE('15/07/2018','%d/%m/%Y'),0),('LW00012554',STR_TO_DATE('15/08/2018','%d/%m/%Y'),0),('LW00012554',STR_TO_DATE('15/09/2018','%d/%m/%Y'),0),('LW00012554',STR_TO_DATE('15/10/2018','%d/%m/%Y'),0),('LW00012554',STR_TO_DATE('15/11/2018','%d/%m/%Y'),0),('LW00012554',STR_TO_DATE('15/12/2018','%d/%m/%Y'),0);</v>
      </c>
    </row>
    <row r="285" spans="1:68" ht="18" customHeight="1" x14ac:dyDescent="0.25">
      <c r="A285" s="241" t="s">
        <v>19</v>
      </c>
      <c r="B285" s="60">
        <v>5100</v>
      </c>
      <c r="C285" s="342" t="s">
        <v>107</v>
      </c>
      <c r="D285" s="60" t="s">
        <v>106</v>
      </c>
      <c r="E285" s="258">
        <v>39754</v>
      </c>
      <c r="F285" s="2" t="s">
        <v>108</v>
      </c>
      <c r="G285" s="2" t="s">
        <v>990</v>
      </c>
      <c r="H285" s="274"/>
      <c r="I285" s="2"/>
      <c r="J285" s="311">
        <v>78519</v>
      </c>
      <c r="K285" s="311">
        <v>78519</v>
      </c>
      <c r="L285" s="2">
        <v>78519</v>
      </c>
      <c r="M285" s="311">
        <v>78519</v>
      </c>
      <c r="N285" s="311">
        <v>78519</v>
      </c>
      <c r="O285" s="311">
        <v>78519</v>
      </c>
      <c r="P285" s="311">
        <v>78519</v>
      </c>
      <c r="Q285" s="2">
        <v>78519</v>
      </c>
      <c r="R285" s="311">
        <v>78519</v>
      </c>
      <c r="S285" s="311">
        <v>78519</v>
      </c>
      <c r="T285" s="311">
        <v>78519</v>
      </c>
      <c r="U285" s="492">
        <v>78519</v>
      </c>
      <c r="V285" s="492">
        <v>78519</v>
      </c>
      <c r="W285" s="2"/>
      <c r="X285" s="2"/>
      <c r="Y285" s="2">
        <f t="shared" si="86"/>
        <v>0</v>
      </c>
      <c r="Z285" s="2">
        <f t="shared" si="84"/>
        <v>0</v>
      </c>
      <c r="AA285" s="2">
        <f t="shared" si="101"/>
        <v>0</v>
      </c>
      <c r="AB285" s="2">
        <f t="shared" si="100"/>
        <v>0</v>
      </c>
      <c r="AC285" s="2">
        <f t="shared" si="92"/>
        <v>0</v>
      </c>
      <c r="AD285" s="2">
        <f t="shared" si="93"/>
        <v>0</v>
      </c>
      <c r="AE285" s="2">
        <f t="shared" si="94"/>
        <v>0</v>
      </c>
      <c r="AF285" s="2">
        <f t="shared" si="95"/>
        <v>0</v>
      </c>
      <c r="AG285" s="2">
        <f t="shared" si="96"/>
        <v>0</v>
      </c>
      <c r="AH285" s="2">
        <f t="shared" si="99"/>
        <v>0</v>
      </c>
      <c r="AI285" s="2">
        <f t="shared" si="97"/>
        <v>0</v>
      </c>
      <c r="AJ285" s="2">
        <f t="shared" si="98"/>
        <v>0</v>
      </c>
      <c r="AK285" s="406">
        <v>1</v>
      </c>
      <c r="AL285" s="274">
        <f t="shared" ca="1" si="88"/>
        <v>78519</v>
      </c>
      <c r="AM285" s="311">
        <f t="shared" ca="1" si="89"/>
        <v>78519</v>
      </c>
      <c r="AN285" s="274">
        <f ca="1">IF(AND(Tabla7[[#This Row],[UltLec]]&lt;&gt;0,Tabla7[[#This Row],[PenLect]]&lt;&gt;0),(AM285-AL285)*Tabla7[[#This Row],[RT]],"N/A")</f>
        <v>0</v>
      </c>
      <c r="AO285" s="273" t="s">
        <v>862</v>
      </c>
      <c r="AP285" s="392" t="s">
        <v>1190</v>
      </c>
      <c r="AQ285" s="392" t="s">
        <v>1189</v>
      </c>
      <c r="AR285" s="407">
        <f t="shared" si="90"/>
        <v>0</v>
      </c>
      <c r="AT285" s="2" t="str">
        <f t="shared" ca="1" si="91"/>
        <v>0</v>
      </c>
      <c r="AV285">
        <f>IF(ISBLANK(Tabla7[[#This Row],[31/12/2017]]),0,Tabla7[[#This Row],[31/12/2017]])</f>
        <v>78519</v>
      </c>
      <c r="AW285">
        <f>IF(ISBLANK(Tabla7[[#This Row],[15/01/2018]]),0,Tabla7[[#This Row],[15/01/2018]])</f>
        <v>78519</v>
      </c>
      <c r="AX285">
        <f>IF(ISBLANK(Tabla7[[#This Row],[15/02/2018]]),0,Tabla7[[#This Row],[15/02/2018]])</f>
        <v>78519</v>
      </c>
      <c r="AY285">
        <f>IF(ISBLANK(Tabla7[[#This Row],[15/03/2018]]),0,Tabla7[[#This Row],[15/03/2018]])</f>
        <v>78519</v>
      </c>
      <c r="AZ285">
        <f>IF(ISBLANK(Tabla7[[#This Row],[15/04/2018]]),0,Tabla7[[#This Row],[15/04/2018]])</f>
        <v>78519</v>
      </c>
      <c r="BA285">
        <f>IF(ISBLANK(Tabla7[[#This Row],[15/05/2018]]),0,Tabla7[[#This Row],[15/05/2018]])</f>
        <v>78519</v>
      </c>
      <c r="BB285">
        <f>IF(ISBLANK(Tabla7[[#This Row],[15/06/2018]]),0,Tabla7[[#This Row],[15/06/2018]])</f>
        <v>78519</v>
      </c>
      <c r="BC285">
        <f>IF(ISBLANK(Tabla7[[#This Row],[15/07/2018]]),0,Tabla7[[#This Row],[15/07/2018]])</f>
        <v>78519</v>
      </c>
      <c r="BD285">
        <f>IF(ISBLANK(Tabla7[[#This Row],[15/08/2018]]),0,Tabla7[[#This Row],[15/08/2018]])</f>
        <v>78519</v>
      </c>
      <c r="BE285">
        <f>IF(ISBLANK(Tabla7[[#This Row],[15/09/2018]]),0,Tabla7[[#This Row],[15/09/2018]])</f>
        <v>78519</v>
      </c>
      <c r="BF285">
        <f>IF(ISBLANK(Tabla7[[#This Row],[15/10/2018]]),0,Tabla7[[#This Row],[15/10/2018]])</f>
        <v>78519</v>
      </c>
      <c r="BG285">
        <f>IF(ISBLANK(Tabla7[[#This Row],[15/11/2018]]),0,Tabla7[[#This Row],[15/11/2018]])</f>
        <v>78519</v>
      </c>
      <c r="BH285">
        <f>IF(ISBLANK(Tabla7[[#This Row],[15/12/2018]]),0,Tabla7[[#This Row],[15/12/2018]])</f>
        <v>78519</v>
      </c>
      <c r="BI285">
        <f>IF(ISBLANK(Tabla7[[#This Row],[28/12/2018]]),0,Tabla7[[#This Row],[28/12/2018]])</f>
        <v>0</v>
      </c>
      <c r="BN28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('LW00012788','V','VCT10','39754','TCV STEVEDORING COMPANY, S.A.','EN CENTRALIZACION (1)','','');</v>
      </c>
      <c r="BO285" t="s">
        <v>243</v>
      </c>
      <c r="BP285" s="632" t="str">
        <f>CONCATENATE("insert into lecturas values ","('",Tabla7[[#This Row],[CONTADOR]],"',STR_TO_DATE('",Tabla7[[#Headers],[31/12/2017]],"','%d/%m/%Y'),",AV285,"),","('",Tabla7[[#This Row],[CONTADOR]],"',STR_TO_DATE('",Tabla7[[#Headers],[15/01/2018]],"','%d/%m/%Y'),",AW285,"),","('",Tabla7[[#This Row],[CONTADOR]],"',STR_TO_DATE('",Tabla7[[#Headers],[15/02/2018]],"','%d/%m/%Y'),",AX285,"),","('",Tabla7[[#This Row],[CONTADOR]],"',STR_TO_DATE('",Tabla7[[#Headers],[15/03/2018]],"','%d/%m/%Y'),",AY285,"),","('",Tabla7[[#This Row],[CONTADOR]],"',STR_TO_DATE('",Tabla7[[#Headers],[15/04/2018]],"','%d/%m/%Y'),",AZ285,"),","('",Tabla7[[#This Row],[CONTADOR]],"',STR_TO_DATE('",Tabla7[[#Headers],[15/05/2018]],"','%d/%m/%Y'),",BA285,"),","('",Tabla7[[#This Row],[CONTADOR]],"',STR_TO_DATE('",Tabla7[[#Headers],[15/06/2018]],"','%d/%m/%Y'),",BB285,"),","('",Tabla7[[#This Row],[CONTADOR]],"',STR_TO_DATE('",Tabla7[[#Headers],[15/07/2018]],"','%d/%m/%Y'),",BC285,"),","('",Tabla7[[#This Row],[CONTADOR]],"',STR_TO_DATE('",Tabla7[[#Headers],[15/08/2018]],"','%d/%m/%Y'),",BD285,"),","('",Tabla7[[#This Row],[CONTADOR]],"',STR_TO_DATE('",Tabla7[[#Headers],[15/09/2018]],"','%d/%m/%Y'),",BE285,"),","('",Tabla7[[#This Row],[CONTADOR]],"',STR_TO_DATE('",Tabla7[[#Headers],[15/10/2018]],"','%d/%m/%Y'),",BF285,"),","('",Tabla7[[#This Row],[CONTADOR]],"',STR_TO_DATE('",Tabla7[[#Headers],[15/11/2018]],"','%d/%m/%Y'),",BG285,"),","('",Tabla7[[#This Row],[CONTADOR]],"',STR_TO_DATE('",Tabla7[[#Headers],[15/12/2018]],"','%d/%m/%Y'),",BH285,");")</f>
        <v>insert into lecturas values ('LW00012788',STR_TO_DATE('31/12/2017','%d/%m/%Y'),78519),('LW00012788',STR_TO_DATE('15/01/2018','%d/%m/%Y'),78519),('LW00012788',STR_TO_DATE('15/02/2018','%d/%m/%Y'),78519),('LW00012788',STR_TO_DATE('15/03/2018','%d/%m/%Y'),78519),('LW00012788',STR_TO_DATE('15/04/2018','%d/%m/%Y'),78519),('LW00012788',STR_TO_DATE('15/05/2018','%d/%m/%Y'),78519),('LW00012788',STR_TO_DATE('15/06/2018','%d/%m/%Y'),78519),('LW00012788',STR_TO_DATE('15/07/2018','%d/%m/%Y'),78519),('LW00012788',STR_TO_DATE('15/08/2018','%d/%m/%Y'),78519),('LW00012788',STR_TO_DATE('15/09/2018','%d/%m/%Y'),78519),('LW00012788',STR_TO_DATE('15/10/2018','%d/%m/%Y'),78519),('LW00012788',STR_TO_DATE('15/11/2018','%d/%m/%Y'),78519),('LW00012788',STR_TO_DATE('15/12/2018','%d/%m/%Y'),78519);</v>
      </c>
    </row>
    <row r="286" spans="1:68" ht="18" customHeight="1" x14ac:dyDescent="0.25">
      <c r="A286" s="241" t="s">
        <v>19</v>
      </c>
      <c r="B286" s="60"/>
      <c r="C286" s="342" t="s">
        <v>115</v>
      </c>
      <c r="D286" s="60" t="s">
        <v>106</v>
      </c>
      <c r="E286" s="258">
        <v>39021</v>
      </c>
      <c r="F286" s="2" t="s">
        <v>97</v>
      </c>
      <c r="G286" s="2" t="s">
        <v>991</v>
      </c>
      <c r="H286" s="2"/>
      <c r="I286" s="2"/>
      <c r="J286" s="311">
        <v>54381</v>
      </c>
      <c r="K286" s="311">
        <v>54495</v>
      </c>
      <c r="L286" s="354">
        <v>54681</v>
      </c>
      <c r="M286" s="311">
        <v>54885</v>
      </c>
      <c r="N286" s="311">
        <v>55147</v>
      </c>
      <c r="O286" s="311">
        <v>55367</v>
      </c>
      <c r="P286" s="311">
        <v>55605</v>
      </c>
      <c r="Q286" s="2">
        <v>55839</v>
      </c>
      <c r="R286" s="311">
        <v>56074</v>
      </c>
      <c r="S286" s="311">
        <v>56354</v>
      </c>
      <c r="T286" s="311">
        <v>56621</v>
      </c>
      <c r="U286" s="531">
        <v>56894</v>
      </c>
      <c r="V286" s="492">
        <v>57137</v>
      </c>
      <c r="W286" s="2"/>
      <c r="X286" s="2"/>
      <c r="Y286" s="2">
        <f t="shared" si="86"/>
        <v>114</v>
      </c>
      <c r="Z286" s="2">
        <f t="shared" si="84"/>
        <v>186</v>
      </c>
      <c r="AA286" s="2">
        <f t="shared" si="101"/>
        <v>204</v>
      </c>
      <c r="AB286" s="2">
        <f t="shared" si="100"/>
        <v>262</v>
      </c>
      <c r="AC286" s="2">
        <f t="shared" si="92"/>
        <v>220</v>
      </c>
      <c r="AD286" s="2">
        <f t="shared" si="93"/>
        <v>238</v>
      </c>
      <c r="AE286" s="2">
        <f t="shared" si="94"/>
        <v>234</v>
      </c>
      <c r="AF286" s="2">
        <f t="shared" si="95"/>
        <v>235</v>
      </c>
      <c r="AG286" s="2">
        <f t="shared" si="96"/>
        <v>280</v>
      </c>
      <c r="AH286" s="2">
        <f t="shared" si="99"/>
        <v>267</v>
      </c>
      <c r="AI286" s="2">
        <f t="shared" si="97"/>
        <v>273</v>
      </c>
      <c r="AJ286" s="2">
        <f t="shared" si="98"/>
        <v>243</v>
      </c>
      <c r="AK286" s="406">
        <v>1</v>
      </c>
      <c r="AL286" s="274">
        <f t="shared" ca="1" si="88"/>
        <v>55147</v>
      </c>
      <c r="AM286" s="311">
        <f t="shared" ca="1" si="89"/>
        <v>55367</v>
      </c>
      <c r="AN286" s="274">
        <f ca="1">IF(AND(Tabla7[[#This Row],[UltLec]]&lt;&gt;0,Tabla7[[#This Row],[PenLect]]&lt;&gt;0),(AM286-AL286)*Tabla7[[#This Row],[RT]],"N/A")</f>
        <v>220</v>
      </c>
      <c r="AO286" s="273" t="s">
        <v>862</v>
      </c>
      <c r="AP286" s="392" t="s">
        <v>1190</v>
      </c>
      <c r="AQ286" s="392" t="s">
        <v>1189</v>
      </c>
      <c r="AR286" s="407">
        <f t="shared" si="90"/>
        <v>0</v>
      </c>
      <c r="AT286" s="2">
        <f t="shared" ca="1" si="91"/>
        <v>0.83969465648854957</v>
      </c>
      <c r="AV286">
        <f>IF(ISBLANK(Tabla7[[#This Row],[31/12/2017]]),0,Tabla7[[#This Row],[31/12/2017]])</f>
        <v>54381</v>
      </c>
      <c r="AW286">
        <f>IF(ISBLANK(Tabla7[[#This Row],[15/01/2018]]),0,Tabla7[[#This Row],[15/01/2018]])</f>
        <v>54495</v>
      </c>
      <c r="AX286">
        <f>IF(ISBLANK(Tabla7[[#This Row],[15/02/2018]]),0,Tabla7[[#This Row],[15/02/2018]])</f>
        <v>54681</v>
      </c>
      <c r="AY286">
        <f>IF(ISBLANK(Tabla7[[#This Row],[15/03/2018]]),0,Tabla7[[#This Row],[15/03/2018]])</f>
        <v>54885</v>
      </c>
      <c r="AZ286">
        <f>IF(ISBLANK(Tabla7[[#This Row],[15/04/2018]]),0,Tabla7[[#This Row],[15/04/2018]])</f>
        <v>55147</v>
      </c>
      <c r="BA286">
        <f>IF(ISBLANK(Tabla7[[#This Row],[15/05/2018]]),0,Tabla7[[#This Row],[15/05/2018]])</f>
        <v>55367</v>
      </c>
      <c r="BB286">
        <f>IF(ISBLANK(Tabla7[[#This Row],[15/06/2018]]),0,Tabla7[[#This Row],[15/06/2018]])</f>
        <v>55605</v>
      </c>
      <c r="BC286">
        <f>IF(ISBLANK(Tabla7[[#This Row],[15/07/2018]]),0,Tabla7[[#This Row],[15/07/2018]])</f>
        <v>55839</v>
      </c>
      <c r="BD286">
        <f>IF(ISBLANK(Tabla7[[#This Row],[15/08/2018]]),0,Tabla7[[#This Row],[15/08/2018]])</f>
        <v>56074</v>
      </c>
      <c r="BE286">
        <f>IF(ISBLANK(Tabla7[[#This Row],[15/09/2018]]),0,Tabla7[[#This Row],[15/09/2018]])</f>
        <v>56354</v>
      </c>
      <c r="BF286">
        <f>IF(ISBLANK(Tabla7[[#This Row],[15/10/2018]]),0,Tabla7[[#This Row],[15/10/2018]])</f>
        <v>56621</v>
      </c>
      <c r="BG286">
        <f>IF(ISBLANK(Tabla7[[#This Row],[15/11/2018]]),0,Tabla7[[#This Row],[15/11/2018]])</f>
        <v>56894</v>
      </c>
      <c r="BH286">
        <f>IF(ISBLANK(Tabla7[[#This Row],[15/12/2018]]),0,Tabla7[[#This Row],[15/12/2018]])</f>
        <v>57137</v>
      </c>
      <c r="BI286">
        <f>IF(ISBLANK(Tabla7[[#This Row],[28/12/2018]]),0,Tabla7[[#This Row],[28/12/2018]])</f>
        <v>0</v>
      </c>
      <c r="BN28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('LW00012872','V','VCT10','39021','JUAN AGUSTIN BLASCO CARBO','EN CENTRALIZACION (5)','','');</v>
      </c>
      <c r="BO286" t="s">
        <v>243</v>
      </c>
      <c r="BP286" s="632" t="str">
        <f>CONCATENATE("insert into lecturas values ","('",Tabla7[[#This Row],[CONTADOR]],"',STR_TO_DATE('",Tabla7[[#Headers],[31/12/2017]],"','%d/%m/%Y'),",AV286,"),","('",Tabla7[[#This Row],[CONTADOR]],"',STR_TO_DATE('",Tabla7[[#Headers],[15/01/2018]],"','%d/%m/%Y'),",AW286,"),","('",Tabla7[[#This Row],[CONTADOR]],"',STR_TO_DATE('",Tabla7[[#Headers],[15/02/2018]],"','%d/%m/%Y'),",AX286,"),","('",Tabla7[[#This Row],[CONTADOR]],"',STR_TO_DATE('",Tabla7[[#Headers],[15/03/2018]],"','%d/%m/%Y'),",AY286,"),","('",Tabla7[[#This Row],[CONTADOR]],"',STR_TO_DATE('",Tabla7[[#Headers],[15/04/2018]],"','%d/%m/%Y'),",AZ286,"),","('",Tabla7[[#This Row],[CONTADOR]],"',STR_TO_DATE('",Tabla7[[#Headers],[15/05/2018]],"','%d/%m/%Y'),",BA286,"),","('",Tabla7[[#This Row],[CONTADOR]],"',STR_TO_DATE('",Tabla7[[#Headers],[15/06/2018]],"','%d/%m/%Y'),",BB286,"),","('",Tabla7[[#This Row],[CONTADOR]],"',STR_TO_DATE('",Tabla7[[#Headers],[15/07/2018]],"','%d/%m/%Y'),",BC286,"),","('",Tabla7[[#This Row],[CONTADOR]],"',STR_TO_DATE('",Tabla7[[#Headers],[15/08/2018]],"','%d/%m/%Y'),",BD286,"),","('",Tabla7[[#This Row],[CONTADOR]],"',STR_TO_DATE('",Tabla7[[#Headers],[15/09/2018]],"','%d/%m/%Y'),",BE286,"),","('",Tabla7[[#This Row],[CONTADOR]],"',STR_TO_DATE('",Tabla7[[#Headers],[15/10/2018]],"','%d/%m/%Y'),",BF286,"),","('",Tabla7[[#This Row],[CONTADOR]],"',STR_TO_DATE('",Tabla7[[#Headers],[15/11/2018]],"','%d/%m/%Y'),",BG286,"),","('",Tabla7[[#This Row],[CONTADOR]],"',STR_TO_DATE('",Tabla7[[#Headers],[15/12/2018]],"','%d/%m/%Y'),",BH286,");")</f>
        <v>insert into lecturas values ('LW00012872',STR_TO_DATE('31/12/2017','%d/%m/%Y'),54381),('LW00012872',STR_TO_DATE('15/01/2018','%d/%m/%Y'),54495),('LW00012872',STR_TO_DATE('15/02/2018','%d/%m/%Y'),54681),('LW00012872',STR_TO_DATE('15/03/2018','%d/%m/%Y'),54885),('LW00012872',STR_TO_DATE('15/04/2018','%d/%m/%Y'),55147),('LW00012872',STR_TO_DATE('15/05/2018','%d/%m/%Y'),55367),('LW00012872',STR_TO_DATE('15/06/2018','%d/%m/%Y'),55605),('LW00012872',STR_TO_DATE('15/07/2018','%d/%m/%Y'),55839),('LW00012872',STR_TO_DATE('15/08/2018','%d/%m/%Y'),56074),('LW00012872',STR_TO_DATE('15/09/2018','%d/%m/%Y'),56354),('LW00012872',STR_TO_DATE('15/10/2018','%d/%m/%Y'),56621),('LW00012872',STR_TO_DATE('15/11/2018','%d/%m/%Y'),56894),('LW00012872',STR_TO_DATE('15/12/2018','%d/%m/%Y'),57137);</v>
      </c>
    </row>
    <row r="287" spans="1:68" ht="18" customHeight="1" x14ac:dyDescent="0.25">
      <c r="A287" s="241" t="s">
        <v>19</v>
      </c>
      <c r="B287" s="60"/>
      <c r="C287" s="342" t="s">
        <v>116</v>
      </c>
      <c r="D287" s="60" t="s">
        <v>106</v>
      </c>
      <c r="E287" s="258">
        <v>132</v>
      </c>
      <c r="F287" s="274" t="s">
        <v>879</v>
      </c>
      <c r="G287" s="2" t="s">
        <v>984</v>
      </c>
      <c r="H287" s="2" t="s">
        <v>117</v>
      </c>
      <c r="I287" s="2"/>
      <c r="J287" s="311">
        <v>193891</v>
      </c>
      <c r="K287" s="311">
        <v>195118</v>
      </c>
      <c r="L287" s="354">
        <v>197289</v>
      </c>
      <c r="M287" s="311">
        <v>199197</v>
      </c>
      <c r="N287" s="311">
        <v>200869</v>
      </c>
      <c r="O287" s="311">
        <v>202454</v>
      </c>
      <c r="P287" s="311">
        <v>203863</v>
      </c>
      <c r="Q287" s="2">
        <v>205261</v>
      </c>
      <c r="R287" s="311">
        <v>206768</v>
      </c>
      <c r="S287" s="311">
        <v>206992</v>
      </c>
      <c r="T287" s="311">
        <v>207272</v>
      </c>
      <c r="U287" s="492">
        <v>208241</v>
      </c>
      <c r="V287" s="492">
        <v>208322</v>
      </c>
      <c r="W287" s="2"/>
      <c r="X287" s="2"/>
      <c r="Y287" s="2">
        <f t="shared" si="86"/>
        <v>1227</v>
      </c>
      <c r="Z287" s="2">
        <f t="shared" si="84"/>
        <v>2171</v>
      </c>
      <c r="AA287" s="2">
        <f t="shared" si="101"/>
        <v>1908</v>
      </c>
      <c r="AB287" s="2">
        <f t="shared" si="100"/>
        <v>1672</v>
      </c>
      <c r="AC287" s="2">
        <f t="shared" si="92"/>
        <v>1585</v>
      </c>
      <c r="AD287" s="2">
        <f t="shared" si="93"/>
        <v>1409</v>
      </c>
      <c r="AE287" s="2">
        <f t="shared" si="94"/>
        <v>1398</v>
      </c>
      <c r="AF287" s="2">
        <f t="shared" si="95"/>
        <v>1507</v>
      </c>
      <c r="AG287" s="2">
        <f t="shared" si="96"/>
        <v>224</v>
      </c>
      <c r="AH287" s="2">
        <f t="shared" si="99"/>
        <v>280</v>
      </c>
      <c r="AI287" s="2">
        <f t="shared" si="97"/>
        <v>969</v>
      </c>
      <c r="AJ287" s="2">
        <f t="shared" si="98"/>
        <v>81</v>
      </c>
      <c r="AK287" s="406">
        <v>1</v>
      </c>
      <c r="AL287" s="274">
        <f t="shared" ca="1" si="88"/>
        <v>200869</v>
      </c>
      <c r="AM287" s="311">
        <f t="shared" ca="1" si="89"/>
        <v>202454</v>
      </c>
      <c r="AN287" s="274">
        <f ca="1">IF(AND(Tabla7[[#This Row],[UltLec]]&lt;&gt;0,Tabla7[[#This Row],[PenLect]]&lt;&gt;0),(AM287-AL287)*Tabla7[[#This Row],[RT]],"N/A")</f>
        <v>1585</v>
      </c>
      <c r="AO287" s="273" t="s">
        <v>862</v>
      </c>
      <c r="AP287" s="392" t="s">
        <v>1190</v>
      </c>
      <c r="AQ287" s="392" t="s">
        <v>1189</v>
      </c>
      <c r="AR287" s="407">
        <f t="shared" si="90"/>
        <v>0</v>
      </c>
      <c r="AT287" s="2">
        <f t="shared" ca="1" si="91"/>
        <v>0.94796650717703346</v>
      </c>
      <c r="AV287">
        <f>IF(ISBLANK(Tabla7[[#This Row],[31/12/2017]]),0,Tabla7[[#This Row],[31/12/2017]])</f>
        <v>193891</v>
      </c>
      <c r="AW287">
        <f>IF(ISBLANK(Tabla7[[#This Row],[15/01/2018]]),0,Tabla7[[#This Row],[15/01/2018]])</f>
        <v>195118</v>
      </c>
      <c r="AX287">
        <f>IF(ISBLANK(Tabla7[[#This Row],[15/02/2018]]),0,Tabla7[[#This Row],[15/02/2018]])</f>
        <v>197289</v>
      </c>
      <c r="AY287">
        <f>IF(ISBLANK(Tabla7[[#This Row],[15/03/2018]]),0,Tabla7[[#This Row],[15/03/2018]])</f>
        <v>199197</v>
      </c>
      <c r="AZ287">
        <f>IF(ISBLANK(Tabla7[[#This Row],[15/04/2018]]),0,Tabla7[[#This Row],[15/04/2018]])</f>
        <v>200869</v>
      </c>
      <c r="BA287">
        <f>IF(ISBLANK(Tabla7[[#This Row],[15/05/2018]]),0,Tabla7[[#This Row],[15/05/2018]])</f>
        <v>202454</v>
      </c>
      <c r="BB287">
        <f>IF(ISBLANK(Tabla7[[#This Row],[15/06/2018]]),0,Tabla7[[#This Row],[15/06/2018]])</f>
        <v>203863</v>
      </c>
      <c r="BC287">
        <f>IF(ISBLANK(Tabla7[[#This Row],[15/07/2018]]),0,Tabla7[[#This Row],[15/07/2018]])</f>
        <v>205261</v>
      </c>
      <c r="BD287">
        <f>IF(ISBLANK(Tabla7[[#This Row],[15/08/2018]]),0,Tabla7[[#This Row],[15/08/2018]])</f>
        <v>206768</v>
      </c>
      <c r="BE287">
        <f>IF(ISBLANK(Tabla7[[#This Row],[15/09/2018]]),0,Tabla7[[#This Row],[15/09/2018]])</f>
        <v>206992</v>
      </c>
      <c r="BF287">
        <f>IF(ISBLANK(Tabla7[[#This Row],[15/10/2018]]),0,Tabla7[[#This Row],[15/10/2018]])</f>
        <v>207272</v>
      </c>
      <c r="BG287">
        <f>IF(ISBLANK(Tabla7[[#This Row],[15/11/2018]]),0,Tabla7[[#This Row],[15/11/2018]])</f>
        <v>208241</v>
      </c>
      <c r="BH287">
        <f>IF(ISBLANK(Tabla7[[#This Row],[15/12/2018]]),0,Tabla7[[#This Row],[15/12/2018]])</f>
        <v>208322</v>
      </c>
      <c r="BI287">
        <f>IF(ISBLANK(Tabla7[[#This Row],[28/12/2018]]),0,Tabla7[[#This Row],[28/12/2018]])</f>
        <v>0</v>
      </c>
      <c r="BN28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('LW00042429','V','VCT10','132','APV TORRE 10.01','EN CENTRALIZACION (6)','Torre 10.01','');</v>
      </c>
      <c r="BO287" t="s">
        <v>243</v>
      </c>
      <c r="BP287" s="632" t="str">
        <f>CONCATENATE("insert into lecturas values ","('",Tabla7[[#This Row],[CONTADOR]],"',STR_TO_DATE('",Tabla7[[#Headers],[31/12/2017]],"','%d/%m/%Y'),",AV287,"),","('",Tabla7[[#This Row],[CONTADOR]],"',STR_TO_DATE('",Tabla7[[#Headers],[15/01/2018]],"','%d/%m/%Y'),",AW287,"),","('",Tabla7[[#This Row],[CONTADOR]],"',STR_TO_DATE('",Tabla7[[#Headers],[15/02/2018]],"','%d/%m/%Y'),",AX287,"),","('",Tabla7[[#This Row],[CONTADOR]],"',STR_TO_DATE('",Tabla7[[#Headers],[15/03/2018]],"','%d/%m/%Y'),",AY287,"),","('",Tabla7[[#This Row],[CONTADOR]],"',STR_TO_DATE('",Tabla7[[#Headers],[15/04/2018]],"','%d/%m/%Y'),",AZ287,"),","('",Tabla7[[#This Row],[CONTADOR]],"',STR_TO_DATE('",Tabla7[[#Headers],[15/05/2018]],"','%d/%m/%Y'),",BA287,"),","('",Tabla7[[#This Row],[CONTADOR]],"',STR_TO_DATE('",Tabla7[[#Headers],[15/06/2018]],"','%d/%m/%Y'),",BB287,"),","('",Tabla7[[#This Row],[CONTADOR]],"',STR_TO_DATE('",Tabla7[[#Headers],[15/07/2018]],"','%d/%m/%Y'),",BC287,"),","('",Tabla7[[#This Row],[CONTADOR]],"',STR_TO_DATE('",Tabla7[[#Headers],[15/08/2018]],"','%d/%m/%Y'),",BD287,"),","('",Tabla7[[#This Row],[CONTADOR]],"',STR_TO_DATE('",Tabla7[[#Headers],[15/09/2018]],"','%d/%m/%Y'),",BE287,"),","('",Tabla7[[#This Row],[CONTADOR]],"',STR_TO_DATE('",Tabla7[[#Headers],[15/10/2018]],"','%d/%m/%Y'),",BF287,"),","('",Tabla7[[#This Row],[CONTADOR]],"',STR_TO_DATE('",Tabla7[[#Headers],[15/11/2018]],"','%d/%m/%Y'),",BG287,"),","('",Tabla7[[#This Row],[CONTADOR]],"',STR_TO_DATE('",Tabla7[[#Headers],[15/12/2018]],"','%d/%m/%Y'),",BH287,");")</f>
        <v>insert into lecturas values ('LW00042429',STR_TO_DATE('31/12/2017','%d/%m/%Y'),193891),('LW00042429',STR_TO_DATE('15/01/2018','%d/%m/%Y'),195118),('LW00042429',STR_TO_DATE('15/02/2018','%d/%m/%Y'),197289),('LW00042429',STR_TO_DATE('15/03/2018','%d/%m/%Y'),199197),('LW00042429',STR_TO_DATE('15/04/2018','%d/%m/%Y'),200869),('LW00042429',STR_TO_DATE('15/05/2018','%d/%m/%Y'),202454),('LW00042429',STR_TO_DATE('15/06/2018','%d/%m/%Y'),203863),('LW00042429',STR_TO_DATE('15/07/2018','%d/%m/%Y'),205261),('LW00042429',STR_TO_DATE('15/08/2018','%d/%m/%Y'),206768),('LW00042429',STR_TO_DATE('15/09/2018','%d/%m/%Y'),206992),('LW00042429',STR_TO_DATE('15/10/2018','%d/%m/%Y'),207272),('LW00042429',STR_TO_DATE('15/11/2018','%d/%m/%Y'),208241),('LW00042429',STR_TO_DATE('15/12/2018','%d/%m/%Y'),208322);</v>
      </c>
    </row>
    <row r="288" spans="1:68" ht="18" customHeight="1" x14ac:dyDescent="0.25">
      <c r="A288" s="241" t="s">
        <v>19</v>
      </c>
      <c r="B288" s="60">
        <v>522</v>
      </c>
      <c r="C288" s="342" t="s">
        <v>113</v>
      </c>
      <c r="D288" s="60" t="s">
        <v>106</v>
      </c>
      <c r="E288" s="258">
        <v>39637</v>
      </c>
      <c r="F288" s="2" t="s">
        <v>114</v>
      </c>
      <c r="G288" s="2" t="s">
        <v>985</v>
      </c>
      <c r="H288" s="2"/>
      <c r="I288" s="2"/>
      <c r="J288" s="311">
        <v>46727</v>
      </c>
      <c r="K288" s="311">
        <v>46936</v>
      </c>
      <c r="L288" s="354">
        <v>47443</v>
      </c>
      <c r="M288" s="311">
        <v>47883</v>
      </c>
      <c r="N288" s="311">
        <v>48115</v>
      </c>
      <c r="O288" s="311">
        <v>48129</v>
      </c>
      <c r="P288" s="311">
        <v>48131</v>
      </c>
      <c r="Q288" s="2">
        <v>48132</v>
      </c>
      <c r="R288" s="311">
        <v>48132</v>
      </c>
      <c r="S288" s="311">
        <v>48132</v>
      </c>
      <c r="T288" s="311">
        <v>48132</v>
      </c>
      <c r="U288" s="531">
        <v>48133</v>
      </c>
      <c r="V288" s="492">
        <v>48133</v>
      </c>
      <c r="W288" s="2"/>
      <c r="X288" s="2"/>
      <c r="Y288" s="2">
        <f t="shared" si="86"/>
        <v>209</v>
      </c>
      <c r="Z288" s="2">
        <f t="shared" si="84"/>
        <v>507</v>
      </c>
      <c r="AA288" s="2">
        <f t="shared" si="101"/>
        <v>440</v>
      </c>
      <c r="AB288" s="2">
        <f t="shared" si="100"/>
        <v>232</v>
      </c>
      <c r="AC288" s="2">
        <f t="shared" si="92"/>
        <v>14</v>
      </c>
      <c r="AD288" s="2">
        <f t="shared" si="93"/>
        <v>2</v>
      </c>
      <c r="AE288" s="2">
        <f t="shared" si="94"/>
        <v>1</v>
      </c>
      <c r="AF288" s="2">
        <f t="shared" si="95"/>
        <v>0</v>
      </c>
      <c r="AG288" s="2">
        <f t="shared" si="96"/>
        <v>0</v>
      </c>
      <c r="AH288" s="2">
        <f t="shared" si="99"/>
        <v>0</v>
      </c>
      <c r="AI288" s="2">
        <f t="shared" si="97"/>
        <v>1</v>
      </c>
      <c r="AJ288" s="2">
        <f t="shared" si="98"/>
        <v>0</v>
      </c>
      <c r="AK288" s="406">
        <v>1</v>
      </c>
      <c r="AL288" s="274">
        <f t="shared" ca="1" si="88"/>
        <v>48115</v>
      </c>
      <c r="AM288" s="311">
        <f t="shared" ca="1" si="89"/>
        <v>48129</v>
      </c>
      <c r="AN288" s="274">
        <f ca="1">IF(AND(Tabla7[[#This Row],[UltLec]]&lt;&gt;0,Tabla7[[#This Row],[PenLect]]&lt;&gt;0),(AM288-AL288)*Tabla7[[#This Row],[RT]],"N/A")</f>
        <v>14</v>
      </c>
      <c r="AO288" s="273" t="s">
        <v>862</v>
      </c>
      <c r="AP288" s="392" t="s">
        <v>1190</v>
      </c>
      <c r="AQ288" s="392" t="s">
        <v>1193</v>
      </c>
      <c r="AR288" s="407">
        <f t="shared" si="90"/>
        <v>0</v>
      </c>
      <c r="AT288" s="2">
        <f t="shared" ca="1" si="91"/>
        <v>6.0344827586206899E-2</v>
      </c>
      <c r="AV288">
        <f>IF(ISBLANK(Tabla7[[#This Row],[31/12/2017]]),0,Tabla7[[#This Row],[31/12/2017]])</f>
        <v>46727</v>
      </c>
      <c r="AW288">
        <f>IF(ISBLANK(Tabla7[[#This Row],[15/01/2018]]),0,Tabla7[[#This Row],[15/01/2018]])</f>
        <v>46936</v>
      </c>
      <c r="AX288">
        <f>IF(ISBLANK(Tabla7[[#This Row],[15/02/2018]]),0,Tabla7[[#This Row],[15/02/2018]])</f>
        <v>47443</v>
      </c>
      <c r="AY288">
        <f>IF(ISBLANK(Tabla7[[#This Row],[15/03/2018]]),0,Tabla7[[#This Row],[15/03/2018]])</f>
        <v>47883</v>
      </c>
      <c r="AZ288">
        <f>IF(ISBLANK(Tabla7[[#This Row],[15/04/2018]]),0,Tabla7[[#This Row],[15/04/2018]])</f>
        <v>48115</v>
      </c>
      <c r="BA288">
        <f>IF(ISBLANK(Tabla7[[#This Row],[15/05/2018]]),0,Tabla7[[#This Row],[15/05/2018]])</f>
        <v>48129</v>
      </c>
      <c r="BB288">
        <f>IF(ISBLANK(Tabla7[[#This Row],[15/06/2018]]),0,Tabla7[[#This Row],[15/06/2018]])</f>
        <v>48131</v>
      </c>
      <c r="BC288">
        <f>IF(ISBLANK(Tabla7[[#This Row],[15/07/2018]]),0,Tabla7[[#This Row],[15/07/2018]])</f>
        <v>48132</v>
      </c>
      <c r="BD288">
        <f>IF(ISBLANK(Tabla7[[#This Row],[15/08/2018]]),0,Tabla7[[#This Row],[15/08/2018]])</f>
        <v>48132</v>
      </c>
      <c r="BE288">
        <f>IF(ISBLANK(Tabla7[[#This Row],[15/09/2018]]),0,Tabla7[[#This Row],[15/09/2018]])</f>
        <v>48132</v>
      </c>
      <c r="BF288">
        <f>IF(ISBLANK(Tabla7[[#This Row],[15/10/2018]]),0,Tabla7[[#This Row],[15/10/2018]])</f>
        <v>48132</v>
      </c>
      <c r="BG288">
        <f>IF(ISBLANK(Tabla7[[#This Row],[15/11/2018]]),0,Tabla7[[#This Row],[15/11/2018]])</f>
        <v>48133</v>
      </c>
      <c r="BH288">
        <f>IF(ISBLANK(Tabla7[[#This Row],[15/12/2018]]),0,Tabla7[[#This Row],[15/12/2018]])</f>
        <v>48133</v>
      </c>
      <c r="BI288">
        <f>IF(ISBLANK(Tabla7[[#This Row],[28/12/2018]]),0,Tabla7[[#This Row],[28/12/2018]])</f>
        <v>0</v>
      </c>
      <c r="BN28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('LW00112965','V','VCT10','39637','TRANSCONT','EN CENTRALIZACION (4)','','');</v>
      </c>
      <c r="BO288" t="s">
        <v>243</v>
      </c>
      <c r="BP288" s="632" t="str">
        <f>CONCATENATE("insert into lecturas values ","('",Tabla7[[#This Row],[CONTADOR]],"',STR_TO_DATE('",Tabla7[[#Headers],[31/12/2017]],"','%d/%m/%Y'),",AV288,"),","('",Tabla7[[#This Row],[CONTADOR]],"',STR_TO_DATE('",Tabla7[[#Headers],[15/01/2018]],"','%d/%m/%Y'),",AW288,"),","('",Tabla7[[#This Row],[CONTADOR]],"',STR_TO_DATE('",Tabla7[[#Headers],[15/02/2018]],"','%d/%m/%Y'),",AX288,"),","('",Tabla7[[#This Row],[CONTADOR]],"',STR_TO_DATE('",Tabla7[[#Headers],[15/03/2018]],"','%d/%m/%Y'),",AY288,"),","('",Tabla7[[#This Row],[CONTADOR]],"',STR_TO_DATE('",Tabla7[[#Headers],[15/04/2018]],"','%d/%m/%Y'),",AZ288,"),","('",Tabla7[[#This Row],[CONTADOR]],"',STR_TO_DATE('",Tabla7[[#Headers],[15/05/2018]],"','%d/%m/%Y'),",BA288,"),","('",Tabla7[[#This Row],[CONTADOR]],"',STR_TO_DATE('",Tabla7[[#Headers],[15/06/2018]],"','%d/%m/%Y'),",BB288,"),","('",Tabla7[[#This Row],[CONTADOR]],"',STR_TO_DATE('",Tabla7[[#Headers],[15/07/2018]],"','%d/%m/%Y'),",BC288,"),","('",Tabla7[[#This Row],[CONTADOR]],"',STR_TO_DATE('",Tabla7[[#Headers],[15/08/2018]],"','%d/%m/%Y'),",BD288,"),","('",Tabla7[[#This Row],[CONTADOR]],"',STR_TO_DATE('",Tabla7[[#Headers],[15/09/2018]],"','%d/%m/%Y'),",BE288,"),","('",Tabla7[[#This Row],[CONTADOR]],"',STR_TO_DATE('",Tabla7[[#Headers],[15/10/2018]],"','%d/%m/%Y'),",BF288,"),","('",Tabla7[[#This Row],[CONTADOR]],"',STR_TO_DATE('",Tabla7[[#Headers],[15/11/2018]],"','%d/%m/%Y'),",BG288,"),","('",Tabla7[[#This Row],[CONTADOR]],"',STR_TO_DATE('",Tabla7[[#Headers],[15/12/2018]],"','%d/%m/%Y'),",BH288,");")</f>
        <v>insert into lecturas values ('LW00112965',STR_TO_DATE('31/12/2017','%d/%m/%Y'),46727),('LW00112965',STR_TO_DATE('15/01/2018','%d/%m/%Y'),46936),('LW00112965',STR_TO_DATE('15/02/2018','%d/%m/%Y'),47443),('LW00112965',STR_TO_DATE('15/03/2018','%d/%m/%Y'),47883),('LW00112965',STR_TO_DATE('15/04/2018','%d/%m/%Y'),48115),('LW00112965',STR_TO_DATE('15/05/2018','%d/%m/%Y'),48129),('LW00112965',STR_TO_DATE('15/06/2018','%d/%m/%Y'),48131),('LW00112965',STR_TO_DATE('15/07/2018','%d/%m/%Y'),48132),('LW00112965',STR_TO_DATE('15/08/2018','%d/%m/%Y'),48132),('LW00112965',STR_TO_DATE('15/09/2018','%d/%m/%Y'),48132),('LW00112965',STR_TO_DATE('15/10/2018','%d/%m/%Y'),48132),('LW00112965',STR_TO_DATE('15/11/2018','%d/%m/%Y'),48133),('LW00112965',STR_TO_DATE('15/12/2018','%d/%m/%Y'),48133);</v>
      </c>
    </row>
    <row r="289" spans="1:68" ht="18" customHeight="1" x14ac:dyDescent="0.25">
      <c r="A289" s="241" t="s">
        <v>19</v>
      </c>
      <c r="B289" s="60">
        <v>5481</v>
      </c>
      <c r="C289" s="342" t="s">
        <v>111</v>
      </c>
      <c r="D289" s="60" t="s">
        <v>106</v>
      </c>
      <c r="E289" s="258">
        <v>39774</v>
      </c>
      <c r="F289" s="2" t="s">
        <v>112</v>
      </c>
      <c r="G289" s="2" t="s">
        <v>982</v>
      </c>
      <c r="H289" s="274"/>
      <c r="I289" s="2"/>
      <c r="J289" s="311">
        <v>30639</v>
      </c>
      <c r="K289" s="311">
        <v>30639</v>
      </c>
      <c r="L289" s="354">
        <v>30639</v>
      </c>
      <c r="M289" s="311">
        <v>30639</v>
      </c>
      <c r="N289" s="311">
        <v>30639</v>
      </c>
      <c r="O289" s="311">
        <v>30639</v>
      </c>
      <c r="P289" s="311">
        <v>30639</v>
      </c>
      <c r="Q289" s="2">
        <v>30639</v>
      </c>
      <c r="R289" s="311">
        <v>30639</v>
      </c>
      <c r="S289" s="311">
        <v>30639</v>
      </c>
      <c r="T289" s="311">
        <v>30639</v>
      </c>
      <c r="U289" s="353">
        <v>30639</v>
      </c>
      <c r="V289" s="492">
        <v>30639</v>
      </c>
      <c r="W289" s="2"/>
      <c r="X289" s="2"/>
      <c r="Y289" s="2">
        <f t="shared" si="86"/>
        <v>0</v>
      </c>
      <c r="Z289" s="2">
        <f t="shared" si="84"/>
        <v>0</v>
      </c>
      <c r="AA289" s="2">
        <f t="shared" si="101"/>
        <v>0</v>
      </c>
      <c r="AB289" s="2">
        <f t="shared" si="100"/>
        <v>0</v>
      </c>
      <c r="AC289" s="2">
        <f t="shared" si="92"/>
        <v>0</v>
      </c>
      <c r="AD289" s="2">
        <f t="shared" si="93"/>
        <v>0</v>
      </c>
      <c r="AE289" s="2">
        <f t="shared" si="94"/>
        <v>0</v>
      </c>
      <c r="AF289" s="2">
        <f t="shared" si="95"/>
        <v>0</v>
      </c>
      <c r="AG289" s="2">
        <f t="shared" si="96"/>
        <v>0</v>
      </c>
      <c r="AH289" s="2">
        <f t="shared" si="99"/>
        <v>0</v>
      </c>
      <c r="AI289" s="2">
        <f t="shared" si="97"/>
        <v>0</v>
      </c>
      <c r="AJ289" s="2">
        <f t="shared" si="98"/>
        <v>0</v>
      </c>
      <c r="AK289" s="406">
        <v>1</v>
      </c>
      <c r="AL289" s="274">
        <f t="shared" ca="1" si="88"/>
        <v>30639</v>
      </c>
      <c r="AM289" s="311">
        <f t="shared" ca="1" si="89"/>
        <v>30639</v>
      </c>
      <c r="AN289" s="274">
        <f ca="1">IF(AND(Tabla7[[#This Row],[UltLec]]&lt;&gt;0,Tabla7[[#This Row],[PenLect]]&lt;&gt;0),(AM289-AL289)*Tabla7[[#This Row],[RT]],"N/A")</f>
        <v>0</v>
      </c>
      <c r="AO289" s="273" t="s">
        <v>862</v>
      </c>
      <c r="AP289" s="392" t="s">
        <v>1190</v>
      </c>
      <c r="AQ289" s="392" t="s">
        <v>1193</v>
      </c>
      <c r="AR289" s="407">
        <f t="shared" si="90"/>
        <v>0</v>
      </c>
      <c r="AT289" s="2" t="str">
        <f t="shared" ca="1" si="91"/>
        <v>0</v>
      </c>
      <c r="AV289">
        <f>IF(ISBLANK(Tabla7[[#This Row],[31/12/2017]]),0,Tabla7[[#This Row],[31/12/2017]])</f>
        <v>30639</v>
      </c>
      <c r="AW289">
        <f>IF(ISBLANK(Tabla7[[#This Row],[15/01/2018]]),0,Tabla7[[#This Row],[15/01/2018]])</f>
        <v>30639</v>
      </c>
      <c r="AX289">
        <f>IF(ISBLANK(Tabla7[[#This Row],[15/02/2018]]),0,Tabla7[[#This Row],[15/02/2018]])</f>
        <v>30639</v>
      </c>
      <c r="AY289">
        <f>IF(ISBLANK(Tabla7[[#This Row],[15/03/2018]]),0,Tabla7[[#This Row],[15/03/2018]])</f>
        <v>30639</v>
      </c>
      <c r="AZ289">
        <f>IF(ISBLANK(Tabla7[[#This Row],[15/04/2018]]),0,Tabla7[[#This Row],[15/04/2018]])</f>
        <v>30639</v>
      </c>
      <c r="BA289">
        <f>IF(ISBLANK(Tabla7[[#This Row],[15/05/2018]]),0,Tabla7[[#This Row],[15/05/2018]])</f>
        <v>30639</v>
      </c>
      <c r="BB289">
        <f>IF(ISBLANK(Tabla7[[#This Row],[15/06/2018]]),0,Tabla7[[#This Row],[15/06/2018]])</f>
        <v>30639</v>
      </c>
      <c r="BC289">
        <f>IF(ISBLANK(Tabla7[[#This Row],[15/07/2018]]),0,Tabla7[[#This Row],[15/07/2018]])</f>
        <v>30639</v>
      </c>
      <c r="BD289">
        <f>IF(ISBLANK(Tabla7[[#This Row],[15/08/2018]]),0,Tabla7[[#This Row],[15/08/2018]])</f>
        <v>30639</v>
      </c>
      <c r="BE289">
        <f>IF(ISBLANK(Tabla7[[#This Row],[15/09/2018]]),0,Tabla7[[#This Row],[15/09/2018]])</f>
        <v>30639</v>
      </c>
      <c r="BF289">
        <f>IF(ISBLANK(Tabla7[[#This Row],[15/10/2018]]),0,Tabla7[[#This Row],[15/10/2018]])</f>
        <v>30639</v>
      </c>
      <c r="BG289">
        <f>IF(ISBLANK(Tabla7[[#This Row],[15/11/2018]]),0,Tabla7[[#This Row],[15/11/2018]])</f>
        <v>30639</v>
      </c>
      <c r="BH289">
        <f>IF(ISBLANK(Tabla7[[#This Row],[15/12/2018]]),0,Tabla7[[#This Row],[15/12/2018]])</f>
        <v>30639</v>
      </c>
      <c r="BI289">
        <f>IF(ISBLANK(Tabla7[[#This Row],[28/12/2018]]),0,Tabla7[[#This Row],[28/12/2018]])</f>
        <v>0</v>
      </c>
      <c r="BN28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('LW00113084','V','VCT10','39774','TRANS PELLICER E HIJOS','EN CENTRALIZACION (3)','','');</v>
      </c>
      <c r="BO289" t="s">
        <v>243</v>
      </c>
      <c r="BP289" s="632" t="str">
        <f>CONCATENATE("insert into lecturas values ","('",Tabla7[[#This Row],[CONTADOR]],"',STR_TO_DATE('",Tabla7[[#Headers],[31/12/2017]],"','%d/%m/%Y'),",AV289,"),","('",Tabla7[[#This Row],[CONTADOR]],"',STR_TO_DATE('",Tabla7[[#Headers],[15/01/2018]],"','%d/%m/%Y'),",AW289,"),","('",Tabla7[[#This Row],[CONTADOR]],"',STR_TO_DATE('",Tabla7[[#Headers],[15/02/2018]],"','%d/%m/%Y'),",AX289,"),","('",Tabla7[[#This Row],[CONTADOR]],"',STR_TO_DATE('",Tabla7[[#Headers],[15/03/2018]],"','%d/%m/%Y'),",AY289,"),","('",Tabla7[[#This Row],[CONTADOR]],"',STR_TO_DATE('",Tabla7[[#Headers],[15/04/2018]],"','%d/%m/%Y'),",AZ289,"),","('",Tabla7[[#This Row],[CONTADOR]],"',STR_TO_DATE('",Tabla7[[#Headers],[15/05/2018]],"','%d/%m/%Y'),",BA289,"),","('",Tabla7[[#This Row],[CONTADOR]],"',STR_TO_DATE('",Tabla7[[#Headers],[15/06/2018]],"','%d/%m/%Y'),",BB289,"),","('",Tabla7[[#This Row],[CONTADOR]],"',STR_TO_DATE('",Tabla7[[#Headers],[15/07/2018]],"','%d/%m/%Y'),",BC289,"),","('",Tabla7[[#This Row],[CONTADOR]],"',STR_TO_DATE('",Tabla7[[#Headers],[15/08/2018]],"','%d/%m/%Y'),",BD289,"),","('",Tabla7[[#This Row],[CONTADOR]],"',STR_TO_DATE('",Tabla7[[#Headers],[15/09/2018]],"','%d/%m/%Y'),",BE289,"),","('",Tabla7[[#This Row],[CONTADOR]],"',STR_TO_DATE('",Tabla7[[#Headers],[15/10/2018]],"','%d/%m/%Y'),",BF289,"),","('",Tabla7[[#This Row],[CONTADOR]],"',STR_TO_DATE('",Tabla7[[#Headers],[15/11/2018]],"','%d/%m/%Y'),",BG289,"),","('",Tabla7[[#This Row],[CONTADOR]],"',STR_TO_DATE('",Tabla7[[#Headers],[15/12/2018]],"','%d/%m/%Y'),",BH289,");")</f>
        <v>insert into lecturas values ('LW00113084',STR_TO_DATE('31/12/2017','%d/%m/%Y'),30639),('LW00113084',STR_TO_DATE('15/01/2018','%d/%m/%Y'),30639),('LW00113084',STR_TO_DATE('15/02/2018','%d/%m/%Y'),30639),('LW00113084',STR_TO_DATE('15/03/2018','%d/%m/%Y'),30639),('LW00113084',STR_TO_DATE('15/04/2018','%d/%m/%Y'),30639),('LW00113084',STR_TO_DATE('15/05/2018','%d/%m/%Y'),30639),('LW00113084',STR_TO_DATE('15/06/2018','%d/%m/%Y'),30639),('LW00113084',STR_TO_DATE('15/07/2018','%d/%m/%Y'),30639),('LW00113084',STR_TO_DATE('15/08/2018','%d/%m/%Y'),30639),('LW00113084',STR_TO_DATE('15/09/2018','%d/%m/%Y'),30639),('LW00113084',STR_TO_DATE('15/10/2018','%d/%m/%Y'),30639),('LW00113084',STR_TO_DATE('15/11/2018','%d/%m/%Y'),30639),('LW00113084',STR_TO_DATE('15/12/2018','%d/%m/%Y'),30639);</v>
      </c>
    </row>
    <row r="290" spans="1:68" ht="18" customHeight="1" x14ac:dyDescent="0.25">
      <c r="A290" s="459" t="s">
        <v>1196</v>
      </c>
      <c r="B290" s="223" t="s">
        <v>118</v>
      </c>
      <c r="C290" s="373" t="s">
        <v>119</v>
      </c>
      <c r="D290" s="373" t="s">
        <v>106</v>
      </c>
      <c r="E290" s="460">
        <v>39137</v>
      </c>
      <c r="F290" s="376" t="s">
        <v>23</v>
      </c>
      <c r="G290" s="376" t="s">
        <v>987</v>
      </c>
      <c r="H290" s="376" t="s">
        <v>1039</v>
      </c>
      <c r="I290" s="376"/>
      <c r="J290" s="383"/>
      <c r="K290" s="383"/>
      <c r="L290" s="376"/>
      <c r="M290" s="376"/>
      <c r="N290" s="376"/>
      <c r="O290" s="383"/>
      <c r="P290" s="383"/>
      <c r="Q290" s="376"/>
      <c r="R290" s="376"/>
      <c r="S290" s="376"/>
      <c r="T290" s="376"/>
      <c r="U290" s="519"/>
      <c r="V290" s="376"/>
      <c r="W290" s="376"/>
      <c r="X290" s="376"/>
      <c r="Y290" s="376" t="str">
        <f t="shared" si="86"/>
        <v/>
      </c>
      <c r="Z290" s="376" t="str">
        <f t="shared" si="84"/>
        <v/>
      </c>
      <c r="AA290" s="376" t="str">
        <f t="shared" si="101"/>
        <v/>
      </c>
      <c r="AB290" s="376" t="str">
        <f t="shared" si="100"/>
        <v/>
      </c>
      <c r="AC290" s="376" t="str">
        <f t="shared" si="92"/>
        <v/>
      </c>
      <c r="AD290" s="376" t="str">
        <f t="shared" si="93"/>
        <v/>
      </c>
      <c r="AE290" s="376" t="str">
        <f t="shared" si="94"/>
        <v/>
      </c>
      <c r="AF290" s="376" t="str">
        <f t="shared" si="95"/>
        <v/>
      </c>
      <c r="AG290" s="376" t="str">
        <f t="shared" si="96"/>
        <v/>
      </c>
      <c r="AH290" s="376" t="str">
        <f t="shared" si="99"/>
        <v/>
      </c>
      <c r="AI290" s="376" t="str">
        <f t="shared" si="97"/>
        <v/>
      </c>
      <c r="AJ290" s="376" t="str">
        <f t="shared" si="98"/>
        <v/>
      </c>
      <c r="AK290" s="408">
        <v>1</v>
      </c>
      <c r="AL290" s="377">
        <f t="shared" ca="1" si="88"/>
        <v>0</v>
      </c>
      <c r="AM290" s="383">
        <f t="shared" ca="1" si="89"/>
        <v>0</v>
      </c>
      <c r="AN290" s="377" t="str">
        <f ca="1">IF(AND(Tabla7[[#This Row],[UltLec]]&lt;&gt;0,Tabla7[[#This Row],[PenLect]]&lt;&gt;0),(AM290-AL290)*Tabla7[[#This Row],[RT]],"N/A")</f>
        <v>N/A</v>
      </c>
      <c r="AO290" s="380" t="s">
        <v>1281</v>
      </c>
      <c r="AP290" s="433" t="s">
        <v>1190</v>
      </c>
      <c r="AQ290" s="433" t="s">
        <v>1189</v>
      </c>
      <c r="AR290" s="409">
        <f t="shared" si="90"/>
        <v>0</v>
      </c>
      <c r="AT290" s="2" t="e">
        <f t="shared" ca="1" si="91"/>
        <v>#VALUE!</v>
      </c>
      <c r="AV290">
        <f>IF(ISBLANK(Tabla7[[#This Row],[31/12/2017]]),0,Tabla7[[#This Row],[31/12/2017]])</f>
        <v>0</v>
      </c>
      <c r="AW290">
        <f>IF(ISBLANK(Tabla7[[#This Row],[15/01/2018]]),0,Tabla7[[#This Row],[15/01/2018]])</f>
        <v>0</v>
      </c>
      <c r="AX290">
        <f>IF(ISBLANK(Tabla7[[#This Row],[15/02/2018]]),0,Tabla7[[#This Row],[15/02/2018]])</f>
        <v>0</v>
      </c>
      <c r="AY290">
        <f>IF(ISBLANK(Tabla7[[#This Row],[15/03/2018]]),0,Tabla7[[#This Row],[15/03/2018]])</f>
        <v>0</v>
      </c>
      <c r="AZ290">
        <f>IF(ISBLANK(Tabla7[[#This Row],[15/04/2018]]),0,Tabla7[[#This Row],[15/04/2018]])</f>
        <v>0</v>
      </c>
      <c r="BA290">
        <f>IF(ISBLANK(Tabla7[[#This Row],[15/05/2018]]),0,Tabla7[[#This Row],[15/05/2018]])</f>
        <v>0</v>
      </c>
      <c r="BB290">
        <f>IF(ISBLANK(Tabla7[[#This Row],[15/06/2018]]),0,Tabla7[[#This Row],[15/06/2018]])</f>
        <v>0</v>
      </c>
      <c r="BC290">
        <f>IF(ISBLANK(Tabla7[[#This Row],[15/07/2018]]),0,Tabla7[[#This Row],[15/07/2018]])</f>
        <v>0</v>
      </c>
      <c r="BD290">
        <f>IF(ISBLANK(Tabla7[[#This Row],[15/08/2018]]),0,Tabla7[[#This Row],[15/08/2018]])</f>
        <v>0</v>
      </c>
      <c r="BE290">
        <f>IF(ISBLANK(Tabla7[[#This Row],[15/09/2018]]),0,Tabla7[[#This Row],[15/09/2018]])</f>
        <v>0</v>
      </c>
      <c r="BF290">
        <f>IF(ISBLANK(Tabla7[[#This Row],[15/10/2018]]),0,Tabla7[[#This Row],[15/10/2018]])</f>
        <v>0</v>
      </c>
      <c r="BG290">
        <f>IF(ISBLANK(Tabla7[[#This Row],[15/11/2018]]),0,Tabla7[[#This Row],[15/11/2018]])</f>
        <v>0</v>
      </c>
      <c r="BH290">
        <f>IF(ISBLANK(Tabla7[[#This Row],[15/12/2018]]),0,Tabla7[[#This Row],[15/12/2018]])</f>
        <v>0</v>
      </c>
      <c r="BI290">
        <f>IF(ISBLANK(Tabla7[[#This Row],[28/12/2018]]),0,Tabla7[[#This Row],[28/12/2018]])</f>
        <v>0</v>
      </c>
      <c r="BN29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('LW00181349','VBAJA','VCT10','39137','TCV STEVEDORING COMPANY','EN CENTRALIZACION (7)','Frigorificos. Retirado de servicio 27/6/2017','');</v>
      </c>
      <c r="BO290" t="s">
        <v>243</v>
      </c>
      <c r="BP290" s="632" t="str">
        <f>CONCATENATE("insert into lecturas values ","('",Tabla7[[#This Row],[CONTADOR]],"',STR_TO_DATE('",Tabla7[[#Headers],[31/12/2017]],"','%d/%m/%Y'),",AV290,"),","('",Tabla7[[#This Row],[CONTADOR]],"',STR_TO_DATE('",Tabla7[[#Headers],[15/01/2018]],"','%d/%m/%Y'),",AW290,"),","('",Tabla7[[#This Row],[CONTADOR]],"',STR_TO_DATE('",Tabla7[[#Headers],[15/02/2018]],"','%d/%m/%Y'),",AX290,"),","('",Tabla7[[#This Row],[CONTADOR]],"',STR_TO_DATE('",Tabla7[[#Headers],[15/03/2018]],"','%d/%m/%Y'),",AY290,"),","('",Tabla7[[#This Row],[CONTADOR]],"',STR_TO_DATE('",Tabla7[[#Headers],[15/04/2018]],"','%d/%m/%Y'),",AZ290,"),","('",Tabla7[[#This Row],[CONTADOR]],"',STR_TO_DATE('",Tabla7[[#Headers],[15/05/2018]],"','%d/%m/%Y'),",BA290,"),","('",Tabla7[[#This Row],[CONTADOR]],"',STR_TO_DATE('",Tabla7[[#Headers],[15/06/2018]],"','%d/%m/%Y'),",BB290,"),","('",Tabla7[[#This Row],[CONTADOR]],"',STR_TO_DATE('",Tabla7[[#Headers],[15/07/2018]],"','%d/%m/%Y'),",BC290,"),","('",Tabla7[[#This Row],[CONTADOR]],"',STR_TO_DATE('",Tabla7[[#Headers],[15/08/2018]],"','%d/%m/%Y'),",BD290,"),","('",Tabla7[[#This Row],[CONTADOR]],"',STR_TO_DATE('",Tabla7[[#Headers],[15/09/2018]],"','%d/%m/%Y'),",BE290,"),","('",Tabla7[[#This Row],[CONTADOR]],"',STR_TO_DATE('",Tabla7[[#Headers],[15/10/2018]],"','%d/%m/%Y'),",BF290,"),","('",Tabla7[[#This Row],[CONTADOR]],"',STR_TO_DATE('",Tabla7[[#Headers],[15/11/2018]],"','%d/%m/%Y'),",BG290,"),","('",Tabla7[[#This Row],[CONTADOR]],"',STR_TO_DATE('",Tabla7[[#Headers],[15/12/2018]],"','%d/%m/%Y'),",BH290,");")</f>
        <v>insert into lecturas values ('LW00181349',STR_TO_DATE('31/12/2017','%d/%m/%Y'),0),('LW00181349',STR_TO_DATE('15/01/2018','%d/%m/%Y'),0),('LW00181349',STR_TO_DATE('15/02/2018','%d/%m/%Y'),0),('LW00181349',STR_TO_DATE('15/03/2018','%d/%m/%Y'),0),('LW00181349',STR_TO_DATE('15/04/2018','%d/%m/%Y'),0),('LW00181349',STR_TO_DATE('15/05/2018','%d/%m/%Y'),0),('LW00181349',STR_TO_DATE('15/06/2018','%d/%m/%Y'),0),('LW00181349',STR_TO_DATE('15/07/2018','%d/%m/%Y'),0),('LW00181349',STR_TO_DATE('15/08/2018','%d/%m/%Y'),0),('LW00181349',STR_TO_DATE('15/09/2018','%d/%m/%Y'),0),('LW00181349',STR_TO_DATE('15/10/2018','%d/%m/%Y'),0),('LW00181349',STR_TO_DATE('15/11/2018','%d/%m/%Y'),0),('LW00181349',STR_TO_DATE('15/12/2018','%d/%m/%Y'),0);</v>
      </c>
    </row>
    <row r="291" spans="1:68" ht="18" customHeight="1" x14ac:dyDescent="0.25">
      <c r="A291" s="228" t="s">
        <v>19</v>
      </c>
      <c r="B291" s="223"/>
      <c r="C291" s="342" t="s">
        <v>1311</v>
      </c>
      <c r="D291" s="223" t="s">
        <v>106</v>
      </c>
      <c r="E291" s="524">
        <v>141</v>
      </c>
      <c r="F291" s="274" t="s">
        <v>809</v>
      </c>
      <c r="G291" s="274" t="s">
        <v>810</v>
      </c>
      <c r="H291" s="274"/>
      <c r="I291" s="2"/>
      <c r="J291" s="311">
        <v>8534</v>
      </c>
      <c r="K291" s="311">
        <v>8571</v>
      </c>
      <c r="L291" s="354">
        <v>8603</v>
      </c>
      <c r="M291" s="311">
        <v>8635</v>
      </c>
      <c r="N291" s="311">
        <v>8664</v>
      </c>
      <c r="O291" s="311">
        <v>8700</v>
      </c>
      <c r="P291" s="311">
        <v>8735</v>
      </c>
      <c r="Q291" s="2">
        <v>8773</v>
      </c>
      <c r="R291" s="311">
        <v>8808</v>
      </c>
      <c r="S291" s="311">
        <v>8879</v>
      </c>
      <c r="T291" s="311">
        <v>8924</v>
      </c>
      <c r="U291" s="311">
        <v>8958</v>
      </c>
      <c r="V291" s="492">
        <v>8995</v>
      </c>
      <c r="W291" s="2"/>
      <c r="X291" s="2"/>
      <c r="Y291" s="2">
        <f t="shared" si="86"/>
        <v>37</v>
      </c>
      <c r="Z291" s="2">
        <f t="shared" si="84"/>
        <v>32</v>
      </c>
      <c r="AA291" s="2">
        <f t="shared" si="101"/>
        <v>32</v>
      </c>
      <c r="AB291" s="2">
        <f t="shared" si="100"/>
        <v>29</v>
      </c>
      <c r="AC291" s="2">
        <f t="shared" si="92"/>
        <v>36</v>
      </c>
      <c r="AD291" s="2">
        <f t="shared" si="93"/>
        <v>35</v>
      </c>
      <c r="AE291" s="2">
        <f t="shared" si="94"/>
        <v>38</v>
      </c>
      <c r="AF291" s="2">
        <f t="shared" si="95"/>
        <v>35</v>
      </c>
      <c r="AG291" s="2">
        <f t="shared" si="96"/>
        <v>71</v>
      </c>
      <c r="AH291" s="2">
        <f t="shared" si="99"/>
        <v>45</v>
      </c>
      <c r="AI291" s="2">
        <f t="shared" si="97"/>
        <v>34</v>
      </c>
      <c r="AJ291" s="2">
        <f t="shared" si="98"/>
        <v>37</v>
      </c>
      <c r="AK291" s="406">
        <v>1</v>
      </c>
      <c r="AL291" s="274">
        <f t="shared" ca="1" si="88"/>
        <v>8664</v>
      </c>
      <c r="AM291" s="311">
        <f t="shared" ca="1" si="89"/>
        <v>8700</v>
      </c>
      <c r="AN291" s="274">
        <f ca="1">IF(AND(Tabla7[[#This Row],[UltLec]]&lt;&gt;0,Tabla7[[#This Row],[PenLect]]&lt;&gt;0),(AM291-AL291)*Tabla7[[#This Row],[RT]],"N/A")</f>
        <v>36</v>
      </c>
      <c r="AO291" s="273" t="s">
        <v>862</v>
      </c>
      <c r="AP291" s="392" t="s">
        <v>1191</v>
      </c>
      <c r="AQ291" s="392" t="s">
        <v>818</v>
      </c>
      <c r="AR291" s="407">
        <f t="shared" si="90"/>
        <v>0</v>
      </c>
      <c r="AT291" s="2">
        <f t="shared" ca="1" si="91"/>
        <v>1.2413793103448276</v>
      </c>
      <c r="AV291">
        <f>IF(ISBLANK(Tabla7[[#This Row],[31/12/2017]]),0,Tabla7[[#This Row],[31/12/2017]])</f>
        <v>8534</v>
      </c>
      <c r="AW291">
        <f>IF(ISBLANK(Tabla7[[#This Row],[15/01/2018]]),0,Tabla7[[#This Row],[15/01/2018]])</f>
        <v>8571</v>
      </c>
      <c r="AX291">
        <f>IF(ISBLANK(Tabla7[[#This Row],[15/02/2018]]),0,Tabla7[[#This Row],[15/02/2018]])</f>
        <v>8603</v>
      </c>
      <c r="AY291">
        <f>IF(ISBLANK(Tabla7[[#This Row],[15/03/2018]]),0,Tabla7[[#This Row],[15/03/2018]])</f>
        <v>8635</v>
      </c>
      <c r="AZ291">
        <f>IF(ISBLANK(Tabla7[[#This Row],[15/04/2018]]),0,Tabla7[[#This Row],[15/04/2018]])</f>
        <v>8664</v>
      </c>
      <c r="BA291">
        <f>IF(ISBLANK(Tabla7[[#This Row],[15/05/2018]]),0,Tabla7[[#This Row],[15/05/2018]])</f>
        <v>8700</v>
      </c>
      <c r="BB291">
        <f>IF(ISBLANK(Tabla7[[#This Row],[15/06/2018]]),0,Tabla7[[#This Row],[15/06/2018]])</f>
        <v>8735</v>
      </c>
      <c r="BC291">
        <f>IF(ISBLANK(Tabla7[[#This Row],[15/07/2018]]),0,Tabla7[[#This Row],[15/07/2018]])</f>
        <v>8773</v>
      </c>
      <c r="BD291">
        <f>IF(ISBLANK(Tabla7[[#This Row],[15/08/2018]]),0,Tabla7[[#This Row],[15/08/2018]])</f>
        <v>8808</v>
      </c>
      <c r="BE291">
        <f>IF(ISBLANK(Tabla7[[#This Row],[15/09/2018]]),0,Tabla7[[#This Row],[15/09/2018]])</f>
        <v>8879</v>
      </c>
      <c r="BF291">
        <f>IF(ISBLANK(Tabla7[[#This Row],[15/10/2018]]),0,Tabla7[[#This Row],[15/10/2018]])</f>
        <v>8924</v>
      </c>
      <c r="BG291">
        <f>IF(ISBLANK(Tabla7[[#This Row],[15/11/2018]]),0,Tabla7[[#This Row],[15/11/2018]])</f>
        <v>8958</v>
      </c>
      <c r="BH291">
        <f>IF(ISBLANK(Tabla7[[#This Row],[15/12/2018]]),0,Tabla7[[#This Row],[15/12/2018]])</f>
        <v>8995</v>
      </c>
      <c r="BI291">
        <f>IF(ISBLANK(Tabla7[[#This Row],[28/12/2018]]),0,Tabla7[[#This Row],[28/12/2018]])</f>
        <v>0</v>
      </c>
      <c r="BN29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('PM4B61C688','V','VCT10','141','SALA DE BOMBAS TURIA','EN SALA DE BOMBAS TURIA','','');</v>
      </c>
      <c r="BO291" t="s">
        <v>243</v>
      </c>
      <c r="BP291" s="632" t="str">
        <f>CONCATENATE("insert into lecturas values ","('",Tabla7[[#This Row],[CONTADOR]],"',STR_TO_DATE('",Tabla7[[#Headers],[31/12/2017]],"','%d/%m/%Y'),",AV291,"),","('",Tabla7[[#This Row],[CONTADOR]],"',STR_TO_DATE('",Tabla7[[#Headers],[15/01/2018]],"','%d/%m/%Y'),",AW291,"),","('",Tabla7[[#This Row],[CONTADOR]],"',STR_TO_DATE('",Tabla7[[#Headers],[15/02/2018]],"','%d/%m/%Y'),",AX291,"),","('",Tabla7[[#This Row],[CONTADOR]],"',STR_TO_DATE('",Tabla7[[#Headers],[15/03/2018]],"','%d/%m/%Y'),",AY291,"),","('",Tabla7[[#This Row],[CONTADOR]],"',STR_TO_DATE('",Tabla7[[#Headers],[15/04/2018]],"','%d/%m/%Y'),",AZ291,"),","('",Tabla7[[#This Row],[CONTADOR]],"',STR_TO_DATE('",Tabla7[[#Headers],[15/05/2018]],"','%d/%m/%Y'),",BA291,"),","('",Tabla7[[#This Row],[CONTADOR]],"',STR_TO_DATE('",Tabla7[[#Headers],[15/06/2018]],"','%d/%m/%Y'),",BB291,"),","('",Tabla7[[#This Row],[CONTADOR]],"',STR_TO_DATE('",Tabla7[[#Headers],[15/07/2018]],"','%d/%m/%Y'),",BC291,"),","('",Tabla7[[#This Row],[CONTADOR]],"',STR_TO_DATE('",Tabla7[[#Headers],[15/08/2018]],"','%d/%m/%Y'),",BD291,"),","('",Tabla7[[#This Row],[CONTADOR]],"',STR_TO_DATE('",Tabla7[[#Headers],[15/09/2018]],"','%d/%m/%Y'),",BE291,"),","('",Tabla7[[#This Row],[CONTADOR]],"',STR_TO_DATE('",Tabla7[[#Headers],[15/10/2018]],"','%d/%m/%Y'),",BF291,"),","('",Tabla7[[#This Row],[CONTADOR]],"',STR_TO_DATE('",Tabla7[[#Headers],[15/11/2018]],"','%d/%m/%Y'),",BG291,"),","('",Tabla7[[#This Row],[CONTADOR]],"',STR_TO_DATE('",Tabla7[[#Headers],[15/12/2018]],"','%d/%m/%Y'),",BH291,");")</f>
        <v>insert into lecturas values ('PM4B61C688',STR_TO_DATE('31/12/2017','%d/%m/%Y'),8534),('PM4B61C688',STR_TO_DATE('15/01/2018','%d/%m/%Y'),8571),('PM4B61C688',STR_TO_DATE('15/02/2018','%d/%m/%Y'),8603),('PM4B61C688',STR_TO_DATE('15/03/2018','%d/%m/%Y'),8635),('PM4B61C688',STR_TO_DATE('15/04/2018','%d/%m/%Y'),8664),('PM4B61C688',STR_TO_DATE('15/05/2018','%d/%m/%Y'),8700),('PM4B61C688',STR_TO_DATE('15/06/2018','%d/%m/%Y'),8735),('PM4B61C688',STR_TO_DATE('15/07/2018','%d/%m/%Y'),8773),('PM4B61C688',STR_TO_DATE('15/08/2018','%d/%m/%Y'),8808),('PM4B61C688',STR_TO_DATE('15/09/2018','%d/%m/%Y'),8879),('PM4B61C688',STR_TO_DATE('15/10/2018','%d/%m/%Y'),8924),('PM4B61C688',STR_TO_DATE('15/11/2018','%d/%m/%Y'),8958),('PM4B61C688',STR_TO_DATE('15/12/2018','%d/%m/%Y'),8995);</v>
      </c>
    </row>
    <row r="292" spans="1:68" ht="18" customHeight="1" x14ac:dyDescent="0.25">
      <c r="A292" s="241" t="s">
        <v>19</v>
      </c>
      <c r="B292" s="60"/>
      <c r="C292" s="342" t="s">
        <v>1303</v>
      </c>
      <c r="D292" s="60" t="s">
        <v>971</v>
      </c>
      <c r="E292" s="258">
        <v>140</v>
      </c>
      <c r="F292" s="2" t="s">
        <v>972</v>
      </c>
      <c r="G292" s="2" t="s">
        <v>63</v>
      </c>
      <c r="H292" s="2"/>
      <c r="I292" s="2">
        <v>504907</v>
      </c>
      <c r="J292" s="311">
        <v>504907</v>
      </c>
      <c r="K292" s="311">
        <v>504907</v>
      </c>
      <c r="L292" s="354">
        <v>504907</v>
      </c>
      <c r="M292" s="311">
        <v>504907</v>
      </c>
      <c r="N292" s="311">
        <v>504907</v>
      </c>
      <c r="O292" s="311">
        <v>504907</v>
      </c>
      <c r="P292" s="311">
        <v>504907</v>
      </c>
      <c r="Q292" s="2">
        <v>504907</v>
      </c>
      <c r="R292" s="311">
        <v>504907</v>
      </c>
      <c r="S292" s="311">
        <v>504907</v>
      </c>
      <c r="T292" s="311">
        <v>504907</v>
      </c>
      <c r="U292" s="492">
        <v>504907</v>
      </c>
      <c r="V292" s="492">
        <v>504907</v>
      </c>
      <c r="W292" s="2"/>
      <c r="X292" s="2"/>
      <c r="Y292" s="2">
        <f t="shared" si="86"/>
        <v>0</v>
      </c>
      <c r="Z292" s="2">
        <f t="shared" si="84"/>
        <v>0</v>
      </c>
      <c r="AA292" s="2">
        <f t="shared" si="101"/>
        <v>0</v>
      </c>
      <c r="AB292" s="2">
        <f t="shared" si="100"/>
        <v>0</v>
      </c>
      <c r="AC292" s="2">
        <f t="shared" si="92"/>
        <v>0</v>
      </c>
      <c r="AD292" s="2">
        <f t="shared" si="93"/>
        <v>0</v>
      </c>
      <c r="AE292" s="2">
        <f t="shared" si="94"/>
        <v>0</v>
      </c>
      <c r="AF292" s="2">
        <f t="shared" si="95"/>
        <v>0</v>
      </c>
      <c r="AG292" s="2">
        <f t="shared" si="96"/>
        <v>0</v>
      </c>
      <c r="AH292" s="2">
        <f t="shared" si="99"/>
        <v>0</v>
      </c>
      <c r="AI292" s="2">
        <f t="shared" si="97"/>
        <v>0</v>
      </c>
      <c r="AJ292" s="2">
        <f t="shared" si="98"/>
        <v>0</v>
      </c>
      <c r="AK292" s="406">
        <v>1</v>
      </c>
      <c r="AL292" s="274">
        <f t="shared" ca="1" si="88"/>
        <v>504907</v>
      </c>
      <c r="AM292" s="311">
        <f t="shared" ca="1" si="89"/>
        <v>504907</v>
      </c>
      <c r="AN292" s="274">
        <f ca="1">IF(AND(Tabla7[[#This Row],[UltLec]]&lt;&gt;0,Tabla7[[#This Row],[PenLect]]&lt;&gt;0),(AM292-AL292)*Tabla7[[#This Row],[RT]],"N/A")</f>
        <v>0</v>
      </c>
      <c r="AO292" s="273" t="s">
        <v>862</v>
      </c>
      <c r="AP292" s="392" t="s">
        <v>1190</v>
      </c>
      <c r="AQ292" s="392" t="s">
        <v>1189</v>
      </c>
      <c r="AR292" s="407">
        <f t="shared" si="90"/>
        <v>0</v>
      </c>
      <c r="AT292" s="2" t="str">
        <f t="shared" ca="1" si="91"/>
        <v>0</v>
      </c>
      <c r="AV292">
        <f>IF(ISBLANK(Tabla7[[#This Row],[31/12/2017]]),0,Tabla7[[#This Row],[31/12/2017]])</f>
        <v>504907</v>
      </c>
      <c r="AW292">
        <f>IF(ISBLANK(Tabla7[[#This Row],[15/01/2018]]),0,Tabla7[[#This Row],[15/01/2018]])</f>
        <v>504907</v>
      </c>
      <c r="AX292">
        <f>IF(ISBLANK(Tabla7[[#This Row],[15/02/2018]]),0,Tabla7[[#This Row],[15/02/2018]])</f>
        <v>504907</v>
      </c>
      <c r="AY292">
        <f>IF(ISBLANK(Tabla7[[#This Row],[15/03/2018]]),0,Tabla7[[#This Row],[15/03/2018]])</f>
        <v>504907</v>
      </c>
      <c r="AZ292">
        <f>IF(ISBLANK(Tabla7[[#This Row],[15/04/2018]]),0,Tabla7[[#This Row],[15/04/2018]])</f>
        <v>504907</v>
      </c>
      <c r="BA292">
        <f>IF(ISBLANK(Tabla7[[#This Row],[15/05/2018]]),0,Tabla7[[#This Row],[15/05/2018]])</f>
        <v>504907</v>
      </c>
      <c r="BB292">
        <f>IF(ISBLANK(Tabla7[[#This Row],[15/06/2018]]),0,Tabla7[[#This Row],[15/06/2018]])</f>
        <v>504907</v>
      </c>
      <c r="BC292">
        <f>IF(ISBLANK(Tabla7[[#This Row],[15/07/2018]]),0,Tabla7[[#This Row],[15/07/2018]])</f>
        <v>504907</v>
      </c>
      <c r="BD292">
        <f>IF(ISBLANK(Tabla7[[#This Row],[15/08/2018]]),0,Tabla7[[#This Row],[15/08/2018]])</f>
        <v>504907</v>
      </c>
      <c r="BE292">
        <f>IF(ISBLANK(Tabla7[[#This Row],[15/09/2018]]),0,Tabla7[[#This Row],[15/09/2018]])</f>
        <v>504907</v>
      </c>
      <c r="BF292">
        <f>IF(ISBLANK(Tabla7[[#This Row],[15/10/2018]]),0,Tabla7[[#This Row],[15/10/2018]])</f>
        <v>504907</v>
      </c>
      <c r="BG292">
        <f>IF(ISBLANK(Tabla7[[#This Row],[15/11/2018]]),0,Tabla7[[#This Row],[15/11/2018]])</f>
        <v>504907</v>
      </c>
      <c r="BH292">
        <f>IF(ISBLANK(Tabla7[[#This Row],[15/12/2018]]),0,Tabla7[[#This Row],[15/12/2018]])</f>
        <v>504907</v>
      </c>
      <c r="BI292">
        <f>IF(ISBLANK(Tabla7[[#This Row],[28/12/2018]]),0,Tabla7[[#This Row],[28/12/2018]])</f>
        <v>0</v>
      </c>
      <c r="BN29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('DBB211700','V','VCT11','140','RACK VR11','EN CT','','504907');</v>
      </c>
      <c r="BO292" t="s">
        <v>243</v>
      </c>
      <c r="BP292" s="632" t="str">
        <f>CONCATENATE("insert into lecturas values ","('",Tabla7[[#This Row],[CONTADOR]],"',STR_TO_DATE('",Tabla7[[#Headers],[31/12/2017]],"','%d/%m/%Y'),",AV292,"),","('",Tabla7[[#This Row],[CONTADOR]],"',STR_TO_DATE('",Tabla7[[#Headers],[15/01/2018]],"','%d/%m/%Y'),",AW292,"),","('",Tabla7[[#This Row],[CONTADOR]],"',STR_TO_DATE('",Tabla7[[#Headers],[15/02/2018]],"','%d/%m/%Y'),",AX292,"),","('",Tabla7[[#This Row],[CONTADOR]],"',STR_TO_DATE('",Tabla7[[#Headers],[15/03/2018]],"','%d/%m/%Y'),",AY292,"),","('",Tabla7[[#This Row],[CONTADOR]],"',STR_TO_DATE('",Tabla7[[#Headers],[15/04/2018]],"','%d/%m/%Y'),",AZ292,"),","('",Tabla7[[#This Row],[CONTADOR]],"',STR_TO_DATE('",Tabla7[[#Headers],[15/05/2018]],"','%d/%m/%Y'),",BA292,"),","('",Tabla7[[#This Row],[CONTADOR]],"',STR_TO_DATE('",Tabla7[[#Headers],[15/06/2018]],"','%d/%m/%Y'),",BB292,"),","('",Tabla7[[#This Row],[CONTADOR]],"',STR_TO_DATE('",Tabla7[[#Headers],[15/07/2018]],"','%d/%m/%Y'),",BC292,"),","('",Tabla7[[#This Row],[CONTADOR]],"',STR_TO_DATE('",Tabla7[[#Headers],[15/08/2018]],"','%d/%m/%Y'),",BD292,"),","('",Tabla7[[#This Row],[CONTADOR]],"',STR_TO_DATE('",Tabla7[[#Headers],[15/09/2018]],"','%d/%m/%Y'),",BE292,"),","('",Tabla7[[#This Row],[CONTADOR]],"',STR_TO_DATE('",Tabla7[[#Headers],[15/10/2018]],"','%d/%m/%Y'),",BF292,"),","('",Tabla7[[#This Row],[CONTADOR]],"',STR_TO_DATE('",Tabla7[[#Headers],[15/11/2018]],"','%d/%m/%Y'),",BG292,"),","('",Tabla7[[#This Row],[CONTADOR]],"',STR_TO_DATE('",Tabla7[[#Headers],[15/12/2018]],"','%d/%m/%Y'),",BH292,");")</f>
        <v>insert into lecturas values ('DBB211700',STR_TO_DATE('31/12/2017','%d/%m/%Y'),504907),('DBB211700',STR_TO_DATE('15/01/2018','%d/%m/%Y'),504907),('DBB211700',STR_TO_DATE('15/02/2018','%d/%m/%Y'),504907),('DBB211700',STR_TO_DATE('15/03/2018','%d/%m/%Y'),504907),('DBB211700',STR_TO_DATE('15/04/2018','%d/%m/%Y'),504907),('DBB211700',STR_TO_DATE('15/05/2018','%d/%m/%Y'),504907),('DBB211700',STR_TO_DATE('15/06/2018','%d/%m/%Y'),504907),('DBB211700',STR_TO_DATE('15/07/2018','%d/%m/%Y'),504907),('DBB211700',STR_TO_DATE('15/08/2018','%d/%m/%Y'),504907),('DBB211700',STR_TO_DATE('15/09/2018','%d/%m/%Y'),504907),('DBB211700',STR_TO_DATE('15/10/2018','%d/%m/%Y'),504907),('DBB211700',STR_TO_DATE('15/11/2018','%d/%m/%Y'),504907),('DBB211700',STR_TO_DATE('15/12/2018','%d/%m/%Y'),504907);</v>
      </c>
    </row>
    <row r="293" spans="1:68" ht="18" customHeight="1" x14ac:dyDescent="0.25">
      <c r="A293" s="241" t="s">
        <v>19</v>
      </c>
      <c r="B293" s="60"/>
      <c r="C293" s="342" t="s">
        <v>1330</v>
      </c>
      <c r="D293" s="60" t="s">
        <v>121</v>
      </c>
      <c r="E293" s="258">
        <v>39323</v>
      </c>
      <c r="F293" s="274" t="s">
        <v>123</v>
      </c>
      <c r="G293" s="274" t="s">
        <v>135</v>
      </c>
      <c r="H293" s="2"/>
      <c r="I293" s="2"/>
      <c r="J293" s="311">
        <v>154770</v>
      </c>
      <c r="K293" s="311">
        <v>155061</v>
      </c>
      <c r="L293" s="311">
        <v>155606</v>
      </c>
      <c r="M293" s="311">
        <v>156075</v>
      </c>
      <c r="N293" s="311">
        <v>156512</v>
      </c>
      <c r="O293" s="311">
        <v>156914</v>
      </c>
      <c r="P293" s="311">
        <v>157263</v>
      </c>
      <c r="Q293" s="2">
        <v>157512</v>
      </c>
      <c r="R293" s="311">
        <v>157818</v>
      </c>
      <c r="S293" s="311">
        <v>158231</v>
      </c>
      <c r="T293" s="311">
        <v>158640</v>
      </c>
      <c r="U293" s="492">
        <v>159195</v>
      </c>
      <c r="V293" s="492">
        <v>159804</v>
      </c>
      <c r="W293" s="2"/>
      <c r="X293" s="2"/>
      <c r="Y293" s="2">
        <f t="shared" si="86"/>
        <v>291</v>
      </c>
      <c r="Z293" s="2">
        <f t="shared" si="84"/>
        <v>545</v>
      </c>
      <c r="AA293" s="2">
        <f t="shared" si="101"/>
        <v>469</v>
      </c>
      <c r="AB293" s="2">
        <f t="shared" si="100"/>
        <v>437</v>
      </c>
      <c r="AC293" s="2">
        <f t="shared" si="92"/>
        <v>402</v>
      </c>
      <c r="AD293" s="2">
        <f t="shared" si="93"/>
        <v>349</v>
      </c>
      <c r="AE293" s="2">
        <f t="shared" si="94"/>
        <v>249</v>
      </c>
      <c r="AF293" s="2">
        <f t="shared" si="95"/>
        <v>306</v>
      </c>
      <c r="AG293" s="2">
        <f t="shared" si="96"/>
        <v>413</v>
      </c>
      <c r="AH293" s="2">
        <f t="shared" si="99"/>
        <v>409</v>
      </c>
      <c r="AI293" s="2">
        <f t="shared" si="97"/>
        <v>555</v>
      </c>
      <c r="AJ293" s="2">
        <f t="shared" si="98"/>
        <v>609</v>
      </c>
      <c r="AK293" s="406">
        <v>1</v>
      </c>
      <c r="AL293" s="274">
        <f t="shared" ca="1" si="88"/>
        <v>156512</v>
      </c>
      <c r="AM293" s="311">
        <f t="shared" ca="1" si="89"/>
        <v>156914</v>
      </c>
      <c r="AN293" s="274">
        <f ca="1">IF(AND(Tabla7[[#This Row],[UltLec]]&lt;&gt;0,Tabla7[[#This Row],[PenLect]]&lt;&gt;0),(AM293-AL293)*Tabla7[[#This Row],[RT]],"N/A")</f>
        <v>402</v>
      </c>
      <c r="AO293" s="273" t="s">
        <v>862</v>
      </c>
      <c r="AP293" s="392" t="s">
        <v>1190</v>
      </c>
      <c r="AQ293" s="392" t="s">
        <v>1189</v>
      </c>
      <c r="AR293" s="407">
        <f t="shared" si="90"/>
        <v>0</v>
      </c>
      <c r="AT293" s="2">
        <f t="shared" ca="1" si="91"/>
        <v>0.919908466819222</v>
      </c>
      <c r="AV293">
        <f>IF(ISBLANK(Tabla7[[#This Row],[31/12/2017]]),0,Tabla7[[#This Row],[31/12/2017]])</f>
        <v>154770</v>
      </c>
      <c r="AW293">
        <f>IF(ISBLANK(Tabla7[[#This Row],[15/01/2018]]),0,Tabla7[[#This Row],[15/01/2018]])</f>
        <v>155061</v>
      </c>
      <c r="AX293">
        <f>IF(ISBLANK(Tabla7[[#This Row],[15/02/2018]]),0,Tabla7[[#This Row],[15/02/2018]])</f>
        <v>155606</v>
      </c>
      <c r="AY293">
        <f>IF(ISBLANK(Tabla7[[#This Row],[15/03/2018]]),0,Tabla7[[#This Row],[15/03/2018]])</f>
        <v>156075</v>
      </c>
      <c r="AZ293">
        <f>IF(ISBLANK(Tabla7[[#This Row],[15/04/2018]]),0,Tabla7[[#This Row],[15/04/2018]])</f>
        <v>156512</v>
      </c>
      <c r="BA293">
        <f>IF(ISBLANK(Tabla7[[#This Row],[15/05/2018]]),0,Tabla7[[#This Row],[15/05/2018]])</f>
        <v>156914</v>
      </c>
      <c r="BB293">
        <f>IF(ISBLANK(Tabla7[[#This Row],[15/06/2018]]),0,Tabla7[[#This Row],[15/06/2018]])</f>
        <v>157263</v>
      </c>
      <c r="BC293">
        <f>IF(ISBLANK(Tabla7[[#This Row],[15/07/2018]]),0,Tabla7[[#This Row],[15/07/2018]])</f>
        <v>157512</v>
      </c>
      <c r="BD293">
        <f>IF(ISBLANK(Tabla7[[#This Row],[15/08/2018]]),0,Tabla7[[#This Row],[15/08/2018]])</f>
        <v>157818</v>
      </c>
      <c r="BE293">
        <f>IF(ISBLANK(Tabla7[[#This Row],[15/09/2018]]),0,Tabla7[[#This Row],[15/09/2018]])</f>
        <v>158231</v>
      </c>
      <c r="BF293">
        <f>IF(ISBLANK(Tabla7[[#This Row],[15/10/2018]]),0,Tabla7[[#This Row],[15/10/2018]])</f>
        <v>158640</v>
      </c>
      <c r="BG293">
        <f>IF(ISBLANK(Tabla7[[#This Row],[15/11/2018]]),0,Tabla7[[#This Row],[15/11/2018]])</f>
        <v>159195</v>
      </c>
      <c r="BH293">
        <f>IF(ISBLANK(Tabla7[[#This Row],[15/12/2018]]),0,Tabla7[[#This Row],[15/12/2018]])</f>
        <v>159804</v>
      </c>
      <c r="BI293">
        <f>IF(ISBLANK(Tabla7[[#This Row],[28/12/2018]]),0,Tabla7[[#This Row],[28/12/2018]])</f>
        <v>0</v>
      </c>
      <c r="BN29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('BGJQHCD9999585472','V','VCT13','39323','EUROLINEAS MARITIMAS','EN TORRE 1301','','');</v>
      </c>
      <c r="BO293" t="s">
        <v>243</v>
      </c>
      <c r="BP293" s="632" t="str">
        <f>CONCATENATE("insert into lecturas values ","('",Tabla7[[#This Row],[CONTADOR]],"',STR_TO_DATE('",Tabla7[[#Headers],[31/12/2017]],"','%d/%m/%Y'),",AV293,"),","('",Tabla7[[#This Row],[CONTADOR]],"',STR_TO_DATE('",Tabla7[[#Headers],[15/01/2018]],"','%d/%m/%Y'),",AW293,"),","('",Tabla7[[#This Row],[CONTADOR]],"',STR_TO_DATE('",Tabla7[[#Headers],[15/02/2018]],"','%d/%m/%Y'),",AX293,"),","('",Tabla7[[#This Row],[CONTADOR]],"',STR_TO_DATE('",Tabla7[[#Headers],[15/03/2018]],"','%d/%m/%Y'),",AY293,"),","('",Tabla7[[#This Row],[CONTADOR]],"',STR_TO_DATE('",Tabla7[[#Headers],[15/04/2018]],"','%d/%m/%Y'),",AZ293,"),","('",Tabla7[[#This Row],[CONTADOR]],"',STR_TO_DATE('",Tabla7[[#Headers],[15/05/2018]],"','%d/%m/%Y'),",BA293,"),","('",Tabla7[[#This Row],[CONTADOR]],"',STR_TO_DATE('",Tabla7[[#Headers],[15/06/2018]],"','%d/%m/%Y'),",BB293,"),","('",Tabla7[[#This Row],[CONTADOR]],"',STR_TO_DATE('",Tabla7[[#Headers],[15/07/2018]],"','%d/%m/%Y'),",BC293,"),","('",Tabla7[[#This Row],[CONTADOR]],"',STR_TO_DATE('",Tabla7[[#Headers],[15/08/2018]],"','%d/%m/%Y'),",BD293,"),","('",Tabla7[[#This Row],[CONTADOR]],"',STR_TO_DATE('",Tabla7[[#Headers],[15/09/2018]],"','%d/%m/%Y'),",BE293,"),","('",Tabla7[[#This Row],[CONTADOR]],"',STR_TO_DATE('",Tabla7[[#Headers],[15/10/2018]],"','%d/%m/%Y'),",BF293,"),","('",Tabla7[[#This Row],[CONTADOR]],"',STR_TO_DATE('",Tabla7[[#Headers],[15/11/2018]],"','%d/%m/%Y'),",BG293,"),","('",Tabla7[[#This Row],[CONTADOR]],"',STR_TO_DATE('",Tabla7[[#Headers],[15/12/2018]],"','%d/%m/%Y'),",BH293,");")</f>
        <v>insert into lecturas values ('BGJQHCD9999585472',STR_TO_DATE('31/12/2017','%d/%m/%Y'),154770),('BGJQHCD9999585472',STR_TO_DATE('15/01/2018','%d/%m/%Y'),155061),('BGJQHCD9999585472',STR_TO_DATE('15/02/2018','%d/%m/%Y'),155606),('BGJQHCD9999585472',STR_TO_DATE('15/03/2018','%d/%m/%Y'),156075),('BGJQHCD9999585472',STR_TO_DATE('15/04/2018','%d/%m/%Y'),156512),('BGJQHCD9999585472',STR_TO_DATE('15/05/2018','%d/%m/%Y'),156914),('BGJQHCD9999585472',STR_TO_DATE('15/06/2018','%d/%m/%Y'),157263),('BGJQHCD9999585472',STR_TO_DATE('15/07/2018','%d/%m/%Y'),157512),('BGJQHCD9999585472',STR_TO_DATE('15/08/2018','%d/%m/%Y'),157818),('BGJQHCD9999585472',STR_TO_DATE('15/09/2018','%d/%m/%Y'),158231),('BGJQHCD9999585472',STR_TO_DATE('15/10/2018','%d/%m/%Y'),158640),('BGJQHCD9999585472',STR_TO_DATE('15/11/2018','%d/%m/%Y'),159195),('BGJQHCD9999585472',STR_TO_DATE('15/12/2018','%d/%m/%Y'),159804);</v>
      </c>
    </row>
    <row r="294" spans="1:68" ht="18" customHeight="1" x14ac:dyDescent="0.25">
      <c r="A294" s="241" t="s">
        <v>19</v>
      </c>
      <c r="B294" s="60"/>
      <c r="C294" s="342" t="s">
        <v>131</v>
      </c>
      <c r="D294" s="60" t="s">
        <v>121</v>
      </c>
      <c r="E294" s="258">
        <v>39383</v>
      </c>
      <c r="F294" s="2" t="s">
        <v>132</v>
      </c>
      <c r="G294" s="2" t="s">
        <v>133</v>
      </c>
      <c r="H294" s="2" t="s">
        <v>134</v>
      </c>
      <c r="I294" s="2"/>
      <c r="J294" s="311">
        <v>77250</v>
      </c>
      <c r="K294" s="311">
        <v>77251</v>
      </c>
      <c r="L294" s="354">
        <v>77251</v>
      </c>
      <c r="M294" s="311">
        <v>77251</v>
      </c>
      <c r="N294" s="311">
        <v>77251</v>
      </c>
      <c r="O294" s="311">
        <v>77251</v>
      </c>
      <c r="P294" s="311">
        <v>77251</v>
      </c>
      <c r="Q294" s="2">
        <v>77251</v>
      </c>
      <c r="R294" s="311">
        <v>77251</v>
      </c>
      <c r="S294" s="311">
        <v>77251</v>
      </c>
      <c r="T294" s="311">
        <v>77251</v>
      </c>
      <c r="U294" s="492">
        <v>77251</v>
      </c>
      <c r="V294" s="492">
        <v>77251</v>
      </c>
      <c r="W294" s="2"/>
      <c r="X294" s="2"/>
      <c r="Y294" s="2">
        <f t="shared" si="86"/>
        <v>1</v>
      </c>
      <c r="Z294" s="2">
        <f t="shared" si="84"/>
        <v>0</v>
      </c>
      <c r="AA294" s="2">
        <f t="shared" si="101"/>
        <v>0</v>
      </c>
      <c r="AB294" s="2">
        <f t="shared" si="100"/>
        <v>0</v>
      </c>
      <c r="AC294" s="2">
        <f t="shared" si="92"/>
        <v>0</v>
      </c>
      <c r="AD294" s="2">
        <f t="shared" si="93"/>
        <v>0</v>
      </c>
      <c r="AE294" s="2">
        <f t="shared" si="94"/>
        <v>0</v>
      </c>
      <c r="AF294" s="2">
        <f t="shared" si="95"/>
        <v>0</v>
      </c>
      <c r="AG294" s="2">
        <f t="shared" si="96"/>
        <v>0</v>
      </c>
      <c r="AH294" s="2">
        <f t="shared" si="99"/>
        <v>0</v>
      </c>
      <c r="AI294" s="2">
        <f t="shared" si="97"/>
        <v>0</v>
      </c>
      <c r="AJ294" s="2">
        <f t="shared" si="98"/>
        <v>0</v>
      </c>
      <c r="AK294" s="406">
        <v>1</v>
      </c>
      <c r="AL294" s="274">
        <f t="shared" ca="1" si="88"/>
        <v>77251</v>
      </c>
      <c r="AM294" s="311">
        <f t="shared" ca="1" si="89"/>
        <v>77251</v>
      </c>
      <c r="AN294" s="274">
        <f ca="1">IF(AND(Tabla7[[#This Row],[UltLec]]&lt;&gt;0,Tabla7[[#This Row],[PenLect]]&lt;&gt;0),(AM294-AL294)*Tabla7[[#This Row],[RT]],"N/A")</f>
        <v>0</v>
      </c>
      <c r="AO294" s="273" t="s">
        <v>862</v>
      </c>
      <c r="AP294" s="392" t="s">
        <v>1190</v>
      </c>
      <c r="AQ294" s="392" t="s">
        <v>1189</v>
      </c>
      <c r="AR294" s="407">
        <f t="shared" si="90"/>
        <v>0</v>
      </c>
      <c r="AT294" s="2" t="str">
        <f t="shared" ca="1" si="91"/>
        <v>0</v>
      </c>
      <c r="AV294">
        <f>IF(ISBLANK(Tabla7[[#This Row],[31/12/2017]]),0,Tabla7[[#This Row],[31/12/2017]])</f>
        <v>77250</v>
      </c>
      <c r="AW294">
        <f>IF(ISBLANK(Tabla7[[#This Row],[15/01/2018]]),0,Tabla7[[#This Row],[15/01/2018]])</f>
        <v>77251</v>
      </c>
      <c r="AX294">
        <f>IF(ISBLANK(Tabla7[[#This Row],[15/02/2018]]),0,Tabla7[[#This Row],[15/02/2018]])</f>
        <v>77251</v>
      </c>
      <c r="AY294">
        <f>IF(ISBLANK(Tabla7[[#This Row],[15/03/2018]]),0,Tabla7[[#This Row],[15/03/2018]])</f>
        <v>77251</v>
      </c>
      <c r="AZ294">
        <f>IF(ISBLANK(Tabla7[[#This Row],[15/04/2018]]),0,Tabla7[[#This Row],[15/04/2018]])</f>
        <v>77251</v>
      </c>
      <c r="BA294">
        <f>IF(ISBLANK(Tabla7[[#This Row],[15/05/2018]]),0,Tabla7[[#This Row],[15/05/2018]])</f>
        <v>77251</v>
      </c>
      <c r="BB294">
        <f>IF(ISBLANK(Tabla7[[#This Row],[15/06/2018]]),0,Tabla7[[#This Row],[15/06/2018]])</f>
        <v>77251</v>
      </c>
      <c r="BC294">
        <f>IF(ISBLANK(Tabla7[[#This Row],[15/07/2018]]),0,Tabla7[[#This Row],[15/07/2018]])</f>
        <v>77251</v>
      </c>
      <c r="BD294">
        <f>IF(ISBLANK(Tabla7[[#This Row],[15/08/2018]]),0,Tabla7[[#This Row],[15/08/2018]])</f>
        <v>77251</v>
      </c>
      <c r="BE294">
        <f>IF(ISBLANK(Tabla7[[#This Row],[15/09/2018]]),0,Tabla7[[#This Row],[15/09/2018]])</f>
        <v>77251</v>
      </c>
      <c r="BF294">
        <f>IF(ISBLANK(Tabla7[[#This Row],[15/10/2018]]),0,Tabla7[[#This Row],[15/10/2018]])</f>
        <v>77251</v>
      </c>
      <c r="BG294">
        <f>IF(ISBLANK(Tabla7[[#This Row],[15/11/2018]]),0,Tabla7[[#This Row],[15/11/2018]])</f>
        <v>77251</v>
      </c>
      <c r="BH294">
        <f>IF(ISBLANK(Tabla7[[#This Row],[15/12/2018]]),0,Tabla7[[#This Row],[15/12/2018]])</f>
        <v>77251</v>
      </c>
      <c r="BI294">
        <f>IF(ISBLANK(Tabla7[[#This Row],[28/12/2018]]),0,Tabla7[[#This Row],[28/12/2018]])</f>
        <v>0</v>
      </c>
      <c r="BN29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('LW00043076','V','VCT13','39383','AMARRADORES PUERTO VALENCIA','EN HORNACINA','ANTIGUO CT12','');</v>
      </c>
      <c r="BO294" t="s">
        <v>243</v>
      </c>
      <c r="BP294" s="632" t="str">
        <f>CONCATENATE("insert into lecturas values ","('",Tabla7[[#This Row],[CONTADOR]],"',STR_TO_DATE('",Tabla7[[#Headers],[31/12/2017]],"','%d/%m/%Y'),",AV294,"),","('",Tabla7[[#This Row],[CONTADOR]],"',STR_TO_DATE('",Tabla7[[#Headers],[15/01/2018]],"','%d/%m/%Y'),",AW294,"),","('",Tabla7[[#This Row],[CONTADOR]],"',STR_TO_DATE('",Tabla7[[#Headers],[15/02/2018]],"','%d/%m/%Y'),",AX294,"),","('",Tabla7[[#This Row],[CONTADOR]],"',STR_TO_DATE('",Tabla7[[#Headers],[15/03/2018]],"','%d/%m/%Y'),",AY294,"),","('",Tabla7[[#This Row],[CONTADOR]],"',STR_TO_DATE('",Tabla7[[#Headers],[15/04/2018]],"','%d/%m/%Y'),",AZ294,"),","('",Tabla7[[#This Row],[CONTADOR]],"',STR_TO_DATE('",Tabla7[[#Headers],[15/05/2018]],"','%d/%m/%Y'),",BA294,"),","('",Tabla7[[#This Row],[CONTADOR]],"',STR_TO_DATE('",Tabla7[[#Headers],[15/06/2018]],"','%d/%m/%Y'),",BB294,"),","('",Tabla7[[#This Row],[CONTADOR]],"',STR_TO_DATE('",Tabla7[[#Headers],[15/07/2018]],"','%d/%m/%Y'),",BC294,"),","('",Tabla7[[#This Row],[CONTADOR]],"',STR_TO_DATE('",Tabla7[[#Headers],[15/08/2018]],"','%d/%m/%Y'),",BD294,"),","('",Tabla7[[#This Row],[CONTADOR]],"',STR_TO_DATE('",Tabla7[[#Headers],[15/09/2018]],"','%d/%m/%Y'),",BE294,"),","('",Tabla7[[#This Row],[CONTADOR]],"',STR_TO_DATE('",Tabla7[[#Headers],[15/10/2018]],"','%d/%m/%Y'),",BF294,"),","('",Tabla7[[#This Row],[CONTADOR]],"',STR_TO_DATE('",Tabla7[[#Headers],[15/11/2018]],"','%d/%m/%Y'),",BG294,"),","('",Tabla7[[#This Row],[CONTADOR]],"',STR_TO_DATE('",Tabla7[[#Headers],[15/12/2018]],"','%d/%m/%Y'),",BH294,");")</f>
        <v>insert into lecturas values ('LW00043076',STR_TO_DATE('31/12/2017','%d/%m/%Y'),77250),('LW00043076',STR_TO_DATE('15/01/2018','%d/%m/%Y'),77251),('LW00043076',STR_TO_DATE('15/02/2018','%d/%m/%Y'),77251),('LW00043076',STR_TO_DATE('15/03/2018','%d/%m/%Y'),77251),('LW00043076',STR_TO_DATE('15/04/2018','%d/%m/%Y'),77251),('LW00043076',STR_TO_DATE('15/05/2018','%d/%m/%Y'),77251),('LW00043076',STR_TO_DATE('15/06/2018','%d/%m/%Y'),77251),('LW00043076',STR_TO_DATE('15/07/2018','%d/%m/%Y'),77251),('LW00043076',STR_TO_DATE('15/08/2018','%d/%m/%Y'),77251),('LW00043076',STR_TO_DATE('15/09/2018','%d/%m/%Y'),77251),('LW00043076',STR_TO_DATE('15/10/2018','%d/%m/%Y'),77251),('LW00043076',STR_TO_DATE('15/11/2018','%d/%m/%Y'),77251),('LW00043076',STR_TO_DATE('15/12/2018','%d/%m/%Y'),77251);</v>
      </c>
    </row>
    <row r="295" spans="1:68" ht="18" customHeight="1" x14ac:dyDescent="0.25">
      <c r="A295" s="241" t="s">
        <v>19</v>
      </c>
      <c r="B295" s="60">
        <v>33039</v>
      </c>
      <c r="C295" s="342" t="s">
        <v>127</v>
      </c>
      <c r="D295" s="60" t="s">
        <v>121</v>
      </c>
      <c r="E295" s="258">
        <v>39151</v>
      </c>
      <c r="F295" s="2" t="s">
        <v>128</v>
      </c>
      <c r="G295" s="2" t="s">
        <v>993</v>
      </c>
      <c r="H295" s="2"/>
      <c r="I295" s="2"/>
      <c r="J295" s="311">
        <v>156206</v>
      </c>
      <c r="K295" s="311">
        <v>157480</v>
      </c>
      <c r="L295" s="354">
        <v>160291</v>
      </c>
      <c r="M295" s="311">
        <v>163451</v>
      </c>
      <c r="N295" s="311">
        <v>166814</v>
      </c>
      <c r="O295" s="311">
        <v>168593</v>
      </c>
      <c r="P295" s="311">
        <v>171461</v>
      </c>
      <c r="Q295" s="2">
        <v>173226</v>
      </c>
      <c r="R295" s="311">
        <v>175252</v>
      </c>
      <c r="S295" s="311">
        <v>177121</v>
      </c>
      <c r="T295" s="311">
        <v>178870</v>
      </c>
      <c r="U295" s="492">
        <v>180394</v>
      </c>
      <c r="V295" s="492">
        <v>182085</v>
      </c>
      <c r="W295" s="2"/>
      <c r="X295" s="2"/>
      <c r="Y295" s="2">
        <f t="shared" si="86"/>
        <v>1274</v>
      </c>
      <c r="Z295" s="2">
        <f t="shared" si="84"/>
        <v>2811</v>
      </c>
      <c r="AA295" s="2">
        <f t="shared" si="101"/>
        <v>3160</v>
      </c>
      <c r="AB295" s="2">
        <f t="shared" si="100"/>
        <v>3363</v>
      </c>
      <c r="AC295" s="2">
        <f t="shared" si="92"/>
        <v>1779</v>
      </c>
      <c r="AD295" s="2">
        <f t="shared" si="93"/>
        <v>2868</v>
      </c>
      <c r="AE295" s="2">
        <f t="shared" si="94"/>
        <v>1765</v>
      </c>
      <c r="AF295" s="2">
        <f t="shared" si="95"/>
        <v>2026</v>
      </c>
      <c r="AG295" s="2">
        <f t="shared" si="96"/>
        <v>1869</v>
      </c>
      <c r="AH295" s="2">
        <f t="shared" si="99"/>
        <v>1749</v>
      </c>
      <c r="AI295" s="2">
        <f t="shared" si="97"/>
        <v>1524</v>
      </c>
      <c r="AJ295" s="2">
        <f t="shared" si="98"/>
        <v>1691</v>
      </c>
      <c r="AK295" s="406">
        <v>1</v>
      </c>
      <c r="AL295" s="274">
        <f t="shared" ca="1" si="88"/>
        <v>166814</v>
      </c>
      <c r="AM295" s="311">
        <f t="shared" ca="1" si="89"/>
        <v>168593</v>
      </c>
      <c r="AN295" s="274">
        <f ca="1">IF(AND(Tabla7[[#This Row],[UltLec]]&lt;&gt;0,Tabla7[[#This Row],[PenLect]]&lt;&gt;0),(AM295-AL295)*Tabla7[[#This Row],[RT]],"N/A")</f>
        <v>1779</v>
      </c>
      <c r="AO295" s="273" t="s">
        <v>862</v>
      </c>
      <c r="AP295" s="392" t="s">
        <v>1190</v>
      </c>
      <c r="AQ295" s="392" t="s">
        <v>1189</v>
      </c>
      <c r="AR295" s="407">
        <f t="shared" si="90"/>
        <v>0</v>
      </c>
      <c r="AT295" s="2">
        <f t="shared" ca="1" si="91"/>
        <v>0.52899197145405885</v>
      </c>
      <c r="AV295">
        <f>IF(ISBLANK(Tabla7[[#This Row],[31/12/2017]]),0,Tabla7[[#This Row],[31/12/2017]])</f>
        <v>156206</v>
      </c>
      <c r="AW295">
        <f>IF(ISBLANK(Tabla7[[#This Row],[15/01/2018]]),0,Tabla7[[#This Row],[15/01/2018]])</f>
        <v>157480</v>
      </c>
      <c r="AX295">
        <f>IF(ISBLANK(Tabla7[[#This Row],[15/02/2018]]),0,Tabla7[[#This Row],[15/02/2018]])</f>
        <v>160291</v>
      </c>
      <c r="AY295">
        <f>IF(ISBLANK(Tabla7[[#This Row],[15/03/2018]]),0,Tabla7[[#This Row],[15/03/2018]])</f>
        <v>163451</v>
      </c>
      <c r="AZ295">
        <f>IF(ISBLANK(Tabla7[[#This Row],[15/04/2018]]),0,Tabla7[[#This Row],[15/04/2018]])</f>
        <v>166814</v>
      </c>
      <c r="BA295">
        <f>IF(ISBLANK(Tabla7[[#This Row],[15/05/2018]]),0,Tabla7[[#This Row],[15/05/2018]])</f>
        <v>168593</v>
      </c>
      <c r="BB295">
        <f>IF(ISBLANK(Tabla7[[#This Row],[15/06/2018]]),0,Tabla7[[#This Row],[15/06/2018]])</f>
        <v>171461</v>
      </c>
      <c r="BC295">
        <f>IF(ISBLANK(Tabla7[[#This Row],[15/07/2018]]),0,Tabla7[[#This Row],[15/07/2018]])</f>
        <v>173226</v>
      </c>
      <c r="BD295">
        <f>IF(ISBLANK(Tabla7[[#This Row],[15/08/2018]]),0,Tabla7[[#This Row],[15/08/2018]])</f>
        <v>175252</v>
      </c>
      <c r="BE295">
        <f>IF(ISBLANK(Tabla7[[#This Row],[15/09/2018]]),0,Tabla7[[#This Row],[15/09/2018]])</f>
        <v>177121</v>
      </c>
      <c r="BF295">
        <f>IF(ISBLANK(Tabla7[[#This Row],[15/10/2018]]),0,Tabla7[[#This Row],[15/10/2018]])</f>
        <v>178870</v>
      </c>
      <c r="BG295">
        <f>IF(ISBLANK(Tabla7[[#This Row],[15/11/2018]]),0,Tabla7[[#This Row],[15/11/2018]])</f>
        <v>180394</v>
      </c>
      <c r="BH295">
        <f>IF(ISBLANK(Tabla7[[#This Row],[15/12/2018]]),0,Tabla7[[#This Row],[15/12/2018]])</f>
        <v>182085</v>
      </c>
      <c r="BI295">
        <f>IF(ISBLANK(Tabla7[[#This Row],[28/12/2018]]),0,Tabla7[[#This Row],[28/12/2018]])</f>
        <v>0</v>
      </c>
      <c r="BN29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('LW00180769','V','VCT13','39151','TEVA-TANK S.L.','CENTRALIZACION (3)','','');</v>
      </c>
      <c r="BO295" t="s">
        <v>243</v>
      </c>
      <c r="BP295" s="632" t="str">
        <f>CONCATENATE("insert into lecturas values ","('",Tabla7[[#This Row],[CONTADOR]],"',STR_TO_DATE('",Tabla7[[#Headers],[31/12/2017]],"','%d/%m/%Y'),",AV295,"),","('",Tabla7[[#This Row],[CONTADOR]],"',STR_TO_DATE('",Tabla7[[#Headers],[15/01/2018]],"','%d/%m/%Y'),",AW295,"),","('",Tabla7[[#This Row],[CONTADOR]],"',STR_TO_DATE('",Tabla7[[#Headers],[15/02/2018]],"','%d/%m/%Y'),",AX295,"),","('",Tabla7[[#This Row],[CONTADOR]],"',STR_TO_DATE('",Tabla7[[#Headers],[15/03/2018]],"','%d/%m/%Y'),",AY295,"),","('",Tabla7[[#This Row],[CONTADOR]],"',STR_TO_DATE('",Tabla7[[#Headers],[15/04/2018]],"','%d/%m/%Y'),",AZ295,"),","('",Tabla7[[#This Row],[CONTADOR]],"',STR_TO_DATE('",Tabla7[[#Headers],[15/05/2018]],"','%d/%m/%Y'),",BA295,"),","('",Tabla7[[#This Row],[CONTADOR]],"',STR_TO_DATE('",Tabla7[[#Headers],[15/06/2018]],"','%d/%m/%Y'),",BB295,"),","('",Tabla7[[#This Row],[CONTADOR]],"',STR_TO_DATE('",Tabla7[[#Headers],[15/07/2018]],"','%d/%m/%Y'),",BC295,"),","('",Tabla7[[#This Row],[CONTADOR]],"',STR_TO_DATE('",Tabla7[[#Headers],[15/08/2018]],"','%d/%m/%Y'),",BD295,"),","('",Tabla7[[#This Row],[CONTADOR]],"',STR_TO_DATE('",Tabla7[[#Headers],[15/09/2018]],"','%d/%m/%Y'),",BE295,"),","('",Tabla7[[#This Row],[CONTADOR]],"',STR_TO_DATE('",Tabla7[[#Headers],[15/10/2018]],"','%d/%m/%Y'),",BF295,"),","('",Tabla7[[#This Row],[CONTADOR]],"',STR_TO_DATE('",Tabla7[[#Headers],[15/11/2018]],"','%d/%m/%Y'),",BG295,"),","('",Tabla7[[#This Row],[CONTADOR]],"',STR_TO_DATE('",Tabla7[[#Headers],[15/12/2018]],"','%d/%m/%Y'),",BH295,");")</f>
        <v>insert into lecturas values ('LW00180769',STR_TO_DATE('31/12/2017','%d/%m/%Y'),156206),('LW00180769',STR_TO_DATE('15/01/2018','%d/%m/%Y'),157480),('LW00180769',STR_TO_DATE('15/02/2018','%d/%m/%Y'),160291),('LW00180769',STR_TO_DATE('15/03/2018','%d/%m/%Y'),163451),('LW00180769',STR_TO_DATE('15/04/2018','%d/%m/%Y'),166814),('LW00180769',STR_TO_DATE('15/05/2018','%d/%m/%Y'),168593),('LW00180769',STR_TO_DATE('15/06/2018','%d/%m/%Y'),171461),('LW00180769',STR_TO_DATE('15/07/2018','%d/%m/%Y'),173226),('LW00180769',STR_TO_DATE('15/08/2018','%d/%m/%Y'),175252),('LW00180769',STR_TO_DATE('15/09/2018','%d/%m/%Y'),177121),('LW00180769',STR_TO_DATE('15/10/2018','%d/%m/%Y'),178870),('LW00180769',STR_TO_DATE('15/11/2018','%d/%m/%Y'),180394),('LW00180769',STR_TO_DATE('15/12/2018','%d/%m/%Y'),182085);</v>
      </c>
    </row>
    <row r="296" spans="1:68" ht="18" customHeight="1" x14ac:dyDescent="0.25">
      <c r="A296" s="241" t="s">
        <v>19</v>
      </c>
      <c r="B296" s="60">
        <v>1084</v>
      </c>
      <c r="C296" s="342" t="s">
        <v>122</v>
      </c>
      <c r="D296" s="60" t="s">
        <v>121</v>
      </c>
      <c r="E296" s="258">
        <v>39150</v>
      </c>
      <c r="F296" s="2" t="s">
        <v>123</v>
      </c>
      <c r="G296" s="2" t="s">
        <v>995</v>
      </c>
      <c r="H296" s="2"/>
      <c r="I296" s="2"/>
      <c r="J296" s="311">
        <v>814149</v>
      </c>
      <c r="K296" s="311">
        <v>818070</v>
      </c>
      <c r="L296" s="354">
        <v>826495</v>
      </c>
      <c r="M296" s="311">
        <v>834048</v>
      </c>
      <c r="N296" s="311">
        <v>840133</v>
      </c>
      <c r="O296" s="311">
        <v>846127</v>
      </c>
      <c r="P296" s="311">
        <v>853209</v>
      </c>
      <c r="Q296" s="2">
        <v>863569</v>
      </c>
      <c r="R296" s="311">
        <v>875107</v>
      </c>
      <c r="S296" s="311">
        <v>886081</v>
      </c>
      <c r="T296" s="311">
        <v>893824</v>
      </c>
      <c r="U296" s="492">
        <v>901437</v>
      </c>
      <c r="V296" s="492">
        <v>908406</v>
      </c>
      <c r="W296" s="2"/>
      <c r="X296" s="2"/>
      <c r="Y296" s="2">
        <f t="shared" si="86"/>
        <v>3921</v>
      </c>
      <c r="Z296" s="2">
        <f t="shared" si="84"/>
        <v>8425</v>
      </c>
      <c r="AA296" s="2">
        <f t="shared" si="101"/>
        <v>7553</v>
      </c>
      <c r="AB296" s="2">
        <f t="shared" si="100"/>
        <v>6085</v>
      </c>
      <c r="AC296" s="2">
        <f t="shared" si="92"/>
        <v>5994</v>
      </c>
      <c r="AD296" s="2">
        <f t="shared" si="93"/>
        <v>7082</v>
      </c>
      <c r="AE296" s="2">
        <f t="shared" si="94"/>
        <v>10360</v>
      </c>
      <c r="AF296" s="2">
        <f t="shared" si="95"/>
        <v>11538</v>
      </c>
      <c r="AG296" s="2">
        <f t="shared" si="96"/>
        <v>10974</v>
      </c>
      <c r="AH296" s="2">
        <f t="shared" si="99"/>
        <v>7743</v>
      </c>
      <c r="AI296" s="2">
        <f t="shared" si="97"/>
        <v>7613</v>
      </c>
      <c r="AJ296" s="2">
        <f t="shared" si="98"/>
        <v>6969</v>
      </c>
      <c r="AK296" s="406">
        <v>1</v>
      </c>
      <c r="AL296" s="274">
        <f t="shared" ca="1" si="88"/>
        <v>840133</v>
      </c>
      <c r="AM296" s="311">
        <f t="shared" ca="1" si="89"/>
        <v>846127</v>
      </c>
      <c r="AN296" s="274">
        <f ca="1">IF(AND(Tabla7[[#This Row],[UltLec]]&lt;&gt;0,Tabla7[[#This Row],[PenLect]]&lt;&gt;0),(AM296-AL296)*Tabla7[[#This Row],[RT]],"N/A")</f>
        <v>5994</v>
      </c>
      <c r="AO296" s="273" t="s">
        <v>862</v>
      </c>
      <c r="AP296" s="392" t="s">
        <v>1190</v>
      </c>
      <c r="AQ296" s="392" t="s">
        <v>1189</v>
      </c>
      <c r="AR296" s="407">
        <f t="shared" si="90"/>
        <v>0</v>
      </c>
      <c r="AT296" s="2">
        <f t="shared" ca="1" si="91"/>
        <v>0.98504519309778138</v>
      </c>
      <c r="AV296">
        <f>IF(ISBLANK(Tabla7[[#This Row],[31/12/2017]]),0,Tabla7[[#This Row],[31/12/2017]])</f>
        <v>814149</v>
      </c>
      <c r="AW296">
        <f>IF(ISBLANK(Tabla7[[#This Row],[15/01/2018]]),0,Tabla7[[#This Row],[15/01/2018]])</f>
        <v>818070</v>
      </c>
      <c r="AX296">
        <f>IF(ISBLANK(Tabla7[[#This Row],[15/02/2018]]),0,Tabla7[[#This Row],[15/02/2018]])</f>
        <v>826495</v>
      </c>
      <c r="AY296">
        <f>IF(ISBLANK(Tabla7[[#This Row],[15/03/2018]]),0,Tabla7[[#This Row],[15/03/2018]])</f>
        <v>834048</v>
      </c>
      <c r="AZ296">
        <f>IF(ISBLANK(Tabla7[[#This Row],[15/04/2018]]),0,Tabla7[[#This Row],[15/04/2018]])</f>
        <v>840133</v>
      </c>
      <c r="BA296">
        <f>IF(ISBLANK(Tabla7[[#This Row],[15/05/2018]]),0,Tabla7[[#This Row],[15/05/2018]])</f>
        <v>846127</v>
      </c>
      <c r="BB296">
        <f>IF(ISBLANK(Tabla7[[#This Row],[15/06/2018]]),0,Tabla7[[#This Row],[15/06/2018]])</f>
        <v>853209</v>
      </c>
      <c r="BC296">
        <f>IF(ISBLANK(Tabla7[[#This Row],[15/07/2018]]),0,Tabla7[[#This Row],[15/07/2018]])</f>
        <v>863569</v>
      </c>
      <c r="BD296">
        <f>IF(ISBLANK(Tabla7[[#This Row],[15/08/2018]]),0,Tabla7[[#This Row],[15/08/2018]])</f>
        <v>875107</v>
      </c>
      <c r="BE296">
        <f>IF(ISBLANK(Tabla7[[#This Row],[15/09/2018]]),0,Tabla7[[#This Row],[15/09/2018]])</f>
        <v>886081</v>
      </c>
      <c r="BF296">
        <f>IF(ISBLANK(Tabla7[[#This Row],[15/10/2018]]),0,Tabla7[[#This Row],[15/10/2018]])</f>
        <v>893824</v>
      </c>
      <c r="BG296">
        <f>IF(ISBLANK(Tabla7[[#This Row],[15/11/2018]]),0,Tabla7[[#This Row],[15/11/2018]])</f>
        <v>901437</v>
      </c>
      <c r="BH296">
        <f>IF(ISBLANK(Tabla7[[#This Row],[15/12/2018]]),0,Tabla7[[#This Row],[15/12/2018]])</f>
        <v>908406</v>
      </c>
      <c r="BI296">
        <f>IF(ISBLANK(Tabla7[[#This Row],[28/12/2018]]),0,Tabla7[[#This Row],[28/12/2018]])</f>
        <v>0</v>
      </c>
      <c r="BN29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('LW00181323','V','VCT13','39150','EUROLINEAS MARITIMAS','CENTRALIZACION (1)','','');</v>
      </c>
      <c r="BO296" t="s">
        <v>243</v>
      </c>
      <c r="BP296" s="632" t="str">
        <f>CONCATENATE("insert into lecturas values ","('",Tabla7[[#This Row],[CONTADOR]],"',STR_TO_DATE('",Tabla7[[#Headers],[31/12/2017]],"','%d/%m/%Y'),",AV296,"),","('",Tabla7[[#This Row],[CONTADOR]],"',STR_TO_DATE('",Tabla7[[#Headers],[15/01/2018]],"','%d/%m/%Y'),",AW296,"),","('",Tabla7[[#This Row],[CONTADOR]],"',STR_TO_DATE('",Tabla7[[#Headers],[15/02/2018]],"','%d/%m/%Y'),",AX296,"),","('",Tabla7[[#This Row],[CONTADOR]],"',STR_TO_DATE('",Tabla7[[#Headers],[15/03/2018]],"','%d/%m/%Y'),",AY296,"),","('",Tabla7[[#This Row],[CONTADOR]],"',STR_TO_DATE('",Tabla7[[#Headers],[15/04/2018]],"','%d/%m/%Y'),",AZ296,"),","('",Tabla7[[#This Row],[CONTADOR]],"',STR_TO_DATE('",Tabla7[[#Headers],[15/05/2018]],"','%d/%m/%Y'),",BA296,"),","('",Tabla7[[#This Row],[CONTADOR]],"',STR_TO_DATE('",Tabla7[[#Headers],[15/06/2018]],"','%d/%m/%Y'),",BB296,"),","('",Tabla7[[#This Row],[CONTADOR]],"',STR_TO_DATE('",Tabla7[[#Headers],[15/07/2018]],"','%d/%m/%Y'),",BC296,"),","('",Tabla7[[#This Row],[CONTADOR]],"',STR_TO_DATE('",Tabla7[[#Headers],[15/08/2018]],"','%d/%m/%Y'),",BD296,"),","('",Tabla7[[#This Row],[CONTADOR]],"',STR_TO_DATE('",Tabla7[[#Headers],[15/09/2018]],"','%d/%m/%Y'),",BE296,"),","('",Tabla7[[#This Row],[CONTADOR]],"',STR_TO_DATE('",Tabla7[[#Headers],[15/10/2018]],"','%d/%m/%Y'),",BF296,"),","('",Tabla7[[#This Row],[CONTADOR]],"',STR_TO_DATE('",Tabla7[[#Headers],[15/11/2018]],"','%d/%m/%Y'),",BG296,"),","('",Tabla7[[#This Row],[CONTADOR]],"',STR_TO_DATE('",Tabla7[[#Headers],[15/12/2018]],"','%d/%m/%Y'),",BH296,");")</f>
        <v>insert into lecturas values ('LW00181323',STR_TO_DATE('31/12/2017','%d/%m/%Y'),814149),('LW00181323',STR_TO_DATE('15/01/2018','%d/%m/%Y'),818070),('LW00181323',STR_TO_DATE('15/02/2018','%d/%m/%Y'),826495),('LW00181323',STR_TO_DATE('15/03/2018','%d/%m/%Y'),834048),('LW00181323',STR_TO_DATE('15/04/2018','%d/%m/%Y'),840133),('LW00181323',STR_TO_DATE('15/05/2018','%d/%m/%Y'),846127),('LW00181323',STR_TO_DATE('15/06/2018','%d/%m/%Y'),853209),('LW00181323',STR_TO_DATE('15/07/2018','%d/%m/%Y'),863569),('LW00181323',STR_TO_DATE('15/08/2018','%d/%m/%Y'),875107),('LW00181323',STR_TO_DATE('15/09/2018','%d/%m/%Y'),886081),('LW00181323',STR_TO_DATE('15/10/2018','%d/%m/%Y'),893824),('LW00181323',STR_TO_DATE('15/11/2018','%d/%m/%Y'),901437),('LW00181323',STR_TO_DATE('15/12/2018','%d/%m/%Y'),908406);</v>
      </c>
    </row>
    <row r="297" spans="1:68" ht="18" customHeight="1" x14ac:dyDescent="0.25">
      <c r="A297" s="241" t="s">
        <v>19</v>
      </c>
      <c r="B297" s="60"/>
      <c r="C297" s="342" t="s">
        <v>125</v>
      </c>
      <c r="D297" s="60" t="s">
        <v>121</v>
      </c>
      <c r="E297" s="258">
        <v>150</v>
      </c>
      <c r="F297" s="2" t="s">
        <v>21</v>
      </c>
      <c r="G297" s="2" t="s">
        <v>994</v>
      </c>
      <c r="H297" s="2" t="s">
        <v>126</v>
      </c>
      <c r="I297" s="2"/>
      <c r="J297" s="311">
        <v>335536</v>
      </c>
      <c r="K297" s="311">
        <v>337338</v>
      </c>
      <c r="L297" s="354">
        <v>341306</v>
      </c>
      <c r="M297" s="311">
        <v>344582</v>
      </c>
      <c r="N297" s="311">
        <v>347130</v>
      </c>
      <c r="O297" s="311">
        <v>349843</v>
      </c>
      <c r="P297" s="311">
        <v>353731</v>
      </c>
      <c r="Q297" s="2">
        <v>359367</v>
      </c>
      <c r="R297" s="311">
        <v>365163</v>
      </c>
      <c r="S297" s="311">
        <v>371195</v>
      </c>
      <c r="T297" s="311">
        <v>375348</v>
      </c>
      <c r="U297" s="492">
        <v>378433</v>
      </c>
      <c r="V297" s="492">
        <v>381626</v>
      </c>
      <c r="W297" s="274"/>
      <c r="X297" s="2"/>
      <c r="Y297" s="2">
        <f t="shared" si="86"/>
        <v>1802</v>
      </c>
      <c r="Z297" s="2">
        <f t="shared" si="84"/>
        <v>3968</v>
      </c>
      <c r="AA297" s="2">
        <f t="shared" si="101"/>
        <v>3276</v>
      </c>
      <c r="AB297" s="2">
        <f t="shared" si="100"/>
        <v>2548</v>
      </c>
      <c r="AC297" s="2">
        <f t="shared" si="92"/>
        <v>2713</v>
      </c>
      <c r="AD297" s="2">
        <f t="shared" si="93"/>
        <v>3888</v>
      </c>
      <c r="AE297" s="2">
        <f t="shared" si="94"/>
        <v>5636</v>
      </c>
      <c r="AF297" s="2">
        <f t="shared" si="95"/>
        <v>5796</v>
      </c>
      <c r="AG297" s="2">
        <f t="shared" si="96"/>
        <v>6032</v>
      </c>
      <c r="AH297" s="2">
        <f t="shared" si="99"/>
        <v>4153</v>
      </c>
      <c r="AI297" s="2">
        <f t="shared" si="97"/>
        <v>3085</v>
      </c>
      <c r="AJ297" s="2">
        <f t="shared" si="98"/>
        <v>3193</v>
      </c>
      <c r="AK297" s="406">
        <v>1</v>
      </c>
      <c r="AL297" s="274">
        <f t="shared" ca="1" si="88"/>
        <v>347130</v>
      </c>
      <c r="AM297" s="311">
        <f t="shared" ca="1" si="89"/>
        <v>349843</v>
      </c>
      <c r="AN297" s="274">
        <f ca="1">IF(AND(Tabla7[[#This Row],[UltLec]]&lt;&gt;0,Tabla7[[#This Row],[PenLect]]&lt;&gt;0),(AM297-AL297)*Tabla7[[#This Row],[RT]],"N/A")</f>
        <v>2713</v>
      </c>
      <c r="AO297" s="273" t="s">
        <v>862</v>
      </c>
      <c r="AP297" s="392" t="s">
        <v>1190</v>
      </c>
      <c r="AQ297" s="392" t="s">
        <v>1189</v>
      </c>
      <c r="AR297" s="407">
        <f t="shared" si="90"/>
        <v>0</v>
      </c>
      <c r="AT297" s="2">
        <f t="shared" ca="1" si="91"/>
        <v>1.0647566718995289</v>
      </c>
      <c r="AV297">
        <f>IF(ISBLANK(Tabla7[[#This Row],[31/12/2017]]),0,Tabla7[[#This Row],[31/12/2017]])</f>
        <v>335536</v>
      </c>
      <c r="AW297">
        <f>IF(ISBLANK(Tabla7[[#This Row],[15/01/2018]]),0,Tabla7[[#This Row],[15/01/2018]])</f>
        <v>337338</v>
      </c>
      <c r="AX297">
        <f>IF(ISBLANK(Tabla7[[#This Row],[15/02/2018]]),0,Tabla7[[#This Row],[15/02/2018]])</f>
        <v>341306</v>
      </c>
      <c r="AY297">
        <f>IF(ISBLANK(Tabla7[[#This Row],[15/03/2018]]),0,Tabla7[[#This Row],[15/03/2018]])</f>
        <v>344582</v>
      </c>
      <c r="AZ297">
        <f>IF(ISBLANK(Tabla7[[#This Row],[15/04/2018]]),0,Tabla7[[#This Row],[15/04/2018]])</f>
        <v>347130</v>
      </c>
      <c r="BA297">
        <f>IF(ISBLANK(Tabla7[[#This Row],[15/05/2018]]),0,Tabla7[[#This Row],[15/05/2018]])</f>
        <v>349843</v>
      </c>
      <c r="BB297">
        <f>IF(ISBLANK(Tabla7[[#This Row],[15/06/2018]]),0,Tabla7[[#This Row],[15/06/2018]])</f>
        <v>353731</v>
      </c>
      <c r="BC297">
        <f>IF(ISBLANK(Tabla7[[#This Row],[15/07/2018]]),0,Tabla7[[#This Row],[15/07/2018]])</f>
        <v>359367</v>
      </c>
      <c r="BD297">
        <f>IF(ISBLANK(Tabla7[[#This Row],[15/08/2018]]),0,Tabla7[[#This Row],[15/08/2018]])</f>
        <v>365163</v>
      </c>
      <c r="BE297">
        <f>IF(ISBLANK(Tabla7[[#This Row],[15/09/2018]]),0,Tabla7[[#This Row],[15/09/2018]])</f>
        <v>371195</v>
      </c>
      <c r="BF297">
        <f>IF(ISBLANK(Tabla7[[#This Row],[15/10/2018]]),0,Tabla7[[#This Row],[15/10/2018]])</f>
        <v>375348</v>
      </c>
      <c r="BG297">
        <f>IF(ISBLANK(Tabla7[[#This Row],[15/11/2018]]),0,Tabla7[[#This Row],[15/11/2018]])</f>
        <v>378433</v>
      </c>
      <c r="BH297">
        <f>IF(ISBLANK(Tabla7[[#This Row],[15/12/2018]]),0,Tabla7[[#This Row],[15/12/2018]])</f>
        <v>381626</v>
      </c>
      <c r="BI297">
        <f>IF(ISBLANK(Tabla7[[#This Row],[28/12/2018]]),0,Tabla7[[#This Row],[28/12/2018]])</f>
        <v>0</v>
      </c>
      <c r="BN29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('LW00181411','V','VCT13','150','APV','CENTRALIZACION (2)','GUARDIA CIVIL COMUNICA','');</v>
      </c>
      <c r="BO297" t="s">
        <v>243</v>
      </c>
      <c r="BP297" s="632" t="str">
        <f>CONCATENATE("insert into lecturas values ","('",Tabla7[[#This Row],[CONTADOR]],"',STR_TO_DATE('",Tabla7[[#Headers],[31/12/2017]],"','%d/%m/%Y'),",AV297,"),","('",Tabla7[[#This Row],[CONTADOR]],"',STR_TO_DATE('",Tabla7[[#Headers],[15/01/2018]],"','%d/%m/%Y'),",AW297,"),","('",Tabla7[[#This Row],[CONTADOR]],"',STR_TO_DATE('",Tabla7[[#Headers],[15/02/2018]],"','%d/%m/%Y'),",AX297,"),","('",Tabla7[[#This Row],[CONTADOR]],"',STR_TO_DATE('",Tabla7[[#Headers],[15/03/2018]],"','%d/%m/%Y'),",AY297,"),","('",Tabla7[[#This Row],[CONTADOR]],"',STR_TO_DATE('",Tabla7[[#Headers],[15/04/2018]],"','%d/%m/%Y'),",AZ297,"),","('",Tabla7[[#This Row],[CONTADOR]],"',STR_TO_DATE('",Tabla7[[#Headers],[15/05/2018]],"','%d/%m/%Y'),",BA297,"),","('",Tabla7[[#This Row],[CONTADOR]],"',STR_TO_DATE('",Tabla7[[#Headers],[15/06/2018]],"','%d/%m/%Y'),",BB297,"),","('",Tabla7[[#This Row],[CONTADOR]],"',STR_TO_DATE('",Tabla7[[#Headers],[15/07/2018]],"','%d/%m/%Y'),",BC297,"),","('",Tabla7[[#This Row],[CONTADOR]],"',STR_TO_DATE('",Tabla7[[#Headers],[15/08/2018]],"','%d/%m/%Y'),",BD297,"),","('",Tabla7[[#This Row],[CONTADOR]],"',STR_TO_DATE('",Tabla7[[#Headers],[15/09/2018]],"','%d/%m/%Y'),",BE297,"),","('",Tabla7[[#This Row],[CONTADOR]],"',STR_TO_DATE('",Tabla7[[#Headers],[15/10/2018]],"','%d/%m/%Y'),",BF297,"),","('",Tabla7[[#This Row],[CONTADOR]],"',STR_TO_DATE('",Tabla7[[#Headers],[15/11/2018]],"','%d/%m/%Y'),",BG297,"),","('",Tabla7[[#This Row],[CONTADOR]],"',STR_TO_DATE('",Tabla7[[#Headers],[15/12/2018]],"','%d/%m/%Y'),",BH297,");")</f>
        <v>insert into lecturas values ('LW00181411',STR_TO_DATE('31/12/2017','%d/%m/%Y'),335536),('LW00181411',STR_TO_DATE('15/01/2018','%d/%m/%Y'),337338),('LW00181411',STR_TO_DATE('15/02/2018','%d/%m/%Y'),341306),('LW00181411',STR_TO_DATE('15/03/2018','%d/%m/%Y'),344582),('LW00181411',STR_TO_DATE('15/04/2018','%d/%m/%Y'),347130),('LW00181411',STR_TO_DATE('15/05/2018','%d/%m/%Y'),349843),('LW00181411',STR_TO_DATE('15/06/2018','%d/%m/%Y'),353731),('LW00181411',STR_TO_DATE('15/07/2018','%d/%m/%Y'),359367),('LW00181411',STR_TO_DATE('15/08/2018','%d/%m/%Y'),365163),('LW00181411',STR_TO_DATE('15/09/2018','%d/%m/%Y'),371195),('LW00181411',STR_TO_DATE('15/10/2018','%d/%m/%Y'),375348),('LW00181411',STR_TO_DATE('15/11/2018','%d/%m/%Y'),378433),('LW00181411',STR_TO_DATE('15/12/2018','%d/%m/%Y'),381626);</v>
      </c>
    </row>
    <row r="298" spans="1:68" ht="18" customHeight="1" x14ac:dyDescent="0.25">
      <c r="A298" s="241" t="s">
        <v>19</v>
      </c>
      <c r="B298" s="60"/>
      <c r="C298" s="342" t="s">
        <v>129</v>
      </c>
      <c r="D298" s="60" t="s">
        <v>121</v>
      </c>
      <c r="E298" s="258">
        <v>122</v>
      </c>
      <c r="F298" s="2" t="s">
        <v>130</v>
      </c>
      <c r="G298" s="2" t="s">
        <v>38</v>
      </c>
      <c r="H298" s="2" t="s">
        <v>130</v>
      </c>
      <c r="I298" s="2"/>
      <c r="J298" s="311">
        <v>539875</v>
      </c>
      <c r="K298" s="311">
        <v>540882</v>
      </c>
      <c r="L298" s="354">
        <v>543996</v>
      </c>
      <c r="M298" s="311">
        <v>546837</v>
      </c>
      <c r="N298" s="311">
        <v>549224</v>
      </c>
      <c r="O298" s="311">
        <v>553391</v>
      </c>
      <c r="P298" s="311">
        <v>561675</v>
      </c>
      <c r="Q298" s="274">
        <v>580889</v>
      </c>
      <c r="R298" s="311">
        <v>604838</v>
      </c>
      <c r="S298" s="311">
        <v>608826</v>
      </c>
      <c r="T298" s="311">
        <v>608865</v>
      </c>
      <c r="U298" s="492">
        <v>608910</v>
      </c>
      <c r="V298" s="492">
        <v>608954</v>
      </c>
      <c r="W298" s="2"/>
      <c r="X298" s="2"/>
      <c r="Y298" s="2">
        <f t="shared" si="86"/>
        <v>1007</v>
      </c>
      <c r="Z298" s="2">
        <f t="shared" si="84"/>
        <v>3114</v>
      </c>
      <c r="AA298" s="2">
        <f t="shared" si="101"/>
        <v>2841</v>
      </c>
      <c r="AB298" s="2">
        <f t="shared" si="100"/>
        <v>2387</v>
      </c>
      <c r="AC298" s="2">
        <f t="shared" si="92"/>
        <v>4167</v>
      </c>
      <c r="AD298" s="2">
        <f t="shared" si="93"/>
        <v>8284</v>
      </c>
      <c r="AE298" s="2">
        <f t="shared" si="94"/>
        <v>19214</v>
      </c>
      <c r="AF298" s="2">
        <f t="shared" si="95"/>
        <v>23949</v>
      </c>
      <c r="AG298" s="2">
        <f t="shared" si="96"/>
        <v>3988</v>
      </c>
      <c r="AH298" s="2">
        <f t="shared" si="99"/>
        <v>39</v>
      </c>
      <c r="AI298" s="2">
        <f t="shared" si="97"/>
        <v>45</v>
      </c>
      <c r="AJ298" s="2">
        <f t="shared" si="98"/>
        <v>44</v>
      </c>
      <c r="AK298" s="406">
        <v>1</v>
      </c>
      <c r="AL298" s="274">
        <f t="shared" ca="1" si="88"/>
        <v>549224</v>
      </c>
      <c r="AM298" s="311">
        <f t="shared" ca="1" si="89"/>
        <v>553391</v>
      </c>
      <c r="AN298" s="274">
        <f ca="1">IF(AND(Tabla7[[#This Row],[UltLec]]&lt;&gt;0,Tabla7[[#This Row],[PenLect]]&lt;&gt;0),(AM298-AL298)*Tabla7[[#This Row],[RT]],"N/A")</f>
        <v>4167</v>
      </c>
      <c r="AO298" s="273" t="s">
        <v>862</v>
      </c>
      <c r="AP298" s="392" t="s">
        <v>1190</v>
      </c>
      <c r="AQ298" s="392" t="s">
        <v>1189</v>
      </c>
      <c r="AR298" s="407">
        <f t="shared" si="90"/>
        <v>0</v>
      </c>
      <c r="AT298" s="2">
        <f t="shared" ca="1" si="91"/>
        <v>1.7457059069962295</v>
      </c>
      <c r="AV298">
        <f>IF(ISBLANK(Tabla7[[#This Row],[31/12/2017]]),0,Tabla7[[#This Row],[31/12/2017]])</f>
        <v>539875</v>
      </c>
      <c r="AW298">
        <f>IF(ISBLANK(Tabla7[[#This Row],[15/01/2018]]),0,Tabla7[[#This Row],[15/01/2018]])</f>
        <v>540882</v>
      </c>
      <c r="AX298">
        <f>IF(ISBLANK(Tabla7[[#This Row],[15/02/2018]]),0,Tabla7[[#This Row],[15/02/2018]])</f>
        <v>543996</v>
      </c>
      <c r="AY298">
        <f>IF(ISBLANK(Tabla7[[#This Row],[15/03/2018]]),0,Tabla7[[#This Row],[15/03/2018]])</f>
        <v>546837</v>
      </c>
      <c r="AZ298">
        <f>IF(ISBLANK(Tabla7[[#This Row],[15/04/2018]]),0,Tabla7[[#This Row],[15/04/2018]])</f>
        <v>549224</v>
      </c>
      <c r="BA298">
        <f>IF(ISBLANK(Tabla7[[#This Row],[15/05/2018]]),0,Tabla7[[#This Row],[15/05/2018]])</f>
        <v>553391</v>
      </c>
      <c r="BB298">
        <f>IF(ISBLANK(Tabla7[[#This Row],[15/06/2018]]),0,Tabla7[[#This Row],[15/06/2018]])</f>
        <v>561675</v>
      </c>
      <c r="BC298">
        <f>IF(ISBLANK(Tabla7[[#This Row],[15/07/2018]]),0,Tabla7[[#This Row],[15/07/2018]])</f>
        <v>580889</v>
      </c>
      <c r="BD298">
        <f>IF(ISBLANK(Tabla7[[#This Row],[15/08/2018]]),0,Tabla7[[#This Row],[15/08/2018]])</f>
        <v>604838</v>
      </c>
      <c r="BE298">
        <f>IF(ISBLANK(Tabla7[[#This Row],[15/09/2018]]),0,Tabla7[[#This Row],[15/09/2018]])</f>
        <v>608826</v>
      </c>
      <c r="BF298">
        <f>IF(ISBLANK(Tabla7[[#This Row],[15/10/2018]]),0,Tabla7[[#This Row],[15/10/2018]])</f>
        <v>608865</v>
      </c>
      <c r="BG298">
        <f>IF(ISBLANK(Tabla7[[#This Row],[15/11/2018]]),0,Tabla7[[#This Row],[15/11/2018]])</f>
        <v>608910</v>
      </c>
      <c r="BH298">
        <f>IF(ISBLANK(Tabla7[[#This Row],[15/12/2018]]),0,Tabla7[[#This Row],[15/12/2018]])</f>
        <v>608954</v>
      </c>
      <c r="BI298">
        <f>IF(ISBLANK(Tabla7[[#This Row],[28/12/2018]]),0,Tabla7[[#This Row],[28/12/2018]])</f>
        <v>0</v>
      </c>
      <c r="BN29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('LW00181695','V','VCT13','122','BOMBA AGUA SALADA','EN CT.','BOMBA AGUA SALADA','');</v>
      </c>
      <c r="BO298" t="s">
        <v>243</v>
      </c>
      <c r="BP298" s="632" t="str">
        <f>CONCATENATE("insert into lecturas values ","('",Tabla7[[#This Row],[CONTADOR]],"',STR_TO_DATE('",Tabla7[[#Headers],[31/12/2017]],"','%d/%m/%Y'),",AV298,"),","('",Tabla7[[#This Row],[CONTADOR]],"',STR_TO_DATE('",Tabla7[[#Headers],[15/01/2018]],"','%d/%m/%Y'),",AW298,"),","('",Tabla7[[#This Row],[CONTADOR]],"',STR_TO_DATE('",Tabla7[[#Headers],[15/02/2018]],"','%d/%m/%Y'),",AX298,"),","('",Tabla7[[#This Row],[CONTADOR]],"',STR_TO_DATE('",Tabla7[[#Headers],[15/03/2018]],"','%d/%m/%Y'),",AY298,"),","('",Tabla7[[#This Row],[CONTADOR]],"',STR_TO_DATE('",Tabla7[[#Headers],[15/04/2018]],"','%d/%m/%Y'),",AZ298,"),","('",Tabla7[[#This Row],[CONTADOR]],"',STR_TO_DATE('",Tabla7[[#Headers],[15/05/2018]],"','%d/%m/%Y'),",BA298,"),","('",Tabla7[[#This Row],[CONTADOR]],"',STR_TO_DATE('",Tabla7[[#Headers],[15/06/2018]],"','%d/%m/%Y'),",BB298,"),","('",Tabla7[[#This Row],[CONTADOR]],"',STR_TO_DATE('",Tabla7[[#Headers],[15/07/2018]],"','%d/%m/%Y'),",BC298,"),","('",Tabla7[[#This Row],[CONTADOR]],"',STR_TO_DATE('",Tabla7[[#Headers],[15/08/2018]],"','%d/%m/%Y'),",BD298,"),","('",Tabla7[[#This Row],[CONTADOR]],"',STR_TO_DATE('",Tabla7[[#Headers],[15/09/2018]],"','%d/%m/%Y'),",BE298,"),","('",Tabla7[[#This Row],[CONTADOR]],"',STR_TO_DATE('",Tabla7[[#Headers],[15/10/2018]],"','%d/%m/%Y'),",BF298,"),","('",Tabla7[[#This Row],[CONTADOR]],"',STR_TO_DATE('",Tabla7[[#Headers],[15/11/2018]],"','%d/%m/%Y'),",BG298,"),","('",Tabla7[[#This Row],[CONTADOR]],"',STR_TO_DATE('",Tabla7[[#Headers],[15/12/2018]],"','%d/%m/%Y'),",BH298,");")</f>
        <v>insert into lecturas values ('LW00181695',STR_TO_DATE('31/12/2017','%d/%m/%Y'),539875),('LW00181695',STR_TO_DATE('15/01/2018','%d/%m/%Y'),540882),('LW00181695',STR_TO_DATE('15/02/2018','%d/%m/%Y'),543996),('LW00181695',STR_TO_DATE('15/03/2018','%d/%m/%Y'),546837),('LW00181695',STR_TO_DATE('15/04/2018','%d/%m/%Y'),549224),('LW00181695',STR_TO_DATE('15/05/2018','%d/%m/%Y'),553391),('LW00181695',STR_TO_DATE('15/06/2018','%d/%m/%Y'),561675),('LW00181695',STR_TO_DATE('15/07/2018','%d/%m/%Y'),580889),('LW00181695',STR_TO_DATE('15/08/2018','%d/%m/%Y'),604838),('LW00181695',STR_TO_DATE('15/09/2018','%d/%m/%Y'),608826),('LW00181695',STR_TO_DATE('15/10/2018','%d/%m/%Y'),608865),('LW00181695',STR_TO_DATE('15/11/2018','%d/%m/%Y'),608910),('LW00181695',STR_TO_DATE('15/12/2018','%d/%m/%Y'),608954);</v>
      </c>
    </row>
    <row r="299" spans="1:68" ht="18" customHeight="1" x14ac:dyDescent="0.25">
      <c r="A299" s="241" t="s">
        <v>740</v>
      </c>
      <c r="B299" s="60"/>
      <c r="C299" s="342" t="s">
        <v>752</v>
      </c>
      <c r="D299" s="60" t="s">
        <v>121</v>
      </c>
      <c r="E299" s="258">
        <v>1</v>
      </c>
      <c r="F299" s="274" t="s">
        <v>753</v>
      </c>
      <c r="G299" s="2" t="s">
        <v>63</v>
      </c>
      <c r="H299" s="2"/>
      <c r="I299" s="274"/>
      <c r="J299" s="311">
        <v>1597838</v>
      </c>
      <c r="K299" s="311">
        <v>1607194</v>
      </c>
      <c r="L299" s="354">
        <v>1628464</v>
      </c>
      <c r="M299" s="311">
        <v>1647828</v>
      </c>
      <c r="N299" s="311">
        <v>1665167</v>
      </c>
      <c r="O299" s="311">
        <v>1683017</v>
      </c>
      <c r="P299" s="311">
        <v>1707642</v>
      </c>
      <c r="Q299" s="274">
        <v>1747831</v>
      </c>
      <c r="R299" s="311">
        <v>1794474</v>
      </c>
      <c r="S299" s="311">
        <v>1821253</v>
      </c>
      <c r="T299" s="311">
        <v>1837989</v>
      </c>
      <c r="U299" s="492">
        <v>1853634</v>
      </c>
      <c r="V299" s="492"/>
      <c r="W299" s="2"/>
      <c r="X299" s="2"/>
      <c r="Y299" s="2">
        <f t="shared" si="86"/>
        <v>9356</v>
      </c>
      <c r="Z299" s="2">
        <f t="shared" si="84"/>
        <v>21270</v>
      </c>
      <c r="AA299" s="2">
        <f t="shared" si="101"/>
        <v>19364</v>
      </c>
      <c r="AB299" s="2">
        <f t="shared" si="100"/>
        <v>17339</v>
      </c>
      <c r="AC299" s="2">
        <f t="shared" si="92"/>
        <v>17850</v>
      </c>
      <c r="AD299" s="2">
        <f t="shared" si="93"/>
        <v>24625</v>
      </c>
      <c r="AE299" s="2">
        <f t="shared" si="94"/>
        <v>40189</v>
      </c>
      <c r="AF299" s="2">
        <f t="shared" si="95"/>
        <v>46643</v>
      </c>
      <c r="AG299" s="2">
        <f t="shared" si="96"/>
        <v>26779</v>
      </c>
      <c r="AH299" s="2">
        <f t="shared" si="99"/>
        <v>16736</v>
      </c>
      <c r="AI299" s="2">
        <f t="shared" si="97"/>
        <v>15645</v>
      </c>
      <c r="AJ299" s="2" t="str">
        <f t="shared" si="98"/>
        <v/>
      </c>
      <c r="AK299" s="406">
        <v>1</v>
      </c>
      <c r="AL299" s="274">
        <f t="shared" ca="1" si="88"/>
        <v>1665167</v>
      </c>
      <c r="AM299" s="311">
        <f t="shared" ca="1" si="89"/>
        <v>1683017</v>
      </c>
      <c r="AN299" s="274">
        <f ca="1">IF(AND(Tabla7[[#This Row],[UltLec]]&lt;&gt;0,Tabla7[[#This Row],[PenLect]]&lt;&gt;0),(AM299-AL299)*Tabla7[[#This Row],[RT]],"N/A")</f>
        <v>17850</v>
      </c>
      <c r="AO299" s="273" t="s">
        <v>862</v>
      </c>
      <c r="AP299" s="392" t="s">
        <v>1191</v>
      </c>
      <c r="AQ299" s="392" t="s">
        <v>818</v>
      </c>
      <c r="AR299" s="407">
        <f t="shared" si="90"/>
        <v>0</v>
      </c>
      <c r="AT299" s="2">
        <f t="shared" ca="1" si="91"/>
        <v>1.0294711344368188</v>
      </c>
      <c r="AV299">
        <f>IF(ISBLANK(Tabla7[[#This Row],[31/12/2017]]),0,Tabla7[[#This Row],[31/12/2017]])</f>
        <v>1597838</v>
      </c>
      <c r="AW299">
        <f>IF(ISBLANK(Tabla7[[#This Row],[15/01/2018]]),0,Tabla7[[#This Row],[15/01/2018]])</f>
        <v>1607194</v>
      </c>
      <c r="AX299">
        <f>IF(ISBLANK(Tabla7[[#This Row],[15/02/2018]]),0,Tabla7[[#This Row],[15/02/2018]])</f>
        <v>1628464</v>
      </c>
      <c r="AY299">
        <f>IF(ISBLANK(Tabla7[[#This Row],[15/03/2018]]),0,Tabla7[[#This Row],[15/03/2018]])</f>
        <v>1647828</v>
      </c>
      <c r="AZ299">
        <f>IF(ISBLANK(Tabla7[[#This Row],[15/04/2018]]),0,Tabla7[[#This Row],[15/04/2018]])</f>
        <v>1665167</v>
      </c>
      <c r="BA299">
        <f>IF(ISBLANK(Tabla7[[#This Row],[15/05/2018]]),0,Tabla7[[#This Row],[15/05/2018]])</f>
        <v>1683017</v>
      </c>
      <c r="BB299">
        <f>IF(ISBLANK(Tabla7[[#This Row],[15/06/2018]]),0,Tabla7[[#This Row],[15/06/2018]])</f>
        <v>1707642</v>
      </c>
      <c r="BC299">
        <f>IF(ISBLANK(Tabla7[[#This Row],[15/07/2018]]),0,Tabla7[[#This Row],[15/07/2018]])</f>
        <v>1747831</v>
      </c>
      <c r="BD299">
        <f>IF(ISBLANK(Tabla7[[#This Row],[15/08/2018]]),0,Tabla7[[#This Row],[15/08/2018]])</f>
        <v>1794474</v>
      </c>
      <c r="BE299">
        <f>IF(ISBLANK(Tabla7[[#This Row],[15/09/2018]]),0,Tabla7[[#This Row],[15/09/2018]])</f>
        <v>1821253</v>
      </c>
      <c r="BF299">
        <f>IF(ISBLANK(Tabla7[[#This Row],[15/10/2018]]),0,Tabla7[[#This Row],[15/10/2018]])</f>
        <v>1837989</v>
      </c>
      <c r="BG299">
        <f>IF(ISBLANK(Tabla7[[#This Row],[15/11/2018]]),0,Tabla7[[#This Row],[15/11/2018]])</f>
        <v>1853634</v>
      </c>
      <c r="BH299">
        <f>IF(ISBLANK(Tabla7[[#This Row],[15/12/2018]]),0,Tabla7[[#This Row],[15/12/2018]])</f>
        <v>0</v>
      </c>
      <c r="BI299">
        <f>IF(ISBLANK(Tabla7[[#This Row],[28/12/2018]]),0,Tabla7[[#This Row],[28/12/2018]])</f>
        <v>0</v>
      </c>
      <c r="BN29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('PM4E34dF60','VTOT','VCT13','1','TOTALIZADOR CT13','EN CT','','');</v>
      </c>
      <c r="BO299" t="s">
        <v>243</v>
      </c>
      <c r="BP299" s="632" t="str">
        <f>CONCATENATE("insert into lecturas values ","('",Tabla7[[#This Row],[CONTADOR]],"',STR_TO_DATE('",Tabla7[[#Headers],[31/12/2017]],"','%d/%m/%Y'),",AV299,"),","('",Tabla7[[#This Row],[CONTADOR]],"',STR_TO_DATE('",Tabla7[[#Headers],[15/01/2018]],"','%d/%m/%Y'),",AW299,"),","('",Tabla7[[#This Row],[CONTADOR]],"',STR_TO_DATE('",Tabla7[[#Headers],[15/02/2018]],"','%d/%m/%Y'),",AX299,"),","('",Tabla7[[#This Row],[CONTADOR]],"',STR_TO_DATE('",Tabla7[[#Headers],[15/03/2018]],"','%d/%m/%Y'),",AY299,"),","('",Tabla7[[#This Row],[CONTADOR]],"',STR_TO_DATE('",Tabla7[[#Headers],[15/04/2018]],"','%d/%m/%Y'),",AZ299,"),","('",Tabla7[[#This Row],[CONTADOR]],"',STR_TO_DATE('",Tabla7[[#Headers],[15/05/2018]],"','%d/%m/%Y'),",BA299,"),","('",Tabla7[[#This Row],[CONTADOR]],"',STR_TO_DATE('",Tabla7[[#Headers],[15/06/2018]],"','%d/%m/%Y'),",BB299,"),","('",Tabla7[[#This Row],[CONTADOR]],"',STR_TO_DATE('",Tabla7[[#Headers],[15/07/2018]],"','%d/%m/%Y'),",BC299,"),","('",Tabla7[[#This Row],[CONTADOR]],"',STR_TO_DATE('",Tabla7[[#Headers],[15/08/2018]],"','%d/%m/%Y'),",BD299,"),","('",Tabla7[[#This Row],[CONTADOR]],"',STR_TO_DATE('",Tabla7[[#Headers],[15/09/2018]],"','%d/%m/%Y'),",BE299,"),","('",Tabla7[[#This Row],[CONTADOR]],"',STR_TO_DATE('",Tabla7[[#Headers],[15/10/2018]],"','%d/%m/%Y'),",BF299,"),","('",Tabla7[[#This Row],[CONTADOR]],"',STR_TO_DATE('",Tabla7[[#Headers],[15/11/2018]],"','%d/%m/%Y'),",BG299,"),","('",Tabla7[[#This Row],[CONTADOR]],"',STR_TO_DATE('",Tabla7[[#Headers],[15/12/2018]],"','%d/%m/%Y'),",BH299,");")</f>
        <v>insert into lecturas values ('PM4E34dF60',STR_TO_DATE('31/12/2017','%d/%m/%Y'),1597838),('PM4E34dF60',STR_TO_DATE('15/01/2018','%d/%m/%Y'),1607194),('PM4E34dF60',STR_TO_DATE('15/02/2018','%d/%m/%Y'),1628464),('PM4E34dF60',STR_TO_DATE('15/03/2018','%d/%m/%Y'),1647828),('PM4E34dF60',STR_TO_DATE('15/04/2018','%d/%m/%Y'),1665167),('PM4E34dF60',STR_TO_DATE('15/05/2018','%d/%m/%Y'),1683017),('PM4E34dF60',STR_TO_DATE('15/06/2018','%d/%m/%Y'),1707642),('PM4E34dF60',STR_TO_DATE('15/07/2018','%d/%m/%Y'),1747831),('PM4E34dF60',STR_TO_DATE('15/08/2018','%d/%m/%Y'),1794474),('PM4E34dF60',STR_TO_DATE('15/09/2018','%d/%m/%Y'),1821253),('PM4E34dF60',STR_TO_DATE('15/10/2018','%d/%m/%Y'),1837989),('PM4E34dF60',STR_TO_DATE('15/11/2018','%d/%m/%Y'),1853634),('PM4E34dF60',STR_TO_DATE('15/12/2018','%d/%m/%Y'),0);</v>
      </c>
    </row>
    <row r="300" spans="1:68" ht="18" customHeight="1" x14ac:dyDescent="0.25">
      <c r="A300" s="241" t="s">
        <v>19</v>
      </c>
      <c r="B300" s="60"/>
      <c r="C300" s="342" t="s">
        <v>1439</v>
      </c>
      <c r="D300" s="60" t="s">
        <v>136</v>
      </c>
      <c r="E300" s="258">
        <v>39411</v>
      </c>
      <c r="F300" s="2" t="s">
        <v>1182</v>
      </c>
      <c r="G300" s="2" t="s">
        <v>725</v>
      </c>
      <c r="H300" s="2" t="s">
        <v>1441</v>
      </c>
      <c r="I300" s="2" t="s">
        <v>1440</v>
      </c>
      <c r="J300" s="311"/>
      <c r="K300" s="311"/>
      <c r="L300" s="354"/>
      <c r="M300" s="311"/>
      <c r="N300" s="311"/>
      <c r="O300" s="311"/>
      <c r="P300" s="463"/>
      <c r="Q300" s="275"/>
      <c r="R300" s="311"/>
      <c r="S300" s="311"/>
      <c r="T300" s="311">
        <v>22</v>
      </c>
      <c r="U300" s="531">
        <v>22</v>
      </c>
      <c r="V300" s="492">
        <v>519</v>
      </c>
      <c r="W300" s="2"/>
      <c r="X300" s="2"/>
      <c r="Y300" s="2" t="str">
        <f t="shared" si="86"/>
        <v/>
      </c>
      <c r="Z300" s="2" t="str">
        <f t="shared" si="84"/>
        <v/>
      </c>
      <c r="AA300" s="2" t="str">
        <f>IF(OR(ISBLANK(#REF!),ISBLANK(L300)),"",IF(AND(#REF!&gt;=L300,#REF!-L300&lt;=#REF!),(#REF!-L300)*$AK300,"!!!!"))</f>
        <v/>
      </c>
      <c r="AB300" s="2" t="str">
        <f>IF(OR(ISBLANK(N300),ISBLANK(#REF!)),"",IF(AND(N300&gt;=#REF!,N300-#REF!&lt;=N300),(N300-#REF!)*$AK300,"!!!!"))</f>
        <v/>
      </c>
      <c r="AC300" s="2" t="str">
        <f t="shared" si="92"/>
        <v/>
      </c>
      <c r="AD300" s="2" t="str">
        <f t="shared" si="93"/>
        <v/>
      </c>
      <c r="AE300" s="2" t="str">
        <f t="shared" si="94"/>
        <v/>
      </c>
      <c r="AF300" s="2" t="str">
        <f t="shared" si="95"/>
        <v/>
      </c>
      <c r="AG300" s="2" t="str">
        <f t="shared" si="96"/>
        <v/>
      </c>
      <c r="AH300" s="271" t="str">
        <f t="shared" si="99"/>
        <v/>
      </c>
      <c r="AI300" s="2">
        <f t="shared" si="97"/>
        <v>0</v>
      </c>
      <c r="AJ300" s="2">
        <f t="shared" si="98"/>
        <v>9940</v>
      </c>
      <c r="AK300" s="406">
        <f>100/5</f>
        <v>20</v>
      </c>
      <c r="AL300" s="412">
        <f t="shared" ca="1" si="88"/>
        <v>0</v>
      </c>
      <c r="AM300" s="412">
        <f t="shared" ca="1" si="89"/>
        <v>0</v>
      </c>
      <c r="AN300" s="412" t="str">
        <f ca="1">IF(AND(Tabla7[[#This Row],[UltLec]]&lt;&gt;0,Tabla7[[#This Row],[PenLect]]&lt;&gt;0),(AM300-AL300)*Tabla7[[#This Row],[RT]],"N/A")</f>
        <v>N/A</v>
      </c>
      <c r="AO300" s="273" t="s">
        <v>862</v>
      </c>
      <c r="AP300" s="392" t="s">
        <v>1190</v>
      </c>
      <c r="AQ300" s="392" t="s">
        <v>1189</v>
      </c>
      <c r="AR300" s="407">
        <f t="shared" si="90"/>
        <v>0</v>
      </c>
      <c r="AT300" s="2" t="e">
        <f t="shared" ca="1" si="91"/>
        <v>#VALUE!</v>
      </c>
      <c r="AV300">
        <f>IF(ISBLANK(Tabla7[[#This Row],[31/12/2017]]),0,Tabla7[[#This Row],[31/12/2017]])</f>
        <v>0</v>
      </c>
      <c r="AW300">
        <f>IF(ISBLANK(Tabla7[[#This Row],[15/01/2018]]),0,Tabla7[[#This Row],[15/01/2018]])</f>
        <v>0</v>
      </c>
      <c r="AX300">
        <f>IF(ISBLANK(Tabla7[[#This Row],[15/02/2018]]),0,Tabla7[[#This Row],[15/02/2018]])</f>
        <v>0</v>
      </c>
      <c r="AY300">
        <f>IF(ISBLANK(Tabla7[[#This Row],[15/03/2018]]),0,Tabla7[[#This Row],[15/03/2018]])</f>
        <v>0</v>
      </c>
      <c r="AZ300">
        <f>IF(ISBLANK(Tabla7[[#This Row],[15/04/2018]]),0,Tabla7[[#This Row],[15/04/2018]])</f>
        <v>0</v>
      </c>
      <c r="BA300">
        <f>IF(ISBLANK(Tabla7[[#This Row],[15/05/2018]]),0,Tabla7[[#This Row],[15/05/2018]])</f>
        <v>0</v>
      </c>
      <c r="BB300">
        <f>IF(ISBLANK(Tabla7[[#This Row],[15/06/2018]]),0,Tabla7[[#This Row],[15/06/2018]])</f>
        <v>0</v>
      </c>
      <c r="BC300">
        <f>IF(ISBLANK(Tabla7[[#This Row],[15/07/2018]]),0,Tabla7[[#This Row],[15/07/2018]])</f>
        <v>0</v>
      </c>
      <c r="BD300">
        <f>IF(ISBLANK(Tabla7[[#This Row],[15/08/2018]]),0,Tabla7[[#This Row],[15/08/2018]])</f>
        <v>0</v>
      </c>
      <c r="BE300">
        <f>IF(ISBLANK(Tabla7[[#This Row],[15/09/2018]]),0,Tabla7[[#This Row],[15/09/2018]])</f>
        <v>0</v>
      </c>
      <c r="BF300">
        <f>IF(ISBLANK(Tabla7[[#This Row],[15/10/2018]]),0,Tabla7[[#This Row],[15/10/2018]])</f>
        <v>22</v>
      </c>
      <c r="BG300">
        <f>IF(ISBLANK(Tabla7[[#This Row],[15/11/2018]]),0,Tabla7[[#This Row],[15/11/2018]])</f>
        <v>22</v>
      </c>
      <c r="BH300">
        <f>IF(ISBLANK(Tabla7[[#This Row],[15/12/2018]]),0,Tabla7[[#This Row],[15/12/2018]])</f>
        <v>519</v>
      </c>
      <c r="BI300">
        <f>IF(ISBLANK(Tabla7[[#This Row],[28/12/2018]]),0,Tabla7[[#This Row],[28/12/2018]])</f>
        <v>0</v>
      </c>
      <c r="BN30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('CXUVFER18042522472','V','VCT14','39411','REMOLCADORES BOLUDA, S.A.','CENTRALIZACION CT14','Tomas de corriente en Nueva Dársena de Sevicios Muelle Este','ALTA 02/10/2018');</v>
      </c>
      <c r="BO300" t="s">
        <v>243</v>
      </c>
      <c r="BP300" s="632" t="str">
        <f>CONCATENATE("insert into lecturas values ","('",Tabla7[[#This Row],[CONTADOR]],"',STR_TO_DATE('",Tabla7[[#Headers],[31/12/2017]],"','%d/%m/%Y'),",AV300,"),","('",Tabla7[[#This Row],[CONTADOR]],"',STR_TO_DATE('",Tabla7[[#Headers],[15/01/2018]],"','%d/%m/%Y'),",AW300,"),","('",Tabla7[[#This Row],[CONTADOR]],"',STR_TO_DATE('",Tabla7[[#Headers],[15/02/2018]],"','%d/%m/%Y'),",AX300,"),","('",Tabla7[[#This Row],[CONTADOR]],"',STR_TO_DATE('",Tabla7[[#Headers],[15/03/2018]],"','%d/%m/%Y'),",AY300,"),","('",Tabla7[[#This Row],[CONTADOR]],"',STR_TO_DATE('",Tabla7[[#Headers],[15/04/2018]],"','%d/%m/%Y'),",AZ300,"),","('",Tabla7[[#This Row],[CONTADOR]],"',STR_TO_DATE('",Tabla7[[#Headers],[15/05/2018]],"','%d/%m/%Y'),",BA300,"),","('",Tabla7[[#This Row],[CONTADOR]],"',STR_TO_DATE('",Tabla7[[#Headers],[15/06/2018]],"','%d/%m/%Y'),",BB300,"),","('",Tabla7[[#This Row],[CONTADOR]],"',STR_TO_DATE('",Tabla7[[#Headers],[15/07/2018]],"','%d/%m/%Y'),",BC300,"),","('",Tabla7[[#This Row],[CONTADOR]],"',STR_TO_DATE('",Tabla7[[#Headers],[15/08/2018]],"','%d/%m/%Y'),",BD300,"),","('",Tabla7[[#This Row],[CONTADOR]],"',STR_TO_DATE('",Tabla7[[#Headers],[15/09/2018]],"','%d/%m/%Y'),",BE300,"),","('",Tabla7[[#This Row],[CONTADOR]],"',STR_TO_DATE('",Tabla7[[#Headers],[15/10/2018]],"','%d/%m/%Y'),",BF300,"),","('",Tabla7[[#This Row],[CONTADOR]],"',STR_TO_DATE('",Tabla7[[#Headers],[15/11/2018]],"','%d/%m/%Y'),",BG300,"),","('",Tabla7[[#This Row],[CONTADOR]],"',STR_TO_DATE('",Tabla7[[#Headers],[15/12/2018]],"','%d/%m/%Y'),",BH300,");")</f>
        <v>insert into lecturas values ('CXUVFER18042522472',STR_TO_DATE('31/12/2017','%d/%m/%Y'),0),('CXUVFER18042522472',STR_TO_DATE('15/01/2018','%d/%m/%Y'),0),('CXUVFER18042522472',STR_TO_DATE('15/02/2018','%d/%m/%Y'),0),('CXUVFER18042522472',STR_TO_DATE('15/03/2018','%d/%m/%Y'),0),('CXUVFER18042522472',STR_TO_DATE('15/04/2018','%d/%m/%Y'),0),('CXUVFER18042522472',STR_TO_DATE('15/05/2018','%d/%m/%Y'),0),('CXUVFER18042522472',STR_TO_DATE('15/06/2018','%d/%m/%Y'),0),('CXUVFER18042522472',STR_TO_DATE('15/07/2018','%d/%m/%Y'),0),('CXUVFER18042522472',STR_TO_DATE('15/08/2018','%d/%m/%Y'),0),('CXUVFER18042522472',STR_TO_DATE('15/09/2018','%d/%m/%Y'),0),('CXUVFER18042522472',STR_TO_DATE('15/10/2018','%d/%m/%Y'),22),('CXUVFER18042522472',STR_TO_DATE('15/11/2018','%d/%m/%Y'),22),('CXUVFER18042522472',STR_TO_DATE('15/12/2018','%d/%m/%Y'),519);</v>
      </c>
    </row>
    <row r="301" spans="1:68" ht="18" customHeight="1" x14ac:dyDescent="0.25">
      <c r="A301" s="241" t="s">
        <v>19</v>
      </c>
      <c r="B301" s="60">
        <v>1478</v>
      </c>
      <c r="C301" s="342" t="s">
        <v>1329</v>
      </c>
      <c r="D301" s="60" t="s">
        <v>136</v>
      </c>
      <c r="E301" s="258">
        <v>39525</v>
      </c>
      <c r="F301" s="2" t="s">
        <v>744</v>
      </c>
      <c r="G301" s="2"/>
      <c r="H301" s="2" t="s">
        <v>745</v>
      </c>
      <c r="I301" s="2" t="s">
        <v>750</v>
      </c>
      <c r="J301" s="311">
        <v>68271</v>
      </c>
      <c r="K301" s="311">
        <v>72937</v>
      </c>
      <c r="L301" s="311">
        <v>81187</v>
      </c>
      <c r="M301" s="311">
        <v>88780</v>
      </c>
      <c r="N301" s="311">
        <v>94971</v>
      </c>
      <c r="O301" s="311">
        <v>99149</v>
      </c>
      <c r="P301" s="311">
        <v>104084</v>
      </c>
      <c r="Q301" s="307">
        <v>112985</v>
      </c>
      <c r="R301" s="311">
        <v>123358</v>
      </c>
      <c r="S301" s="311">
        <v>133075</v>
      </c>
      <c r="T301" s="311">
        <v>139841</v>
      </c>
      <c r="U301" s="531">
        <v>145668</v>
      </c>
      <c r="V301" s="492">
        <v>153147</v>
      </c>
      <c r="W301" s="274"/>
      <c r="X301" s="2"/>
      <c r="Y301" s="2">
        <f t="shared" si="86"/>
        <v>4666</v>
      </c>
      <c r="Z301" s="2">
        <f t="shared" si="84"/>
        <v>8250</v>
      </c>
      <c r="AA301" s="2">
        <f t="shared" ref="AA301:AA310" si="102">IF(OR(ISBLANK(M301),ISBLANK(L301)),"",IF(AND(M301&gt;=L301,M301-L301&lt;=M301),(M301-L301)*$AK301,"!!!!"))</f>
        <v>7593</v>
      </c>
      <c r="AB301" s="2">
        <f t="shared" ref="AB301:AB310" si="103">IF(OR(ISBLANK(N301),ISBLANK(M301)),"",IF(AND(N301&gt;=M301,N301-M301&lt;=N301),(N301-M301)*$AK301,"!!!!"))</f>
        <v>6191</v>
      </c>
      <c r="AC301" s="2">
        <f t="shared" si="92"/>
        <v>4178</v>
      </c>
      <c r="AD301" s="2">
        <f t="shared" si="93"/>
        <v>4935</v>
      </c>
      <c r="AE301" s="2">
        <f t="shared" si="94"/>
        <v>8901</v>
      </c>
      <c r="AF301" s="2">
        <f t="shared" si="95"/>
        <v>10373</v>
      </c>
      <c r="AG301" s="2">
        <f t="shared" si="96"/>
        <v>9717</v>
      </c>
      <c r="AH301" s="2">
        <f t="shared" si="99"/>
        <v>6766</v>
      </c>
      <c r="AI301" s="2">
        <f t="shared" si="97"/>
        <v>5827</v>
      </c>
      <c r="AJ301" s="2">
        <f t="shared" si="98"/>
        <v>7479</v>
      </c>
      <c r="AK301" s="406">
        <v>1</v>
      </c>
      <c r="AL301" s="274">
        <f t="shared" ca="1" si="88"/>
        <v>94971</v>
      </c>
      <c r="AM301" s="311">
        <f t="shared" ca="1" si="89"/>
        <v>99149</v>
      </c>
      <c r="AN301" s="274">
        <f ca="1">IF(AND(Tabla7[[#This Row],[UltLec]]&lt;&gt;0,Tabla7[[#This Row],[PenLect]]&lt;&gt;0),(AM301-AL301)*Tabla7[[#This Row],[RT]],"N/A")</f>
        <v>4178</v>
      </c>
      <c r="AO301" s="273" t="s">
        <v>862</v>
      </c>
      <c r="AP301" s="392" t="s">
        <v>1190</v>
      </c>
      <c r="AQ301" s="392" t="s">
        <v>1189</v>
      </c>
      <c r="AR301" s="407">
        <f t="shared" si="90"/>
        <v>0</v>
      </c>
      <c r="AT301" s="2">
        <f t="shared" ca="1" si="91"/>
        <v>0.67485058956549826</v>
      </c>
      <c r="AV301">
        <f>IF(ISBLANK(Tabla7[[#This Row],[31/12/2017]]),0,Tabla7[[#This Row],[31/12/2017]])</f>
        <v>68271</v>
      </c>
      <c r="AW301">
        <f>IF(ISBLANK(Tabla7[[#This Row],[15/01/2018]]),0,Tabla7[[#This Row],[15/01/2018]])</f>
        <v>72937</v>
      </c>
      <c r="AX301">
        <f>IF(ISBLANK(Tabla7[[#This Row],[15/02/2018]]),0,Tabla7[[#This Row],[15/02/2018]])</f>
        <v>81187</v>
      </c>
      <c r="AY301">
        <f>IF(ISBLANK(Tabla7[[#This Row],[15/03/2018]]),0,Tabla7[[#This Row],[15/03/2018]])</f>
        <v>88780</v>
      </c>
      <c r="AZ301">
        <f>IF(ISBLANK(Tabla7[[#This Row],[15/04/2018]]),0,Tabla7[[#This Row],[15/04/2018]])</f>
        <v>94971</v>
      </c>
      <c r="BA301">
        <f>IF(ISBLANK(Tabla7[[#This Row],[15/05/2018]]),0,Tabla7[[#This Row],[15/05/2018]])</f>
        <v>99149</v>
      </c>
      <c r="BB301">
        <f>IF(ISBLANK(Tabla7[[#This Row],[15/06/2018]]),0,Tabla7[[#This Row],[15/06/2018]])</f>
        <v>104084</v>
      </c>
      <c r="BC301">
        <f>IF(ISBLANK(Tabla7[[#This Row],[15/07/2018]]),0,Tabla7[[#This Row],[15/07/2018]])</f>
        <v>112985</v>
      </c>
      <c r="BD301">
        <f>IF(ISBLANK(Tabla7[[#This Row],[15/08/2018]]),0,Tabla7[[#This Row],[15/08/2018]])</f>
        <v>123358</v>
      </c>
      <c r="BE301">
        <f>IF(ISBLANK(Tabla7[[#This Row],[15/09/2018]]),0,Tabla7[[#This Row],[15/09/2018]])</f>
        <v>133075</v>
      </c>
      <c r="BF301">
        <f>IF(ISBLANK(Tabla7[[#This Row],[15/10/2018]]),0,Tabla7[[#This Row],[15/10/2018]])</f>
        <v>139841</v>
      </c>
      <c r="BG301">
        <f>IF(ISBLANK(Tabla7[[#This Row],[15/11/2018]]),0,Tabla7[[#This Row],[15/11/2018]])</f>
        <v>145668</v>
      </c>
      <c r="BH301">
        <f>IF(ISBLANK(Tabla7[[#This Row],[15/12/2018]]),0,Tabla7[[#This Row],[15/12/2018]])</f>
        <v>153147</v>
      </c>
      <c r="BI301">
        <f>IF(ISBLANK(Tabla7[[#This Row],[28/12/2018]]),0,Tabla7[[#This Row],[28/12/2018]])</f>
        <v>0</v>
      </c>
      <c r="BN30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('CXZVFER15051363897','V','VCT14','39525','PRACTICOS DE VALENCIA S.L.P.','','TORRETAS / EDI','ALTA 1/3/2017 NUMERO 820618');</v>
      </c>
      <c r="BO301" t="s">
        <v>243</v>
      </c>
      <c r="BP301" s="632" t="str">
        <f>CONCATENATE("insert into lecturas values ","('",Tabla7[[#This Row],[CONTADOR]],"',STR_TO_DATE('",Tabla7[[#Headers],[31/12/2017]],"','%d/%m/%Y'),",AV301,"),","('",Tabla7[[#This Row],[CONTADOR]],"',STR_TO_DATE('",Tabla7[[#Headers],[15/01/2018]],"','%d/%m/%Y'),",AW301,"),","('",Tabla7[[#This Row],[CONTADOR]],"',STR_TO_DATE('",Tabla7[[#Headers],[15/02/2018]],"','%d/%m/%Y'),",AX301,"),","('",Tabla7[[#This Row],[CONTADOR]],"',STR_TO_DATE('",Tabla7[[#Headers],[15/03/2018]],"','%d/%m/%Y'),",AY301,"),","('",Tabla7[[#This Row],[CONTADOR]],"',STR_TO_DATE('",Tabla7[[#Headers],[15/04/2018]],"','%d/%m/%Y'),",AZ301,"),","('",Tabla7[[#This Row],[CONTADOR]],"',STR_TO_DATE('",Tabla7[[#Headers],[15/05/2018]],"','%d/%m/%Y'),",BA301,"),","('",Tabla7[[#This Row],[CONTADOR]],"',STR_TO_DATE('",Tabla7[[#Headers],[15/06/2018]],"','%d/%m/%Y'),",BB301,"),","('",Tabla7[[#This Row],[CONTADOR]],"',STR_TO_DATE('",Tabla7[[#Headers],[15/07/2018]],"','%d/%m/%Y'),",BC301,"),","('",Tabla7[[#This Row],[CONTADOR]],"',STR_TO_DATE('",Tabla7[[#Headers],[15/08/2018]],"','%d/%m/%Y'),",BD301,"),","('",Tabla7[[#This Row],[CONTADOR]],"',STR_TO_DATE('",Tabla7[[#Headers],[15/09/2018]],"','%d/%m/%Y'),",BE301,"),","('",Tabla7[[#This Row],[CONTADOR]],"',STR_TO_DATE('",Tabla7[[#Headers],[15/10/2018]],"','%d/%m/%Y'),",BF301,"),","('",Tabla7[[#This Row],[CONTADOR]],"',STR_TO_DATE('",Tabla7[[#Headers],[15/11/2018]],"','%d/%m/%Y'),",BG301,"),","('",Tabla7[[#This Row],[CONTADOR]],"',STR_TO_DATE('",Tabla7[[#Headers],[15/12/2018]],"','%d/%m/%Y'),",BH301,");")</f>
        <v>insert into lecturas values ('CXZVFER15051363897',STR_TO_DATE('31/12/2017','%d/%m/%Y'),68271),('CXZVFER15051363897',STR_TO_DATE('15/01/2018','%d/%m/%Y'),72937),('CXZVFER15051363897',STR_TO_DATE('15/02/2018','%d/%m/%Y'),81187),('CXZVFER15051363897',STR_TO_DATE('15/03/2018','%d/%m/%Y'),88780),('CXZVFER15051363897',STR_TO_DATE('15/04/2018','%d/%m/%Y'),94971),('CXZVFER15051363897',STR_TO_DATE('15/05/2018','%d/%m/%Y'),99149),('CXZVFER15051363897',STR_TO_DATE('15/06/2018','%d/%m/%Y'),104084),('CXZVFER15051363897',STR_TO_DATE('15/07/2018','%d/%m/%Y'),112985),('CXZVFER15051363897',STR_TO_DATE('15/08/2018','%d/%m/%Y'),123358),('CXZVFER15051363897',STR_TO_DATE('15/09/2018','%d/%m/%Y'),133075),('CXZVFER15051363897',STR_TO_DATE('15/10/2018','%d/%m/%Y'),139841),('CXZVFER15051363897',STR_TO_DATE('15/11/2018','%d/%m/%Y'),145668),('CXZVFER15051363897',STR_TO_DATE('15/12/2018','%d/%m/%Y'),153147);</v>
      </c>
    </row>
    <row r="302" spans="1:68" ht="18" customHeight="1" x14ac:dyDescent="0.25">
      <c r="A302" s="241" t="s">
        <v>19</v>
      </c>
      <c r="B302" s="60"/>
      <c r="C302" s="342" t="s">
        <v>1237</v>
      </c>
      <c r="D302" s="60" t="s">
        <v>136</v>
      </c>
      <c r="E302" s="258">
        <v>132</v>
      </c>
      <c r="F302" s="274" t="s">
        <v>880</v>
      </c>
      <c r="G302" s="274" t="s">
        <v>728</v>
      </c>
      <c r="H302" s="274" t="s">
        <v>729</v>
      </c>
      <c r="I302" s="274" t="s">
        <v>730</v>
      </c>
      <c r="J302" s="311">
        <v>275725</v>
      </c>
      <c r="K302" s="311">
        <v>300100</v>
      </c>
      <c r="L302" s="311">
        <v>325907</v>
      </c>
      <c r="M302" s="311">
        <v>353775</v>
      </c>
      <c r="N302" s="311">
        <v>380699</v>
      </c>
      <c r="O302" s="311">
        <v>403563</v>
      </c>
      <c r="P302" s="311">
        <v>426158</v>
      </c>
      <c r="Q302" s="307">
        <v>446339</v>
      </c>
      <c r="R302" s="311">
        <v>470158</v>
      </c>
      <c r="S302" s="311">
        <v>498946</v>
      </c>
      <c r="T302" s="311">
        <v>528450</v>
      </c>
      <c r="U302" s="353">
        <v>566119</v>
      </c>
      <c r="V302" s="311">
        <v>604552</v>
      </c>
      <c r="W302" s="274"/>
      <c r="X302" s="274"/>
      <c r="Y302" s="274">
        <f t="shared" si="86"/>
        <v>24375</v>
      </c>
      <c r="Z302" s="274">
        <f t="shared" si="84"/>
        <v>25807</v>
      </c>
      <c r="AA302" s="274">
        <f t="shared" si="102"/>
        <v>27868</v>
      </c>
      <c r="AB302" s="274">
        <f t="shared" si="103"/>
        <v>26924</v>
      </c>
      <c r="AC302" s="274">
        <f t="shared" si="92"/>
        <v>22864</v>
      </c>
      <c r="AD302" s="274">
        <f t="shared" si="93"/>
        <v>22595</v>
      </c>
      <c r="AE302" s="274">
        <f t="shared" si="94"/>
        <v>20181</v>
      </c>
      <c r="AF302" s="274">
        <f t="shared" si="95"/>
        <v>23819</v>
      </c>
      <c r="AG302" s="274">
        <f t="shared" si="96"/>
        <v>28788</v>
      </c>
      <c r="AH302" s="274">
        <f t="shared" si="99"/>
        <v>29504</v>
      </c>
      <c r="AI302" s="274">
        <f t="shared" si="97"/>
        <v>37669</v>
      </c>
      <c r="AJ302" s="274">
        <f t="shared" si="98"/>
        <v>38433</v>
      </c>
      <c r="AK302" s="406">
        <v>1</v>
      </c>
      <c r="AL302" s="274">
        <f t="shared" ca="1" si="88"/>
        <v>380699</v>
      </c>
      <c r="AM302" s="311">
        <f t="shared" ca="1" si="89"/>
        <v>403563</v>
      </c>
      <c r="AN302" s="274">
        <f ca="1">IF(AND(Tabla7[[#This Row],[UltLec]]&lt;&gt;0,Tabla7[[#This Row],[PenLect]]&lt;&gt;0),(AM302-AL302)*Tabla7[[#This Row],[RT]],"N/A")</f>
        <v>22864</v>
      </c>
      <c r="AO302" s="273" t="s">
        <v>862</v>
      </c>
      <c r="AP302" s="392" t="s">
        <v>1190</v>
      </c>
      <c r="AQ302" s="392" t="s">
        <v>1189</v>
      </c>
      <c r="AR302" s="407">
        <f t="shared" si="90"/>
        <v>0</v>
      </c>
      <c r="AT302" s="2">
        <f t="shared" ca="1" si="91"/>
        <v>0.84920517010845342</v>
      </c>
      <c r="AV302">
        <f>IF(ISBLANK(Tabla7[[#This Row],[31/12/2017]]),0,Tabla7[[#This Row],[31/12/2017]])</f>
        <v>275725</v>
      </c>
      <c r="AW302">
        <f>IF(ISBLANK(Tabla7[[#This Row],[15/01/2018]]),0,Tabla7[[#This Row],[15/01/2018]])</f>
        <v>300100</v>
      </c>
      <c r="AX302">
        <f>IF(ISBLANK(Tabla7[[#This Row],[15/02/2018]]),0,Tabla7[[#This Row],[15/02/2018]])</f>
        <v>325907</v>
      </c>
      <c r="AY302">
        <f>IF(ISBLANK(Tabla7[[#This Row],[15/03/2018]]),0,Tabla7[[#This Row],[15/03/2018]])</f>
        <v>353775</v>
      </c>
      <c r="AZ302">
        <f>IF(ISBLANK(Tabla7[[#This Row],[15/04/2018]]),0,Tabla7[[#This Row],[15/04/2018]])</f>
        <v>380699</v>
      </c>
      <c r="BA302">
        <f>IF(ISBLANK(Tabla7[[#This Row],[15/05/2018]]),0,Tabla7[[#This Row],[15/05/2018]])</f>
        <v>403563</v>
      </c>
      <c r="BB302">
        <f>IF(ISBLANK(Tabla7[[#This Row],[15/06/2018]]),0,Tabla7[[#This Row],[15/06/2018]])</f>
        <v>426158</v>
      </c>
      <c r="BC302">
        <f>IF(ISBLANK(Tabla7[[#This Row],[15/07/2018]]),0,Tabla7[[#This Row],[15/07/2018]])</f>
        <v>446339</v>
      </c>
      <c r="BD302">
        <f>IF(ISBLANK(Tabla7[[#This Row],[15/08/2018]]),0,Tabla7[[#This Row],[15/08/2018]])</f>
        <v>470158</v>
      </c>
      <c r="BE302">
        <f>IF(ISBLANK(Tabla7[[#This Row],[15/09/2018]]),0,Tabla7[[#This Row],[15/09/2018]])</f>
        <v>498946</v>
      </c>
      <c r="BF302">
        <f>IF(ISBLANK(Tabla7[[#This Row],[15/10/2018]]),0,Tabla7[[#This Row],[15/10/2018]])</f>
        <v>528450</v>
      </c>
      <c r="BG302">
        <f>IF(ISBLANK(Tabla7[[#This Row],[15/11/2018]]),0,Tabla7[[#This Row],[15/11/2018]])</f>
        <v>566119</v>
      </c>
      <c r="BH302">
        <f>IF(ISBLANK(Tabla7[[#This Row],[15/12/2018]]),0,Tabla7[[#This Row],[15/12/2018]])</f>
        <v>604552</v>
      </c>
      <c r="BI302">
        <f>IF(ISBLANK(Tabla7[[#This Row],[28/12/2018]]),0,Tabla7[[#This Row],[28/12/2018]])</f>
        <v>0</v>
      </c>
      <c r="BN30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('CXZVFER16037477744','V','VCT14','132','APV TORRES DARSENA SERVICIO (4) Y MUELLE SUR (3)','INTERIOR CT14','TORRES DARSENA SERVICIO (4) Y MUELLE SUR (3)','AUTOCONSUMO. INSTALADO EL 15 FEBRERO.');</v>
      </c>
      <c r="BO302" t="s">
        <v>243</v>
      </c>
      <c r="BP302" s="632" t="str">
        <f>CONCATENATE("insert into lecturas values ","('",Tabla7[[#This Row],[CONTADOR]],"',STR_TO_DATE('",Tabla7[[#Headers],[31/12/2017]],"','%d/%m/%Y'),",AV302,"),","('",Tabla7[[#This Row],[CONTADOR]],"',STR_TO_DATE('",Tabla7[[#Headers],[15/01/2018]],"','%d/%m/%Y'),",AW302,"),","('",Tabla7[[#This Row],[CONTADOR]],"',STR_TO_DATE('",Tabla7[[#Headers],[15/02/2018]],"','%d/%m/%Y'),",AX302,"),","('",Tabla7[[#This Row],[CONTADOR]],"',STR_TO_DATE('",Tabla7[[#Headers],[15/03/2018]],"','%d/%m/%Y'),",AY302,"),","('",Tabla7[[#This Row],[CONTADOR]],"',STR_TO_DATE('",Tabla7[[#Headers],[15/04/2018]],"','%d/%m/%Y'),",AZ302,"),","('",Tabla7[[#This Row],[CONTADOR]],"',STR_TO_DATE('",Tabla7[[#Headers],[15/05/2018]],"','%d/%m/%Y'),",BA302,"),","('",Tabla7[[#This Row],[CONTADOR]],"',STR_TO_DATE('",Tabla7[[#Headers],[15/06/2018]],"','%d/%m/%Y'),",BB302,"),","('",Tabla7[[#This Row],[CONTADOR]],"',STR_TO_DATE('",Tabla7[[#Headers],[15/07/2018]],"','%d/%m/%Y'),",BC302,"),","('",Tabla7[[#This Row],[CONTADOR]],"',STR_TO_DATE('",Tabla7[[#Headers],[15/08/2018]],"','%d/%m/%Y'),",BD302,"),","('",Tabla7[[#This Row],[CONTADOR]],"',STR_TO_DATE('",Tabla7[[#Headers],[15/09/2018]],"','%d/%m/%Y'),",BE302,"),","('",Tabla7[[#This Row],[CONTADOR]],"',STR_TO_DATE('",Tabla7[[#Headers],[15/10/2018]],"','%d/%m/%Y'),",BF302,"),","('",Tabla7[[#This Row],[CONTADOR]],"',STR_TO_DATE('",Tabla7[[#Headers],[15/11/2018]],"','%d/%m/%Y'),",BG302,"),","('",Tabla7[[#This Row],[CONTADOR]],"',STR_TO_DATE('",Tabla7[[#Headers],[15/12/2018]],"','%d/%m/%Y'),",BH302,");")</f>
        <v>insert into lecturas values ('CXZVFER16037477744',STR_TO_DATE('31/12/2017','%d/%m/%Y'),275725),('CXZVFER16037477744',STR_TO_DATE('15/01/2018','%d/%m/%Y'),300100),('CXZVFER16037477744',STR_TO_DATE('15/02/2018','%d/%m/%Y'),325907),('CXZVFER16037477744',STR_TO_DATE('15/03/2018','%d/%m/%Y'),353775),('CXZVFER16037477744',STR_TO_DATE('15/04/2018','%d/%m/%Y'),380699),('CXZVFER16037477744',STR_TO_DATE('15/05/2018','%d/%m/%Y'),403563),('CXZVFER16037477744',STR_TO_DATE('15/06/2018','%d/%m/%Y'),426158),('CXZVFER16037477744',STR_TO_DATE('15/07/2018','%d/%m/%Y'),446339),('CXZVFER16037477744',STR_TO_DATE('15/08/2018','%d/%m/%Y'),470158),('CXZVFER16037477744',STR_TO_DATE('15/09/2018','%d/%m/%Y'),498946),('CXZVFER16037477744',STR_TO_DATE('15/10/2018','%d/%m/%Y'),528450),('CXZVFER16037477744',STR_TO_DATE('15/11/2018','%d/%m/%Y'),566119),('CXZVFER16037477744',STR_TO_DATE('15/12/2018','%d/%m/%Y'),604552);</v>
      </c>
    </row>
    <row r="303" spans="1:68" ht="18" customHeight="1" x14ac:dyDescent="0.25">
      <c r="A303" s="241" t="s">
        <v>19</v>
      </c>
      <c r="B303" s="60"/>
      <c r="C303" s="342" t="s">
        <v>142</v>
      </c>
      <c r="D303" s="60" t="s">
        <v>136</v>
      </c>
      <c r="E303" s="258">
        <v>150</v>
      </c>
      <c r="F303" s="2" t="s">
        <v>21</v>
      </c>
      <c r="G303" s="2" t="s">
        <v>725</v>
      </c>
      <c r="H303" s="2" t="s">
        <v>726</v>
      </c>
      <c r="I303" s="274"/>
      <c r="J303" s="311">
        <v>7946</v>
      </c>
      <c r="K303" s="311">
        <v>8109</v>
      </c>
      <c r="L303" s="354">
        <v>8381</v>
      </c>
      <c r="M303" s="311">
        <v>8646</v>
      </c>
      <c r="N303" s="311">
        <v>8942</v>
      </c>
      <c r="O303" s="311">
        <v>9207</v>
      </c>
      <c r="P303" s="311">
        <v>9483</v>
      </c>
      <c r="Q303" s="275">
        <v>9772</v>
      </c>
      <c r="R303" s="311">
        <v>10045</v>
      </c>
      <c r="S303" s="311">
        <v>10338</v>
      </c>
      <c r="T303" s="311">
        <v>10610</v>
      </c>
      <c r="U303" s="531">
        <v>10916</v>
      </c>
      <c r="V303" s="492">
        <v>11218</v>
      </c>
      <c r="W303" s="274"/>
      <c r="X303" s="2"/>
      <c r="Y303" s="2">
        <f t="shared" si="86"/>
        <v>163</v>
      </c>
      <c r="Z303" s="2">
        <f t="shared" si="84"/>
        <v>272</v>
      </c>
      <c r="AA303" s="2">
        <f t="shared" si="102"/>
        <v>265</v>
      </c>
      <c r="AB303" s="2">
        <f t="shared" si="103"/>
        <v>296</v>
      </c>
      <c r="AC303" s="2">
        <f t="shared" si="92"/>
        <v>265</v>
      </c>
      <c r="AD303" s="2">
        <f t="shared" si="93"/>
        <v>276</v>
      </c>
      <c r="AE303" s="2">
        <f t="shared" si="94"/>
        <v>289</v>
      </c>
      <c r="AF303" s="2">
        <f t="shared" si="95"/>
        <v>273</v>
      </c>
      <c r="AG303" s="2">
        <f t="shared" si="96"/>
        <v>293</v>
      </c>
      <c r="AH303" s="2">
        <f t="shared" si="99"/>
        <v>272</v>
      </c>
      <c r="AI303" s="2">
        <f t="shared" si="97"/>
        <v>306</v>
      </c>
      <c r="AJ303" s="2">
        <f t="shared" si="98"/>
        <v>302</v>
      </c>
      <c r="AK303" s="406">
        <v>1</v>
      </c>
      <c r="AL303" s="274">
        <f t="shared" ca="1" si="88"/>
        <v>8942</v>
      </c>
      <c r="AM303" s="311">
        <f t="shared" ca="1" si="89"/>
        <v>9207</v>
      </c>
      <c r="AN303" s="274">
        <f ca="1">IF(AND(Tabla7[[#This Row],[UltLec]]&lt;&gt;0,Tabla7[[#This Row],[PenLect]]&lt;&gt;0),(AM303-AL303)*Tabla7[[#This Row],[RT]],"N/A")</f>
        <v>265</v>
      </c>
      <c r="AO303" s="273" t="s">
        <v>862</v>
      </c>
      <c r="AP303" s="392" t="s">
        <v>1190</v>
      </c>
      <c r="AQ303" s="392" t="s">
        <v>1189</v>
      </c>
      <c r="AR303" s="407">
        <f t="shared" si="90"/>
        <v>0</v>
      </c>
      <c r="AT303" s="2">
        <f t="shared" ca="1" si="91"/>
        <v>0.89527027027027029</v>
      </c>
      <c r="AV303">
        <f>IF(ISBLANK(Tabla7[[#This Row],[31/12/2017]]),0,Tabla7[[#This Row],[31/12/2017]])</f>
        <v>7946</v>
      </c>
      <c r="AW303">
        <f>IF(ISBLANK(Tabla7[[#This Row],[15/01/2018]]),0,Tabla7[[#This Row],[15/01/2018]])</f>
        <v>8109</v>
      </c>
      <c r="AX303">
        <f>IF(ISBLANK(Tabla7[[#This Row],[15/02/2018]]),0,Tabla7[[#This Row],[15/02/2018]])</f>
        <v>8381</v>
      </c>
      <c r="AY303">
        <f>IF(ISBLANK(Tabla7[[#This Row],[15/03/2018]]),0,Tabla7[[#This Row],[15/03/2018]])</f>
        <v>8646</v>
      </c>
      <c r="AZ303">
        <f>IF(ISBLANK(Tabla7[[#This Row],[15/04/2018]]),0,Tabla7[[#This Row],[15/04/2018]])</f>
        <v>8942</v>
      </c>
      <c r="BA303">
        <f>IF(ISBLANK(Tabla7[[#This Row],[15/05/2018]]),0,Tabla7[[#This Row],[15/05/2018]])</f>
        <v>9207</v>
      </c>
      <c r="BB303">
        <f>IF(ISBLANK(Tabla7[[#This Row],[15/06/2018]]),0,Tabla7[[#This Row],[15/06/2018]])</f>
        <v>9483</v>
      </c>
      <c r="BC303">
        <f>IF(ISBLANK(Tabla7[[#This Row],[15/07/2018]]),0,Tabla7[[#This Row],[15/07/2018]])</f>
        <v>9772</v>
      </c>
      <c r="BD303">
        <f>IF(ISBLANK(Tabla7[[#This Row],[15/08/2018]]),0,Tabla7[[#This Row],[15/08/2018]])</f>
        <v>10045</v>
      </c>
      <c r="BE303">
        <f>IF(ISBLANK(Tabla7[[#This Row],[15/09/2018]]),0,Tabla7[[#This Row],[15/09/2018]])</f>
        <v>10338</v>
      </c>
      <c r="BF303">
        <f>IF(ISBLANK(Tabla7[[#This Row],[15/10/2018]]),0,Tabla7[[#This Row],[15/10/2018]])</f>
        <v>10610</v>
      </c>
      <c r="BG303">
        <f>IF(ISBLANK(Tabla7[[#This Row],[15/11/2018]]),0,Tabla7[[#This Row],[15/11/2018]])</f>
        <v>10916</v>
      </c>
      <c r="BH303">
        <f>IF(ISBLANK(Tabla7[[#This Row],[15/12/2018]]),0,Tabla7[[#This Row],[15/12/2018]])</f>
        <v>11218</v>
      </c>
      <c r="BI303">
        <f>IF(ISBLANK(Tabla7[[#This Row],[28/12/2018]]),0,Tabla7[[#This Row],[28/12/2018]])</f>
        <v>0</v>
      </c>
      <c r="BN30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('LW00181079','V','VCT14','150','APV','CENTRALIZACION CT14','EDIFICIO PENDIENTE ADJUDICACIÓN','');</v>
      </c>
      <c r="BO303" t="s">
        <v>243</v>
      </c>
      <c r="BP303" s="632" t="str">
        <f>CONCATENATE("insert into lecturas values ","('",Tabla7[[#This Row],[CONTADOR]],"',STR_TO_DATE('",Tabla7[[#Headers],[31/12/2017]],"','%d/%m/%Y'),",AV303,"),","('",Tabla7[[#This Row],[CONTADOR]],"',STR_TO_DATE('",Tabla7[[#Headers],[15/01/2018]],"','%d/%m/%Y'),",AW303,"),","('",Tabla7[[#This Row],[CONTADOR]],"',STR_TO_DATE('",Tabla7[[#Headers],[15/02/2018]],"','%d/%m/%Y'),",AX303,"),","('",Tabla7[[#This Row],[CONTADOR]],"',STR_TO_DATE('",Tabla7[[#Headers],[15/03/2018]],"','%d/%m/%Y'),",AY303,"),","('",Tabla7[[#This Row],[CONTADOR]],"',STR_TO_DATE('",Tabla7[[#Headers],[15/04/2018]],"','%d/%m/%Y'),",AZ303,"),","('",Tabla7[[#This Row],[CONTADOR]],"',STR_TO_DATE('",Tabla7[[#Headers],[15/05/2018]],"','%d/%m/%Y'),",BA303,"),","('",Tabla7[[#This Row],[CONTADOR]],"',STR_TO_DATE('",Tabla7[[#Headers],[15/06/2018]],"','%d/%m/%Y'),",BB303,"),","('",Tabla7[[#This Row],[CONTADOR]],"',STR_TO_DATE('",Tabla7[[#Headers],[15/07/2018]],"','%d/%m/%Y'),",BC303,"),","('",Tabla7[[#This Row],[CONTADOR]],"',STR_TO_DATE('",Tabla7[[#Headers],[15/08/2018]],"','%d/%m/%Y'),",BD303,"),","('",Tabla7[[#This Row],[CONTADOR]],"',STR_TO_DATE('",Tabla7[[#Headers],[15/09/2018]],"','%d/%m/%Y'),",BE303,"),","('",Tabla7[[#This Row],[CONTADOR]],"',STR_TO_DATE('",Tabla7[[#Headers],[15/10/2018]],"','%d/%m/%Y'),",BF303,"),","('",Tabla7[[#This Row],[CONTADOR]],"',STR_TO_DATE('",Tabla7[[#Headers],[15/11/2018]],"','%d/%m/%Y'),",BG303,"),","('",Tabla7[[#This Row],[CONTADOR]],"',STR_TO_DATE('",Tabla7[[#Headers],[15/12/2018]],"','%d/%m/%Y'),",BH303,");")</f>
        <v>insert into lecturas values ('LW00181079',STR_TO_DATE('31/12/2017','%d/%m/%Y'),7946),('LW00181079',STR_TO_DATE('15/01/2018','%d/%m/%Y'),8109),('LW00181079',STR_TO_DATE('15/02/2018','%d/%m/%Y'),8381),('LW00181079',STR_TO_DATE('15/03/2018','%d/%m/%Y'),8646),('LW00181079',STR_TO_DATE('15/04/2018','%d/%m/%Y'),8942),('LW00181079',STR_TO_DATE('15/05/2018','%d/%m/%Y'),9207),('LW00181079',STR_TO_DATE('15/06/2018','%d/%m/%Y'),9483),('LW00181079',STR_TO_DATE('15/07/2018','%d/%m/%Y'),9772),('LW00181079',STR_TO_DATE('15/08/2018','%d/%m/%Y'),10045),('LW00181079',STR_TO_DATE('15/09/2018','%d/%m/%Y'),10338),('LW00181079',STR_TO_DATE('15/10/2018','%d/%m/%Y'),10610),('LW00181079',STR_TO_DATE('15/11/2018','%d/%m/%Y'),10916),('LW00181079',STR_TO_DATE('15/12/2018','%d/%m/%Y'),11218);</v>
      </c>
    </row>
    <row r="304" spans="1:68" ht="18" customHeight="1" x14ac:dyDescent="0.25">
      <c r="A304" s="241" t="s">
        <v>19</v>
      </c>
      <c r="B304" s="60"/>
      <c r="C304" s="342" t="s">
        <v>141</v>
      </c>
      <c r="D304" s="60" t="s">
        <v>136</v>
      </c>
      <c r="E304" s="258">
        <v>39577</v>
      </c>
      <c r="F304" s="2" t="s">
        <v>1182</v>
      </c>
      <c r="G304" s="2" t="s">
        <v>725</v>
      </c>
      <c r="H304" s="2" t="s">
        <v>726</v>
      </c>
      <c r="I304" s="430" t="s">
        <v>1183</v>
      </c>
      <c r="J304" s="311">
        <v>3523</v>
      </c>
      <c r="K304" s="311"/>
      <c r="L304" s="354">
        <v>4562</v>
      </c>
      <c r="M304" s="311">
        <v>5451</v>
      </c>
      <c r="N304" s="311">
        <v>6519</v>
      </c>
      <c r="O304" s="311">
        <v>7509</v>
      </c>
      <c r="P304" s="311">
        <v>8750</v>
      </c>
      <c r="Q304" s="275">
        <v>10623</v>
      </c>
      <c r="R304" s="311">
        <v>12343</v>
      </c>
      <c r="S304" s="311">
        <v>14222</v>
      </c>
      <c r="T304" s="311">
        <v>15714</v>
      </c>
      <c r="U304" s="531">
        <v>17068</v>
      </c>
      <c r="V304" s="492">
        <v>18300</v>
      </c>
      <c r="W304" s="274"/>
      <c r="X304" s="2"/>
      <c r="Y304" s="2" t="str">
        <f t="shared" si="86"/>
        <v/>
      </c>
      <c r="Z304" s="2" t="str">
        <f t="shared" si="84"/>
        <v/>
      </c>
      <c r="AA304" s="2">
        <f t="shared" si="102"/>
        <v>889</v>
      </c>
      <c r="AB304" s="2">
        <f t="shared" si="103"/>
        <v>1068</v>
      </c>
      <c r="AC304" s="2">
        <f t="shared" si="92"/>
        <v>990</v>
      </c>
      <c r="AD304" s="2">
        <f t="shared" si="93"/>
        <v>1241</v>
      </c>
      <c r="AE304" s="2">
        <f t="shared" si="94"/>
        <v>1873</v>
      </c>
      <c r="AF304" s="2">
        <f t="shared" si="95"/>
        <v>1720</v>
      </c>
      <c r="AG304" s="2">
        <f t="shared" si="96"/>
        <v>1879</v>
      </c>
      <c r="AH304" s="2">
        <f t="shared" si="99"/>
        <v>1492</v>
      </c>
      <c r="AI304" s="2">
        <f t="shared" si="97"/>
        <v>1354</v>
      </c>
      <c r="AJ304" s="2">
        <f t="shared" si="98"/>
        <v>1232</v>
      </c>
      <c r="AK304" s="406">
        <v>1</v>
      </c>
      <c r="AL304" s="274">
        <f t="shared" ca="1" si="88"/>
        <v>6519</v>
      </c>
      <c r="AM304" s="311">
        <f t="shared" ca="1" si="89"/>
        <v>7509</v>
      </c>
      <c r="AN304" s="274">
        <f ca="1">IF(AND(Tabla7[[#This Row],[UltLec]]&lt;&gt;0,Tabla7[[#This Row],[PenLect]]&lt;&gt;0),(AM304-AL304)*Tabla7[[#This Row],[RT]],"N/A")</f>
        <v>990</v>
      </c>
      <c r="AO304" s="273" t="s">
        <v>862</v>
      </c>
      <c r="AP304" s="392" t="s">
        <v>1190</v>
      </c>
      <c r="AQ304" s="392" t="s">
        <v>1189</v>
      </c>
      <c r="AR304" s="407">
        <f t="shared" si="90"/>
        <v>0</v>
      </c>
      <c r="AT304" s="2">
        <f t="shared" ca="1" si="91"/>
        <v>0.9269662921348315</v>
      </c>
      <c r="AV304">
        <f>IF(ISBLANK(Tabla7[[#This Row],[31/12/2017]]),0,Tabla7[[#This Row],[31/12/2017]])</f>
        <v>3523</v>
      </c>
      <c r="AW304">
        <f>IF(ISBLANK(Tabla7[[#This Row],[15/01/2018]]),0,Tabla7[[#This Row],[15/01/2018]])</f>
        <v>0</v>
      </c>
      <c r="AX304">
        <f>IF(ISBLANK(Tabla7[[#This Row],[15/02/2018]]),0,Tabla7[[#This Row],[15/02/2018]])</f>
        <v>4562</v>
      </c>
      <c r="AY304">
        <f>IF(ISBLANK(Tabla7[[#This Row],[15/03/2018]]),0,Tabla7[[#This Row],[15/03/2018]])</f>
        <v>5451</v>
      </c>
      <c r="AZ304">
        <f>IF(ISBLANK(Tabla7[[#This Row],[15/04/2018]]),0,Tabla7[[#This Row],[15/04/2018]])</f>
        <v>6519</v>
      </c>
      <c r="BA304">
        <f>IF(ISBLANK(Tabla7[[#This Row],[15/05/2018]]),0,Tabla7[[#This Row],[15/05/2018]])</f>
        <v>7509</v>
      </c>
      <c r="BB304">
        <f>IF(ISBLANK(Tabla7[[#This Row],[15/06/2018]]),0,Tabla7[[#This Row],[15/06/2018]])</f>
        <v>8750</v>
      </c>
      <c r="BC304">
        <f>IF(ISBLANK(Tabla7[[#This Row],[15/07/2018]]),0,Tabla7[[#This Row],[15/07/2018]])</f>
        <v>10623</v>
      </c>
      <c r="BD304">
        <f>IF(ISBLANK(Tabla7[[#This Row],[15/08/2018]]),0,Tabla7[[#This Row],[15/08/2018]])</f>
        <v>12343</v>
      </c>
      <c r="BE304">
        <f>IF(ISBLANK(Tabla7[[#This Row],[15/09/2018]]),0,Tabla7[[#This Row],[15/09/2018]])</f>
        <v>14222</v>
      </c>
      <c r="BF304">
        <f>IF(ISBLANK(Tabla7[[#This Row],[15/10/2018]]),0,Tabla7[[#This Row],[15/10/2018]])</f>
        <v>15714</v>
      </c>
      <c r="BG304">
        <f>IF(ISBLANK(Tabla7[[#This Row],[15/11/2018]]),0,Tabla7[[#This Row],[15/11/2018]])</f>
        <v>17068</v>
      </c>
      <c r="BH304">
        <f>IF(ISBLANK(Tabla7[[#This Row],[15/12/2018]]),0,Tabla7[[#This Row],[15/12/2018]])</f>
        <v>18300</v>
      </c>
      <c r="BI304">
        <f>IF(ISBLANK(Tabla7[[#This Row],[28/12/2018]]),0,Tabla7[[#This Row],[28/12/2018]])</f>
        <v>0</v>
      </c>
      <c r="BN30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('LW00181362','V','VCT14','39577','REMOLCADORES BOLUDA, S.A.','CENTRALIZACION CT14','EDIFICIO PENDIENTE ADJUDICACIÓN','D.S.T.N OFICINAS');</v>
      </c>
      <c r="BO304" t="s">
        <v>243</v>
      </c>
      <c r="BP304" s="632" t="str">
        <f>CONCATENATE("insert into lecturas values ","('",Tabla7[[#This Row],[CONTADOR]],"',STR_TO_DATE('",Tabla7[[#Headers],[31/12/2017]],"','%d/%m/%Y'),",AV304,"),","('",Tabla7[[#This Row],[CONTADOR]],"',STR_TO_DATE('",Tabla7[[#Headers],[15/01/2018]],"','%d/%m/%Y'),",AW304,"),","('",Tabla7[[#This Row],[CONTADOR]],"',STR_TO_DATE('",Tabla7[[#Headers],[15/02/2018]],"','%d/%m/%Y'),",AX304,"),","('",Tabla7[[#This Row],[CONTADOR]],"',STR_TO_DATE('",Tabla7[[#Headers],[15/03/2018]],"','%d/%m/%Y'),",AY304,"),","('",Tabla7[[#This Row],[CONTADOR]],"',STR_TO_DATE('",Tabla7[[#Headers],[15/04/2018]],"','%d/%m/%Y'),",AZ304,"),","('",Tabla7[[#This Row],[CONTADOR]],"',STR_TO_DATE('",Tabla7[[#Headers],[15/05/2018]],"','%d/%m/%Y'),",BA304,"),","('",Tabla7[[#This Row],[CONTADOR]],"',STR_TO_DATE('",Tabla7[[#Headers],[15/06/2018]],"','%d/%m/%Y'),",BB304,"),","('",Tabla7[[#This Row],[CONTADOR]],"',STR_TO_DATE('",Tabla7[[#Headers],[15/07/2018]],"','%d/%m/%Y'),",BC304,"),","('",Tabla7[[#This Row],[CONTADOR]],"',STR_TO_DATE('",Tabla7[[#Headers],[15/08/2018]],"','%d/%m/%Y'),",BD304,"),","('",Tabla7[[#This Row],[CONTADOR]],"',STR_TO_DATE('",Tabla7[[#Headers],[15/09/2018]],"','%d/%m/%Y'),",BE304,"),","('",Tabla7[[#This Row],[CONTADOR]],"',STR_TO_DATE('",Tabla7[[#Headers],[15/10/2018]],"','%d/%m/%Y'),",BF304,"),","('",Tabla7[[#This Row],[CONTADOR]],"',STR_TO_DATE('",Tabla7[[#Headers],[15/11/2018]],"','%d/%m/%Y'),",BG304,"),","('",Tabla7[[#This Row],[CONTADOR]],"',STR_TO_DATE('",Tabla7[[#Headers],[15/12/2018]],"','%d/%m/%Y'),",BH304,");")</f>
        <v>insert into lecturas values ('LW00181362',STR_TO_DATE('31/12/2017','%d/%m/%Y'),3523),('LW00181362',STR_TO_DATE('15/01/2018','%d/%m/%Y'),0),('LW00181362',STR_TO_DATE('15/02/2018','%d/%m/%Y'),4562),('LW00181362',STR_TO_DATE('15/03/2018','%d/%m/%Y'),5451),('LW00181362',STR_TO_DATE('15/04/2018','%d/%m/%Y'),6519),('LW00181362',STR_TO_DATE('15/05/2018','%d/%m/%Y'),7509),('LW00181362',STR_TO_DATE('15/06/2018','%d/%m/%Y'),8750),('LW00181362',STR_TO_DATE('15/07/2018','%d/%m/%Y'),10623),('LW00181362',STR_TO_DATE('15/08/2018','%d/%m/%Y'),12343),('LW00181362',STR_TO_DATE('15/09/2018','%d/%m/%Y'),14222),('LW00181362',STR_TO_DATE('15/10/2018','%d/%m/%Y'),15714),('LW00181362',STR_TO_DATE('15/11/2018','%d/%m/%Y'),17068),('LW00181362',STR_TO_DATE('15/12/2018','%d/%m/%Y'),18300);</v>
      </c>
    </row>
    <row r="305" spans="1:68" ht="18" customHeight="1" x14ac:dyDescent="0.25">
      <c r="A305" s="241" t="s">
        <v>19</v>
      </c>
      <c r="B305" s="60">
        <v>1394</v>
      </c>
      <c r="C305" s="342" t="s">
        <v>139</v>
      </c>
      <c r="D305" s="60" t="s">
        <v>136</v>
      </c>
      <c r="E305" s="258">
        <v>39185</v>
      </c>
      <c r="F305" s="2" t="s">
        <v>440</v>
      </c>
      <c r="G305" s="2" t="s">
        <v>124</v>
      </c>
      <c r="H305" s="2" t="s">
        <v>441</v>
      </c>
      <c r="I305" s="2" t="s">
        <v>442</v>
      </c>
      <c r="J305" s="311">
        <v>60991</v>
      </c>
      <c r="K305" s="311">
        <v>63204</v>
      </c>
      <c r="L305" s="354">
        <v>67475</v>
      </c>
      <c r="M305" s="311">
        <v>71825</v>
      </c>
      <c r="N305" s="311">
        <v>75250</v>
      </c>
      <c r="O305" s="311">
        <v>77749</v>
      </c>
      <c r="P305" s="311">
        <v>80364</v>
      </c>
      <c r="Q305" s="275">
        <v>86003</v>
      </c>
      <c r="R305" s="311">
        <v>92737</v>
      </c>
      <c r="S305" s="311">
        <v>98837</v>
      </c>
      <c r="T305" s="311">
        <v>102923</v>
      </c>
      <c r="U305" s="531">
        <v>106833</v>
      </c>
      <c r="V305" s="492">
        <v>111173</v>
      </c>
      <c r="W305" s="2"/>
      <c r="X305" s="2"/>
      <c r="Y305" s="2">
        <f t="shared" si="86"/>
        <v>2213</v>
      </c>
      <c r="Z305" s="2">
        <f t="shared" si="84"/>
        <v>4271</v>
      </c>
      <c r="AA305" s="2">
        <f t="shared" si="102"/>
        <v>4350</v>
      </c>
      <c r="AB305" s="2">
        <f t="shared" si="103"/>
        <v>3425</v>
      </c>
      <c r="AC305" s="2">
        <f t="shared" si="92"/>
        <v>2499</v>
      </c>
      <c r="AD305" s="2">
        <f t="shared" si="93"/>
        <v>2615</v>
      </c>
      <c r="AE305" s="2">
        <f t="shared" si="94"/>
        <v>5639</v>
      </c>
      <c r="AF305" s="2">
        <f t="shared" si="95"/>
        <v>6734</v>
      </c>
      <c r="AG305" s="2">
        <f t="shared" si="96"/>
        <v>6100</v>
      </c>
      <c r="AH305" s="2">
        <f t="shared" si="99"/>
        <v>4086</v>
      </c>
      <c r="AI305" s="2">
        <f t="shared" si="97"/>
        <v>3910</v>
      </c>
      <c r="AJ305" s="2">
        <f t="shared" si="98"/>
        <v>4340</v>
      </c>
      <c r="AK305" s="406">
        <v>1</v>
      </c>
      <c r="AL305" s="274">
        <f t="shared" ca="1" si="88"/>
        <v>75250</v>
      </c>
      <c r="AM305" s="311">
        <f t="shared" ca="1" si="89"/>
        <v>77749</v>
      </c>
      <c r="AN305" s="274">
        <f ca="1">IF(AND(Tabla7[[#This Row],[UltLec]]&lt;&gt;0,Tabla7[[#This Row],[PenLect]]&lt;&gt;0),(AM305-AL305)*Tabla7[[#This Row],[RT]],"N/A")</f>
        <v>2499</v>
      </c>
      <c r="AO305" s="273" t="s">
        <v>862</v>
      </c>
      <c r="AP305" s="392" t="s">
        <v>1190</v>
      </c>
      <c r="AQ305" s="392" t="s">
        <v>1189</v>
      </c>
      <c r="AR305" s="407">
        <f t="shared" si="90"/>
        <v>0</v>
      </c>
      <c r="AT305" s="2">
        <f t="shared" ca="1" si="91"/>
        <v>0.72963503649635042</v>
      </c>
      <c r="AV305">
        <f>IF(ISBLANK(Tabla7[[#This Row],[31/12/2017]]),0,Tabla7[[#This Row],[31/12/2017]])</f>
        <v>60991</v>
      </c>
      <c r="AW305">
        <f>IF(ISBLANK(Tabla7[[#This Row],[15/01/2018]]),0,Tabla7[[#This Row],[15/01/2018]])</f>
        <v>63204</v>
      </c>
      <c r="AX305">
        <f>IF(ISBLANK(Tabla7[[#This Row],[15/02/2018]]),0,Tabla7[[#This Row],[15/02/2018]])</f>
        <v>67475</v>
      </c>
      <c r="AY305">
        <f>IF(ISBLANK(Tabla7[[#This Row],[15/03/2018]]),0,Tabla7[[#This Row],[15/03/2018]])</f>
        <v>71825</v>
      </c>
      <c r="AZ305">
        <f>IF(ISBLANK(Tabla7[[#This Row],[15/04/2018]]),0,Tabla7[[#This Row],[15/04/2018]])</f>
        <v>75250</v>
      </c>
      <c r="BA305">
        <f>IF(ISBLANK(Tabla7[[#This Row],[15/05/2018]]),0,Tabla7[[#This Row],[15/05/2018]])</f>
        <v>77749</v>
      </c>
      <c r="BB305">
        <f>IF(ISBLANK(Tabla7[[#This Row],[15/06/2018]]),0,Tabla7[[#This Row],[15/06/2018]])</f>
        <v>80364</v>
      </c>
      <c r="BC305">
        <f>IF(ISBLANK(Tabla7[[#This Row],[15/07/2018]]),0,Tabla7[[#This Row],[15/07/2018]])</f>
        <v>86003</v>
      </c>
      <c r="BD305">
        <f>IF(ISBLANK(Tabla7[[#This Row],[15/08/2018]]),0,Tabla7[[#This Row],[15/08/2018]])</f>
        <v>92737</v>
      </c>
      <c r="BE305">
        <f>IF(ISBLANK(Tabla7[[#This Row],[15/09/2018]]),0,Tabla7[[#This Row],[15/09/2018]])</f>
        <v>98837</v>
      </c>
      <c r="BF305">
        <f>IF(ISBLANK(Tabla7[[#This Row],[15/10/2018]]),0,Tabla7[[#This Row],[15/10/2018]])</f>
        <v>102923</v>
      </c>
      <c r="BG305">
        <f>IF(ISBLANK(Tabla7[[#This Row],[15/11/2018]]),0,Tabla7[[#This Row],[15/11/2018]])</f>
        <v>106833</v>
      </c>
      <c r="BH305">
        <f>IF(ISBLANK(Tabla7[[#This Row],[15/12/2018]]),0,Tabla7[[#This Row],[15/12/2018]])</f>
        <v>111173</v>
      </c>
      <c r="BI305">
        <f>IF(ISBLANK(Tabla7[[#This Row],[28/12/2018]]),0,Tabla7[[#This Row],[28/12/2018]])</f>
        <v>0</v>
      </c>
      <c r="BN30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('LW00181371','V','VCT14','39185','AMARRADORES VALENCIA','CENTRALIZACION','EDIFICIO AMARRADORES','ALTA 19/08/2016');</v>
      </c>
      <c r="BO305" t="s">
        <v>243</v>
      </c>
      <c r="BP305" s="632" t="str">
        <f>CONCATENATE("insert into lecturas values ","('",Tabla7[[#This Row],[CONTADOR]],"',STR_TO_DATE('",Tabla7[[#Headers],[31/12/2017]],"','%d/%m/%Y'),",AV305,"),","('",Tabla7[[#This Row],[CONTADOR]],"',STR_TO_DATE('",Tabla7[[#Headers],[15/01/2018]],"','%d/%m/%Y'),",AW305,"),","('",Tabla7[[#This Row],[CONTADOR]],"',STR_TO_DATE('",Tabla7[[#Headers],[15/02/2018]],"','%d/%m/%Y'),",AX305,"),","('",Tabla7[[#This Row],[CONTADOR]],"',STR_TO_DATE('",Tabla7[[#Headers],[15/03/2018]],"','%d/%m/%Y'),",AY305,"),","('",Tabla7[[#This Row],[CONTADOR]],"',STR_TO_DATE('",Tabla7[[#Headers],[15/04/2018]],"','%d/%m/%Y'),",AZ305,"),","('",Tabla7[[#This Row],[CONTADOR]],"',STR_TO_DATE('",Tabla7[[#Headers],[15/05/2018]],"','%d/%m/%Y'),",BA305,"),","('",Tabla7[[#This Row],[CONTADOR]],"',STR_TO_DATE('",Tabla7[[#Headers],[15/06/2018]],"','%d/%m/%Y'),",BB305,"),","('",Tabla7[[#This Row],[CONTADOR]],"',STR_TO_DATE('",Tabla7[[#Headers],[15/07/2018]],"','%d/%m/%Y'),",BC305,"),","('",Tabla7[[#This Row],[CONTADOR]],"',STR_TO_DATE('",Tabla7[[#Headers],[15/08/2018]],"','%d/%m/%Y'),",BD305,"),","('",Tabla7[[#This Row],[CONTADOR]],"',STR_TO_DATE('",Tabla7[[#Headers],[15/09/2018]],"','%d/%m/%Y'),",BE305,"),","('",Tabla7[[#This Row],[CONTADOR]],"',STR_TO_DATE('",Tabla7[[#Headers],[15/10/2018]],"','%d/%m/%Y'),",BF305,"),","('",Tabla7[[#This Row],[CONTADOR]],"',STR_TO_DATE('",Tabla7[[#Headers],[15/11/2018]],"','%d/%m/%Y'),",BG305,"),","('",Tabla7[[#This Row],[CONTADOR]],"',STR_TO_DATE('",Tabla7[[#Headers],[15/12/2018]],"','%d/%m/%Y'),",BH305,");")</f>
        <v>insert into lecturas values ('LW00181371',STR_TO_DATE('31/12/2017','%d/%m/%Y'),60991),('LW00181371',STR_TO_DATE('15/01/2018','%d/%m/%Y'),63204),('LW00181371',STR_TO_DATE('15/02/2018','%d/%m/%Y'),67475),('LW00181371',STR_TO_DATE('15/03/2018','%d/%m/%Y'),71825),('LW00181371',STR_TO_DATE('15/04/2018','%d/%m/%Y'),75250),('LW00181371',STR_TO_DATE('15/05/2018','%d/%m/%Y'),77749),('LW00181371',STR_TO_DATE('15/06/2018','%d/%m/%Y'),80364),('LW00181371',STR_TO_DATE('15/07/2018','%d/%m/%Y'),86003),('LW00181371',STR_TO_DATE('15/08/2018','%d/%m/%Y'),92737),('LW00181371',STR_TO_DATE('15/09/2018','%d/%m/%Y'),98837),('LW00181371',STR_TO_DATE('15/10/2018','%d/%m/%Y'),102923),('LW00181371',STR_TO_DATE('15/11/2018','%d/%m/%Y'),106833),('LW00181371',STR_TO_DATE('15/12/2018','%d/%m/%Y'),111173);</v>
      </c>
    </row>
    <row r="306" spans="1:68" ht="18" customHeight="1" x14ac:dyDescent="0.25">
      <c r="A306" s="372" t="s">
        <v>1196</v>
      </c>
      <c r="B306" s="60"/>
      <c r="C306" s="373" t="s">
        <v>137</v>
      </c>
      <c r="D306" s="374" t="s">
        <v>136</v>
      </c>
      <c r="E306" s="375">
        <v>30000</v>
      </c>
      <c r="F306" s="376" t="s">
        <v>138</v>
      </c>
      <c r="G306" s="376" t="s">
        <v>731</v>
      </c>
      <c r="H306" s="376"/>
      <c r="I306" s="377" t="s">
        <v>732</v>
      </c>
      <c r="J306" s="383"/>
      <c r="K306" s="383"/>
      <c r="L306" s="376"/>
      <c r="M306" s="376"/>
      <c r="N306" s="376"/>
      <c r="O306" s="453"/>
      <c r="P306" s="453"/>
      <c r="Q306" s="376"/>
      <c r="R306" s="376"/>
      <c r="S306" s="376"/>
      <c r="T306" s="376"/>
      <c r="U306" s="519"/>
      <c r="V306" s="376"/>
      <c r="W306" s="376"/>
      <c r="X306" s="376"/>
      <c r="Y306" s="376" t="str">
        <f t="shared" si="86"/>
        <v/>
      </c>
      <c r="Z306" s="376" t="str">
        <f t="shared" si="84"/>
        <v/>
      </c>
      <c r="AA306" s="376" t="str">
        <f t="shared" si="102"/>
        <v/>
      </c>
      <c r="AB306" s="376" t="str">
        <f t="shared" si="103"/>
        <v/>
      </c>
      <c r="AC306" s="376" t="str">
        <f t="shared" si="92"/>
        <v/>
      </c>
      <c r="AD306" s="376" t="str">
        <f t="shared" si="93"/>
        <v/>
      </c>
      <c r="AE306" s="376" t="str">
        <f t="shared" si="94"/>
        <v/>
      </c>
      <c r="AF306" s="376" t="str">
        <f t="shared" si="95"/>
        <v/>
      </c>
      <c r="AG306" s="376" t="str">
        <f t="shared" si="96"/>
        <v/>
      </c>
      <c r="AH306" s="376" t="str">
        <f t="shared" si="99"/>
        <v/>
      </c>
      <c r="AI306" s="376" t="str">
        <f t="shared" si="97"/>
        <v/>
      </c>
      <c r="AJ306" s="376" t="str">
        <f t="shared" si="98"/>
        <v/>
      </c>
      <c r="AK306" s="408">
        <v>1</v>
      </c>
      <c r="AL306" s="377">
        <f t="shared" ca="1" si="88"/>
        <v>0</v>
      </c>
      <c r="AM306" s="383">
        <f t="shared" ca="1" si="89"/>
        <v>0</v>
      </c>
      <c r="AN306" s="377" t="str">
        <f ca="1">IF(AND(Tabla7[[#This Row],[UltLec]]&lt;&gt;0,Tabla7[[#This Row],[PenLect]]&lt;&gt;0),(AM306-AL306)*Tabla7[[#This Row],[RT]],"N/A")</f>
        <v>N/A</v>
      </c>
      <c r="AO306" s="424" t="s">
        <v>1281</v>
      </c>
      <c r="AP306" s="433" t="s">
        <v>1190</v>
      </c>
      <c r="AQ306" s="433" t="s">
        <v>1189</v>
      </c>
      <c r="AR306" s="377">
        <f t="shared" si="90"/>
        <v>0</v>
      </c>
      <c r="AT306" s="2" t="e">
        <f t="shared" ca="1" si="91"/>
        <v>#VALUE!</v>
      </c>
      <c r="AV306">
        <f>IF(ISBLANK(Tabla7[[#This Row],[31/12/2017]]),0,Tabla7[[#This Row],[31/12/2017]])</f>
        <v>0</v>
      </c>
      <c r="AW306">
        <f>IF(ISBLANK(Tabla7[[#This Row],[15/01/2018]]),0,Tabla7[[#This Row],[15/01/2018]])</f>
        <v>0</v>
      </c>
      <c r="AX306">
        <f>IF(ISBLANK(Tabla7[[#This Row],[15/02/2018]]),0,Tabla7[[#This Row],[15/02/2018]])</f>
        <v>0</v>
      </c>
      <c r="AY306">
        <f>IF(ISBLANK(Tabla7[[#This Row],[15/03/2018]]),0,Tabla7[[#This Row],[15/03/2018]])</f>
        <v>0</v>
      </c>
      <c r="AZ306">
        <f>IF(ISBLANK(Tabla7[[#This Row],[15/04/2018]]),0,Tabla7[[#This Row],[15/04/2018]])</f>
        <v>0</v>
      </c>
      <c r="BA306">
        <f>IF(ISBLANK(Tabla7[[#This Row],[15/05/2018]]),0,Tabla7[[#This Row],[15/05/2018]])</f>
        <v>0</v>
      </c>
      <c r="BB306">
        <f>IF(ISBLANK(Tabla7[[#This Row],[15/06/2018]]),0,Tabla7[[#This Row],[15/06/2018]])</f>
        <v>0</v>
      </c>
      <c r="BC306">
        <f>IF(ISBLANK(Tabla7[[#This Row],[15/07/2018]]),0,Tabla7[[#This Row],[15/07/2018]])</f>
        <v>0</v>
      </c>
      <c r="BD306">
        <f>IF(ISBLANK(Tabla7[[#This Row],[15/08/2018]]),0,Tabla7[[#This Row],[15/08/2018]])</f>
        <v>0</v>
      </c>
      <c r="BE306">
        <f>IF(ISBLANK(Tabla7[[#This Row],[15/09/2018]]),0,Tabla7[[#This Row],[15/09/2018]])</f>
        <v>0</v>
      </c>
      <c r="BF306">
        <f>IF(ISBLANK(Tabla7[[#This Row],[15/10/2018]]),0,Tabla7[[#This Row],[15/10/2018]])</f>
        <v>0</v>
      </c>
      <c r="BG306">
        <f>IF(ISBLANK(Tabla7[[#This Row],[15/11/2018]]),0,Tabla7[[#This Row],[15/11/2018]])</f>
        <v>0</v>
      </c>
      <c r="BH306">
        <f>IF(ISBLANK(Tabla7[[#This Row],[15/12/2018]]),0,Tabla7[[#This Row],[15/12/2018]])</f>
        <v>0</v>
      </c>
      <c r="BI306">
        <f>IF(ISBLANK(Tabla7[[#This Row],[28/12/2018]]),0,Tabla7[[#This Row],[28/12/2018]])</f>
        <v>0</v>
      </c>
      <c r="BN30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('LW00181664','VBAJA','VCT14','30000','FCC CONSTRUCCIÓN, S.A.','ALMACEN SERVICIO ELECTRICO','','PRÁCTICOS. RETIRADO.');</v>
      </c>
      <c r="BO306" t="s">
        <v>243</v>
      </c>
      <c r="BP306" s="632" t="str">
        <f>CONCATENATE("insert into lecturas values ","('",Tabla7[[#This Row],[CONTADOR]],"',STR_TO_DATE('",Tabla7[[#Headers],[31/12/2017]],"','%d/%m/%Y'),",AV306,"),","('",Tabla7[[#This Row],[CONTADOR]],"',STR_TO_DATE('",Tabla7[[#Headers],[15/01/2018]],"','%d/%m/%Y'),",AW306,"),","('",Tabla7[[#This Row],[CONTADOR]],"',STR_TO_DATE('",Tabla7[[#Headers],[15/02/2018]],"','%d/%m/%Y'),",AX306,"),","('",Tabla7[[#This Row],[CONTADOR]],"',STR_TO_DATE('",Tabla7[[#Headers],[15/03/2018]],"','%d/%m/%Y'),",AY306,"),","('",Tabla7[[#This Row],[CONTADOR]],"',STR_TO_DATE('",Tabla7[[#Headers],[15/04/2018]],"','%d/%m/%Y'),",AZ306,"),","('",Tabla7[[#This Row],[CONTADOR]],"',STR_TO_DATE('",Tabla7[[#Headers],[15/05/2018]],"','%d/%m/%Y'),",BA306,"),","('",Tabla7[[#This Row],[CONTADOR]],"',STR_TO_DATE('",Tabla7[[#Headers],[15/06/2018]],"','%d/%m/%Y'),",BB306,"),","('",Tabla7[[#This Row],[CONTADOR]],"',STR_TO_DATE('",Tabla7[[#Headers],[15/07/2018]],"','%d/%m/%Y'),",BC306,"),","('",Tabla7[[#This Row],[CONTADOR]],"',STR_TO_DATE('",Tabla7[[#Headers],[15/08/2018]],"','%d/%m/%Y'),",BD306,"),","('",Tabla7[[#This Row],[CONTADOR]],"',STR_TO_DATE('",Tabla7[[#Headers],[15/09/2018]],"','%d/%m/%Y'),",BE306,"),","('",Tabla7[[#This Row],[CONTADOR]],"',STR_TO_DATE('",Tabla7[[#Headers],[15/10/2018]],"','%d/%m/%Y'),",BF306,"),","('",Tabla7[[#This Row],[CONTADOR]],"',STR_TO_DATE('",Tabla7[[#Headers],[15/11/2018]],"','%d/%m/%Y'),",BG306,"),","('",Tabla7[[#This Row],[CONTADOR]],"',STR_TO_DATE('",Tabla7[[#Headers],[15/12/2018]],"','%d/%m/%Y'),",BH306,");")</f>
        <v>insert into lecturas values ('LW00181664',STR_TO_DATE('31/12/2017','%d/%m/%Y'),0),('LW00181664',STR_TO_DATE('15/01/2018','%d/%m/%Y'),0),('LW00181664',STR_TO_DATE('15/02/2018','%d/%m/%Y'),0),('LW00181664',STR_TO_DATE('15/03/2018','%d/%m/%Y'),0),('LW00181664',STR_TO_DATE('15/04/2018','%d/%m/%Y'),0),('LW00181664',STR_TO_DATE('15/05/2018','%d/%m/%Y'),0),('LW00181664',STR_TO_DATE('15/06/2018','%d/%m/%Y'),0),('LW00181664',STR_TO_DATE('15/07/2018','%d/%m/%Y'),0),('LW00181664',STR_TO_DATE('15/08/2018','%d/%m/%Y'),0),('LW00181664',STR_TO_DATE('15/09/2018','%d/%m/%Y'),0),('LW00181664',STR_TO_DATE('15/10/2018','%d/%m/%Y'),0),('LW00181664',STR_TO_DATE('15/11/2018','%d/%m/%Y'),0),('LW00181664',STR_TO_DATE('15/12/2018','%d/%m/%Y'),0);</v>
      </c>
    </row>
    <row r="307" spans="1:68" ht="18" customHeight="1" x14ac:dyDescent="0.25">
      <c r="A307" s="241" t="s">
        <v>740</v>
      </c>
      <c r="B307" s="60"/>
      <c r="C307" s="342" t="s">
        <v>754</v>
      </c>
      <c r="D307" s="60" t="s">
        <v>136</v>
      </c>
      <c r="E307" s="258">
        <v>1</v>
      </c>
      <c r="F307" s="2" t="s">
        <v>901</v>
      </c>
      <c r="G307" s="2" t="s">
        <v>63</v>
      </c>
      <c r="H307" s="2"/>
      <c r="I307" s="2"/>
      <c r="J307" s="311">
        <v>1871062</v>
      </c>
      <c r="K307" s="311"/>
      <c r="L307" s="354">
        <v>1948889</v>
      </c>
      <c r="M307" s="311">
        <v>1992992</v>
      </c>
      <c r="N307" s="311">
        <v>2034378</v>
      </c>
      <c r="O307" s="311">
        <v>2070000</v>
      </c>
      <c r="P307" s="311">
        <v>2103852</v>
      </c>
      <c r="Q307" s="307">
        <v>2144259</v>
      </c>
      <c r="R307" s="311">
        <v>2190863</v>
      </c>
      <c r="S307" s="311">
        <v>2241259</v>
      </c>
      <c r="T307" s="311">
        <v>2285614</v>
      </c>
      <c r="U307" s="531">
        <v>2285614</v>
      </c>
      <c r="V307" s="492"/>
      <c r="W307" s="2"/>
      <c r="X307" s="2"/>
      <c r="Y307" s="2" t="str">
        <f t="shared" si="86"/>
        <v/>
      </c>
      <c r="Z307" s="2" t="str">
        <f t="shared" si="84"/>
        <v/>
      </c>
      <c r="AA307" s="2">
        <f t="shared" si="102"/>
        <v>44103</v>
      </c>
      <c r="AB307" s="2">
        <f t="shared" si="103"/>
        <v>41386</v>
      </c>
      <c r="AC307" s="2">
        <f t="shared" si="92"/>
        <v>35622</v>
      </c>
      <c r="AD307" s="2">
        <f t="shared" si="93"/>
        <v>33852</v>
      </c>
      <c r="AE307" s="2">
        <f t="shared" si="94"/>
        <v>40407</v>
      </c>
      <c r="AF307" s="2">
        <f t="shared" si="95"/>
        <v>46604</v>
      </c>
      <c r="AG307" s="2">
        <f t="shared" si="96"/>
        <v>50396</v>
      </c>
      <c r="AH307" s="2">
        <f t="shared" si="99"/>
        <v>44355</v>
      </c>
      <c r="AI307" s="2">
        <f t="shared" si="97"/>
        <v>0</v>
      </c>
      <c r="AJ307" s="2" t="str">
        <f t="shared" si="98"/>
        <v/>
      </c>
      <c r="AK307" s="406">
        <v>1</v>
      </c>
      <c r="AL307" s="274">
        <f t="shared" ca="1" si="88"/>
        <v>2034378</v>
      </c>
      <c r="AM307" s="311">
        <f t="shared" ca="1" si="89"/>
        <v>2070000</v>
      </c>
      <c r="AN307" s="274">
        <f ca="1">IF(AND(Tabla7[[#This Row],[UltLec]]&lt;&gt;0,Tabla7[[#This Row],[PenLect]]&lt;&gt;0),(AM307-AL307)*Tabla7[[#This Row],[RT]],"N/A")</f>
        <v>35622</v>
      </c>
      <c r="AO307" s="403" t="s">
        <v>862</v>
      </c>
      <c r="AP307" s="392" t="s">
        <v>1191</v>
      </c>
      <c r="AQ307" s="392" t="s">
        <v>818</v>
      </c>
      <c r="AR307" s="274">
        <f t="shared" si="90"/>
        <v>0</v>
      </c>
      <c r="AT307" s="2">
        <f t="shared" ca="1" si="91"/>
        <v>0.86072584932102647</v>
      </c>
      <c r="AV307">
        <f>IF(ISBLANK(Tabla7[[#This Row],[31/12/2017]]),0,Tabla7[[#This Row],[31/12/2017]])</f>
        <v>1871062</v>
      </c>
      <c r="AW307">
        <f>IF(ISBLANK(Tabla7[[#This Row],[15/01/2018]]),0,Tabla7[[#This Row],[15/01/2018]])</f>
        <v>0</v>
      </c>
      <c r="AX307">
        <f>IF(ISBLANK(Tabla7[[#This Row],[15/02/2018]]),0,Tabla7[[#This Row],[15/02/2018]])</f>
        <v>1948889</v>
      </c>
      <c r="AY307">
        <f>IF(ISBLANK(Tabla7[[#This Row],[15/03/2018]]),0,Tabla7[[#This Row],[15/03/2018]])</f>
        <v>1992992</v>
      </c>
      <c r="AZ307">
        <f>IF(ISBLANK(Tabla7[[#This Row],[15/04/2018]]),0,Tabla7[[#This Row],[15/04/2018]])</f>
        <v>2034378</v>
      </c>
      <c r="BA307">
        <f>IF(ISBLANK(Tabla7[[#This Row],[15/05/2018]]),0,Tabla7[[#This Row],[15/05/2018]])</f>
        <v>2070000</v>
      </c>
      <c r="BB307">
        <f>IF(ISBLANK(Tabla7[[#This Row],[15/06/2018]]),0,Tabla7[[#This Row],[15/06/2018]])</f>
        <v>2103852</v>
      </c>
      <c r="BC307">
        <f>IF(ISBLANK(Tabla7[[#This Row],[15/07/2018]]),0,Tabla7[[#This Row],[15/07/2018]])</f>
        <v>2144259</v>
      </c>
      <c r="BD307">
        <f>IF(ISBLANK(Tabla7[[#This Row],[15/08/2018]]),0,Tabla7[[#This Row],[15/08/2018]])</f>
        <v>2190863</v>
      </c>
      <c r="BE307">
        <f>IF(ISBLANK(Tabla7[[#This Row],[15/09/2018]]),0,Tabla7[[#This Row],[15/09/2018]])</f>
        <v>2241259</v>
      </c>
      <c r="BF307">
        <f>IF(ISBLANK(Tabla7[[#This Row],[15/10/2018]]),0,Tabla7[[#This Row],[15/10/2018]])</f>
        <v>2285614</v>
      </c>
      <c r="BG307">
        <f>IF(ISBLANK(Tabla7[[#This Row],[15/11/2018]]),0,Tabla7[[#This Row],[15/11/2018]])</f>
        <v>2285614</v>
      </c>
      <c r="BH307">
        <f>IF(ISBLANK(Tabla7[[#This Row],[15/12/2018]]),0,Tabla7[[#This Row],[15/12/2018]])</f>
        <v>0</v>
      </c>
      <c r="BI307">
        <f>IF(ISBLANK(Tabla7[[#This Row],[28/12/2018]]),0,Tabla7[[#This Row],[28/12/2018]])</f>
        <v>0</v>
      </c>
      <c r="BN30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('PM489C2946','VTOT','VCT14','1','APV TOTALIZADOR CT14','EN CT','','');</v>
      </c>
      <c r="BO307" t="s">
        <v>243</v>
      </c>
      <c r="BP307" s="632" t="str">
        <f>CONCATENATE("insert into lecturas values ","('",Tabla7[[#This Row],[CONTADOR]],"',STR_TO_DATE('",Tabla7[[#Headers],[31/12/2017]],"','%d/%m/%Y'),",AV307,"),","('",Tabla7[[#This Row],[CONTADOR]],"',STR_TO_DATE('",Tabla7[[#Headers],[15/01/2018]],"','%d/%m/%Y'),",AW307,"),","('",Tabla7[[#This Row],[CONTADOR]],"',STR_TO_DATE('",Tabla7[[#Headers],[15/02/2018]],"','%d/%m/%Y'),",AX307,"),","('",Tabla7[[#This Row],[CONTADOR]],"',STR_TO_DATE('",Tabla7[[#Headers],[15/03/2018]],"','%d/%m/%Y'),",AY307,"),","('",Tabla7[[#This Row],[CONTADOR]],"',STR_TO_DATE('",Tabla7[[#Headers],[15/04/2018]],"','%d/%m/%Y'),",AZ307,"),","('",Tabla7[[#This Row],[CONTADOR]],"',STR_TO_DATE('",Tabla7[[#Headers],[15/05/2018]],"','%d/%m/%Y'),",BA307,"),","('",Tabla7[[#This Row],[CONTADOR]],"',STR_TO_DATE('",Tabla7[[#Headers],[15/06/2018]],"','%d/%m/%Y'),",BB307,"),","('",Tabla7[[#This Row],[CONTADOR]],"',STR_TO_DATE('",Tabla7[[#Headers],[15/07/2018]],"','%d/%m/%Y'),",BC307,"),","('",Tabla7[[#This Row],[CONTADOR]],"',STR_TO_DATE('",Tabla7[[#Headers],[15/08/2018]],"','%d/%m/%Y'),",BD307,"),","('",Tabla7[[#This Row],[CONTADOR]],"',STR_TO_DATE('",Tabla7[[#Headers],[15/09/2018]],"','%d/%m/%Y'),",BE307,"),","('",Tabla7[[#This Row],[CONTADOR]],"',STR_TO_DATE('",Tabla7[[#Headers],[15/10/2018]],"','%d/%m/%Y'),",BF307,"),","('",Tabla7[[#This Row],[CONTADOR]],"',STR_TO_DATE('",Tabla7[[#Headers],[15/11/2018]],"','%d/%m/%Y'),",BG307,"),","('",Tabla7[[#This Row],[CONTADOR]],"',STR_TO_DATE('",Tabla7[[#Headers],[15/12/2018]],"','%d/%m/%Y'),",BH307,");")</f>
        <v>insert into lecturas values ('PM489C2946',STR_TO_DATE('31/12/2017','%d/%m/%Y'),1871062),('PM489C2946',STR_TO_DATE('15/01/2018','%d/%m/%Y'),0),('PM489C2946',STR_TO_DATE('15/02/2018','%d/%m/%Y'),1948889),('PM489C2946',STR_TO_DATE('15/03/2018','%d/%m/%Y'),1992992),('PM489C2946',STR_TO_DATE('15/04/2018','%d/%m/%Y'),2034378),('PM489C2946',STR_TO_DATE('15/05/2018','%d/%m/%Y'),2070000),('PM489C2946',STR_TO_DATE('15/06/2018','%d/%m/%Y'),2103852),('PM489C2946',STR_TO_DATE('15/07/2018','%d/%m/%Y'),2144259),('PM489C2946',STR_TO_DATE('15/08/2018','%d/%m/%Y'),2190863),('PM489C2946',STR_TO_DATE('15/09/2018','%d/%m/%Y'),2241259),('PM489C2946',STR_TO_DATE('15/10/2018','%d/%m/%Y'),2285614),('PM489C2946',STR_TO_DATE('15/11/2018','%d/%m/%Y'),2285614),('PM489C2946',STR_TO_DATE('15/12/2018','%d/%m/%Y'),0);</v>
      </c>
    </row>
    <row r="308" spans="1:68" ht="18" customHeight="1" x14ac:dyDescent="0.25">
      <c r="A308" s="241" t="s">
        <v>19</v>
      </c>
      <c r="B308" s="60" t="s">
        <v>692</v>
      </c>
      <c r="C308" s="342" t="s">
        <v>693</v>
      </c>
      <c r="D308" s="60" t="s">
        <v>136</v>
      </c>
      <c r="E308" s="258">
        <v>39574</v>
      </c>
      <c r="F308" s="2" t="s">
        <v>440</v>
      </c>
      <c r="G308" s="2" t="s">
        <v>727</v>
      </c>
      <c r="H308" s="2"/>
      <c r="I308" s="274"/>
      <c r="J308" s="311">
        <v>1877</v>
      </c>
      <c r="K308" s="311">
        <v>1877</v>
      </c>
      <c r="L308" s="354">
        <v>1877</v>
      </c>
      <c r="M308" s="311">
        <v>1877</v>
      </c>
      <c r="N308" s="311">
        <v>1877</v>
      </c>
      <c r="O308" s="311">
        <v>1877</v>
      </c>
      <c r="P308" s="311">
        <v>1877</v>
      </c>
      <c r="Q308" s="275">
        <v>1877</v>
      </c>
      <c r="R308" s="311">
        <v>1877</v>
      </c>
      <c r="S308" s="311">
        <v>1877</v>
      </c>
      <c r="T308" s="311">
        <v>1877</v>
      </c>
      <c r="U308" s="531">
        <v>1877</v>
      </c>
      <c r="V308" s="492">
        <v>1877</v>
      </c>
      <c r="W308" s="2"/>
      <c r="X308" s="2"/>
      <c r="Y308" s="2">
        <f t="shared" si="86"/>
        <v>0</v>
      </c>
      <c r="Z308" s="2">
        <f t="shared" si="84"/>
        <v>0</v>
      </c>
      <c r="AA308" s="2">
        <f t="shared" si="102"/>
        <v>0</v>
      </c>
      <c r="AB308" s="2">
        <f t="shared" si="103"/>
        <v>0</v>
      </c>
      <c r="AC308" s="2">
        <f t="shared" si="92"/>
        <v>0</v>
      </c>
      <c r="AD308" s="2">
        <f t="shared" si="93"/>
        <v>0</v>
      </c>
      <c r="AE308" s="2">
        <f t="shared" si="94"/>
        <v>0</v>
      </c>
      <c r="AF308" s="2">
        <f t="shared" si="95"/>
        <v>0</v>
      </c>
      <c r="AG308" s="2">
        <f t="shared" si="96"/>
        <v>0</v>
      </c>
      <c r="AH308" s="2">
        <f t="shared" si="99"/>
        <v>0</v>
      </c>
      <c r="AI308" s="2">
        <f t="shared" si="97"/>
        <v>0</v>
      </c>
      <c r="AJ308" s="2">
        <f t="shared" si="98"/>
        <v>0</v>
      </c>
      <c r="AK308" s="406">
        <v>1</v>
      </c>
      <c r="AL308" s="274">
        <f t="shared" ca="1" si="88"/>
        <v>1877</v>
      </c>
      <c r="AM308" s="311">
        <f t="shared" ca="1" si="89"/>
        <v>1877</v>
      </c>
      <c r="AN308" s="274">
        <f ca="1">IF(AND(Tabla7[[#This Row],[UltLec]]&lt;&gt;0,Tabla7[[#This Row],[PenLect]]&lt;&gt;0),(AM308-AL308)*Tabla7[[#This Row],[RT]],"N/A")</f>
        <v>0</v>
      </c>
      <c r="AO308" s="403" t="s">
        <v>862</v>
      </c>
      <c r="AP308" s="392" t="s">
        <v>1190</v>
      </c>
      <c r="AQ308" s="392" t="s">
        <v>1189</v>
      </c>
      <c r="AR308" s="274">
        <f t="shared" si="90"/>
        <v>0</v>
      </c>
      <c r="AT308" s="2" t="str">
        <f t="shared" ca="1" si="91"/>
        <v>0</v>
      </c>
      <c r="AV308">
        <f>IF(ISBLANK(Tabla7[[#This Row],[31/12/2017]]),0,Tabla7[[#This Row],[31/12/2017]])</f>
        <v>1877</v>
      </c>
      <c r="AW308">
        <f>IF(ISBLANK(Tabla7[[#This Row],[15/01/2018]]),0,Tabla7[[#This Row],[15/01/2018]])</f>
        <v>1877</v>
      </c>
      <c r="AX308">
        <f>IF(ISBLANK(Tabla7[[#This Row],[15/02/2018]]),0,Tabla7[[#This Row],[15/02/2018]])</f>
        <v>1877</v>
      </c>
      <c r="AY308">
        <f>IF(ISBLANK(Tabla7[[#This Row],[15/03/2018]]),0,Tabla7[[#This Row],[15/03/2018]])</f>
        <v>1877</v>
      </c>
      <c r="AZ308">
        <f>IF(ISBLANK(Tabla7[[#This Row],[15/04/2018]]),0,Tabla7[[#This Row],[15/04/2018]])</f>
        <v>1877</v>
      </c>
      <c r="BA308">
        <f>IF(ISBLANK(Tabla7[[#This Row],[15/05/2018]]),0,Tabla7[[#This Row],[15/05/2018]])</f>
        <v>1877</v>
      </c>
      <c r="BB308">
        <f>IF(ISBLANK(Tabla7[[#This Row],[15/06/2018]]),0,Tabla7[[#This Row],[15/06/2018]])</f>
        <v>1877</v>
      </c>
      <c r="BC308">
        <f>IF(ISBLANK(Tabla7[[#This Row],[15/07/2018]]),0,Tabla7[[#This Row],[15/07/2018]])</f>
        <v>1877</v>
      </c>
      <c r="BD308">
        <f>IF(ISBLANK(Tabla7[[#This Row],[15/08/2018]]),0,Tabla7[[#This Row],[15/08/2018]])</f>
        <v>1877</v>
      </c>
      <c r="BE308">
        <f>IF(ISBLANK(Tabla7[[#This Row],[15/09/2018]]),0,Tabla7[[#This Row],[15/09/2018]])</f>
        <v>1877</v>
      </c>
      <c r="BF308">
        <f>IF(ISBLANK(Tabla7[[#This Row],[15/10/2018]]),0,Tabla7[[#This Row],[15/10/2018]])</f>
        <v>1877</v>
      </c>
      <c r="BG308">
        <f>IF(ISBLANK(Tabla7[[#This Row],[15/11/2018]]),0,Tabla7[[#This Row],[15/11/2018]])</f>
        <v>1877</v>
      </c>
      <c r="BH308">
        <f>IF(ISBLANK(Tabla7[[#This Row],[15/12/2018]]),0,Tabla7[[#This Row],[15/12/2018]])</f>
        <v>1877</v>
      </c>
      <c r="BI308">
        <f>IF(ISBLANK(Tabla7[[#This Row],[28/12/2018]]),0,Tabla7[[#This Row],[28/12/2018]])</f>
        <v>0</v>
      </c>
      <c r="BN30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('SOCOMEC E15','V','VCT14','39574','AMARRADORES VALENCIA','TOMA MUELLE DARSENA SERVICIOS','','');</v>
      </c>
      <c r="BO308" t="s">
        <v>243</v>
      </c>
      <c r="BP308" s="632" t="str">
        <f>CONCATENATE("insert into lecturas values ","('",Tabla7[[#This Row],[CONTADOR]],"',STR_TO_DATE('",Tabla7[[#Headers],[31/12/2017]],"','%d/%m/%Y'),",AV308,"),","('",Tabla7[[#This Row],[CONTADOR]],"',STR_TO_DATE('",Tabla7[[#Headers],[15/01/2018]],"','%d/%m/%Y'),",AW308,"),","('",Tabla7[[#This Row],[CONTADOR]],"',STR_TO_DATE('",Tabla7[[#Headers],[15/02/2018]],"','%d/%m/%Y'),",AX308,"),","('",Tabla7[[#This Row],[CONTADOR]],"',STR_TO_DATE('",Tabla7[[#Headers],[15/03/2018]],"','%d/%m/%Y'),",AY308,"),","('",Tabla7[[#This Row],[CONTADOR]],"',STR_TO_DATE('",Tabla7[[#Headers],[15/04/2018]],"','%d/%m/%Y'),",AZ308,"),","('",Tabla7[[#This Row],[CONTADOR]],"',STR_TO_DATE('",Tabla7[[#Headers],[15/05/2018]],"','%d/%m/%Y'),",BA308,"),","('",Tabla7[[#This Row],[CONTADOR]],"',STR_TO_DATE('",Tabla7[[#Headers],[15/06/2018]],"','%d/%m/%Y'),",BB308,"),","('",Tabla7[[#This Row],[CONTADOR]],"',STR_TO_DATE('",Tabla7[[#Headers],[15/07/2018]],"','%d/%m/%Y'),",BC308,"),","('",Tabla7[[#This Row],[CONTADOR]],"',STR_TO_DATE('",Tabla7[[#Headers],[15/08/2018]],"','%d/%m/%Y'),",BD308,"),","('",Tabla7[[#This Row],[CONTADOR]],"',STR_TO_DATE('",Tabla7[[#Headers],[15/09/2018]],"','%d/%m/%Y'),",BE308,"),","('",Tabla7[[#This Row],[CONTADOR]],"',STR_TO_DATE('",Tabla7[[#Headers],[15/10/2018]],"','%d/%m/%Y'),",BF308,"),","('",Tabla7[[#This Row],[CONTADOR]],"',STR_TO_DATE('",Tabla7[[#Headers],[15/11/2018]],"','%d/%m/%Y'),",BG308,"),","('",Tabla7[[#This Row],[CONTADOR]],"',STR_TO_DATE('",Tabla7[[#Headers],[15/12/2018]],"','%d/%m/%Y'),",BH308,");")</f>
        <v>insert into lecturas values ('SOCOMEC E15',STR_TO_DATE('31/12/2017','%d/%m/%Y'),1877),('SOCOMEC E15',STR_TO_DATE('15/01/2018','%d/%m/%Y'),1877),('SOCOMEC E15',STR_TO_DATE('15/02/2018','%d/%m/%Y'),1877),('SOCOMEC E15',STR_TO_DATE('15/03/2018','%d/%m/%Y'),1877),('SOCOMEC E15',STR_TO_DATE('15/04/2018','%d/%m/%Y'),1877),('SOCOMEC E15',STR_TO_DATE('15/05/2018','%d/%m/%Y'),1877),('SOCOMEC E15',STR_TO_DATE('15/06/2018','%d/%m/%Y'),1877),('SOCOMEC E15',STR_TO_DATE('15/07/2018','%d/%m/%Y'),1877),('SOCOMEC E15',STR_TO_DATE('15/08/2018','%d/%m/%Y'),1877),('SOCOMEC E15',STR_TO_DATE('15/09/2018','%d/%m/%Y'),1877),('SOCOMEC E15',STR_TO_DATE('15/10/2018','%d/%m/%Y'),1877),('SOCOMEC E15',STR_TO_DATE('15/11/2018','%d/%m/%Y'),1877),('SOCOMEC E15',STR_TO_DATE('15/12/2018','%d/%m/%Y'),1877);</v>
      </c>
    </row>
    <row r="309" spans="1:68" ht="18" customHeight="1" x14ac:dyDescent="0.25">
      <c r="A309" s="241" t="s">
        <v>19</v>
      </c>
      <c r="B309" s="60" t="s">
        <v>692</v>
      </c>
      <c r="C309" s="342" t="s">
        <v>695</v>
      </c>
      <c r="D309" s="60" t="s">
        <v>136</v>
      </c>
      <c r="E309" s="258">
        <v>39290</v>
      </c>
      <c r="F309" s="2" t="s">
        <v>440</v>
      </c>
      <c r="G309" s="2" t="s">
        <v>727</v>
      </c>
      <c r="H309" s="2"/>
      <c r="I309" s="2" t="s">
        <v>694</v>
      </c>
      <c r="J309" s="311">
        <v>9534</v>
      </c>
      <c r="K309" s="311">
        <v>9538</v>
      </c>
      <c r="L309" s="354">
        <v>9545</v>
      </c>
      <c r="M309" s="311">
        <v>9552</v>
      </c>
      <c r="N309" s="311">
        <v>9560</v>
      </c>
      <c r="O309" s="311">
        <v>9567</v>
      </c>
      <c r="P309" s="311">
        <v>9574</v>
      </c>
      <c r="Q309" s="275">
        <v>9581</v>
      </c>
      <c r="R309" s="311">
        <v>9588</v>
      </c>
      <c r="S309" s="311">
        <v>9595</v>
      </c>
      <c r="T309" s="311">
        <v>9602</v>
      </c>
      <c r="U309" s="531">
        <v>9610</v>
      </c>
      <c r="V309" s="492">
        <v>9618</v>
      </c>
      <c r="W309" s="2"/>
      <c r="X309" s="2"/>
      <c r="Y309" s="2">
        <f t="shared" si="86"/>
        <v>4</v>
      </c>
      <c r="Z309" s="2">
        <f t="shared" si="84"/>
        <v>7</v>
      </c>
      <c r="AA309" s="2">
        <f t="shared" si="102"/>
        <v>7</v>
      </c>
      <c r="AB309" s="2">
        <f t="shared" si="103"/>
        <v>8</v>
      </c>
      <c r="AC309" s="2">
        <f t="shared" si="92"/>
        <v>7</v>
      </c>
      <c r="AD309" s="2">
        <f t="shared" si="93"/>
        <v>7</v>
      </c>
      <c r="AE309" s="2">
        <f t="shared" si="94"/>
        <v>7</v>
      </c>
      <c r="AF309" s="2">
        <f t="shared" si="95"/>
        <v>7</v>
      </c>
      <c r="AG309" s="2">
        <f t="shared" si="96"/>
        <v>7</v>
      </c>
      <c r="AH309" s="2">
        <f t="shared" si="99"/>
        <v>7</v>
      </c>
      <c r="AI309" s="2">
        <f t="shared" si="97"/>
        <v>8</v>
      </c>
      <c r="AJ309" s="2">
        <f t="shared" si="98"/>
        <v>8</v>
      </c>
      <c r="AK309" s="406">
        <v>1</v>
      </c>
      <c r="AL309" s="274">
        <f t="shared" ca="1" si="88"/>
        <v>9560</v>
      </c>
      <c r="AM309" s="311">
        <f t="shared" ca="1" si="89"/>
        <v>9567</v>
      </c>
      <c r="AN309" s="274">
        <f ca="1">IF(AND(Tabla7[[#This Row],[UltLec]]&lt;&gt;0,Tabla7[[#This Row],[PenLect]]&lt;&gt;0),(AM309-AL309)*Tabla7[[#This Row],[RT]],"N/A")</f>
        <v>7</v>
      </c>
      <c r="AO309" s="273" t="s">
        <v>862</v>
      </c>
      <c r="AP309" s="441" t="s">
        <v>1190</v>
      </c>
      <c r="AQ309" s="441" t="s">
        <v>1189</v>
      </c>
      <c r="AR309" s="274">
        <f t="shared" si="90"/>
        <v>0</v>
      </c>
      <c r="AT309" s="2">
        <f t="shared" ca="1" si="91"/>
        <v>0.875</v>
      </c>
      <c r="AV309">
        <f>IF(ISBLANK(Tabla7[[#This Row],[31/12/2017]]),0,Tabla7[[#This Row],[31/12/2017]])</f>
        <v>9534</v>
      </c>
      <c r="AW309">
        <f>IF(ISBLANK(Tabla7[[#This Row],[15/01/2018]]),0,Tabla7[[#This Row],[15/01/2018]])</f>
        <v>9538</v>
      </c>
      <c r="AX309">
        <f>IF(ISBLANK(Tabla7[[#This Row],[15/02/2018]]),0,Tabla7[[#This Row],[15/02/2018]])</f>
        <v>9545</v>
      </c>
      <c r="AY309">
        <f>IF(ISBLANK(Tabla7[[#This Row],[15/03/2018]]),0,Tabla7[[#This Row],[15/03/2018]])</f>
        <v>9552</v>
      </c>
      <c r="AZ309">
        <f>IF(ISBLANK(Tabla7[[#This Row],[15/04/2018]]),0,Tabla7[[#This Row],[15/04/2018]])</f>
        <v>9560</v>
      </c>
      <c r="BA309">
        <f>IF(ISBLANK(Tabla7[[#This Row],[15/05/2018]]),0,Tabla7[[#This Row],[15/05/2018]])</f>
        <v>9567</v>
      </c>
      <c r="BB309">
        <f>IF(ISBLANK(Tabla7[[#This Row],[15/06/2018]]),0,Tabla7[[#This Row],[15/06/2018]])</f>
        <v>9574</v>
      </c>
      <c r="BC309">
        <f>IF(ISBLANK(Tabla7[[#This Row],[15/07/2018]]),0,Tabla7[[#This Row],[15/07/2018]])</f>
        <v>9581</v>
      </c>
      <c r="BD309">
        <f>IF(ISBLANK(Tabla7[[#This Row],[15/08/2018]]),0,Tabla7[[#This Row],[15/08/2018]])</f>
        <v>9588</v>
      </c>
      <c r="BE309">
        <f>IF(ISBLANK(Tabla7[[#This Row],[15/09/2018]]),0,Tabla7[[#This Row],[15/09/2018]])</f>
        <v>9595</v>
      </c>
      <c r="BF309">
        <f>IF(ISBLANK(Tabla7[[#This Row],[15/10/2018]]),0,Tabla7[[#This Row],[15/10/2018]])</f>
        <v>9602</v>
      </c>
      <c r="BG309">
        <f>IF(ISBLANK(Tabla7[[#This Row],[15/11/2018]]),0,Tabla7[[#This Row],[15/11/2018]])</f>
        <v>9610</v>
      </c>
      <c r="BH309">
        <f>IF(ISBLANK(Tabla7[[#This Row],[15/12/2018]]),0,Tabla7[[#This Row],[15/12/2018]])</f>
        <v>9618</v>
      </c>
      <c r="BI309">
        <f>IF(ISBLANK(Tabla7[[#This Row],[28/12/2018]]),0,Tabla7[[#This Row],[28/12/2018]])</f>
        <v>0</v>
      </c>
      <c r="BN30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('SOCOMEC E16','V','VCT14','39290','AMARRADORES VALENCIA','TOMA MUELLE DARSENA SERVICIOS','','SIN NOTIFICACIÓN DE PETICIÓN');</v>
      </c>
      <c r="BO309" t="s">
        <v>243</v>
      </c>
      <c r="BP309" s="632" t="str">
        <f>CONCATENATE("insert into lecturas values ","('",Tabla7[[#This Row],[CONTADOR]],"',STR_TO_DATE('",Tabla7[[#Headers],[31/12/2017]],"','%d/%m/%Y'),",AV309,"),","('",Tabla7[[#This Row],[CONTADOR]],"',STR_TO_DATE('",Tabla7[[#Headers],[15/01/2018]],"','%d/%m/%Y'),",AW309,"),","('",Tabla7[[#This Row],[CONTADOR]],"',STR_TO_DATE('",Tabla7[[#Headers],[15/02/2018]],"','%d/%m/%Y'),",AX309,"),","('",Tabla7[[#This Row],[CONTADOR]],"',STR_TO_DATE('",Tabla7[[#Headers],[15/03/2018]],"','%d/%m/%Y'),",AY309,"),","('",Tabla7[[#This Row],[CONTADOR]],"',STR_TO_DATE('",Tabla7[[#Headers],[15/04/2018]],"','%d/%m/%Y'),",AZ309,"),","('",Tabla7[[#This Row],[CONTADOR]],"',STR_TO_DATE('",Tabla7[[#Headers],[15/05/2018]],"','%d/%m/%Y'),",BA309,"),","('",Tabla7[[#This Row],[CONTADOR]],"',STR_TO_DATE('",Tabla7[[#Headers],[15/06/2018]],"','%d/%m/%Y'),",BB309,"),","('",Tabla7[[#This Row],[CONTADOR]],"',STR_TO_DATE('",Tabla7[[#Headers],[15/07/2018]],"','%d/%m/%Y'),",BC309,"),","('",Tabla7[[#This Row],[CONTADOR]],"',STR_TO_DATE('",Tabla7[[#Headers],[15/08/2018]],"','%d/%m/%Y'),",BD309,"),","('",Tabla7[[#This Row],[CONTADOR]],"',STR_TO_DATE('",Tabla7[[#Headers],[15/09/2018]],"','%d/%m/%Y'),",BE309,"),","('",Tabla7[[#This Row],[CONTADOR]],"',STR_TO_DATE('",Tabla7[[#Headers],[15/10/2018]],"','%d/%m/%Y'),",BF309,"),","('",Tabla7[[#This Row],[CONTADOR]],"',STR_TO_DATE('",Tabla7[[#Headers],[15/11/2018]],"','%d/%m/%Y'),",BG309,"),","('",Tabla7[[#This Row],[CONTADOR]],"',STR_TO_DATE('",Tabla7[[#Headers],[15/12/2018]],"','%d/%m/%Y'),",BH309,");")</f>
        <v>insert into lecturas values ('SOCOMEC E16',STR_TO_DATE('31/12/2017','%d/%m/%Y'),9534),('SOCOMEC E16',STR_TO_DATE('15/01/2018','%d/%m/%Y'),9538),('SOCOMEC E16',STR_TO_DATE('15/02/2018','%d/%m/%Y'),9545),('SOCOMEC E16',STR_TO_DATE('15/03/2018','%d/%m/%Y'),9552),('SOCOMEC E16',STR_TO_DATE('15/04/2018','%d/%m/%Y'),9560),('SOCOMEC E16',STR_TO_DATE('15/05/2018','%d/%m/%Y'),9567),('SOCOMEC E16',STR_TO_DATE('15/06/2018','%d/%m/%Y'),9574),('SOCOMEC E16',STR_TO_DATE('15/07/2018','%d/%m/%Y'),9581),('SOCOMEC E16',STR_TO_DATE('15/08/2018','%d/%m/%Y'),9588),('SOCOMEC E16',STR_TO_DATE('15/09/2018','%d/%m/%Y'),9595),('SOCOMEC E16',STR_TO_DATE('15/10/2018','%d/%m/%Y'),9602),('SOCOMEC E16',STR_TO_DATE('15/11/2018','%d/%m/%Y'),9610),('SOCOMEC E16',STR_TO_DATE('15/12/2018','%d/%m/%Y'),9618);</v>
      </c>
    </row>
    <row r="310" spans="1:68" ht="18" customHeight="1" x14ac:dyDescent="0.25">
      <c r="A310" s="241" t="s">
        <v>19</v>
      </c>
      <c r="B310" s="60">
        <v>1358</v>
      </c>
      <c r="C310" s="342" t="s">
        <v>1262</v>
      </c>
      <c r="D310" s="60" t="s">
        <v>143</v>
      </c>
      <c r="E310" s="258">
        <v>39011</v>
      </c>
      <c r="F310" s="274" t="s">
        <v>443</v>
      </c>
      <c r="G310" s="274" t="s">
        <v>38</v>
      </c>
      <c r="H310" s="2" t="s">
        <v>444</v>
      </c>
      <c r="I310" s="2" t="s">
        <v>445</v>
      </c>
      <c r="J310" s="311">
        <v>4281</v>
      </c>
      <c r="K310" s="311">
        <v>4281</v>
      </c>
      <c r="L310" s="311">
        <v>4281</v>
      </c>
      <c r="M310" s="311">
        <v>4393</v>
      </c>
      <c r="N310" s="311">
        <v>4801</v>
      </c>
      <c r="O310" s="311">
        <v>4987</v>
      </c>
      <c r="P310" s="311">
        <v>5125</v>
      </c>
      <c r="Q310" s="275">
        <v>5366</v>
      </c>
      <c r="R310" s="311">
        <v>5592</v>
      </c>
      <c r="S310" s="311">
        <v>5830</v>
      </c>
      <c r="T310" s="311">
        <v>6017</v>
      </c>
      <c r="U310" s="531">
        <v>6232</v>
      </c>
      <c r="V310" s="492">
        <v>6463</v>
      </c>
      <c r="W310" s="274"/>
      <c r="X310" s="2"/>
      <c r="Y310" s="2">
        <f t="shared" si="86"/>
        <v>0</v>
      </c>
      <c r="Z310" s="2">
        <f t="shared" si="84"/>
        <v>0</v>
      </c>
      <c r="AA310" s="2">
        <f t="shared" si="102"/>
        <v>112</v>
      </c>
      <c r="AB310" s="2">
        <f t="shared" si="103"/>
        <v>408</v>
      </c>
      <c r="AC310" s="2">
        <f t="shared" si="92"/>
        <v>186</v>
      </c>
      <c r="AD310" s="2">
        <f t="shared" si="93"/>
        <v>138</v>
      </c>
      <c r="AE310" s="2">
        <f t="shared" si="94"/>
        <v>241</v>
      </c>
      <c r="AF310" s="2">
        <f t="shared" si="95"/>
        <v>226</v>
      </c>
      <c r="AG310" s="2">
        <f t="shared" si="96"/>
        <v>238</v>
      </c>
      <c r="AH310" s="2">
        <f t="shared" si="99"/>
        <v>187</v>
      </c>
      <c r="AI310" s="2">
        <f t="shared" si="97"/>
        <v>215</v>
      </c>
      <c r="AJ310" s="2">
        <f t="shared" si="98"/>
        <v>231</v>
      </c>
      <c r="AK310" s="406">
        <v>1</v>
      </c>
      <c r="AL310" s="274">
        <f t="shared" ca="1" si="88"/>
        <v>4801</v>
      </c>
      <c r="AM310" s="311">
        <f t="shared" ca="1" si="89"/>
        <v>4987</v>
      </c>
      <c r="AN310" s="274">
        <f ca="1">IF(AND(Tabla7[[#This Row],[UltLec]]&lt;&gt;0,Tabla7[[#This Row],[PenLect]]&lt;&gt;0),(AM310-AL310)*Tabla7[[#This Row],[RT]],"N/A")</f>
        <v>186</v>
      </c>
      <c r="AO310" s="403" t="s">
        <v>862</v>
      </c>
      <c r="AP310" s="392" t="s">
        <v>1190</v>
      </c>
      <c r="AQ310" s="392" t="s">
        <v>1189</v>
      </c>
      <c r="AR310" s="274">
        <f t="shared" si="90"/>
        <v>0</v>
      </c>
      <c r="AT310" s="2">
        <f t="shared" ca="1" si="91"/>
        <v>0.45588235294117646</v>
      </c>
      <c r="AV310">
        <f>IF(ISBLANK(Tabla7[[#This Row],[31/12/2017]]),0,Tabla7[[#This Row],[31/12/2017]])</f>
        <v>4281</v>
      </c>
      <c r="AW310">
        <f>IF(ISBLANK(Tabla7[[#This Row],[15/01/2018]]),0,Tabla7[[#This Row],[15/01/2018]])</f>
        <v>4281</v>
      </c>
      <c r="AX310">
        <f>IF(ISBLANK(Tabla7[[#This Row],[15/02/2018]]),0,Tabla7[[#This Row],[15/02/2018]])</f>
        <v>4281</v>
      </c>
      <c r="AY310">
        <f>IF(ISBLANK(Tabla7[[#This Row],[15/03/2018]]),0,Tabla7[[#This Row],[15/03/2018]])</f>
        <v>4393</v>
      </c>
      <c r="AZ310">
        <f>IF(ISBLANK(Tabla7[[#This Row],[15/04/2018]]),0,Tabla7[[#This Row],[15/04/2018]])</f>
        <v>4801</v>
      </c>
      <c r="BA310">
        <f>IF(ISBLANK(Tabla7[[#This Row],[15/05/2018]]),0,Tabla7[[#This Row],[15/05/2018]])</f>
        <v>4987</v>
      </c>
      <c r="BB310">
        <f>IF(ISBLANK(Tabla7[[#This Row],[15/06/2018]]),0,Tabla7[[#This Row],[15/06/2018]])</f>
        <v>5125</v>
      </c>
      <c r="BC310">
        <f>IF(ISBLANK(Tabla7[[#This Row],[15/07/2018]]),0,Tabla7[[#This Row],[15/07/2018]])</f>
        <v>5366</v>
      </c>
      <c r="BD310">
        <f>IF(ISBLANK(Tabla7[[#This Row],[15/08/2018]]),0,Tabla7[[#This Row],[15/08/2018]])</f>
        <v>5592</v>
      </c>
      <c r="BE310">
        <f>IF(ISBLANK(Tabla7[[#This Row],[15/09/2018]]),0,Tabla7[[#This Row],[15/09/2018]])</f>
        <v>5830</v>
      </c>
      <c r="BF310">
        <f>IF(ISBLANK(Tabla7[[#This Row],[15/10/2018]]),0,Tabla7[[#This Row],[15/10/2018]])</f>
        <v>6017</v>
      </c>
      <c r="BG310">
        <f>IF(ISBLANK(Tabla7[[#This Row],[15/11/2018]]),0,Tabla7[[#This Row],[15/11/2018]])</f>
        <v>6232</v>
      </c>
      <c r="BH310">
        <f>IF(ISBLANK(Tabla7[[#This Row],[15/12/2018]]),0,Tabla7[[#This Row],[15/12/2018]])</f>
        <v>6463</v>
      </c>
      <c r="BI310">
        <f>IF(ISBLANK(Tabla7[[#This Row],[28/12/2018]]),0,Tabla7[[#This Row],[28/12/2018]])</f>
        <v>0</v>
      </c>
      <c r="BN31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 CXRUGBI16032811075','V','VCT15','39011','FEDER. PESCA COMUNIDAD VALENCIANA','EN CT.','faltan datos ( NUEVO CONTADOR)','ALTA NUEVA EN PROCESO');</v>
      </c>
      <c r="BO310" t="s">
        <v>243</v>
      </c>
      <c r="BP310" s="632" t="str">
        <f>CONCATENATE("insert into lecturas values ","('",Tabla7[[#This Row],[CONTADOR]],"',STR_TO_DATE('",Tabla7[[#Headers],[31/12/2017]],"','%d/%m/%Y'),",AV310,"),","('",Tabla7[[#This Row],[CONTADOR]],"',STR_TO_DATE('",Tabla7[[#Headers],[15/01/2018]],"','%d/%m/%Y'),",AW310,"),","('",Tabla7[[#This Row],[CONTADOR]],"',STR_TO_DATE('",Tabla7[[#Headers],[15/02/2018]],"','%d/%m/%Y'),",AX310,"),","('",Tabla7[[#This Row],[CONTADOR]],"',STR_TO_DATE('",Tabla7[[#Headers],[15/03/2018]],"','%d/%m/%Y'),",AY310,"),","('",Tabla7[[#This Row],[CONTADOR]],"',STR_TO_DATE('",Tabla7[[#Headers],[15/04/2018]],"','%d/%m/%Y'),",AZ310,"),","('",Tabla7[[#This Row],[CONTADOR]],"',STR_TO_DATE('",Tabla7[[#Headers],[15/05/2018]],"','%d/%m/%Y'),",BA310,"),","('",Tabla7[[#This Row],[CONTADOR]],"',STR_TO_DATE('",Tabla7[[#Headers],[15/06/2018]],"','%d/%m/%Y'),",BB310,"),","('",Tabla7[[#This Row],[CONTADOR]],"',STR_TO_DATE('",Tabla7[[#Headers],[15/07/2018]],"','%d/%m/%Y'),",BC310,"),","('",Tabla7[[#This Row],[CONTADOR]],"',STR_TO_DATE('",Tabla7[[#Headers],[15/08/2018]],"','%d/%m/%Y'),",BD310,"),","('",Tabla7[[#This Row],[CONTADOR]],"',STR_TO_DATE('",Tabla7[[#Headers],[15/09/2018]],"','%d/%m/%Y'),",BE310,"),","('",Tabla7[[#This Row],[CONTADOR]],"',STR_TO_DATE('",Tabla7[[#Headers],[15/10/2018]],"','%d/%m/%Y'),",BF310,"),","('",Tabla7[[#This Row],[CONTADOR]],"',STR_TO_DATE('",Tabla7[[#Headers],[15/11/2018]],"','%d/%m/%Y'),",BG310,"),","('",Tabla7[[#This Row],[CONTADOR]],"',STR_TO_DATE('",Tabla7[[#Headers],[15/12/2018]],"','%d/%m/%Y'),",BH310,");")</f>
        <v>insert into lecturas values (' CXRUGBI16032811075',STR_TO_DATE('31/12/2017','%d/%m/%Y'),4281),(' CXRUGBI16032811075',STR_TO_DATE('15/01/2018','%d/%m/%Y'),4281),(' CXRUGBI16032811075',STR_TO_DATE('15/02/2018','%d/%m/%Y'),4281),(' CXRUGBI16032811075',STR_TO_DATE('15/03/2018','%d/%m/%Y'),4393),(' CXRUGBI16032811075',STR_TO_DATE('15/04/2018','%d/%m/%Y'),4801),(' CXRUGBI16032811075',STR_TO_DATE('15/05/2018','%d/%m/%Y'),4987),(' CXRUGBI16032811075',STR_TO_DATE('15/06/2018','%d/%m/%Y'),5125),(' CXRUGBI16032811075',STR_TO_DATE('15/07/2018','%d/%m/%Y'),5366),(' CXRUGBI16032811075',STR_TO_DATE('15/08/2018','%d/%m/%Y'),5592),(' CXRUGBI16032811075',STR_TO_DATE('15/09/2018','%d/%m/%Y'),5830),(' CXRUGBI16032811075',STR_TO_DATE('15/10/2018','%d/%m/%Y'),6017),(' CXRUGBI16032811075',STR_TO_DATE('15/11/2018','%d/%m/%Y'),6232),(' CXRUGBI16032811075',STR_TO_DATE('15/12/2018','%d/%m/%Y'),6463);</v>
      </c>
    </row>
    <row r="311" spans="1:68" ht="18" customHeight="1" x14ac:dyDescent="0.25">
      <c r="A311" s="241" t="s">
        <v>19</v>
      </c>
      <c r="B311" s="60"/>
      <c r="C311" s="342" t="s">
        <v>1339</v>
      </c>
      <c r="D311" s="60" t="s">
        <v>143</v>
      </c>
      <c r="E311" s="258">
        <v>39645</v>
      </c>
      <c r="F311" s="274" t="s">
        <v>1351</v>
      </c>
      <c r="G311" s="274" t="s">
        <v>1376</v>
      </c>
      <c r="H311" s="274" t="s">
        <v>1341</v>
      </c>
      <c r="I311" s="2"/>
      <c r="J311" s="311"/>
      <c r="K311" s="311"/>
      <c r="L311" s="354"/>
      <c r="M311" s="311"/>
      <c r="N311" s="311"/>
      <c r="O311" s="2">
        <v>23</v>
      </c>
      <c r="P311" s="463">
        <v>10359</v>
      </c>
      <c r="Q311" s="275">
        <v>18012</v>
      </c>
      <c r="R311" s="311">
        <v>30305</v>
      </c>
      <c r="S311" s="311">
        <v>43715</v>
      </c>
      <c r="T311" s="311">
        <v>58125</v>
      </c>
      <c r="U311" s="531">
        <v>74850</v>
      </c>
      <c r="V311" s="492">
        <v>93421</v>
      </c>
      <c r="W311" s="2"/>
      <c r="X311" s="2"/>
      <c r="Y311" s="2" t="str">
        <f t="shared" si="86"/>
        <v/>
      </c>
      <c r="Z311" s="2" t="str">
        <f t="shared" si="84"/>
        <v/>
      </c>
      <c r="AA311" s="2" t="str">
        <f>IF(OR(ISBLANK(#REF!),ISBLANK(L311)),"",IF(AND(#REF!&gt;=L311,#REF!-L311&lt;=#REF!),(#REF!-L311)*$AK311,"!!!!"))</f>
        <v/>
      </c>
      <c r="AB311" s="2" t="str">
        <f>IF(OR(ISBLANK(N311),ISBLANK(#REF!)),"",IF(AND(N311&gt;=#REF!,N311-#REF!&lt;=N311),(N311-#REF!)*$AK311,"!!!!"))</f>
        <v/>
      </c>
      <c r="AC311" s="2" t="str">
        <f t="shared" si="92"/>
        <v/>
      </c>
      <c r="AD311" s="2">
        <f t="shared" si="93"/>
        <v>10336</v>
      </c>
      <c r="AE311" s="2">
        <f t="shared" si="94"/>
        <v>7653</v>
      </c>
      <c r="AF311" s="2">
        <f t="shared" si="95"/>
        <v>12293</v>
      </c>
      <c r="AG311" s="2">
        <f t="shared" si="96"/>
        <v>13410</v>
      </c>
      <c r="AH311" s="271">
        <f t="shared" si="99"/>
        <v>14410</v>
      </c>
      <c r="AI311" s="2">
        <f t="shared" si="97"/>
        <v>16725</v>
      </c>
      <c r="AJ311" s="2">
        <f t="shared" si="98"/>
        <v>18571</v>
      </c>
      <c r="AK311" s="406">
        <v>1</v>
      </c>
      <c r="AL311" s="412">
        <f t="shared" ca="1" si="88"/>
        <v>0</v>
      </c>
      <c r="AM311" s="311">
        <f t="shared" ca="1" si="89"/>
        <v>23</v>
      </c>
      <c r="AN311" s="412" t="str">
        <f ca="1">IF(AND(Tabla7[[#This Row],[UltLec]]&lt;&gt;0,Tabla7[[#This Row],[PenLect]]&lt;&gt;0),(AM311-AL311)*Tabla7[[#This Row],[RT]],"N/A")</f>
        <v>N/A</v>
      </c>
      <c r="AO311" s="273" t="s">
        <v>862</v>
      </c>
      <c r="AP311" s="392" t="s">
        <v>1191</v>
      </c>
      <c r="AQ311" s="392" t="s">
        <v>1189</v>
      </c>
      <c r="AR311" s="407">
        <f t="shared" si="90"/>
        <v>0</v>
      </c>
      <c r="AT311" s="2" t="e">
        <f t="shared" ca="1" si="91"/>
        <v>#VALUE!</v>
      </c>
      <c r="AV311">
        <f>IF(ISBLANK(Tabla7[[#This Row],[31/12/2017]]),0,Tabla7[[#This Row],[31/12/2017]])</f>
        <v>0</v>
      </c>
      <c r="AW311">
        <f>IF(ISBLANK(Tabla7[[#This Row],[15/01/2018]]),0,Tabla7[[#This Row],[15/01/2018]])</f>
        <v>0</v>
      </c>
      <c r="AX311">
        <f>IF(ISBLANK(Tabla7[[#This Row],[15/02/2018]]),0,Tabla7[[#This Row],[15/02/2018]])</f>
        <v>0</v>
      </c>
      <c r="AY311">
        <f>IF(ISBLANK(Tabla7[[#This Row],[15/03/2018]]),0,Tabla7[[#This Row],[15/03/2018]])</f>
        <v>0</v>
      </c>
      <c r="AZ311">
        <f>IF(ISBLANK(Tabla7[[#This Row],[15/04/2018]]),0,Tabla7[[#This Row],[15/04/2018]])</f>
        <v>0</v>
      </c>
      <c r="BA311">
        <f>IF(ISBLANK(Tabla7[[#This Row],[15/05/2018]]),0,Tabla7[[#This Row],[15/05/2018]])</f>
        <v>23</v>
      </c>
      <c r="BB311">
        <f>IF(ISBLANK(Tabla7[[#This Row],[15/06/2018]]),0,Tabla7[[#This Row],[15/06/2018]])</f>
        <v>10359</v>
      </c>
      <c r="BC311">
        <f>IF(ISBLANK(Tabla7[[#This Row],[15/07/2018]]),0,Tabla7[[#This Row],[15/07/2018]])</f>
        <v>18012</v>
      </c>
      <c r="BD311">
        <f>IF(ISBLANK(Tabla7[[#This Row],[15/08/2018]]),0,Tabla7[[#This Row],[15/08/2018]])</f>
        <v>30305</v>
      </c>
      <c r="BE311">
        <f>IF(ISBLANK(Tabla7[[#This Row],[15/09/2018]]),0,Tabla7[[#This Row],[15/09/2018]])</f>
        <v>43715</v>
      </c>
      <c r="BF311">
        <f>IF(ISBLANK(Tabla7[[#This Row],[15/10/2018]]),0,Tabla7[[#This Row],[15/10/2018]])</f>
        <v>58125</v>
      </c>
      <c r="BG311">
        <f>IF(ISBLANK(Tabla7[[#This Row],[15/11/2018]]),0,Tabla7[[#This Row],[15/11/2018]])</f>
        <v>74850</v>
      </c>
      <c r="BH311">
        <f>IF(ISBLANK(Tabla7[[#This Row],[15/12/2018]]),0,Tabla7[[#This Row],[15/12/2018]])</f>
        <v>93421</v>
      </c>
      <c r="BI311">
        <f>IF(ISBLANK(Tabla7[[#This Row],[28/12/2018]]),0,Tabla7[[#This Row],[28/12/2018]])</f>
        <v>0</v>
      </c>
      <c r="BN31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 CXUVFER18040534442 ','V','VCT15','39645','FORD ESPAÑA S.L','NUEVA CENTRALIZACION','Lectura indirecta 100/5','');</v>
      </c>
      <c r="BO311" t="s">
        <v>243</v>
      </c>
      <c r="BP311" s="632" t="str">
        <f>CONCATENATE("insert into lecturas values ","('",Tabla7[[#This Row],[CONTADOR]],"',STR_TO_DATE('",Tabla7[[#Headers],[31/12/2017]],"','%d/%m/%Y'),",AV311,"),","('",Tabla7[[#This Row],[CONTADOR]],"',STR_TO_DATE('",Tabla7[[#Headers],[15/01/2018]],"','%d/%m/%Y'),",AW311,"),","('",Tabla7[[#This Row],[CONTADOR]],"',STR_TO_DATE('",Tabla7[[#Headers],[15/02/2018]],"','%d/%m/%Y'),",AX311,"),","('",Tabla7[[#This Row],[CONTADOR]],"',STR_TO_DATE('",Tabla7[[#Headers],[15/03/2018]],"','%d/%m/%Y'),",AY311,"),","('",Tabla7[[#This Row],[CONTADOR]],"',STR_TO_DATE('",Tabla7[[#Headers],[15/04/2018]],"','%d/%m/%Y'),",AZ311,"),","('",Tabla7[[#This Row],[CONTADOR]],"',STR_TO_DATE('",Tabla7[[#Headers],[15/05/2018]],"','%d/%m/%Y'),",BA311,"),","('",Tabla7[[#This Row],[CONTADOR]],"',STR_TO_DATE('",Tabla7[[#Headers],[15/06/2018]],"','%d/%m/%Y'),",BB311,"),","('",Tabla7[[#This Row],[CONTADOR]],"',STR_TO_DATE('",Tabla7[[#Headers],[15/07/2018]],"','%d/%m/%Y'),",BC311,"),","('",Tabla7[[#This Row],[CONTADOR]],"',STR_TO_DATE('",Tabla7[[#Headers],[15/08/2018]],"','%d/%m/%Y'),",BD311,"),","('",Tabla7[[#This Row],[CONTADOR]],"',STR_TO_DATE('",Tabla7[[#Headers],[15/09/2018]],"','%d/%m/%Y'),",BE311,"),","('",Tabla7[[#This Row],[CONTADOR]],"',STR_TO_DATE('",Tabla7[[#Headers],[15/10/2018]],"','%d/%m/%Y'),",BF311,"),","('",Tabla7[[#This Row],[CONTADOR]],"',STR_TO_DATE('",Tabla7[[#Headers],[15/11/2018]],"','%d/%m/%Y'),",BG311,"),","('",Tabla7[[#This Row],[CONTADOR]],"',STR_TO_DATE('",Tabla7[[#Headers],[15/12/2018]],"','%d/%m/%Y'),",BH311,");")</f>
        <v>insert into lecturas values (' CXUVFER18040534442 ',STR_TO_DATE('31/12/2017','%d/%m/%Y'),0),(' CXUVFER18040534442 ',STR_TO_DATE('15/01/2018','%d/%m/%Y'),0),(' CXUVFER18040534442 ',STR_TO_DATE('15/02/2018','%d/%m/%Y'),0),(' CXUVFER18040534442 ',STR_TO_DATE('15/03/2018','%d/%m/%Y'),0),(' CXUVFER18040534442 ',STR_TO_DATE('15/04/2018','%d/%m/%Y'),0),(' CXUVFER18040534442 ',STR_TO_DATE('15/05/2018','%d/%m/%Y'),23),(' CXUVFER18040534442 ',STR_TO_DATE('15/06/2018','%d/%m/%Y'),10359),(' CXUVFER18040534442 ',STR_TO_DATE('15/07/2018','%d/%m/%Y'),18012),(' CXUVFER18040534442 ',STR_TO_DATE('15/08/2018','%d/%m/%Y'),30305),(' CXUVFER18040534442 ',STR_TO_DATE('15/09/2018','%d/%m/%Y'),43715),(' CXUVFER18040534442 ',STR_TO_DATE('15/10/2018','%d/%m/%Y'),58125),(' CXUVFER18040534442 ',STR_TO_DATE('15/11/2018','%d/%m/%Y'),74850),(' CXUVFER18040534442 ',STR_TO_DATE('15/12/2018','%d/%m/%Y'),93421);</v>
      </c>
    </row>
    <row r="312" spans="1:68" ht="18" customHeight="1" x14ac:dyDescent="0.25">
      <c r="A312" s="241" t="s">
        <v>19</v>
      </c>
      <c r="B312" s="60"/>
      <c r="C312" s="342" t="s">
        <v>1342</v>
      </c>
      <c r="D312" s="60" t="s">
        <v>143</v>
      </c>
      <c r="E312" s="258">
        <v>132</v>
      </c>
      <c r="F312" s="2" t="s">
        <v>1463</v>
      </c>
      <c r="G312" s="274" t="s">
        <v>1376</v>
      </c>
      <c r="H312" s="2"/>
      <c r="I312" s="2"/>
      <c r="J312" s="311"/>
      <c r="K312" s="311"/>
      <c r="L312" s="354"/>
      <c r="M312" s="311"/>
      <c r="N312" s="311"/>
      <c r="O312" s="311">
        <v>23</v>
      </c>
      <c r="P312" s="463">
        <v>1470</v>
      </c>
      <c r="Q312" s="275">
        <v>2755</v>
      </c>
      <c r="R312" s="311">
        <v>4799</v>
      </c>
      <c r="S312" s="311">
        <v>6998</v>
      </c>
      <c r="T312" s="311">
        <v>9288</v>
      </c>
      <c r="U312" s="531">
        <v>12284</v>
      </c>
      <c r="V312" s="492">
        <v>15580</v>
      </c>
      <c r="W312" s="2"/>
      <c r="X312" s="2"/>
      <c r="Y312" s="2" t="str">
        <f t="shared" si="86"/>
        <v/>
      </c>
      <c r="Z312" s="2" t="str">
        <f t="shared" si="84"/>
        <v/>
      </c>
      <c r="AA312" s="2" t="str">
        <f>IF(OR(ISBLANK(#REF!),ISBLANK(L312)),"",IF(AND(#REF!&gt;=L312,#REF!-L312&lt;=#REF!),(#REF!-L312)*$AK312,"!!!!"))</f>
        <v/>
      </c>
      <c r="AB312" s="2" t="str">
        <f>IF(OR(ISBLANK(N312),ISBLANK(#REF!)),"",IF(AND(N312&gt;=#REF!,N312-#REF!&lt;=N312),(N312-#REF!)*$AK312,"!!!!"))</f>
        <v/>
      </c>
      <c r="AC312" s="2" t="str">
        <f t="shared" si="92"/>
        <v/>
      </c>
      <c r="AD312" s="2">
        <f t="shared" si="93"/>
        <v>1447</v>
      </c>
      <c r="AE312" s="2">
        <f t="shared" si="94"/>
        <v>1285</v>
      </c>
      <c r="AF312" s="2">
        <f t="shared" si="95"/>
        <v>2044</v>
      </c>
      <c r="AG312" s="2">
        <f t="shared" si="96"/>
        <v>2199</v>
      </c>
      <c r="AH312" s="271">
        <f t="shared" si="99"/>
        <v>2290</v>
      </c>
      <c r="AI312" s="2">
        <f t="shared" si="97"/>
        <v>2996</v>
      </c>
      <c r="AJ312" s="2">
        <f t="shared" si="98"/>
        <v>3296</v>
      </c>
      <c r="AK312" s="406">
        <v>1</v>
      </c>
      <c r="AL312" s="412">
        <f t="shared" ca="1" si="88"/>
        <v>0</v>
      </c>
      <c r="AM312" s="311">
        <f t="shared" ca="1" si="89"/>
        <v>23</v>
      </c>
      <c r="AN312" s="412" t="str">
        <f ca="1">IF(AND(Tabla7[[#This Row],[UltLec]]&lt;&gt;0,Tabla7[[#This Row],[PenLect]]&lt;&gt;0),(AM312-AL312)*Tabla7[[#This Row],[RT]],"N/A")</f>
        <v>N/A</v>
      </c>
      <c r="AO312" s="403" t="s">
        <v>862</v>
      </c>
      <c r="AP312" s="392" t="s">
        <v>1191</v>
      </c>
      <c r="AQ312" s="392" t="s">
        <v>1189</v>
      </c>
      <c r="AR312" s="274">
        <f t="shared" si="90"/>
        <v>0</v>
      </c>
      <c r="AT312" s="2" t="e">
        <f t="shared" ca="1" si="91"/>
        <v>#VALUE!</v>
      </c>
      <c r="AV312">
        <f>IF(ISBLANK(Tabla7[[#This Row],[31/12/2017]]),0,Tabla7[[#This Row],[31/12/2017]])</f>
        <v>0</v>
      </c>
      <c r="AW312">
        <f>IF(ISBLANK(Tabla7[[#This Row],[15/01/2018]]),0,Tabla7[[#This Row],[15/01/2018]])</f>
        <v>0</v>
      </c>
      <c r="AX312">
        <f>IF(ISBLANK(Tabla7[[#This Row],[15/02/2018]]),0,Tabla7[[#This Row],[15/02/2018]])</f>
        <v>0</v>
      </c>
      <c r="AY312">
        <f>IF(ISBLANK(Tabla7[[#This Row],[15/03/2018]]),0,Tabla7[[#This Row],[15/03/2018]])</f>
        <v>0</v>
      </c>
      <c r="AZ312">
        <f>IF(ISBLANK(Tabla7[[#This Row],[15/04/2018]]),0,Tabla7[[#This Row],[15/04/2018]])</f>
        <v>0</v>
      </c>
      <c r="BA312">
        <f>IF(ISBLANK(Tabla7[[#This Row],[15/05/2018]]),0,Tabla7[[#This Row],[15/05/2018]])</f>
        <v>23</v>
      </c>
      <c r="BB312">
        <f>IF(ISBLANK(Tabla7[[#This Row],[15/06/2018]]),0,Tabla7[[#This Row],[15/06/2018]])</f>
        <v>1470</v>
      </c>
      <c r="BC312">
        <f>IF(ISBLANK(Tabla7[[#This Row],[15/07/2018]]),0,Tabla7[[#This Row],[15/07/2018]])</f>
        <v>2755</v>
      </c>
      <c r="BD312">
        <f>IF(ISBLANK(Tabla7[[#This Row],[15/08/2018]]),0,Tabla7[[#This Row],[15/08/2018]])</f>
        <v>4799</v>
      </c>
      <c r="BE312">
        <f>IF(ISBLANK(Tabla7[[#This Row],[15/09/2018]]),0,Tabla7[[#This Row],[15/09/2018]])</f>
        <v>6998</v>
      </c>
      <c r="BF312">
        <f>IF(ISBLANK(Tabla7[[#This Row],[15/10/2018]]),0,Tabla7[[#This Row],[15/10/2018]])</f>
        <v>9288</v>
      </c>
      <c r="BG312">
        <f>IF(ISBLANK(Tabla7[[#This Row],[15/11/2018]]),0,Tabla7[[#This Row],[15/11/2018]])</f>
        <v>12284</v>
      </c>
      <c r="BH312">
        <f>IF(ISBLANK(Tabla7[[#This Row],[15/12/2018]]),0,Tabla7[[#This Row],[15/12/2018]])</f>
        <v>15580</v>
      </c>
      <c r="BI312">
        <f>IF(ISBLANK(Tabla7[[#This Row],[28/12/2018]]),0,Tabla7[[#This Row],[28/12/2018]])</f>
        <v>0</v>
      </c>
      <c r="BN31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('CXRUGBI17038452893','V','VCT15','132','TORRES APV','NUEVA CENTRALIZACION','','');</v>
      </c>
      <c r="BO312" t="s">
        <v>243</v>
      </c>
      <c r="BP312" s="632" t="str">
        <f>CONCATENATE("insert into lecturas values ","('",Tabla7[[#This Row],[CONTADOR]],"',STR_TO_DATE('",Tabla7[[#Headers],[31/12/2017]],"','%d/%m/%Y'),",AV312,"),","('",Tabla7[[#This Row],[CONTADOR]],"',STR_TO_DATE('",Tabla7[[#Headers],[15/01/2018]],"','%d/%m/%Y'),",AW312,"),","('",Tabla7[[#This Row],[CONTADOR]],"',STR_TO_DATE('",Tabla7[[#Headers],[15/02/2018]],"','%d/%m/%Y'),",AX312,"),","('",Tabla7[[#This Row],[CONTADOR]],"',STR_TO_DATE('",Tabla7[[#Headers],[15/03/2018]],"','%d/%m/%Y'),",AY312,"),","('",Tabla7[[#This Row],[CONTADOR]],"',STR_TO_DATE('",Tabla7[[#Headers],[15/04/2018]],"','%d/%m/%Y'),",AZ312,"),","('",Tabla7[[#This Row],[CONTADOR]],"',STR_TO_DATE('",Tabla7[[#Headers],[15/05/2018]],"','%d/%m/%Y'),",BA312,"),","('",Tabla7[[#This Row],[CONTADOR]],"',STR_TO_DATE('",Tabla7[[#Headers],[15/06/2018]],"','%d/%m/%Y'),",BB312,"),","('",Tabla7[[#This Row],[CONTADOR]],"',STR_TO_DATE('",Tabla7[[#Headers],[15/07/2018]],"','%d/%m/%Y'),",BC312,"),","('",Tabla7[[#This Row],[CONTADOR]],"',STR_TO_DATE('",Tabla7[[#Headers],[15/08/2018]],"','%d/%m/%Y'),",BD312,"),","('",Tabla7[[#This Row],[CONTADOR]],"',STR_TO_DATE('",Tabla7[[#Headers],[15/09/2018]],"','%d/%m/%Y'),",BE312,"),","('",Tabla7[[#This Row],[CONTADOR]],"',STR_TO_DATE('",Tabla7[[#Headers],[15/10/2018]],"','%d/%m/%Y'),",BF312,"),","('",Tabla7[[#This Row],[CONTADOR]],"',STR_TO_DATE('",Tabla7[[#Headers],[15/11/2018]],"','%d/%m/%Y'),",BG312,"),","('",Tabla7[[#This Row],[CONTADOR]],"',STR_TO_DATE('",Tabla7[[#Headers],[15/12/2018]],"','%d/%m/%Y'),",BH312,");")</f>
        <v>insert into lecturas values ('CXRUGBI17038452893',STR_TO_DATE('31/12/2017','%d/%m/%Y'),0),('CXRUGBI17038452893',STR_TO_DATE('15/01/2018','%d/%m/%Y'),0),('CXRUGBI17038452893',STR_TO_DATE('15/02/2018','%d/%m/%Y'),0),('CXRUGBI17038452893',STR_TO_DATE('15/03/2018','%d/%m/%Y'),0),('CXRUGBI17038452893',STR_TO_DATE('15/04/2018','%d/%m/%Y'),0),('CXRUGBI17038452893',STR_TO_DATE('15/05/2018','%d/%m/%Y'),23),('CXRUGBI17038452893',STR_TO_DATE('15/06/2018','%d/%m/%Y'),1470),('CXRUGBI17038452893',STR_TO_DATE('15/07/2018','%d/%m/%Y'),2755),('CXRUGBI17038452893',STR_TO_DATE('15/08/2018','%d/%m/%Y'),4799),('CXRUGBI17038452893',STR_TO_DATE('15/09/2018','%d/%m/%Y'),6998),('CXRUGBI17038452893',STR_TO_DATE('15/10/2018','%d/%m/%Y'),9288),('CXRUGBI17038452893',STR_TO_DATE('15/11/2018','%d/%m/%Y'),12284),('CXRUGBI17038452893',STR_TO_DATE('15/12/2018','%d/%m/%Y'),15580);</v>
      </c>
    </row>
    <row r="313" spans="1:68" ht="18" customHeight="1" x14ac:dyDescent="0.25">
      <c r="A313" s="372" t="s">
        <v>1196</v>
      </c>
      <c r="B313" s="60" t="s">
        <v>144</v>
      </c>
      <c r="C313" s="342" t="s">
        <v>145</v>
      </c>
      <c r="D313" s="374" t="s">
        <v>143</v>
      </c>
      <c r="E313" s="375">
        <v>0</v>
      </c>
      <c r="F313" s="376" t="s">
        <v>146</v>
      </c>
      <c r="G313" s="376" t="s">
        <v>38</v>
      </c>
      <c r="H313" s="376" t="s">
        <v>147</v>
      </c>
      <c r="I313" s="376" t="s">
        <v>1184</v>
      </c>
      <c r="J313" s="383">
        <v>274162</v>
      </c>
      <c r="K313" s="383">
        <v>276831</v>
      </c>
      <c r="L313" s="383">
        <v>280625</v>
      </c>
      <c r="M313" s="383">
        <v>280625</v>
      </c>
      <c r="N313" s="383">
        <v>286625</v>
      </c>
      <c r="O313" s="383"/>
      <c r="P313" s="383"/>
      <c r="Q313" s="383"/>
      <c r="R313" s="383"/>
      <c r="S313" s="311"/>
      <c r="T313" s="383"/>
      <c r="U313" s="383"/>
      <c r="V313" s="383"/>
      <c r="W313" s="383"/>
      <c r="X313" s="376"/>
      <c r="Y313" s="376">
        <f t="shared" si="86"/>
        <v>2669</v>
      </c>
      <c r="Z313" s="376">
        <f t="shared" si="84"/>
        <v>3794</v>
      </c>
      <c r="AA313" s="376">
        <f>IF(OR(ISBLANK(M313),ISBLANK(L313)),"",IF(AND(M313&gt;=L313,M313-L313&lt;=M313),(M313-L313)*$AK313,"!!!!"))</f>
        <v>0</v>
      </c>
      <c r="AB313" s="376">
        <f>IF(OR(ISBLANK(N313),ISBLANK(M313)),"",IF(AND(N313&gt;=M313,N313-M313&lt;=N313),(N313-M313)*$AK313,"!!!!"))</f>
        <v>6000</v>
      </c>
      <c r="AC313" s="376" t="str">
        <f t="shared" si="92"/>
        <v/>
      </c>
      <c r="AD313" s="376" t="str">
        <f t="shared" si="93"/>
        <v/>
      </c>
      <c r="AE313" s="376" t="str">
        <f t="shared" si="94"/>
        <v/>
      </c>
      <c r="AF313" s="376" t="str">
        <f t="shared" si="95"/>
        <v/>
      </c>
      <c r="AG313" s="376" t="str">
        <f t="shared" si="96"/>
        <v/>
      </c>
      <c r="AH313" s="376" t="str">
        <f t="shared" si="99"/>
        <v/>
      </c>
      <c r="AI313" s="376" t="str">
        <f t="shared" si="97"/>
        <v/>
      </c>
      <c r="AJ313" s="376" t="str">
        <f t="shared" si="98"/>
        <v/>
      </c>
      <c r="AK313" s="408">
        <v>1</v>
      </c>
      <c r="AL313" s="377">
        <f t="shared" ca="1" si="88"/>
        <v>286625</v>
      </c>
      <c r="AM313" s="383">
        <f t="shared" ca="1" si="89"/>
        <v>0</v>
      </c>
      <c r="AN313" s="377" t="str">
        <f ca="1">IF(AND(Tabla7[[#This Row],[UltLec]]&lt;&gt;0,Tabla7[[#This Row],[PenLect]]&lt;&gt;0),(AM313-AL313)*Tabla7[[#This Row],[RT]],"N/A")</f>
        <v>N/A</v>
      </c>
      <c r="AO313" s="424" t="s">
        <v>1281</v>
      </c>
      <c r="AP313" s="433" t="s">
        <v>1190</v>
      </c>
      <c r="AQ313" s="433" t="s">
        <v>1189</v>
      </c>
      <c r="AR313" s="377">
        <f t="shared" si="90"/>
        <v>0</v>
      </c>
      <c r="AT313" s="2" t="e">
        <f t="shared" ca="1" si="91"/>
        <v>#VALUE!</v>
      </c>
      <c r="AV313">
        <f>IF(ISBLANK(Tabla7[[#This Row],[31/12/2017]]),0,Tabla7[[#This Row],[31/12/2017]])</f>
        <v>274162</v>
      </c>
      <c r="AW313">
        <f>IF(ISBLANK(Tabla7[[#This Row],[15/01/2018]]),0,Tabla7[[#This Row],[15/01/2018]])</f>
        <v>276831</v>
      </c>
      <c r="AX313">
        <f>IF(ISBLANK(Tabla7[[#This Row],[15/02/2018]]),0,Tabla7[[#This Row],[15/02/2018]])</f>
        <v>280625</v>
      </c>
      <c r="AY313">
        <f>IF(ISBLANK(Tabla7[[#This Row],[15/03/2018]]),0,Tabla7[[#This Row],[15/03/2018]])</f>
        <v>280625</v>
      </c>
      <c r="AZ313">
        <f>IF(ISBLANK(Tabla7[[#This Row],[15/04/2018]]),0,Tabla7[[#This Row],[15/04/2018]])</f>
        <v>286625</v>
      </c>
      <c r="BA313">
        <f>IF(ISBLANK(Tabla7[[#This Row],[15/05/2018]]),0,Tabla7[[#This Row],[15/05/2018]])</f>
        <v>0</v>
      </c>
      <c r="BB313">
        <f>IF(ISBLANK(Tabla7[[#This Row],[15/06/2018]]),0,Tabla7[[#This Row],[15/06/2018]])</f>
        <v>0</v>
      </c>
      <c r="BC313">
        <f>IF(ISBLANK(Tabla7[[#This Row],[15/07/2018]]),0,Tabla7[[#This Row],[15/07/2018]])</f>
        <v>0</v>
      </c>
      <c r="BD313">
        <f>IF(ISBLANK(Tabla7[[#This Row],[15/08/2018]]),0,Tabla7[[#This Row],[15/08/2018]])</f>
        <v>0</v>
      </c>
      <c r="BE313">
        <f>IF(ISBLANK(Tabla7[[#This Row],[15/09/2018]]),0,Tabla7[[#This Row],[15/09/2018]])</f>
        <v>0</v>
      </c>
      <c r="BF313">
        <f>IF(ISBLANK(Tabla7[[#This Row],[15/10/2018]]),0,Tabla7[[#This Row],[15/10/2018]])</f>
        <v>0</v>
      </c>
      <c r="BG313">
        <f>IF(ISBLANK(Tabla7[[#This Row],[15/11/2018]]),0,Tabla7[[#This Row],[15/11/2018]])</f>
        <v>0</v>
      </c>
      <c r="BH313">
        <f>IF(ISBLANK(Tabla7[[#This Row],[15/12/2018]]),0,Tabla7[[#This Row],[15/12/2018]])</f>
        <v>0</v>
      </c>
      <c r="BI313">
        <f>IF(ISBLANK(Tabla7[[#This Row],[28/12/2018]]),0,Tabla7[[#This Row],[28/12/2018]])</f>
        <v>0</v>
      </c>
      <c r="BN31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('LW00180940','VBAJA','VCT15','0','VALENCIA TERMINAL EUROPA, S.A.','EN CT.','TORRES 1501-02-03.','Desmontada la linea');</v>
      </c>
      <c r="BO313" t="s">
        <v>243</v>
      </c>
      <c r="BP313" s="632" t="str">
        <f>CONCATENATE("insert into lecturas values ","('",Tabla7[[#This Row],[CONTADOR]],"',STR_TO_DATE('",Tabla7[[#Headers],[31/12/2017]],"','%d/%m/%Y'),",AV313,"),","('",Tabla7[[#This Row],[CONTADOR]],"',STR_TO_DATE('",Tabla7[[#Headers],[15/01/2018]],"','%d/%m/%Y'),",AW313,"),","('",Tabla7[[#This Row],[CONTADOR]],"',STR_TO_DATE('",Tabla7[[#Headers],[15/02/2018]],"','%d/%m/%Y'),",AX313,"),","('",Tabla7[[#This Row],[CONTADOR]],"',STR_TO_DATE('",Tabla7[[#Headers],[15/03/2018]],"','%d/%m/%Y'),",AY313,"),","('",Tabla7[[#This Row],[CONTADOR]],"',STR_TO_DATE('",Tabla7[[#Headers],[15/04/2018]],"','%d/%m/%Y'),",AZ313,"),","('",Tabla7[[#This Row],[CONTADOR]],"',STR_TO_DATE('",Tabla7[[#Headers],[15/05/2018]],"','%d/%m/%Y'),",BA313,"),","('",Tabla7[[#This Row],[CONTADOR]],"',STR_TO_DATE('",Tabla7[[#Headers],[15/06/2018]],"','%d/%m/%Y'),",BB313,"),","('",Tabla7[[#This Row],[CONTADOR]],"',STR_TO_DATE('",Tabla7[[#Headers],[15/07/2018]],"','%d/%m/%Y'),",BC313,"),","('",Tabla7[[#This Row],[CONTADOR]],"',STR_TO_DATE('",Tabla7[[#Headers],[15/08/2018]],"','%d/%m/%Y'),",BD313,"),","('",Tabla7[[#This Row],[CONTADOR]],"',STR_TO_DATE('",Tabla7[[#Headers],[15/09/2018]],"','%d/%m/%Y'),",BE313,"),","('",Tabla7[[#This Row],[CONTADOR]],"',STR_TO_DATE('",Tabla7[[#Headers],[15/10/2018]],"','%d/%m/%Y'),",BF313,"),","('",Tabla7[[#This Row],[CONTADOR]],"',STR_TO_DATE('",Tabla7[[#Headers],[15/11/2018]],"','%d/%m/%Y'),",BG313,"),","('",Tabla7[[#This Row],[CONTADOR]],"',STR_TO_DATE('",Tabla7[[#Headers],[15/12/2018]],"','%d/%m/%Y'),",BH313,");")</f>
        <v>insert into lecturas values ('LW00180940',STR_TO_DATE('31/12/2017','%d/%m/%Y'),274162),('LW00180940',STR_TO_DATE('15/01/2018','%d/%m/%Y'),276831),('LW00180940',STR_TO_DATE('15/02/2018','%d/%m/%Y'),280625),('LW00180940',STR_TO_DATE('15/03/2018','%d/%m/%Y'),280625),('LW00180940',STR_TO_DATE('15/04/2018','%d/%m/%Y'),286625),('LW00180940',STR_TO_DATE('15/05/2018','%d/%m/%Y'),0),('LW00180940',STR_TO_DATE('15/06/2018','%d/%m/%Y'),0),('LW00180940',STR_TO_DATE('15/07/2018','%d/%m/%Y'),0),('LW00180940',STR_TO_DATE('15/08/2018','%d/%m/%Y'),0),('LW00180940',STR_TO_DATE('15/09/2018','%d/%m/%Y'),0),('LW00180940',STR_TO_DATE('15/10/2018','%d/%m/%Y'),0),('LW00180940',STR_TO_DATE('15/11/2018','%d/%m/%Y'),0),('LW00180940',STR_TO_DATE('15/12/2018','%d/%m/%Y'),0);</v>
      </c>
    </row>
    <row r="314" spans="1:68" ht="18" customHeight="1" x14ac:dyDescent="0.25">
      <c r="A314" s="241" t="s">
        <v>19</v>
      </c>
      <c r="B314" s="60"/>
      <c r="C314" s="342" t="s">
        <v>1253</v>
      </c>
      <c r="D314" s="60" t="s">
        <v>143</v>
      </c>
      <c r="E314" s="258">
        <v>141</v>
      </c>
      <c r="F314" s="274" t="s">
        <v>803</v>
      </c>
      <c r="G314" s="274" t="s">
        <v>804</v>
      </c>
      <c r="H314" s="274"/>
      <c r="I314" s="2"/>
      <c r="J314" s="311">
        <v>9974</v>
      </c>
      <c r="K314" s="311">
        <v>10015</v>
      </c>
      <c r="L314" s="354">
        <v>10056</v>
      </c>
      <c r="M314" s="311">
        <v>10091</v>
      </c>
      <c r="N314" s="311">
        <v>10119</v>
      </c>
      <c r="O314" s="311">
        <v>10150</v>
      </c>
      <c r="P314" s="311">
        <v>10180</v>
      </c>
      <c r="Q314" s="275">
        <v>10205</v>
      </c>
      <c r="R314" s="307">
        <v>10247</v>
      </c>
      <c r="S314" s="311">
        <v>10300</v>
      </c>
      <c r="T314" s="311">
        <v>10342</v>
      </c>
      <c r="U314" s="353">
        <v>10381</v>
      </c>
      <c r="V314" s="492">
        <v>10433</v>
      </c>
      <c r="W314" s="2"/>
      <c r="X314" s="2"/>
      <c r="Y314" s="2">
        <f t="shared" si="86"/>
        <v>41</v>
      </c>
      <c r="Z314" s="2">
        <f t="shared" si="84"/>
        <v>41</v>
      </c>
      <c r="AA314" s="2">
        <f>IF(OR(ISBLANK(M314),ISBLANK(L314)),"",IF(AND(M314&gt;=L314,M314-L314&lt;=M314),(M314-L314)*$AK314,"!!!!"))</f>
        <v>35</v>
      </c>
      <c r="AB314" s="2">
        <f>IF(OR(ISBLANK(N314),ISBLANK(M314)),"",IF(AND(N314&gt;=M314,N314-M314&lt;=N314),(N314-M314)*$AK314,"!!!!"))</f>
        <v>28</v>
      </c>
      <c r="AC314" s="2">
        <f t="shared" si="92"/>
        <v>31</v>
      </c>
      <c r="AD314" s="2">
        <f t="shared" si="93"/>
        <v>30</v>
      </c>
      <c r="AE314" s="2">
        <f t="shared" si="94"/>
        <v>25</v>
      </c>
      <c r="AF314" s="2">
        <f t="shared" si="95"/>
        <v>42</v>
      </c>
      <c r="AG314" s="2">
        <f t="shared" si="96"/>
        <v>53</v>
      </c>
      <c r="AH314" s="2">
        <f t="shared" si="99"/>
        <v>42</v>
      </c>
      <c r="AI314" s="2">
        <f t="shared" si="97"/>
        <v>39</v>
      </c>
      <c r="AJ314" s="2">
        <f t="shared" si="98"/>
        <v>52</v>
      </c>
      <c r="AK314" s="406">
        <v>1</v>
      </c>
      <c r="AL314" s="274">
        <f t="shared" ca="1" si="88"/>
        <v>10119</v>
      </c>
      <c r="AM314" s="311">
        <f t="shared" ca="1" si="89"/>
        <v>10150</v>
      </c>
      <c r="AN314" s="274">
        <f ca="1">IF(AND(Tabla7[[#This Row],[UltLec]]&lt;&gt;0,Tabla7[[#This Row],[PenLect]]&lt;&gt;0),(AM314-AL314)*Tabla7[[#This Row],[RT]],"N/A")</f>
        <v>31</v>
      </c>
      <c r="AO314" s="403" t="s">
        <v>862</v>
      </c>
      <c r="AP314" s="392" t="s">
        <v>1191</v>
      </c>
      <c r="AQ314" s="392" t="s">
        <v>818</v>
      </c>
      <c r="AR314" s="274">
        <f t="shared" si="90"/>
        <v>0</v>
      </c>
      <c r="AT314" s="2">
        <f t="shared" ca="1" si="91"/>
        <v>1.1071428571428572</v>
      </c>
      <c r="AV314">
        <f>IF(ISBLANK(Tabla7[[#This Row],[31/12/2017]]),0,Tabla7[[#This Row],[31/12/2017]])</f>
        <v>9974</v>
      </c>
      <c r="AW314">
        <f>IF(ISBLANK(Tabla7[[#This Row],[15/01/2018]]),0,Tabla7[[#This Row],[15/01/2018]])</f>
        <v>10015</v>
      </c>
      <c r="AX314">
        <f>IF(ISBLANK(Tabla7[[#This Row],[15/02/2018]]),0,Tabla7[[#This Row],[15/02/2018]])</f>
        <v>10056</v>
      </c>
      <c r="AY314">
        <f>IF(ISBLANK(Tabla7[[#This Row],[15/03/2018]]),0,Tabla7[[#This Row],[15/03/2018]])</f>
        <v>10091</v>
      </c>
      <c r="AZ314">
        <f>IF(ISBLANK(Tabla7[[#This Row],[15/04/2018]]),0,Tabla7[[#This Row],[15/04/2018]])</f>
        <v>10119</v>
      </c>
      <c r="BA314">
        <f>IF(ISBLANK(Tabla7[[#This Row],[15/05/2018]]),0,Tabla7[[#This Row],[15/05/2018]])</f>
        <v>10150</v>
      </c>
      <c r="BB314">
        <f>IF(ISBLANK(Tabla7[[#This Row],[15/06/2018]]),0,Tabla7[[#This Row],[15/06/2018]])</f>
        <v>10180</v>
      </c>
      <c r="BC314">
        <f>IF(ISBLANK(Tabla7[[#This Row],[15/07/2018]]),0,Tabla7[[#This Row],[15/07/2018]])</f>
        <v>10205</v>
      </c>
      <c r="BD314">
        <f>IF(ISBLANK(Tabla7[[#This Row],[15/08/2018]]),0,Tabla7[[#This Row],[15/08/2018]])</f>
        <v>10247</v>
      </c>
      <c r="BE314">
        <f>IF(ISBLANK(Tabla7[[#This Row],[15/09/2018]]),0,Tabla7[[#This Row],[15/09/2018]])</f>
        <v>10300</v>
      </c>
      <c r="BF314">
        <f>IF(ISBLANK(Tabla7[[#This Row],[15/10/2018]]),0,Tabla7[[#This Row],[15/10/2018]])</f>
        <v>10342</v>
      </c>
      <c r="BG314">
        <f>IF(ISBLANK(Tabla7[[#This Row],[15/11/2018]]),0,Tabla7[[#This Row],[15/11/2018]])</f>
        <v>10381</v>
      </c>
      <c r="BH314">
        <f>IF(ISBLANK(Tabla7[[#This Row],[15/12/2018]]),0,Tabla7[[#This Row],[15/12/2018]])</f>
        <v>10433</v>
      </c>
      <c r="BI314">
        <f>IF(ISBLANK(Tabla7[[#This Row],[28/12/2018]]),0,Tabla7[[#This Row],[28/12/2018]])</f>
        <v>0</v>
      </c>
      <c r="BN31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('PM47A092AA','V','VCT15','141','SALA DE BOMBAS XITA','SALA BOMBAS XITA','','');</v>
      </c>
      <c r="BO314" t="s">
        <v>243</v>
      </c>
      <c r="BP314" s="632" t="str">
        <f>CONCATENATE("insert into lecturas values ","('",Tabla7[[#This Row],[CONTADOR]],"',STR_TO_DATE('",Tabla7[[#Headers],[31/12/2017]],"','%d/%m/%Y'),",AV314,"),","('",Tabla7[[#This Row],[CONTADOR]],"',STR_TO_DATE('",Tabla7[[#Headers],[15/01/2018]],"','%d/%m/%Y'),",AW314,"),","('",Tabla7[[#This Row],[CONTADOR]],"',STR_TO_DATE('",Tabla7[[#Headers],[15/02/2018]],"','%d/%m/%Y'),",AX314,"),","('",Tabla7[[#This Row],[CONTADOR]],"',STR_TO_DATE('",Tabla7[[#Headers],[15/03/2018]],"','%d/%m/%Y'),",AY314,"),","('",Tabla7[[#This Row],[CONTADOR]],"',STR_TO_DATE('",Tabla7[[#Headers],[15/04/2018]],"','%d/%m/%Y'),",AZ314,"),","('",Tabla7[[#This Row],[CONTADOR]],"',STR_TO_DATE('",Tabla7[[#Headers],[15/05/2018]],"','%d/%m/%Y'),",BA314,"),","('",Tabla7[[#This Row],[CONTADOR]],"',STR_TO_DATE('",Tabla7[[#Headers],[15/06/2018]],"','%d/%m/%Y'),",BB314,"),","('",Tabla7[[#This Row],[CONTADOR]],"',STR_TO_DATE('",Tabla7[[#Headers],[15/07/2018]],"','%d/%m/%Y'),",BC314,"),","('",Tabla7[[#This Row],[CONTADOR]],"',STR_TO_DATE('",Tabla7[[#Headers],[15/08/2018]],"','%d/%m/%Y'),",BD314,"),","('",Tabla7[[#This Row],[CONTADOR]],"',STR_TO_DATE('",Tabla7[[#Headers],[15/09/2018]],"','%d/%m/%Y'),",BE314,"),","('",Tabla7[[#This Row],[CONTADOR]],"',STR_TO_DATE('",Tabla7[[#Headers],[15/10/2018]],"','%d/%m/%Y'),",BF314,"),","('",Tabla7[[#This Row],[CONTADOR]],"',STR_TO_DATE('",Tabla7[[#Headers],[15/11/2018]],"','%d/%m/%Y'),",BG314,"),","('",Tabla7[[#This Row],[CONTADOR]],"',STR_TO_DATE('",Tabla7[[#Headers],[15/12/2018]],"','%d/%m/%Y'),",BH314,");")</f>
        <v>insert into lecturas values ('PM47A092AA',STR_TO_DATE('31/12/2017','%d/%m/%Y'),9974),('PM47A092AA',STR_TO_DATE('15/01/2018','%d/%m/%Y'),10015),('PM47A092AA',STR_TO_DATE('15/02/2018','%d/%m/%Y'),10056),('PM47A092AA',STR_TO_DATE('15/03/2018','%d/%m/%Y'),10091),('PM47A092AA',STR_TO_DATE('15/04/2018','%d/%m/%Y'),10119),('PM47A092AA',STR_TO_DATE('15/05/2018','%d/%m/%Y'),10150),('PM47A092AA',STR_TO_DATE('15/06/2018','%d/%m/%Y'),10180),('PM47A092AA',STR_TO_DATE('15/07/2018','%d/%m/%Y'),10205),('PM47A092AA',STR_TO_DATE('15/08/2018','%d/%m/%Y'),10247),('PM47A092AA',STR_TO_DATE('15/09/2018','%d/%m/%Y'),10300),('PM47A092AA',STR_TO_DATE('15/10/2018','%d/%m/%Y'),10342),('PM47A092AA',STR_TO_DATE('15/11/2018','%d/%m/%Y'),10381),('PM47A092AA',STR_TO_DATE('15/12/2018','%d/%m/%Y'),10433);</v>
      </c>
    </row>
    <row r="315" spans="1:68" ht="18" customHeight="1" x14ac:dyDescent="0.25">
      <c r="A315" s="241" t="s">
        <v>19</v>
      </c>
      <c r="B315" s="60"/>
      <c r="C315" s="342" t="s">
        <v>1343</v>
      </c>
      <c r="D315" s="60" t="s">
        <v>148</v>
      </c>
      <c r="E315" s="258">
        <v>132</v>
      </c>
      <c r="F315" s="2" t="s">
        <v>1463</v>
      </c>
      <c r="G315" s="2" t="s">
        <v>1376</v>
      </c>
      <c r="H315" s="274"/>
      <c r="I315" s="2"/>
      <c r="J315" s="311"/>
      <c r="K315" s="311"/>
      <c r="L315" s="354"/>
      <c r="M315" s="311"/>
      <c r="N315" s="311"/>
      <c r="O315" s="311">
        <v>23</v>
      </c>
      <c r="P315" s="463">
        <v>50</v>
      </c>
      <c r="Q315" s="275">
        <v>68</v>
      </c>
      <c r="R315" s="307">
        <v>4150</v>
      </c>
      <c r="S315" s="311">
        <v>5971</v>
      </c>
      <c r="T315" s="311">
        <v>7786</v>
      </c>
      <c r="U315" s="353">
        <v>10582</v>
      </c>
      <c r="V315" s="492">
        <v>13338</v>
      </c>
      <c r="W315" s="2"/>
      <c r="X315" s="2"/>
      <c r="Y315" s="2" t="str">
        <f t="shared" si="86"/>
        <v/>
      </c>
      <c r="Z315" s="2" t="str">
        <f t="shared" si="84"/>
        <v/>
      </c>
      <c r="AA315" s="2" t="str">
        <f>IF(OR(ISBLANK(#REF!),ISBLANK(L315)),"",IF(AND(#REF!&gt;=L315,#REF!-L315&lt;=#REF!),(#REF!-L315)*$AK315,"!!!!"))</f>
        <v/>
      </c>
      <c r="AB315" s="2" t="str">
        <f>IF(OR(ISBLANK(N315),ISBLANK(#REF!)),"",IF(AND(N315&gt;=#REF!,N315-#REF!&lt;=N315),(N315-#REF!)*$AK315,"!!!!"))</f>
        <v/>
      </c>
      <c r="AC315" s="2" t="str">
        <f t="shared" si="92"/>
        <v/>
      </c>
      <c r="AD315" s="2">
        <f t="shared" si="93"/>
        <v>27</v>
      </c>
      <c r="AE315" s="2">
        <f t="shared" si="94"/>
        <v>18</v>
      </c>
      <c r="AF315" s="2">
        <f t="shared" si="95"/>
        <v>4082</v>
      </c>
      <c r="AG315" s="2">
        <f t="shared" si="96"/>
        <v>1821</v>
      </c>
      <c r="AH315" s="271">
        <f t="shared" si="99"/>
        <v>1815</v>
      </c>
      <c r="AI315" s="2">
        <f t="shared" si="97"/>
        <v>2796</v>
      </c>
      <c r="AJ315" s="2">
        <f t="shared" si="98"/>
        <v>2756</v>
      </c>
      <c r="AK315" s="406">
        <v>1</v>
      </c>
      <c r="AL315" s="412">
        <f t="shared" ca="1" si="88"/>
        <v>0</v>
      </c>
      <c r="AM315" s="311">
        <f t="shared" ca="1" si="89"/>
        <v>23</v>
      </c>
      <c r="AN315" s="412" t="str">
        <f ca="1">IF(AND(Tabla7[[#This Row],[UltLec]]&lt;&gt;0,Tabla7[[#This Row],[PenLect]]&lt;&gt;0),(AM315-AL315)*Tabla7[[#This Row],[RT]],"N/A")</f>
        <v>N/A</v>
      </c>
      <c r="AO315" s="403" t="s">
        <v>862</v>
      </c>
      <c r="AP315" s="392" t="s">
        <v>1191</v>
      </c>
      <c r="AQ315" s="392" t="s">
        <v>1189</v>
      </c>
      <c r="AR315" s="274">
        <f t="shared" si="90"/>
        <v>0</v>
      </c>
      <c r="AT315" s="2" t="e">
        <f t="shared" ca="1" si="91"/>
        <v>#VALUE!</v>
      </c>
      <c r="AV315">
        <f>IF(ISBLANK(Tabla7[[#This Row],[31/12/2017]]),0,Tabla7[[#This Row],[31/12/2017]])</f>
        <v>0</v>
      </c>
      <c r="AW315">
        <f>IF(ISBLANK(Tabla7[[#This Row],[15/01/2018]]),0,Tabla7[[#This Row],[15/01/2018]])</f>
        <v>0</v>
      </c>
      <c r="AX315">
        <f>IF(ISBLANK(Tabla7[[#This Row],[15/02/2018]]),0,Tabla7[[#This Row],[15/02/2018]])</f>
        <v>0</v>
      </c>
      <c r="AY315">
        <f>IF(ISBLANK(Tabla7[[#This Row],[15/03/2018]]),0,Tabla7[[#This Row],[15/03/2018]])</f>
        <v>0</v>
      </c>
      <c r="AZ315">
        <f>IF(ISBLANK(Tabla7[[#This Row],[15/04/2018]]),0,Tabla7[[#This Row],[15/04/2018]])</f>
        <v>0</v>
      </c>
      <c r="BA315">
        <f>IF(ISBLANK(Tabla7[[#This Row],[15/05/2018]]),0,Tabla7[[#This Row],[15/05/2018]])</f>
        <v>23</v>
      </c>
      <c r="BB315">
        <f>IF(ISBLANK(Tabla7[[#This Row],[15/06/2018]]),0,Tabla7[[#This Row],[15/06/2018]])</f>
        <v>50</v>
      </c>
      <c r="BC315">
        <f>IF(ISBLANK(Tabla7[[#This Row],[15/07/2018]]),0,Tabla7[[#This Row],[15/07/2018]])</f>
        <v>68</v>
      </c>
      <c r="BD315">
        <f>IF(ISBLANK(Tabla7[[#This Row],[15/08/2018]]),0,Tabla7[[#This Row],[15/08/2018]])</f>
        <v>4150</v>
      </c>
      <c r="BE315">
        <f>IF(ISBLANK(Tabla7[[#This Row],[15/09/2018]]),0,Tabla7[[#This Row],[15/09/2018]])</f>
        <v>5971</v>
      </c>
      <c r="BF315">
        <f>IF(ISBLANK(Tabla7[[#This Row],[15/10/2018]]),0,Tabla7[[#This Row],[15/10/2018]])</f>
        <v>7786</v>
      </c>
      <c r="BG315">
        <f>IF(ISBLANK(Tabla7[[#This Row],[15/11/2018]]),0,Tabla7[[#This Row],[15/11/2018]])</f>
        <v>10582</v>
      </c>
      <c r="BH315">
        <f>IF(ISBLANK(Tabla7[[#This Row],[15/12/2018]]),0,Tabla7[[#This Row],[15/12/2018]])</f>
        <v>13338</v>
      </c>
      <c r="BI315">
        <f>IF(ISBLANK(Tabla7[[#This Row],[28/12/2018]]),0,Tabla7[[#This Row],[28/12/2018]])</f>
        <v>0</v>
      </c>
      <c r="BN31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('CXRUGBI17038452908','V','VCT16','132','TORRES APV','NUEVA CENTRALIZACION','','');</v>
      </c>
      <c r="BO315" t="s">
        <v>243</v>
      </c>
      <c r="BP315" s="632" t="str">
        <f>CONCATENATE("insert into lecturas values ","('",Tabla7[[#This Row],[CONTADOR]],"',STR_TO_DATE('",Tabla7[[#Headers],[31/12/2017]],"','%d/%m/%Y'),",AV315,"),","('",Tabla7[[#This Row],[CONTADOR]],"',STR_TO_DATE('",Tabla7[[#Headers],[15/01/2018]],"','%d/%m/%Y'),",AW315,"),","('",Tabla7[[#This Row],[CONTADOR]],"',STR_TO_DATE('",Tabla7[[#Headers],[15/02/2018]],"','%d/%m/%Y'),",AX315,"),","('",Tabla7[[#This Row],[CONTADOR]],"',STR_TO_DATE('",Tabla7[[#Headers],[15/03/2018]],"','%d/%m/%Y'),",AY315,"),","('",Tabla7[[#This Row],[CONTADOR]],"',STR_TO_DATE('",Tabla7[[#Headers],[15/04/2018]],"','%d/%m/%Y'),",AZ315,"),","('",Tabla7[[#This Row],[CONTADOR]],"',STR_TO_DATE('",Tabla7[[#Headers],[15/05/2018]],"','%d/%m/%Y'),",BA315,"),","('",Tabla7[[#This Row],[CONTADOR]],"',STR_TO_DATE('",Tabla7[[#Headers],[15/06/2018]],"','%d/%m/%Y'),",BB315,"),","('",Tabla7[[#This Row],[CONTADOR]],"',STR_TO_DATE('",Tabla7[[#Headers],[15/07/2018]],"','%d/%m/%Y'),",BC315,"),","('",Tabla7[[#This Row],[CONTADOR]],"',STR_TO_DATE('",Tabla7[[#Headers],[15/08/2018]],"','%d/%m/%Y'),",BD315,"),","('",Tabla7[[#This Row],[CONTADOR]],"',STR_TO_DATE('",Tabla7[[#Headers],[15/09/2018]],"','%d/%m/%Y'),",BE315,"),","('",Tabla7[[#This Row],[CONTADOR]],"',STR_TO_DATE('",Tabla7[[#Headers],[15/10/2018]],"','%d/%m/%Y'),",BF315,"),","('",Tabla7[[#This Row],[CONTADOR]],"',STR_TO_DATE('",Tabla7[[#Headers],[15/11/2018]],"','%d/%m/%Y'),",BG315,"),","('",Tabla7[[#This Row],[CONTADOR]],"',STR_TO_DATE('",Tabla7[[#Headers],[15/12/2018]],"','%d/%m/%Y'),",BH315,");")</f>
        <v>insert into lecturas values ('CXRUGBI17038452908',STR_TO_DATE('31/12/2017','%d/%m/%Y'),0),('CXRUGBI17038452908',STR_TO_DATE('15/01/2018','%d/%m/%Y'),0),('CXRUGBI17038452908',STR_TO_DATE('15/02/2018','%d/%m/%Y'),0),('CXRUGBI17038452908',STR_TO_DATE('15/03/2018','%d/%m/%Y'),0),('CXRUGBI17038452908',STR_TO_DATE('15/04/2018','%d/%m/%Y'),0),('CXRUGBI17038452908',STR_TO_DATE('15/05/2018','%d/%m/%Y'),23),('CXRUGBI17038452908',STR_TO_DATE('15/06/2018','%d/%m/%Y'),50),('CXRUGBI17038452908',STR_TO_DATE('15/07/2018','%d/%m/%Y'),68),('CXRUGBI17038452908',STR_TO_DATE('15/08/2018','%d/%m/%Y'),4150),('CXRUGBI17038452908',STR_TO_DATE('15/09/2018','%d/%m/%Y'),5971),('CXRUGBI17038452908',STR_TO_DATE('15/10/2018','%d/%m/%Y'),7786),('CXRUGBI17038452908',STR_TO_DATE('15/11/2018','%d/%m/%Y'),10582),('CXRUGBI17038452908',STR_TO_DATE('15/12/2018','%d/%m/%Y'),13338);</v>
      </c>
    </row>
    <row r="316" spans="1:68" ht="18" customHeight="1" x14ac:dyDescent="0.25">
      <c r="A316" s="241" t="s">
        <v>19</v>
      </c>
      <c r="B316" s="60"/>
      <c r="C316" s="342" t="s">
        <v>1340</v>
      </c>
      <c r="D316" s="60" t="s">
        <v>148</v>
      </c>
      <c r="E316" s="258">
        <v>39666</v>
      </c>
      <c r="F316" s="2" t="s">
        <v>1351</v>
      </c>
      <c r="G316" s="2" t="s">
        <v>1376</v>
      </c>
      <c r="H316" s="2" t="s">
        <v>1341</v>
      </c>
      <c r="I316" s="2"/>
      <c r="J316" s="311"/>
      <c r="K316" s="311"/>
      <c r="L316" s="354"/>
      <c r="M316" s="311"/>
      <c r="N316" s="311"/>
      <c r="O316" s="311">
        <v>23</v>
      </c>
      <c r="P316" s="463">
        <v>9549</v>
      </c>
      <c r="Q316" s="275">
        <v>17727</v>
      </c>
      <c r="R316" s="307">
        <v>30914</v>
      </c>
      <c r="S316" s="311">
        <v>44080</v>
      </c>
      <c r="T316" s="311">
        <v>56527</v>
      </c>
      <c r="U316" s="353">
        <v>74036</v>
      </c>
      <c r="V316" s="492">
        <v>93181</v>
      </c>
      <c r="W316" s="2"/>
      <c r="X316" s="2"/>
      <c r="Y316" s="2" t="str">
        <f t="shared" si="86"/>
        <v/>
      </c>
      <c r="Z316" s="2" t="str">
        <f t="shared" si="84"/>
        <v/>
      </c>
      <c r="AA316" s="2" t="str">
        <f>IF(OR(ISBLANK(#REF!),ISBLANK(L316)),"",IF(AND(#REF!&gt;=L316,#REF!-L316&lt;=#REF!),(#REF!-L316)*$AK316,"!!!!"))</f>
        <v/>
      </c>
      <c r="AB316" s="2" t="str">
        <f>IF(OR(ISBLANK(N316),ISBLANK(#REF!)),"",IF(AND(N316&gt;=#REF!,N316-#REF!&lt;=N316),(N316-#REF!)*$AK316,"!!!!"))</f>
        <v/>
      </c>
      <c r="AC316" s="2" t="str">
        <f t="shared" si="92"/>
        <v/>
      </c>
      <c r="AD316" s="2">
        <f t="shared" si="93"/>
        <v>9526</v>
      </c>
      <c r="AE316" s="2">
        <f t="shared" si="94"/>
        <v>8178</v>
      </c>
      <c r="AF316" s="2">
        <f t="shared" si="95"/>
        <v>13187</v>
      </c>
      <c r="AG316" s="2">
        <f t="shared" si="96"/>
        <v>13166</v>
      </c>
      <c r="AH316" s="271">
        <f t="shared" si="99"/>
        <v>12447</v>
      </c>
      <c r="AI316" s="2">
        <f t="shared" si="97"/>
        <v>17509</v>
      </c>
      <c r="AJ316" s="2">
        <f t="shared" si="98"/>
        <v>19145</v>
      </c>
      <c r="AK316" s="406">
        <v>1</v>
      </c>
      <c r="AL316" s="412">
        <f t="shared" ca="1" si="88"/>
        <v>0</v>
      </c>
      <c r="AM316" s="311">
        <f t="shared" ca="1" si="89"/>
        <v>23</v>
      </c>
      <c r="AN316" s="412" t="str">
        <f ca="1">IF(AND(Tabla7[[#This Row],[UltLec]]&lt;&gt;0,Tabla7[[#This Row],[PenLect]]&lt;&gt;0),(AM316-AL316)*Tabla7[[#This Row],[RT]],"N/A")</f>
        <v>N/A</v>
      </c>
      <c r="AO316" s="273" t="s">
        <v>862</v>
      </c>
      <c r="AP316" s="392" t="s">
        <v>1191</v>
      </c>
      <c r="AQ316" s="392" t="s">
        <v>1189</v>
      </c>
      <c r="AR316" s="407">
        <f t="shared" si="90"/>
        <v>0</v>
      </c>
      <c r="AT316" s="2" t="e">
        <f t="shared" ca="1" si="91"/>
        <v>#VALUE!</v>
      </c>
      <c r="AV316">
        <f>IF(ISBLANK(Tabla7[[#This Row],[31/12/2017]]),0,Tabla7[[#This Row],[31/12/2017]])</f>
        <v>0</v>
      </c>
      <c r="AW316">
        <f>IF(ISBLANK(Tabla7[[#This Row],[15/01/2018]]),0,Tabla7[[#This Row],[15/01/2018]])</f>
        <v>0</v>
      </c>
      <c r="AX316">
        <f>IF(ISBLANK(Tabla7[[#This Row],[15/02/2018]]),0,Tabla7[[#This Row],[15/02/2018]])</f>
        <v>0</v>
      </c>
      <c r="AY316">
        <f>IF(ISBLANK(Tabla7[[#This Row],[15/03/2018]]),0,Tabla7[[#This Row],[15/03/2018]])</f>
        <v>0</v>
      </c>
      <c r="AZ316">
        <f>IF(ISBLANK(Tabla7[[#This Row],[15/04/2018]]),0,Tabla7[[#This Row],[15/04/2018]])</f>
        <v>0</v>
      </c>
      <c r="BA316">
        <f>IF(ISBLANK(Tabla7[[#This Row],[15/05/2018]]),0,Tabla7[[#This Row],[15/05/2018]])</f>
        <v>23</v>
      </c>
      <c r="BB316">
        <f>IF(ISBLANK(Tabla7[[#This Row],[15/06/2018]]),0,Tabla7[[#This Row],[15/06/2018]])</f>
        <v>9549</v>
      </c>
      <c r="BC316">
        <f>IF(ISBLANK(Tabla7[[#This Row],[15/07/2018]]),0,Tabla7[[#This Row],[15/07/2018]])</f>
        <v>17727</v>
      </c>
      <c r="BD316">
        <f>IF(ISBLANK(Tabla7[[#This Row],[15/08/2018]]),0,Tabla7[[#This Row],[15/08/2018]])</f>
        <v>30914</v>
      </c>
      <c r="BE316">
        <f>IF(ISBLANK(Tabla7[[#This Row],[15/09/2018]]),0,Tabla7[[#This Row],[15/09/2018]])</f>
        <v>44080</v>
      </c>
      <c r="BF316">
        <f>IF(ISBLANK(Tabla7[[#This Row],[15/10/2018]]),0,Tabla7[[#This Row],[15/10/2018]])</f>
        <v>56527</v>
      </c>
      <c r="BG316">
        <f>IF(ISBLANK(Tabla7[[#This Row],[15/11/2018]]),0,Tabla7[[#This Row],[15/11/2018]])</f>
        <v>74036</v>
      </c>
      <c r="BH316">
        <f>IF(ISBLANK(Tabla7[[#This Row],[15/12/2018]]),0,Tabla7[[#This Row],[15/12/2018]])</f>
        <v>93181</v>
      </c>
      <c r="BI316">
        <f>IF(ISBLANK(Tabla7[[#This Row],[28/12/2018]]),0,Tabla7[[#This Row],[28/12/2018]])</f>
        <v>0</v>
      </c>
      <c r="BN31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('CXUVFER 18040534444 ','V','VCT16','39666','FORD ESPAÑA S.L','NUEVA CENTRALIZACION','Lectura indirecta 100/5','');</v>
      </c>
      <c r="BO316" t="s">
        <v>243</v>
      </c>
      <c r="BP316" s="632" t="str">
        <f>CONCATENATE("insert into lecturas values ","('",Tabla7[[#This Row],[CONTADOR]],"',STR_TO_DATE('",Tabla7[[#Headers],[31/12/2017]],"','%d/%m/%Y'),",AV316,"),","('",Tabla7[[#This Row],[CONTADOR]],"',STR_TO_DATE('",Tabla7[[#Headers],[15/01/2018]],"','%d/%m/%Y'),",AW316,"),","('",Tabla7[[#This Row],[CONTADOR]],"',STR_TO_DATE('",Tabla7[[#Headers],[15/02/2018]],"','%d/%m/%Y'),",AX316,"),","('",Tabla7[[#This Row],[CONTADOR]],"',STR_TO_DATE('",Tabla7[[#Headers],[15/03/2018]],"','%d/%m/%Y'),",AY316,"),","('",Tabla7[[#This Row],[CONTADOR]],"',STR_TO_DATE('",Tabla7[[#Headers],[15/04/2018]],"','%d/%m/%Y'),",AZ316,"),","('",Tabla7[[#This Row],[CONTADOR]],"',STR_TO_DATE('",Tabla7[[#Headers],[15/05/2018]],"','%d/%m/%Y'),",BA316,"),","('",Tabla7[[#This Row],[CONTADOR]],"',STR_TO_DATE('",Tabla7[[#Headers],[15/06/2018]],"','%d/%m/%Y'),",BB316,"),","('",Tabla7[[#This Row],[CONTADOR]],"',STR_TO_DATE('",Tabla7[[#Headers],[15/07/2018]],"','%d/%m/%Y'),",BC316,"),","('",Tabla7[[#This Row],[CONTADOR]],"',STR_TO_DATE('",Tabla7[[#Headers],[15/08/2018]],"','%d/%m/%Y'),",BD316,"),","('",Tabla7[[#This Row],[CONTADOR]],"',STR_TO_DATE('",Tabla7[[#Headers],[15/09/2018]],"','%d/%m/%Y'),",BE316,"),","('",Tabla7[[#This Row],[CONTADOR]],"',STR_TO_DATE('",Tabla7[[#Headers],[15/10/2018]],"','%d/%m/%Y'),",BF316,"),","('",Tabla7[[#This Row],[CONTADOR]],"',STR_TO_DATE('",Tabla7[[#Headers],[15/11/2018]],"','%d/%m/%Y'),",BG316,"),","('",Tabla7[[#This Row],[CONTADOR]],"',STR_TO_DATE('",Tabla7[[#Headers],[15/12/2018]],"','%d/%m/%Y'),",BH316,");")</f>
        <v>insert into lecturas values ('CXUVFER 18040534444 ',STR_TO_DATE('31/12/2017','%d/%m/%Y'),0),('CXUVFER 18040534444 ',STR_TO_DATE('15/01/2018','%d/%m/%Y'),0),('CXUVFER 18040534444 ',STR_TO_DATE('15/02/2018','%d/%m/%Y'),0),('CXUVFER 18040534444 ',STR_TO_DATE('15/03/2018','%d/%m/%Y'),0),('CXUVFER 18040534444 ',STR_TO_DATE('15/04/2018','%d/%m/%Y'),0),('CXUVFER 18040534444 ',STR_TO_DATE('15/05/2018','%d/%m/%Y'),23),('CXUVFER 18040534444 ',STR_TO_DATE('15/06/2018','%d/%m/%Y'),9549),('CXUVFER 18040534444 ',STR_TO_DATE('15/07/2018','%d/%m/%Y'),17727),('CXUVFER 18040534444 ',STR_TO_DATE('15/08/2018','%d/%m/%Y'),30914),('CXUVFER 18040534444 ',STR_TO_DATE('15/09/2018','%d/%m/%Y'),44080),('CXUVFER 18040534444 ',STR_TO_DATE('15/10/2018','%d/%m/%Y'),56527),('CXUVFER 18040534444 ',STR_TO_DATE('15/11/2018','%d/%m/%Y'),74036),('CXUVFER 18040534444 ',STR_TO_DATE('15/12/2018','%d/%m/%Y'),93181);</v>
      </c>
    </row>
    <row r="317" spans="1:68" ht="18" customHeight="1" x14ac:dyDescent="0.25">
      <c r="A317" s="241" t="s">
        <v>19</v>
      </c>
      <c r="B317" s="60">
        <v>1703</v>
      </c>
      <c r="C317" s="342" t="s">
        <v>1433</v>
      </c>
      <c r="D317" s="60" t="s">
        <v>148</v>
      </c>
      <c r="E317" s="258">
        <v>39664</v>
      </c>
      <c r="F317" s="2" t="s">
        <v>146</v>
      </c>
      <c r="G317" s="2" t="s">
        <v>1438</v>
      </c>
      <c r="H317" s="2" t="s">
        <v>1437</v>
      </c>
      <c r="I317" s="2" t="s">
        <v>1435</v>
      </c>
      <c r="J317" s="311"/>
      <c r="K317" s="311"/>
      <c r="L317" s="311"/>
      <c r="M317" s="311"/>
      <c r="N317" s="311"/>
      <c r="O317" s="311"/>
      <c r="P317" s="311"/>
      <c r="Q317" s="275"/>
      <c r="R317" s="275"/>
      <c r="S317" s="311">
        <v>0</v>
      </c>
      <c r="T317" s="311">
        <v>1208</v>
      </c>
      <c r="U317" s="531">
        <v>4064</v>
      </c>
      <c r="V317" s="492">
        <v>7486</v>
      </c>
      <c r="W317" s="274"/>
      <c r="X317" s="2"/>
      <c r="Y317" s="2"/>
      <c r="Z317" s="2"/>
      <c r="AA317" s="2"/>
      <c r="AB317" s="2"/>
      <c r="AC317" s="2"/>
      <c r="AD317" s="2"/>
      <c r="AE317" s="2"/>
      <c r="AF317" s="2"/>
      <c r="AG317" s="2">
        <v>0</v>
      </c>
      <c r="AH317" s="2"/>
      <c r="AI317" s="2"/>
      <c r="AJ317" s="2"/>
      <c r="AK317" s="420">
        <f>200/5</f>
        <v>40</v>
      </c>
      <c r="AL317" s="274">
        <f t="shared" ca="1" si="88"/>
        <v>0</v>
      </c>
      <c r="AM317" s="311">
        <f t="shared" ca="1" si="89"/>
        <v>0</v>
      </c>
      <c r="AN317" s="274" t="str">
        <f ca="1">IF(AND(Tabla7[[#This Row],[UltLec]]&lt;&gt;0,Tabla7[[#This Row],[PenLect]]&lt;&gt;0),(AM317-AL317)*Tabla7[[#This Row],[RT]],"N/A")</f>
        <v>N/A</v>
      </c>
      <c r="AO317" s="273" t="s">
        <v>862</v>
      </c>
      <c r="AP317" s="392" t="s">
        <v>1190</v>
      </c>
      <c r="AQ317" s="392" t="s">
        <v>1189</v>
      </c>
      <c r="AR317" s="407">
        <f t="shared" si="90"/>
        <v>0</v>
      </c>
      <c r="AT317" s="2" t="str">
        <f t="shared" ca="1" si="91"/>
        <v>0</v>
      </c>
      <c r="AV317">
        <f>IF(ISBLANK(Tabla7[[#This Row],[31/12/2017]]),0,Tabla7[[#This Row],[31/12/2017]])</f>
        <v>0</v>
      </c>
      <c r="AW317">
        <f>IF(ISBLANK(Tabla7[[#This Row],[15/01/2018]]),0,Tabla7[[#This Row],[15/01/2018]])</f>
        <v>0</v>
      </c>
      <c r="AX317">
        <f>IF(ISBLANK(Tabla7[[#This Row],[15/02/2018]]),0,Tabla7[[#This Row],[15/02/2018]])</f>
        <v>0</v>
      </c>
      <c r="AY317">
        <f>IF(ISBLANK(Tabla7[[#This Row],[15/03/2018]]),0,Tabla7[[#This Row],[15/03/2018]])</f>
        <v>0</v>
      </c>
      <c r="AZ317">
        <f>IF(ISBLANK(Tabla7[[#This Row],[15/04/2018]]),0,Tabla7[[#This Row],[15/04/2018]])</f>
        <v>0</v>
      </c>
      <c r="BA317">
        <f>IF(ISBLANK(Tabla7[[#This Row],[15/05/2018]]),0,Tabla7[[#This Row],[15/05/2018]])</f>
        <v>0</v>
      </c>
      <c r="BB317">
        <f>IF(ISBLANK(Tabla7[[#This Row],[15/06/2018]]),0,Tabla7[[#This Row],[15/06/2018]])</f>
        <v>0</v>
      </c>
      <c r="BC317">
        <f>IF(ISBLANK(Tabla7[[#This Row],[15/07/2018]]),0,Tabla7[[#This Row],[15/07/2018]])</f>
        <v>0</v>
      </c>
      <c r="BD317">
        <f>IF(ISBLANK(Tabla7[[#This Row],[15/08/2018]]),0,Tabla7[[#This Row],[15/08/2018]])</f>
        <v>0</v>
      </c>
      <c r="BE317">
        <f>IF(ISBLANK(Tabla7[[#This Row],[15/09/2018]]),0,Tabla7[[#This Row],[15/09/2018]])</f>
        <v>0</v>
      </c>
      <c r="BF317">
        <f>IF(ISBLANK(Tabla7[[#This Row],[15/10/2018]]),0,Tabla7[[#This Row],[15/10/2018]])</f>
        <v>1208</v>
      </c>
      <c r="BG317">
        <f>IF(ISBLANK(Tabla7[[#This Row],[15/11/2018]]),0,Tabla7[[#This Row],[15/11/2018]])</f>
        <v>4064</v>
      </c>
      <c r="BH317">
        <f>IF(ISBLANK(Tabla7[[#This Row],[15/12/2018]]),0,Tabla7[[#This Row],[15/12/2018]])</f>
        <v>7486</v>
      </c>
      <c r="BI317">
        <f>IF(ISBLANK(Tabla7[[#This Row],[28/12/2018]]),0,Tabla7[[#This Row],[28/12/2018]])</f>
        <v>0</v>
      </c>
      <c r="BN31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('CXUVFER18042669941','V','VCT16','39664','VALENCIA TERMINAL EUROPA, S.A.','EN CENTRALIZACION ','MUELLE NORTE (XITÀ)(Terminal Ford, oficinas, control de accesos)','Alta 27/09/2018');</v>
      </c>
      <c r="BO317" t="s">
        <v>243</v>
      </c>
      <c r="BP317" s="632" t="str">
        <f>CONCATENATE("insert into lecturas values ","('",Tabla7[[#This Row],[CONTADOR]],"',STR_TO_DATE('",Tabla7[[#Headers],[31/12/2017]],"','%d/%m/%Y'),",AV317,"),","('",Tabla7[[#This Row],[CONTADOR]],"',STR_TO_DATE('",Tabla7[[#Headers],[15/01/2018]],"','%d/%m/%Y'),",AW317,"),","('",Tabla7[[#This Row],[CONTADOR]],"',STR_TO_DATE('",Tabla7[[#Headers],[15/02/2018]],"','%d/%m/%Y'),",AX317,"),","('",Tabla7[[#This Row],[CONTADOR]],"',STR_TO_DATE('",Tabla7[[#Headers],[15/03/2018]],"','%d/%m/%Y'),",AY317,"),","('",Tabla7[[#This Row],[CONTADOR]],"',STR_TO_DATE('",Tabla7[[#Headers],[15/04/2018]],"','%d/%m/%Y'),",AZ317,"),","('",Tabla7[[#This Row],[CONTADOR]],"',STR_TO_DATE('",Tabla7[[#Headers],[15/05/2018]],"','%d/%m/%Y'),",BA317,"),","('",Tabla7[[#This Row],[CONTADOR]],"',STR_TO_DATE('",Tabla7[[#Headers],[15/06/2018]],"','%d/%m/%Y'),",BB317,"),","('",Tabla7[[#This Row],[CONTADOR]],"',STR_TO_DATE('",Tabla7[[#Headers],[15/07/2018]],"','%d/%m/%Y'),",BC317,"),","('",Tabla7[[#This Row],[CONTADOR]],"',STR_TO_DATE('",Tabla7[[#Headers],[15/08/2018]],"','%d/%m/%Y'),",BD317,"),","('",Tabla7[[#This Row],[CONTADOR]],"',STR_TO_DATE('",Tabla7[[#Headers],[15/09/2018]],"','%d/%m/%Y'),",BE317,"),","('",Tabla7[[#This Row],[CONTADOR]],"',STR_TO_DATE('",Tabla7[[#Headers],[15/10/2018]],"','%d/%m/%Y'),",BF317,"),","('",Tabla7[[#This Row],[CONTADOR]],"',STR_TO_DATE('",Tabla7[[#Headers],[15/11/2018]],"','%d/%m/%Y'),",BG317,"),","('",Tabla7[[#This Row],[CONTADOR]],"',STR_TO_DATE('",Tabla7[[#Headers],[15/12/2018]],"','%d/%m/%Y'),",BH317,");")</f>
        <v>insert into lecturas values ('CXUVFER18042669941',STR_TO_DATE('31/12/2017','%d/%m/%Y'),0),('CXUVFER18042669941',STR_TO_DATE('15/01/2018','%d/%m/%Y'),0),('CXUVFER18042669941',STR_TO_DATE('15/02/2018','%d/%m/%Y'),0),('CXUVFER18042669941',STR_TO_DATE('15/03/2018','%d/%m/%Y'),0),('CXUVFER18042669941',STR_TO_DATE('15/04/2018','%d/%m/%Y'),0),('CXUVFER18042669941',STR_TO_DATE('15/05/2018','%d/%m/%Y'),0),('CXUVFER18042669941',STR_TO_DATE('15/06/2018','%d/%m/%Y'),0),('CXUVFER18042669941',STR_TO_DATE('15/07/2018','%d/%m/%Y'),0),('CXUVFER18042669941',STR_TO_DATE('15/08/2018','%d/%m/%Y'),0),('CXUVFER18042669941',STR_TO_DATE('15/09/2018','%d/%m/%Y'),0),('CXUVFER18042669941',STR_TO_DATE('15/10/2018','%d/%m/%Y'),1208),('CXUVFER18042669941',STR_TO_DATE('15/11/2018','%d/%m/%Y'),4064),('CXUVFER18042669941',STR_TO_DATE('15/12/2018','%d/%m/%Y'),7486);</v>
      </c>
    </row>
    <row r="318" spans="1:68" ht="18" customHeight="1" x14ac:dyDescent="0.25">
      <c r="A318" s="372" t="s">
        <v>1196</v>
      </c>
      <c r="B318" s="374" t="s">
        <v>149</v>
      </c>
      <c r="C318" s="373" t="s">
        <v>150</v>
      </c>
      <c r="D318" s="374" t="s">
        <v>148</v>
      </c>
      <c r="E318" s="375">
        <v>39041</v>
      </c>
      <c r="F318" s="376" t="s">
        <v>146</v>
      </c>
      <c r="G318" s="376" t="s">
        <v>38</v>
      </c>
      <c r="H318" s="376" t="s">
        <v>151</v>
      </c>
      <c r="I318" s="376" t="s">
        <v>1355</v>
      </c>
      <c r="J318" s="383">
        <v>144964</v>
      </c>
      <c r="K318" s="383">
        <v>144970</v>
      </c>
      <c r="L318" s="383">
        <v>145003</v>
      </c>
      <c r="M318" s="383">
        <v>145014</v>
      </c>
      <c r="N318" s="383">
        <v>145020</v>
      </c>
      <c r="O318" s="383">
        <v>145024</v>
      </c>
      <c r="P318" s="383"/>
      <c r="Q318" s="376"/>
      <c r="R318" s="376"/>
      <c r="S318" s="311"/>
      <c r="T318" s="376"/>
      <c r="U318" s="519"/>
      <c r="V318" s="376"/>
      <c r="W318" s="376"/>
      <c r="X318" s="376"/>
      <c r="Y318" s="376">
        <f t="shared" ref="Y318:Y345" si="104">IF(OR(ISBLANK(K318),ISBLANK(J318)),"",IF(AND(K318&gt;=J318,K318-J318&lt;=K318),(K318-J318)*$AK318,"!!!!"))</f>
        <v>6</v>
      </c>
      <c r="Z318" s="376">
        <f t="shared" ref="Z318:Z345" si="105">IF(OR(ISBLANK(L318),ISBLANK(K318)),"",IF(AND(L318&gt;=K318,L318-K318&lt;=L318),(L318-K318)*$AK318,"!!!!"))</f>
        <v>33</v>
      </c>
      <c r="AA318" s="376">
        <f t="shared" ref="AA318:AA345" si="106">IF(OR(ISBLANK(M318),ISBLANK(L318)),"",IF(AND(M318&gt;=L318,M318-L318&lt;=M318),(M318-L318)*$AK318,"!!!!"))</f>
        <v>11</v>
      </c>
      <c r="AB318" s="376">
        <f t="shared" ref="AB318:AB345" si="107">IF(OR(ISBLANK(N318),ISBLANK(M318)),"",IF(AND(N318&gt;=M318,N318-M318&lt;=N318),(N318-M318)*$AK318,"!!!!"))</f>
        <v>6</v>
      </c>
      <c r="AC318" s="376">
        <f t="shared" ref="AC318:AC345" si="108">IF(OR(ISBLANK(O318),ISBLANK(N318)),"",IF(AND(O318&gt;=N318,O318-N318&lt;=O318),(O318-N318)*$AK318,"!!!!"))</f>
        <v>4</v>
      </c>
      <c r="AD318" s="376" t="str">
        <f t="shared" ref="AD318:AD345" si="109">IF(OR(ISBLANK(P318),ISBLANK(O318)),"",IF(AND(P318&gt;=O318,P318-O318&lt;=P318),(P318-O318)*$AK318,"!!!!"))</f>
        <v/>
      </c>
      <c r="AE318" s="376" t="str">
        <f t="shared" ref="AE318:AE345" si="110">IF(OR(ISBLANK(Q318),ISBLANK(P318)),"",IF(AND(Q318&gt;=P318,Q318-P318&lt;=Q318),(Q318-P318)*$AK318,"!!!!"))</f>
        <v/>
      </c>
      <c r="AF318" s="376" t="str">
        <f t="shared" ref="AF318:AF345" si="111">IF(OR(ISBLANK(R318),ISBLANK(Q318)),"",IF(AND(R318&gt;=Q318,R318-Q318&lt;=R318),(R318-Q318)*$AK318,"!!!!"))</f>
        <v/>
      </c>
      <c r="AG318" s="376" t="str">
        <f t="shared" ref="AG318:AG345" si="112">IF(OR(ISBLANK(S318),ISBLANK(R318)),"",IF(AND(S318&gt;=R318,S318-R318&lt;=S318),(S318-R318)*$AK318,"!!!!"))</f>
        <v/>
      </c>
      <c r="AH318" s="376" t="str">
        <f t="shared" ref="AH318:AH345" si="113">IF(OR(ISBLANK(T318),ISBLANK(S318)),"",IF(AND(T318&gt;=S318,T318-S318&lt;=T318),(T318-S318)*$AK318,"!!!!"))</f>
        <v/>
      </c>
      <c r="AI318" s="376" t="str">
        <f t="shared" ref="AI318:AI345" si="114">IF(OR(ISBLANK(U318),ISBLANK(T318)),"",IF(AND(U318&gt;=T318,U318-T318&lt;=U318),(U318-T318)*$AK318,"!!!!"))</f>
        <v/>
      </c>
      <c r="AJ318" s="376" t="str">
        <f t="shared" ref="AJ318:AJ345" si="115">IF(OR(ISBLANK(V318),ISBLANK(U318)),"",IF(AND(V318&gt;=U318,V318-U318&lt;=V318),(V318-U318)*$AK318,"!!!!"))</f>
        <v/>
      </c>
      <c r="AK318" s="408">
        <v>1</v>
      </c>
      <c r="AL318" s="377">
        <f t="shared" ca="1" si="88"/>
        <v>145020</v>
      </c>
      <c r="AM318" s="383">
        <f t="shared" ca="1" si="89"/>
        <v>145024</v>
      </c>
      <c r="AN318" s="377">
        <f ca="1">IF(AND(Tabla7[[#This Row],[UltLec]]&lt;&gt;0,Tabla7[[#This Row],[PenLect]]&lt;&gt;0),(AM318-AL318)*Tabla7[[#This Row],[RT]],"N/A")</f>
        <v>4</v>
      </c>
      <c r="AO318" s="380" t="s">
        <v>1281</v>
      </c>
      <c r="AP318" s="433" t="s">
        <v>1190</v>
      </c>
      <c r="AQ318" s="433" t="s">
        <v>1189</v>
      </c>
      <c r="AR318" s="409">
        <f t="shared" si="90"/>
        <v>0</v>
      </c>
      <c r="AT318" s="2">
        <f t="shared" ca="1" si="91"/>
        <v>0.66666666666666663</v>
      </c>
      <c r="AV318">
        <f>IF(ISBLANK(Tabla7[[#This Row],[31/12/2017]]),0,Tabla7[[#This Row],[31/12/2017]])</f>
        <v>144964</v>
      </c>
      <c r="AW318">
        <f>IF(ISBLANK(Tabla7[[#This Row],[15/01/2018]]),0,Tabla7[[#This Row],[15/01/2018]])</f>
        <v>144970</v>
      </c>
      <c r="AX318">
        <f>IF(ISBLANK(Tabla7[[#This Row],[15/02/2018]]),0,Tabla7[[#This Row],[15/02/2018]])</f>
        <v>145003</v>
      </c>
      <c r="AY318">
        <f>IF(ISBLANK(Tabla7[[#This Row],[15/03/2018]]),0,Tabla7[[#This Row],[15/03/2018]])</f>
        <v>145014</v>
      </c>
      <c r="AZ318">
        <f>IF(ISBLANK(Tabla7[[#This Row],[15/04/2018]]),0,Tabla7[[#This Row],[15/04/2018]])</f>
        <v>145020</v>
      </c>
      <c r="BA318">
        <f>IF(ISBLANK(Tabla7[[#This Row],[15/05/2018]]),0,Tabla7[[#This Row],[15/05/2018]])</f>
        <v>145024</v>
      </c>
      <c r="BB318">
        <f>IF(ISBLANK(Tabla7[[#This Row],[15/06/2018]]),0,Tabla7[[#This Row],[15/06/2018]])</f>
        <v>0</v>
      </c>
      <c r="BC318">
        <f>IF(ISBLANK(Tabla7[[#This Row],[15/07/2018]]),0,Tabla7[[#This Row],[15/07/2018]])</f>
        <v>0</v>
      </c>
      <c r="BD318">
        <f>IF(ISBLANK(Tabla7[[#This Row],[15/08/2018]]),0,Tabla7[[#This Row],[15/08/2018]])</f>
        <v>0</v>
      </c>
      <c r="BE318">
        <f>IF(ISBLANK(Tabla7[[#This Row],[15/09/2018]]),0,Tabla7[[#This Row],[15/09/2018]])</f>
        <v>0</v>
      </c>
      <c r="BF318">
        <f>IF(ISBLANK(Tabla7[[#This Row],[15/10/2018]]),0,Tabla7[[#This Row],[15/10/2018]])</f>
        <v>0</v>
      </c>
      <c r="BG318">
        <f>IF(ISBLANK(Tabla7[[#This Row],[15/11/2018]]),0,Tabla7[[#This Row],[15/11/2018]])</f>
        <v>0</v>
      </c>
      <c r="BH318">
        <f>IF(ISBLANK(Tabla7[[#This Row],[15/12/2018]]),0,Tabla7[[#This Row],[15/12/2018]])</f>
        <v>0</v>
      </c>
      <c r="BI318">
        <f>IF(ISBLANK(Tabla7[[#This Row],[28/12/2018]]),0,Tabla7[[#This Row],[28/12/2018]])</f>
        <v>0</v>
      </c>
      <c r="BN31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('LW00044272','VBAJA','VCT16','39041','VALENCIA TERMINAL EUROPA, S.A.','EN CT.','Caseta y Báscula Xitá','Baja comunicada el 18-06-18. Pero fue un mes antes.');</v>
      </c>
      <c r="BO318" t="s">
        <v>243</v>
      </c>
      <c r="BP318" s="632" t="str">
        <f>CONCATENATE("insert into lecturas values ","('",Tabla7[[#This Row],[CONTADOR]],"',STR_TO_DATE('",Tabla7[[#Headers],[31/12/2017]],"','%d/%m/%Y'),",AV318,"),","('",Tabla7[[#This Row],[CONTADOR]],"',STR_TO_DATE('",Tabla7[[#Headers],[15/01/2018]],"','%d/%m/%Y'),",AW318,"),","('",Tabla7[[#This Row],[CONTADOR]],"',STR_TO_DATE('",Tabla7[[#Headers],[15/02/2018]],"','%d/%m/%Y'),",AX318,"),","('",Tabla7[[#This Row],[CONTADOR]],"',STR_TO_DATE('",Tabla7[[#Headers],[15/03/2018]],"','%d/%m/%Y'),",AY318,"),","('",Tabla7[[#This Row],[CONTADOR]],"',STR_TO_DATE('",Tabla7[[#Headers],[15/04/2018]],"','%d/%m/%Y'),",AZ318,"),","('",Tabla7[[#This Row],[CONTADOR]],"',STR_TO_DATE('",Tabla7[[#Headers],[15/05/2018]],"','%d/%m/%Y'),",BA318,"),","('",Tabla7[[#This Row],[CONTADOR]],"',STR_TO_DATE('",Tabla7[[#Headers],[15/06/2018]],"','%d/%m/%Y'),",BB318,"),","('",Tabla7[[#This Row],[CONTADOR]],"',STR_TO_DATE('",Tabla7[[#Headers],[15/07/2018]],"','%d/%m/%Y'),",BC318,"),","('",Tabla7[[#This Row],[CONTADOR]],"',STR_TO_DATE('",Tabla7[[#Headers],[15/08/2018]],"','%d/%m/%Y'),",BD318,"),","('",Tabla7[[#This Row],[CONTADOR]],"',STR_TO_DATE('",Tabla7[[#Headers],[15/09/2018]],"','%d/%m/%Y'),",BE318,"),","('",Tabla7[[#This Row],[CONTADOR]],"',STR_TO_DATE('",Tabla7[[#Headers],[15/10/2018]],"','%d/%m/%Y'),",BF318,"),","('",Tabla7[[#This Row],[CONTADOR]],"',STR_TO_DATE('",Tabla7[[#Headers],[15/11/2018]],"','%d/%m/%Y'),",BG318,"),","('",Tabla7[[#This Row],[CONTADOR]],"',STR_TO_DATE('",Tabla7[[#Headers],[15/12/2018]],"','%d/%m/%Y'),",BH318,");")</f>
        <v>insert into lecturas values ('LW00044272',STR_TO_DATE('31/12/2017','%d/%m/%Y'),144964),('LW00044272',STR_TO_DATE('15/01/2018','%d/%m/%Y'),144970),('LW00044272',STR_TO_DATE('15/02/2018','%d/%m/%Y'),145003),('LW00044272',STR_TO_DATE('15/03/2018','%d/%m/%Y'),145014),('LW00044272',STR_TO_DATE('15/04/2018','%d/%m/%Y'),145020),('LW00044272',STR_TO_DATE('15/05/2018','%d/%m/%Y'),145024),('LW00044272',STR_TO_DATE('15/06/2018','%d/%m/%Y'),0),('LW00044272',STR_TO_DATE('15/07/2018','%d/%m/%Y'),0),('LW00044272',STR_TO_DATE('15/08/2018','%d/%m/%Y'),0),('LW00044272',STR_TO_DATE('15/09/2018','%d/%m/%Y'),0),('LW00044272',STR_TO_DATE('15/10/2018','%d/%m/%Y'),0),('LW00044272',STR_TO_DATE('15/11/2018','%d/%m/%Y'),0),('LW00044272',STR_TO_DATE('15/12/2018','%d/%m/%Y'),0);</v>
      </c>
    </row>
    <row r="319" spans="1:68" ht="18" customHeight="1" x14ac:dyDescent="0.25">
      <c r="A319" s="241" t="s">
        <v>19</v>
      </c>
      <c r="B319" s="60"/>
      <c r="C319" s="342" t="s">
        <v>154</v>
      </c>
      <c r="D319" s="60" t="s">
        <v>152</v>
      </c>
      <c r="E319" s="258">
        <v>140</v>
      </c>
      <c r="F319" s="2" t="s">
        <v>155</v>
      </c>
      <c r="G319" s="2" t="s">
        <v>1013</v>
      </c>
      <c r="H319" s="2"/>
      <c r="I319" s="2"/>
      <c r="J319" s="311">
        <v>4895</v>
      </c>
      <c r="K319" s="311">
        <v>4993</v>
      </c>
      <c r="L319" s="311">
        <v>5173</v>
      </c>
      <c r="M319" s="311">
        <v>5332</v>
      </c>
      <c r="N319" s="311">
        <v>5506</v>
      </c>
      <c r="O319" s="311">
        <v>5692</v>
      </c>
      <c r="P319" s="311">
        <v>5827</v>
      </c>
      <c r="Q319" s="275">
        <v>6128</v>
      </c>
      <c r="R319" s="275">
        <v>6330</v>
      </c>
      <c r="S319" s="311">
        <v>6555</v>
      </c>
      <c r="T319" s="311">
        <v>6693</v>
      </c>
      <c r="U319" s="531">
        <v>6834</v>
      </c>
      <c r="V319" s="492">
        <v>6977</v>
      </c>
      <c r="W319" s="274"/>
      <c r="X319" s="2"/>
      <c r="Y319" s="2">
        <f t="shared" si="104"/>
        <v>98</v>
      </c>
      <c r="Z319" s="2">
        <f t="shared" si="105"/>
        <v>180</v>
      </c>
      <c r="AA319" s="2">
        <f t="shared" si="106"/>
        <v>159</v>
      </c>
      <c r="AB319" s="2">
        <f t="shared" si="107"/>
        <v>174</v>
      </c>
      <c r="AC319" s="2">
        <f t="shared" si="108"/>
        <v>186</v>
      </c>
      <c r="AD319" s="2">
        <f t="shared" si="109"/>
        <v>135</v>
      </c>
      <c r="AE319" s="2">
        <f t="shared" si="110"/>
        <v>301</v>
      </c>
      <c r="AF319" s="2">
        <f t="shared" si="111"/>
        <v>202</v>
      </c>
      <c r="AG319" s="2">
        <f t="shared" si="112"/>
        <v>225</v>
      </c>
      <c r="AH319" s="2">
        <f t="shared" si="113"/>
        <v>138</v>
      </c>
      <c r="AI319" s="2">
        <f t="shared" si="114"/>
        <v>141</v>
      </c>
      <c r="AJ319" s="2">
        <f t="shared" si="115"/>
        <v>143</v>
      </c>
      <c r="AK319" s="406">
        <v>1</v>
      </c>
      <c r="AL319" s="274">
        <f t="shared" ca="1" si="88"/>
        <v>5506</v>
      </c>
      <c r="AM319" s="311">
        <f t="shared" ca="1" si="89"/>
        <v>5692</v>
      </c>
      <c r="AN319" s="274">
        <f ca="1">IF(AND(Tabla7[[#This Row],[UltLec]]&lt;&gt;0,Tabla7[[#This Row],[PenLect]]&lt;&gt;0),(AM319-AL319)*Tabla7[[#This Row],[RT]],"N/A")</f>
        <v>186</v>
      </c>
      <c r="AO319" s="273" t="s">
        <v>862</v>
      </c>
      <c r="AP319" s="392" t="s">
        <v>1191</v>
      </c>
      <c r="AQ319" s="392" t="s">
        <v>1189</v>
      </c>
      <c r="AR319" s="407">
        <f t="shared" si="90"/>
        <v>0</v>
      </c>
      <c r="AT319" s="2">
        <f t="shared" ca="1" si="91"/>
        <v>1.0689655172413792</v>
      </c>
      <c r="AV319">
        <f>IF(ISBLANK(Tabla7[[#This Row],[31/12/2017]]),0,Tabla7[[#This Row],[31/12/2017]])</f>
        <v>4895</v>
      </c>
      <c r="AW319">
        <f>IF(ISBLANK(Tabla7[[#This Row],[15/01/2018]]),0,Tabla7[[#This Row],[15/01/2018]])</f>
        <v>4993</v>
      </c>
      <c r="AX319">
        <f>IF(ISBLANK(Tabla7[[#This Row],[15/02/2018]]),0,Tabla7[[#This Row],[15/02/2018]])</f>
        <v>5173</v>
      </c>
      <c r="AY319">
        <f>IF(ISBLANK(Tabla7[[#This Row],[15/03/2018]]),0,Tabla7[[#This Row],[15/03/2018]])</f>
        <v>5332</v>
      </c>
      <c r="AZ319">
        <f>IF(ISBLANK(Tabla7[[#This Row],[15/04/2018]]),0,Tabla7[[#This Row],[15/04/2018]])</f>
        <v>5506</v>
      </c>
      <c r="BA319">
        <f>IF(ISBLANK(Tabla7[[#This Row],[15/05/2018]]),0,Tabla7[[#This Row],[15/05/2018]])</f>
        <v>5692</v>
      </c>
      <c r="BB319">
        <f>IF(ISBLANK(Tabla7[[#This Row],[15/06/2018]]),0,Tabla7[[#This Row],[15/06/2018]])</f>
        <v>5827</v>
      </c>
      <c r="BC319">
        <f>IF(ISBLANK(Tabla7[[#This Row],[15/07/2018]]),0,Tabla7[[#This Row],[15/07/2018]])</f>
        <v>6128</v>
      </c>
      <c r="BD319">
        <f>IF(ISBLANK(Tabla7[[#This Row],[15/08/2018]]),0,Tabla7[[#This Row],[15/08/2018]])</f>
        <v>6330</v>
      </c>
      <c r="BE319">
        <f>IF(ISBLANK(Tabla7[[#This Row],[15/09/2018]]),0,Tabla7[[#This Row],[15/09/2018]])</f>
        <v>6555</v>
      </c>
      <c r="BF319">
        <f>IF(ISBLANK(Tabla7[[#This Row],[15/10/2018]]),0,Tabla7[[#This Row],[15/10/2018]])</f>
        <v>6693</v>
      </c>
      <c r="BG319">
        <f>IF(ISBLANK(Tabla7[[#This Row],[15/11/2018]]),0,Tabla7[[#This Row],[15/11/2018]])</f>
        <v>6834</v>
      </c>
      <c r="BH319">
        <f>IF(ISBLANK(Tabla7[[#This Row],[15/12/2018]]),0,Tabla7[[#This Row],[15/12/2018]])</f>
        <v>6977</v>
      </c>
      <c r="BI319">
        <f>IF(ISBLANK(Tabla7[[#This Row],[28/12/2018]]),0,Tabla7[[#This Row],[28/12/2018]])</f>
        <v>0</v>
      </c>
      <c r="BN31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('CXRUGBI15051203685','V','VCT17','140','FERROCARRIL','EN CENTRALIZACION (02)','','');</v>
      </c>
      <c r="BO319" t="s">
        <v>243</v>
      </c>
      <c r="BP319" s="632" t="str">
        <f>CONCATENATE("insert into lecturas values ","('",Tabla7[[#This Row],[CONTADOR]],"',STR_TO_DATE('",Tabla7[[#Headers],[31/12/2017]],"','%d/%m/%Y'),",AV319,"),","('",Tabla7[[#This Row],[CONTADOR]],"',STR_TO_DATE('",Tabla7[[#Headers],[15/01/2018]],"','%d/%m/%Y'),",AW319,"),","('",Tabla7[[#This Row],[CONTADOR]],"',STR_TO_DATE('",Tabla7[[#Headers],[15/02/2018]],"','%d/%m/%Y'),",AX319,"),","('",Tabla7[[#This Row],[CONTADOR]],"',STR_TO_DATE('",Tabla7[[#Headers],[15/03/2018]],"','%d/%m/%Y'),",AY319,"),","('",Tabla7[[#This Row],[CONTADOR]],"',STR_TO_DATE('",Tabla7[[#Headers],[15/04/2018]],"','%d/%m/%Y'),",AZ319,"),","('",Tabla7[[#This Row],[CONTADOR]],"',STR_TO_DATE('",Tabla7[[#Headers],[15/05/2018]],"','%d/%m/%Y'),",BA319,"),","('",Tabla7[[#This Row],[CONTADOR]],"',STR_TO_DATE('",Tabla7[[#Headers],[15/06/2018]],"','%d/%m/%Y'),",BB319,"),","('",Tabla7[[#This Row],[CONTADOR]],"',STR_TO_DATE('",Tabla7[[#Headers],[15/07/2018]],"','%d/%m/%Y'),",BC319,"),","('",Tabla7[[#This Row],[CONTADOR]],"',STR_TO_DATE('",Tabla7[[#Headers],[15/08/2018]],"','%d/%m/%Y'),",BD319,"),","('",Tabla7[[#This Row],[CONTADOR]],"',STR_TO_DATE('",Tabla7[[#Headers],[15/09/2018]],"','%d/%m/%Y'),",BE319,"),","('",Tabla7[[#This Row],[CONTADOR]],"',STR_TO_DATE('",Tabla7[[#Headers],[15/10/2018]],"','%d/%m/%Y'),",BF319,"),","('",Tabla7[[#This Row],[CONTADOR]],"',STR_TO_DATE('",Tabla7[[#Headers],[15/11/2018]],"','%d/%m/%Y'),",BG319,"),","('",Tabla7[[#This Row],[CONTADOR]],"',STR_TO_DATE('",Tabla7[[#Headers],[15/12/2018]],"','%d/%m/%Y'),",BH319,");")</f>
        <v>insert into lecturas values ('CXRUGBI15051203685',STR_TO_DATE('31/12/2017','%d/%m/%Y'),4895),('CXRUGBI15051203685',STR_TO_DATE('15/01/2018','%d/%m/%Y'),4993),('CXRUGBI15051203685',STR_TO_DATE('15/02/2018','%d/%m/%Y'),5173),('CXRUGBI15051203685',STR_TO_DATE('15/03/2018','%d/%m/%Y'),5332),('CXRUGBI15051203685',STR_TO_DATE('15/04/2018','%d/%m/%Y'),5506),('CXRUGBI15051203685',STR_TO_DATE('15/05/2018','%d/%m/%Y'),5692),('CXRUGBI15051203685',STR_TO_DATE('15/06/2018','%d/%m/%Y'),5827),('CXRUGBI15051203685',STR_TO_DATE('15/07/2018','%d/%m/%Y'),6128),('CXRUGBI15051203685',STR_TO_DATE('15/08/2018','%d/%m/%Y'),6330),('CXRUGBI15051203685',STR_TO_DATE('15/09/2018','%d/%m/%Y'),6555),('CXRUGBI15051203685',STR_TO_DATE('15/10/2018','%d/%m/%Y'),6693),('CXRUGBI15051203685',STR_TO_DATE('15/11/2018','%d/%m/%Y'),6834),('CXRUGBI15051203685',STR_TO_DATE('15/12/2018','%d/%m/%Y'),6977);</v>
      </c>
    </row>
    <row r="320" spans="1:68" ht="18" customHeight="1" x14ac:dyDescent="0.25">
      <c r="A320" s="241" t="s">
        <v>19</v>
      </c>
      <c r="B320" s="60"/>
      <c r="C320" s="342" t="s">
        <v>158</v>
      </c>
      <c r="D320" s="60" t="s">
        <v>152</v>
      </c>
      <c r="E320" s="258">
        <v>140</v>
      </c>
      <c r="F320" s="2" t="s">
        <v>747</v>
      </c>
      <c r="G320" s="2" t="s">
        <v>1015</v>
      </c>
      <c r="H320" s="274"/>
      <c r="I320" s="2"/>
      <c r="J320" s="311">
        <v>18625</v>
      </c>
      <c r="K320" s="311">
        <v>18905</v>
      </c>
      <c r="L320" s="311">
        <v>19356</v>
      </c>
      <c r="M320" s="311">
        <v>19759</v>
      </c>
      <c r="N320" s="311">
        <v>20256</v>
      </c>
      <c r="O320" s="311">
        <v>20854</v>
      </c>
      <c r="P320" s="311">
        <v>21629</v>
      </c>
      <c r="Q320" s="275">
        <v>22013</v>
      </c>
      <c r="R320" s="275">
        <v>22589</v>
      </c>
      <c r="S320" s="311">
        <v>22967</v>
      </c>
      <c r="T320" s="311">
        <v>23314</v>
      </c>
      <c r="U320" s="531">
        <v>23691</v>
      </c>
      <c r="V320" s="492">
        <v>24067</v>
      </c>
      <c r="W320" s="274"/>
      <c r="X320" s="2"/>
      <c r="Y320" s="2">
        <f t="shared" si="104"/>
        <v>280</v>
      </c>
      <c r="Z320" s="2">
        <f t="shared" si="105"/>
        <v>451</v>
      </c>
      <c r="AA320" s="2">
        <f t="shared" si="106"/>
        <v>403</v>
      </c>
      <c r="AB320" s="2">
        <f t="shared" si="107"/>
        <v>497</v>
      </c>
      <c r="AC320" s="2">
        <f t="shared" si="108"/>
        <v>598</v>
      </c>
      <c r="AD320" s="2">
        <f t="shared" si="109"/>
        <v>775</v>
      </c>
      <c r="AE320" s="2">
        <f t="shared" si="110"/>
        <v>384</v>
      </c>
      <c r="AF320" s="2">
        <f t="shared" si="111"/>
        <v>576</v>
      </c>
      <c r="AG320" s="2">
        <f t="shared" si="112"/>
        <v>378</v>
      </c>
      <c r="AH320" s="2">
        <f t="shared" si="113"/>
        <v>347</v>
      </c>
      <c r="AI320" s="2">
        <f t="shared" si="114"/>
        <v>377</v>
      </c>
      <c r="AJ320" s="2">
        <f t="shared" si="115"/>
        <v>376</v>
      </c>
      <c r="AK320" s="406">
        <v>1</v>
      </c>
      <c r="AL320" s="274">
        <f t="shared" ca="1" si="88"/>
        <v>20256</v>
      </c>
      <c r="AM320" s="311">
        <f t="shared" ca="1" si="89"/>
        <v>20854</v>
      </c>
      <c r="AN320" s="274">
        <f ca="1">IF(AND(Tabla7[[#This Row],[UltLec]]&lt;&gt;0,Tabla7[[#This Row],[PenLect]]&lt;&gt;0),(AM320-AL320)*Tabla7[[#This Row],[RT]],"N/A")</f>
        <v>598</v>
      </c>
      <c r="AO320" s="273" t="s">
        <v>862</v>
      </c>
      <c r="AP320" s="392" t="s">
        <v>1191</v>
      </c>
      <c r="AQ320" s="392" t="s">
        <v>1189</v>
      </c>
      <c r="AR320" s="407">
        <f t="shared" si="90"/>
        <v>0</v>
      </c>
      <c r="AT320" s="2">
        <f t="shared" ca="1" si="91"/>
        <v>1.2032193158953723</v>
      </c>
      <c r="AV320">
        <f>IF(ISBLANK(Tabla7[[#This Row],[31/12/2017]]),0,Tabla7[[#This Row],[31/12/2017]])</f>
        <v>18625</v>
      </c>
      <c r="AW320">
        <f>IF(ISBLANK(Tabla7[[#This Row],[15/01/2018]]),0,Tabla7[[#This Row],[15/01/2018]])</f>
        <v>18905</v>
      </c>
      <c r="AX320">
        <f>IF(ISBLANK(Tabla7[[#This Row],[15/02/2018]]),0,Tabla7[[#This Row],[15/02/2018]])</f>
        <v>19356</v>
      </c>
      <c r="AY320">
        <f>IF(ISBLANK(Tabla7[[#This Row],[15/03/2018]]),0,Tabla7[[#This Row],[15/03/2018]])</f>
        <v>19759</v>
      </c>
      <c r="AZ320">
        <f>IF(ISBLANK(Tabla7[[#This Row],[15/04/2018]]),0,Tabla7[[#This Row],[15/04/2018]])</f>
        <v>20256</v>
      </c>
      <c r="BA320">
        <f>IF(ISBLANK(Tabla7[[#This Row],[15/05/2018]]),0,Tabla7[[#This Row],[15/05/2018]])</f>
        <v>20854</v>
      </c>
      <c r="BB320">
        <f>IF(ISBLANK(Tabla7[[#This Row],[15/06/2018]]),0,Tabla7[[#This Row],[15/06/2018]])</f>
        <v>21629</v>
      </c>
      <c r="BC320">
        <f>IF(ISBLANK(Tabla7[[#This Row],[15/07/2018]]),0,Tabla7[[#This Row],[15/07/2018]])</f>
        <v>22013</v>
      </c>
      <c r="BD320">
        <f>IF(ISBLANK(Tabla7[[#This Row],[15/08/2018]]),0,Tabla7[[#This Row],[15/08/2018]])</f>
        <v>22589</v>
      </c>
      <c r="BE320">
        <f>IF(ISBLANK(Tabla7[[#This Row],[15/09/2018]]),0,Tabla7[[#This Row],[15/09/2018]])</f>
        <v>22967</v>
      </c>
      <c r="BF320">
        <f>IF(ISBLANK(Tabla7[[#This Row],[15/10/2018]]),0,Tabla7[[#This Row],[15/10/2018]])</f>
        <v>23314</v>
      </c>
      <c r="BG320">
        <f>IF(ISBLANK(Tabla7[[#This Row],[15/11/2018]]),0,Tabla7[[#This Row],[15/11/2018]])</f>
        <v>23691</v>
      </c>
      <c r="BH320">
        <f>IF(ISBLANK(Tabla7[[#This Row],[15/12/2018]]),0,Tabla7[[#This Row],[15/12/2018]])</f>
        <v>24067</v>
      </c>
      <c r="BI320">
        <f>IF(ISBLANK(Tabla7[[#This Row],[28/12/2018]]),0,Tabla7[[#This Row],[28/12/2018]])</f>
        <v>0</v>
      </c>
      <c r="BN32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('CXRUGBI15051203686','V','VCT17','140','APV RACK','EN CENTRALIZACION (04)','','');</v>
      </c>
      <c r="BO320" t="s">
        <v>243</v>
      </c>
      <c r="BP320" s="632" t="str">
        <f>CONCATENATE("insert into lecturas values ","('",Tabla7[[#This Row],[CONTADOR]],"',STR_TO_DATE('",Tabla7[[#Headers],[31/12/2017]],"','%d/%m/%Y'),",AV320,"),","('",Tabla7[[#This Row],[CONTADOR]],"',STR_TO_DATE('",Tabla7[[#Headers],[15/01/2018]],"','%d/%m/%Y'),",AW320,"),","('",Tabla7[[#This Row],[CONTADOR]],"',STR_TO_DATE('",Tabla7[[#Headers],[15/02/2018]],"','%d/%m/%Y'),",AX320,"),","('",Tabla7[[#This Row],[CONTADOR]],"',STR_TO_DATE('",Tabla7[[#Headers],[15/03/2018]],"','%d/%m/%Y'),",AY320,"),","('",Tabla7[[#This Row],[CONTADOR]],"',STR_TO_DATE('",Tabla7[[#Headers],[15/04/2018]],"','%d/%m/%Y'),",AZ320,"),","('",Tabla7[[#This Row],[CONTADOR]],"',STR_TO_DATE('",Tabla7[[#Headers],[15/05/2018]],"','%d/%m/%Y'),",BA320,"),","('",Tabla7[[#This Row],[CONTADOR]],"',STR_TO_DATE('",Tabla7[[#Headers],[15/06/2018]],"','%d/%m/%Y'),",BB320,"),","('",Tabla7[[#This Row],[CONTADOR]],"',STR_TO_DATE('",Tabla7[[#Headers],[15/07/2018]],"','%d/%m/%Y'),",BC320,"),","('",Tabla7[[#This Row],[CONTADOR]],"',STR_TO_DATE('",Tabla7[[#Headers],[15/08/2018]],"','%d/%m/%Y'),",BD320,"),","('",Tabla7[[#This Row],[CONTADOR]],"',STR_TO_DATE('",Tabla7[[#Headers],[15/09/2018]],"','%d/%m/%Y'),",BE320,"),","('",Tabla7[[#This Row],[CONTADOR]],"',STR_TO_DATE('",Tabla7[[#Headers],[15/10/2018]],"','%d/%m/%Y'),",BF320,"),","('",Tabla7[[#This Row],[CONTADOR]],"',STR_TO_DATE('",Tabla7[[#Headers],[15/11/2018]],"','%d/%m/%Y'),",BG320,"),","('",Tabla7[[#This Row],[CONTADOR]],"',STR_TO_DATE('",Tabla7[[#Headers],[15/12/2018]],"','%d/%m/%Y'),",BH320,");")</f>
        <v>insert into lecturas values ('CXRUGBI15051203686',STR_TO_DATE('31/12/2017','%d/%m/%Y'),18625),('CXRUGBI15051203686',STR_TO_DATE('15/01/2018','%d/%m/%Y'),18905),('CXRUGBI15051203686',STR_TO_DATE('15/02/2018','%d/%m/%Y'),19356),('CXRUGBI15051203686',STR_TO_DATE('15/03/2018','%d/%m/%Y'),19759),('CXRUGBI15051203686',STR_TO_DATE('15/04/2018','%d/%m/%Y'),20256),('CXRUGBI15051203686',STR_TO_DATE('15/05/2018','%d/%m/%Y'),20854),('CXRUGBI15051203686',STR_TO_DATE('15/06/2018','%d/%m/%Y'),21629),('CXRUGBI15051203686',STR_TO_DATE('15/07/2018','%d/%m/%Y'),22013),('CXRUGBI15051203686',STR_TO_DATE('15/08/2018','%d/%m/%Y'),22589),('CXRUGBI15051203686',STR_TO_DATE('15/09/2018','%d/%m/%Y'),22967),('CXRUGBI15051203686',STR_TO_DATE('15/10/2018','%d/%m/%Y'),23314),('CXRUGBI15051203686',STR_TO_DATE('15/11/2018','%d/%m/%Y'),23691),('CXRUGBI15051203686',STR_TO_DATE('15/12/2018','%d/%m/%Y'),24067);</v>
      </c>
    </row>
    <row r="321" spans="1:68" ht="18" customHeight="1" x14ac:dyDescent="0.25">
      <c r="A321" s="372" t="s">
        <v>1196</v>
      </c>
      <c r="B321" s="60"/>
      <c r="C321" s="373" t="s">
        <v>168</v>
      </c>
      <c r="D321" s="374" t="s">
        <v>152</v>
      </c>
      <c r="E321" s="375">
        <v>39104</v>
      </c>
      <c r="F321" s="376" t="s">
        <v>169</v>
      </c>
      <c r="G321" s="376" t="s">
        <v>101</v>
      </c>
      <c r="H321" s="376"/>
      <c r="I321" s="376" t="s">
        <v>761</v>
      </c>
      <c r="J321" s="383"/>
      <c r="K321" s="383"/>
      <c r="L321" s="376"/>
      <c r="M321" s="376"/>
      <c r="N321" s="376"/>
      <c r="O321" s="453"/>
      <c r="P321" s="453"/>
      <c r="Q321" s="376"/>
      <c r="R321" s="376"/>
      <c r="S321" s="311"/>
      <c r="T321" s="376"/>
      <c r="U321" s="519"/>
      <c r="V321" s="377"/>
      <c r="W321" s="377"/>
      <c r="X321" s="376"/>
      <c r="Y321" s="376" t="str">
        <f t="shared" si="104"/>
        <v/>
      </c>
      <c r="Z321" s="376" t="str">
        <f t="shared" si="105"/>
        <v/>
      </c>
      <c r="AA321" s="376" t="str">
        <f t="shared" si="106"/>
        <v/>
      </c>
      <c r="AB321" s="376" t="str">
        <f t="shared" si="107"/>
        <v/>
      </c>
      <c r="AC321" s="376" t="str">
        <f t="shared" si="108"/>
        <v/>
      </c>
      <c r="AD321" s="376" t="str">
        <f t="shared" si="109"/>
        <v/>
      </c>
      <c r="AE321" s="376" t="str">
        <f t="shared" si="110"/>
        <v/>
      </c>
      <c r="AF321" s="376" t="str">
        <f t="shared" si="111"/>
        <v/>
      </c>
      <c r="AG321" s="376" t="str">
        <f t="shared" si="112"/>
        <v/>
      </c>
      <c r="AH321" s="376" t="str">
        <f t="shared" si="113"/>
        <v/>
      </c>
      <c r="AI321" s="376" t="str">
        <f t="shared" si="114"/>
        <v/>
      </c>
      <c r="AJ321" s="376" t="str">
        <f t="shared" si="115"/>
        <v/>
      </c>
      <c r="AK321" s="408">
        <v>1</v>
      </c>
      <c r="AL321" s="377">
        <f t="shared" ca="1" si="88"/>
        <v>0</v>
      </c>
      <c r="AM321" s="383">
        <f t="shared" ca="1" si="89"/>
        <v>0</v>
      </c>
      <c r="AN321" s="377" t="str">
        <f ca="1">IF(AND(Tabla7[[#This Row],[UltLec]]&lt;&gt;0,Tabla7[[#This Row],[PenLect]]&lt;&gt;0),(AM321-AL321)*Tabla7[[#This Row],[RT]],"N/A")</f>
        <v>N/A</v>
      </c>
      <c r="AO321" s="380" t="s">
        <v>1281</v>
      </c>
      <c r="AP321" s="433" t="s">
        <v>1191</v>
      </c>
      <c r="AQ321" s="433" t="s">
        <v>1189</v>
      </c>
      <c r="AR321" s="409">
        <f t="shared" si="90"/>
        <v>0</v>
      </c>
      <c r="AT321" s="2" t="e">
        <f t="shared" ca="1" si="91"/>
        <v>#VALUE!</v>
      </c>
      <c r="AV321">
        <f>IF(ISBLANK(Tabla7[[#This Row],[31/12/2017]]),0,Tabla7[[#This Row],[31/12/2017]])</f>
        <v>0</v>
      </c>
      <c r="AW321">
        <f>IF(ISBLANK(Tabla7[[#This Row],[15/01/2018]]),0,Tabla7[[#This Row],[15/01/2018]])</f>
        <v>0</v>
      </c>
      <c r="AX321">
        <f>IF(ISBLANK(Tabla7[[#This Row],[15/02/2018]]),0,Tabla7[[#This Row],[15/02/2018]])</f>
        <v>0</v>
      </c>
      <c r="AY321">
        <f>IF(ISBLANK(Tabla7[[#This Row],[15/03/2018]]),0,Tabla7[[#This Row],[15/03/2018]])</f>
        <v>0</v>
      </c>
      <c r="AZ321">
        <f>IF(ISBLANK(Tabla7[[#This Row],[15/04/2018]]),0,Tabla7[[#This Row],[15/04/2018]])</f>
        <v>0</v>
      </c>
      <c r="BA321">
        <f>IF(ISBLANK(Tabla7[[#This Row],[15/05/2018]]),0,Tabla7[[#This Row],[15/05/2018]])</f>
        <v>0</v>
      </c>
      <c r="BB321">
        <f>IF(ISBLANK(Tabla7[[#This Row],[15/06/2018]]),0,Tabla7[[#This Row],[15/06/2018]])</f>
        <v>0</v>
      </c>
      <c r="BC321">
        <f>IF(ISBLANK(Tabla7[[#This Row],[15/07/2018]]),0,Tabla7[[#This Row],[15/07/2018]])</f>
        <v>0</v>
      </c>
      <c r="BD321">
        <f>IF(ISBLANK(Tabla7[[#This Row],[15/08/2018]]),0,Tabla7[[#This Row],[15/08/2018]])</f>
        <v>0</v>
      </c>
      <c r="BE321">
        <f>IF(ISBLANK(Tabla7[[#This Row],[15/09/2018]]),0,Tabla7[[#This Row],[15/09/2018]])</f>
        <v>0</v>
      </c>
      <c r="BF321">
        <f>IF(ISBLANK(Tabla7[[#This Row],[15/10/2018]]),0,Tabla7[[#This Row],[15/10/2018]])</f>
        <v>0</v>
      </c>
      <c r="BG321">
        <f>IF(ISBLANK(Tabla7[[#This Row],[15/11/2018]]),0,Tabla7[[#This Row],[15/11/2018]])</f>
        <v>0</v>
      </c>
      <c r="BH321">
        <f>IF(ISBLANK(Tabla7[[#This Row],[15/12/2018]]),0,Tabla7[[#This Row],[15/12/2018]])</f>
        <v>0</v>
      </c>
      <c r="BI321">
        <f>IF(ISBLANK(Tabla7[[#This Row],[28/12/2018]]),0,Tabla7[[#This Row],[28/12/2018]])</f>
        <v>0</v>
      </c>
      <c r="BN32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('CXRUGBI15051203687','VBAJA','VCT17','39104','CORPORAC PRACTICOS VALENCIA','EN CENTRALIZACION','','retirado el 1/3/2017 apagado');</v>
      </c>
      <c r="BO321" t="s">
        <v>243</v>
      </c>
      <c r="BP321" s="632" t="str">
        <f>CONCATENATE("insert into lecturas values ","('",Tabla7[[#This Row],[CONTADOR]],"',STR_TO_DATE('",Tabla7[[#Headers],[31/12/2017]],"','%d/%m/%Y'),",AV321,"),","('",Tabla7[[#This Row],[CONTADOR]],"',STR_TO_DATE('",Tabla7[[#Headers],[15/01/2018]],"','%d/%m/%Y'),",AW321,"),","('",Tabla7[[#This Row],[CONTADOR]],"',STR_TO_DATE('",Tabla7[[#Headers],[15/02/2018]],"','%d/%m/%Y'),",AX321,"),","('",Tabla7[[#This Row],[CONTADOR]],"',STR_TO_DATE('",Tabla7[[#Headers],[15/03/2018]],"','%d/%m/%Y'),",AY321,"),","('",Tabla7[[#This Row],[CONTADOR]],"',STR_TO_DATE('",Tabla7[[#Headers],[15/04/2018]],"','%d/%m/%Y'),",AZ321,"),","('",Tabla7[[#This Row],[CONTADOR]],"',STR_TO_DATE('",Tabla7[[#Headers],[15/05/2018]],"','%d/%m/%Y'),",BA321,"),","('",Tabla7[[#This Row],[CONTADOR]],"',STR_TO_DATE('",Tabla7[[#Headers],[15/06/2018]],"','%d/%m/%Y'),",BB321,"),","('",Tabla7[[#This Row],[CONTADOR]],"',STR_TO_DATE('",Tabla7[[#Headers],[15/07/2018]],"','%d/%m/%Y'),",BC321,"),","('",Tabla7[[#This Row],[CONTADOR]],"',STR_TO_DATE('",Tabla7[[#Headers],[15/08/2018]],"','%d/%m/%Y'),",BD321,"),","('",Tabla7[[#This Row],[CONTADOR]],"',STR_TO_DATE('",Tabla7[[#Headers],[15/09/2018]],"','%d/%m/%Y'),",BE321,"),","('",Tabla7[[#This Row],[CONTADOR]],"',STR_TO_DATE('",Tabla7[[#Headers],[15/10/2018]],"','%d/%m/%Y'),",BF321,"),","('",Tabla7[[#This Row],[CONTADOR]],"',STR_TO_DATE('",Tabla7[[#Headers],[15/11/2018]],"','%d/%m/%Y'),",BG321,"),","('",Tabla7[[#This Row],[CONTADOR]],"',STR_TO_DATE('",Tabla7[[#Headers],[15/12/2018]],"','%d/%m/%Y'),",BH321,");")</f>
        <v>insert into lecturas values ('CXRUGBI15051203687',STR_TO_DATE('31/12/2017','%d/%m/%Y'),0),('CXRUGBI15051203687',STR_TO_DATE('15/01/2018','%d/%m/%Y'),0),('CXRUGBI15051203687',STR_TO_DATE('15/02/2018','%d/%m/%Y'),0),('CXRUGBI15051203687',STR_TO_DATE('15/03/2018','%d/%m/%Y'),0),('CXRUGBI15051203687',STR_TO_DATE('15/04/2018','%d/%m/%Y'),0),('CXRUGBI15051203687',STR_TO_DATE('15/05/2018','%d/%m/%Y'),0),('CXRUGBI15051203687',STR_TO_DATE('15/06/2018','%d/%m/%Y'),0),('CXRUGBI15051203687',STR_TO_DATE('15/07/2018','%d/%m/%Y'),0),('CXRUGBI15051203687',STR_TO_DATE('15/08/2018','%d/%m/%Y'),0),('CXRUGBI15051203687',STR_TO_DATE('15/09/2018','%d/%m/%Y'),0),('CXRUGBI15051203687',STR_TO_DATE('15/10/2018','%d/%m/%Y'),0),('CXRUGBI15051203687',STR_TO_DATE('15/11/2018','%d/%m/%Y'),0),('CXRUGBI15051203687',STR_TO_DATE('15/12/2018','%d/%m/%Y'),0);</v>
      </c>
    </row>
    <row r="322" spans="1:68" ht="18" customHeight="1" x14ac:dyDescent="0.25">
      <c r="A322" s="241" t="s">
        <v>19</v>
      </c>
      <c r="B322" s="60">
        <v>4369</v>
      </c>
      <c r="C322" s="342" t="s">
        <v>166</v>
      </c>
      <c r="D322" s="60" t="s">
        <v>152</v>
      </c>
      <c r="E322" s="258">
        <v>39725</v>
      </c>
      <c r="F322" s="2" t="s">
        <v>167</v>
      </c>
      <c r="G322" s="2" t="s">
        <v>1043</v>
      </c>
      <c r="H322" s="2"/>
      <c r="I322" s="2"/>
      <c r="J322" s="311">
        <v>304659</v>
      </c>
      <c r="K322" s="311">
        <v>310404</v>
      </c>
      <c r="L322" s="311">
        <v>320361</v>
      </c>
      <c r="M322" s="311">
        <v>329171</v>
      </c>
      <c r="N322" s="311">
        <v>338668</v>
      </c>
      <c r="O322" s="311">
        <v>349415</v>
      </c>
      <c r="P322" s="311">
        <v>362372</v>
      </c>
      <c r="Q322" s="275">
        <v>376929</v>
      </c>
      <c r="R322" s="275">
        <v>391126</v>
      </c>
      <c r="S322" s="311">
        <v>406718</v>
      </c>
      <c r="T322" s="311">
        <v>419362</v>
      </c>
      <c r="U322" s="531">
        <v>432139</v>
      </c>
      <c r="V322" s="492">
        <v>443826</v>
      </c>
      <c r="W322" s="274"/>
      <c r="X322" s="2"/>
      <c r="Y322" s="2">
        <f t="shared" si="104"/>
        <v>5745</v>
      </c>
      <c r="Z322" s="2">
        <f t="shared" si="105"/>
        <v>9957</v>
      </c>
      <c r="AA322" s="2">
        <f t="shared" si="106"/>
        <v>8810</v>
      </c>
      <c r="AB322" s="2">
        <f t="shared" si="107"/>
        <v>9497</v>
      </c>
      <c r="AC322" s="2">
        <f t="shared" si="108"/>
        <v>10747</v>
      </c>
      <c r="AD322" s="2">
        <f t="shared" si="109"/>
        <v>12957</v>
      </c>
      <c r="AE322" s="2">
        <f t="shared" si="110"/>
        <v>14557</v>
      </c>
      <c r="AF322" s="2">
        <f t="shared" si="111"/>
        <v>14197</v>
      </c>
      <c r="AG322" s="2">
        <f t="shared" si="112"/>
        <v>15592</v>
      </c>
      <c r="AH322" s="2">
        <f t="shared" si="113"/>
        <v>12644</v>
      </c>
      <c r="AI322" s="2">
        <f t="shared" si="114"/>
        <v>12777</v>
      </c>
      <c r="AJ322" s="2">
        <f t="shared" si="115"/>
        <v>11687</v>
      </c>
      <c r="AK322" s="406">
        <v>1</v>
      </c>
      <c r="AL322" s="274">
        <f t="shared" ca="1" si="88"/>
        <v>338668</v>
      </c>
      <c r="AM322" s="311">
        <f t="shared" ca="1" si="89"/>
        <v>349415</v>
      </c>
      <c r="AN322" s="274">
        <f ca="1">IF(AND(Tabla7[[#This Row],[UltLec]]&lt;&gt;0,Tabla7[[#This Row],[PenLect]]&lt;&gt;0),(AM322-AL322)*Tabla7[[#This Row],[RT]],"N/A")</f>
        <v>10747</v>
      </c>
      <c r="AO322" s="273" t="s">
        <v>862</v>
      </c>
      <c r="AP322" s="392" t="s">
        <v>1191</v>
      </c>
      <c r="AQ322" s="392" t="s">
        <v>1189</v>
      </c>
      <c r="AR322" s="407">
        <f t="shared" si="90"/>
        <v>0</v>
      </c>
      <c r="AT322" s="2">
        <f t="shared" ca="1" si="91"/>
        <v>1.1316205117405496</v>
      </c>
      <c r="AV322">
        <f>IF(ISBLANK(Tabla7[[#This Row],[31/12/2017]]),0,Tabla7[[#This Row],[31/12/2017]])</f>
        <v>304659</v>
      </c>
      <c r="AW322">
        <f>IF(ISBLANK(Tabla7[[#This Row],[15/01/2018]]),0,Tabla7[[#This Row],[15/01/2018]])</f>
        <v>310404</v>
      </c>
      <c r="AX322">
        <f>IF(ISBLANK(Tabla7[[#This Row],[15/02/2018]]),0,Tabla7[[#This Row],[15/02/2018]])</f>
        <v>320361</v>
      </c>
      <c r="AY322">
        <f>IF(ISBLANK(Tabla7[[#This Row],[15/03/2018]]),0,Tabla7[[#This Row],[15/03/2018]])</f>
        <v>329171</v>
      </c>
      <c r="AZ322">
        <f>IF(ISBLANK(Tabla7[[#This Row],[15/04/2018]]),0,Tabla7[[#This Row],[15/04/2018]])</f>
        <v>338668</v>
      </c>
      <c r="BA322">
        <f>IF(ISBLANK(Tabla7[[#This Row],[15/05/2018]]),0,Tabla7[[#This Row],[15/05/2018]])</f>
        <v>349415</v>
      </c>
      <c r="BB322">
        <f>IF(ISBLANK(Tabla7[[#This Row],[15/06/2018]]),0,Tabla7[[#This Row],[15/06/2018]])</f>
        <v>362372</v>
      </c>
      <c r="BC322">
        <f>IF(ISBLANK(Tabla7[[#This Row],[15/07/2018]]),0,Tabla7[[#This Row],[15/07/2018]])</f>
        <v>376929</v>
      </c>
      <c r="BD322">
        <f>IF(ISBLANK(Tabla7[[#This Row],[15/08/2018]]),0,Tabla7[[#This Row],[15/08/2018]])</f>
        <v>391126</v>
      </c>
      <c r="BE322">
        <f>IF(ISBLANK(Tabla7[[#This Row],[15/09/2018]]),0,Tabla7[[#This Row],[15/09/2018]])</f>
        <v>406718</v>
      </c>
      <c r="BF322">
        <f>IF(ISBLANK(Tabla7[[#This Row],[15/10/2018]]),0,Tabla7[[#This Row],[15/10/2018]])</f>
        <v>419362</v>
      </c>
      <c r="BG322">
        <f>IF(ISBLANK(Tabla7[[#This Row],[15/11/2018]]),0,Tabla7[[#This Row],[15/11/2018]])</f>
        <v>432139</v>
      </c>
      <c r="BH322">
        <f>IF(ISBLANK(Tabla7[[#This Row],[15/12/2018]]),0,Tabla7[[#This Row],[15/12/2018]])</f>
        <v>443826</v>
      </c>
      <c r="BI322">
        <f>IF(ISBLANK(Tabla7[[#This Row],[28/12/2018]]),0,Tabla7[[#This Row],[28/12/2018]])</f>
        <v>0</v>
      </c>
      <c r="BN32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('CXRUGBI15051203689','V','VCT17','39725','EMS SEVEN SEAS SPAIN, S.A.','EN CENTRALIZACIÓN (09)','','');</v>
      </c>
      <c r="BO322" t="s">
        <v>243</v>
      </c>
      <c r="BP322" s="632" t="str">
        <f>CONCATENATE("insert into lecturas values ","('",Tabla7[[#This Row],[CONTADOR]],"',STR_TO_DATE('",Tabla7[[#Headers],[31/12/2017]],"','%d/%m/%Y'),",AV322,"),","('",Tabla7[[#This Row],[CONTADOR]],"',STR_TO_DATE('",Tabla7[[#Headers],[15/01/2018]],"','%d/%m/%Y'),",AW322,"),","('",Tabla7[[#This Row],[CONTADOR]],"',STR_TO_DATE('",Tabla7[[#Headers],[15/02/2018]],"','%d/%m/%Y'),",AX322,"),","('",Tabla7[[#This Row],[CONTADOR]],"',STR_TO_DATE('",Tabla7[[#Headers],[15/03/2018]],"','%d/%m/%Y'),",AY322,"),","('",Tabla7[[#This Row],[CONTADOR]],"',STR_TO_DATE('",Tabla7[[#Headers],[15/04/2018]],"','%d/%m/%Y'),",AZ322,"),","('",Tabla7[[#This Row],[CONTADOR]],"',STR_TO_DATE('",Tabla7[[#Headers],[15/05/2018]],"','%d/%m/%Y'),",BA322,"),","('",Tabla7[[#This Row],[CONTADOR]],"',STR_TO_DATE('",Tabla7[[#Headers],[15/06/2018]],"','%d/%m/%Y'),",BB322,"),","('",Tabla7[[#This Row],[CONTADOR]],"',STR_TO_DATE('",Tabla7[[#Headers],[15/07/2018]],"','%d/%m/%Y'),",BC322,"),","('",Tabla7[[#This Row],[CONTADOR]],"',STR_TO_DATE('",Tabla7[[#Headers],[15/08/2018]],"','%d/%m/%Y'),",BD322,"),","('",Tabla7[[#This Row],[CONTADOR]],"',STR_TO_DATE('",Tabla7[[#Headers],[15/09/2018]],"','%d/%m/%Y'),",BE322,"),","('",Tabla7[[#This Row],[CONTADOR]],"',STR_TO_DATE('",Tabla7[[#Headers],[15/10/2018]],"','%d/%m/%Y'),",BF322,"),","('",Tabla7[[#This Row],[CONTADOR]],"',STR_TO_DATE('",Tabla7[[#Headers],[15/11/2018]],"','%d/%m/%Y'),",BG322,"),","('",Tabla7[[#This Row],[CONTADOR]],"',STR_TO_DATE('",Tabla7[[#Headers],[15/12/2018]],"','%d/%m/%Y'),",BH322,");")</f>
        <v>insert into lecturas values ('CXRUGBI15051203689',STR_TO_DATE('31/12/2017','%d/%m/%Y'),304659),('CXRUGBI15051203689',STR_TO_DATE('15/01/2018','%d/%m/%Y'),310404),('CXRUGBI15051203689',STR_TO_DATE('15/02/2018','%d/%m/%Y'),320361),('CXRUGBI15051203689',STR_TO_DATE('15/03/2018','%d/%m/%Y'),329171),('CXRUGBI15051203689',STR_TO_DATE('15/04/2018','%d/%m/%Y'),338668),('CXRUGBI15051203689',STR_TO_DATE('15/05/2018','%d/%m/%Y'),349415),('CXRUGBI15051203689',STR_TO_DATE('15/06/2018','%d/%m/%Y'),362372),('CXRUGBI15051203689',STR_TO_DATE('15/07/2018','%d/%m/%Y'),376929),('CXRUGBI15051203689',STR_TO_DATE('15/08/2018','%d/%m/%Y'),391126),('CXRUGBI15051203689',STR_TO_DATE('15/09/2018','%d/%m/%Y'),406718),('CXRUGBI15051203689',STR_TO_DATE('15/10/2018','%d/%m/%Y'),419362),('CXRUGBI15051203689',STR_TO_DATE('15/11/2018','%d/%m/%Y'),432139),('CXRUGBI15051203689',STR_TO_DATE('15/12/2018','%d/%m/%Y'),443826);</v>
      </c>
    </row>
    <row r="323" spans="1:68" ht="18" customHeight="1" x14ac:dyDescent="0.25">
      <c r="A323" s="372" t="s">
        <v>1196</v>
      </c>
      <c r="B323" s="60">
        <v>32608</v>
      </c>
      <c r="C323" s="373" t="s">
        <v>171</v>
      </c>
      <c r="D323" s="374" t="s">
        <v>152</v>
      </c>
      <c r="E323" s="375">
        <v>39007</v>
      </c>
      <c r="F323" s="376" t="s">
        <v>172</v>
      </c>
      <c r="G323" s="376" t="s">
        <v>101</v>
      </c>
      <c r="H323" s="376"/>
      <c r="I323" s="376" t="s">
        <v>760</v>
      </c>
      <c r="J323" s="383"/>
      <c r="K323" s="383"/>
      <c r="L323" s="376"/>
      <c r="M323" s="376"/>
      <c r="N323" s="376"/>
      <c r="O323" s="453"/>
      <c r="P323" s="453"/>
      <c r="Q323" s="376"/>
      <c r="R323" s="376"/>
      <c r="S323" s="311"/>
      <c r="T323" s="376"/>
      <c r="U323" s="519"/>
      <c r="V323" s="519"/>
      <c r="W323" s="377"/>
      <c r="X323" s="376"/>
      <c r="Y323" s="376" t="str">
        <f t="shared" si="104"/>
        <v/>
      </c>
      <c r="Z323" s="376" t="str">
        <f t="shared" si="105"/>
        <v/>
      </c>
      <c r="AA323" s="376" t="str">
        <f t="shared" si="106"/>
        <v/>
      </c>
      <c r="AB323" s="376" t="str">
        <f t="shared" si="107"/>
        <v/>
      </c>
      <c r="AC323" s="376" t="str">
        <f t="shared" si="108"/>
        <v/>
      </c>
      <c r="AD323" s="376" t="str">
        <f t="shared" si="109"/>
        <v/>
      </c>
      <c r="AE323" s="376" t="str">
        <f t="shared" si="110"/>
        <v/>
      </c>
      <c r="AF323" s="376" t="str">
        <f t="shared" si="111"/>
        <v/>
      </c>
      <c r="AG323" s="376" t="str">
        <f t="shared" si="112"/>
        <v/>
      </c>
      <c r="AH323" s="376" t="str">
        <f t="shared" si="113"/>
        <v/>
      </c>
      <c r="AI323" s="376" t="str">
        <f t="shared" si="114"/>
        <v/>
      </c>
      <c r="AJ323" s="376" t="str">
        <f t="shared" si="115"/>
        <v/>
      </c>
      <c r="AK323" s="408">
        <v>1</v>
      </c>
      <c r="AL323" s="377">
        <f t="shared" ref="AL323:AL386" ca="1" si="116">IF(DAY(TODAY())&lt;16,INDEX(J323:X323,1,MONTH(TODAY())-1),INDEX(J323:X323,1,MONTH(TODAY())))</f>
        <v>0</v>
      </c>
      <c r="AM323" s="383">
        <f t="shared" ref="AM323:AM386" ca="1" si="117">IF(DAY(TODAY())&lt;16,INDEX(J323:X323,1,MONTH(TODAY())),INDEX(J323:X323,1,MONTH(TODAY())+1))</f>
        <v>0</v>
      </c>
      <c r="AN323" s="377" t="str">
        <f ca="1">IF(AND(Tabla7[[#This Row],[UltLec]]&lt;&gt;0,Tabla7[[#This Row],[PenLect]]&lt;&gt;0),(AM323-AL323)*Tabla7[[#This Row],[RT]],"N/A")</f>
        <v>N/A</v>
      </c>
      <c r="AO323" s="380" t="s">
        <v>1281</v>
      </c>
      <c r="AP323" s="433" t="s">
        <v>1191</v>
      </c>
      <c r="AQ323" s="433" t="s">
        <v>1189</v>
      </c>
      <c r="AR323" s="409">
        <f t="shared" ref="AR323:AR386" si="118">COUNTIF(Y323:AJ323,"!!!!")</f>
        <v>0</v>
      </c>
      <c r="AT323" s="2" t="e">
        <f t="shared" ca="1" si="91"/>
        <v>#VALUE!</v>
      </c>
      <c r="AV323">
        <f>IF(ISBLANK(Tabla7[[#This Row],[31/12/2017]]),0,Tabla7[[#This Row],[31/12/2017]])</f>
        <v>0</v>
      </c>
      <c r="AW323">
        <f>IF(ISBLANK(Tabla7[[#This Row],[15/01/2018]]),0,Tabla7[[#This Row],[15/01/2018]])</f>
        <v>0</v>
      </c>
      <c r="AX323">
        <f>IF(ISBLANK(Tabla7[[#This Row],[15/02/2018]]),0,Tabla7[[#This Row],[15/02/2018]])</f>
        <v>0</v>
      </c>
      <c r="AY323">
        <f>IF(ISBLANK(Tabla7[[#This Row],[15/03/2018]]),0,Tabla7[[#This Row],[15/03/2018]])</f>
        <v>0</v>
      </c>
      <c r="AZ323">
        <f>IF(ISBLANK(Tabla7[[#This Row],[15/04/2018]]),0,Tabla7[[#This Row],[15/04/2018]])</f>
        <v>0</v>
      </c>
      <c r="BA323">
        <f>IF(ISBLANK(Tabla7[[#This Row],[15/05/2018]]),0,Tabla7[[#This Row],[15/05/2018]])</f>
        <v>0</v>
      </c>
      <c r="BB323">
        <f>IF(ISBLANK(Tabla7[[#This Row],[15/06/2018]]),0,Tabla7[[#This Row],[15/06/2018]])</f>
        <v>0</v>
      </c>
      <c r="BC323">
        <f>IF(ISBLANK(Tabla7[[#This Row],[15/07/2018]]),0,Tabla7[[#This Row],[15/07/2018]])</f>
        <v>0</v>
      </c>
      <c r="BD323">
        <f>IF(ISBLANK(Tabla7[[#This Row],[15/08/2018]]),0,Tabla7[[#This Row],[15/08/2018]])</f>
        <v>0</v>
      </c>
      <c r="BE323">
        <f>IF(ISBLANK(Tabla7[[#This Row],[15/09/2018]]),0,Tabla7[[#This Row],[15/09/2018]])</f>
        <v>0</v>
      </c>
      <c r="BF323">
        <f>IF(ISBLANK(Tabla7[[#This Row],[15/10/2018]]),0,Tabla7[[#This Row],[15/10/2018]])</f>
        <v>0</v>
      </c>
      <c r="BG323">
        <f>IF(ISBLANK(Tabla7[[#This Row],[15/11/2018]]),0,Tabla7[[#This Row],[15/11/2018]])</f>
        <v>0</v>
      </c>
      <c r="BH323">
        <f>IF(ISBLANK(Tabla7[[#This Row],[15/12/2018]]),0,Tabla7[[#This Row],[15/12/2018]])</f>
        <v>0</v>
      </c>
      <c r="BI323">
        <f>IF(ISBLANK(Tabla7[[#This Row],[28/12/2018]]),0,Tabla7[[#This Row],[28/12/2018]])</f>
        <v>0</v>
      </c>
      <c r="BN32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('CXRUGBI15051203690','VBAJA','VCT17','39007','BURRIEL-NAVARRO','EN CENTRALIZACION','','apagado');</v>
      </c>
      <c r="BO323" t="s">
        <v>243</v>
      </c>
      <c r="BP323" s="632" t="str">
        <f>CONCATENATE("insert into lecturas values ","('",Tabla7[[#This Row],[CONTADOR]],"',STR_TO_DATE('",Tabla7[[#Headers],[31/12/2017]],"','%d/%m/%Y'),",AV323,"),","('",Tabla7[[#This Row],[CONTADOR]],"',STR_TO_DATE('",Tabla7[[#Headers],[15/01/2018]],"','%d/%m/%Y'),",AW323,"),","('",Tabla7[[#This Row],[CONTADOR]],"',STR_TO_DATE('",Tabla7[[#Headers],[15/02/2018]],"','%d/%m/%Y'),",AX323,"),","('",Tabla7[[#This Row],[CONTADOR]],"',STR_TO_DATE('",Tabla7[[#Headers],[15/03/2018]],"','%d/%m/%Y'),",AY323,"),","('",Tabla7[[#This Row],[CONTADOR]],"',STR_TO_DATE('",Tabla7[[#Headers],[15/04/2018]],"','%d/%m/%Y'),",AZ323,"),","('",Tabla7[[#This Row],[CONTADOR]],"',STR_TO_DATE('",Tabla7[[#Headers],[15/05/2018]],"','%d/%m/%Y'),",BA323,"),","('",Tabla7[[#This Row],[CONTADOR]],"',STR_TO_DATE('",Tabla7[[#Headers],[15/06/2018]],"','%d/%m/%Y'),",BB323,"),","('",Tabla7[[#This Row],[CONTADOR]],"',STR_TO_DATE('",Tabla7[[#Headers],[15/07/2018]],"','%d/%m/%Y'),",BC323,"),","('",Tabla7[[#This Row],[CONTADOR]],"',STR_TO_DATE('",Tabla7[[#Headers],[15/08/2018]],"','%d/%m/%Y'),",BD323,"),","('",Tabla7[[#This Row],[CONTADOR]],"',STR_TO_DATE('",Tabla7[[#Headers],[15/09/2018]],"','%d/%m/%Y'),",BE323,"),","('",Tabla7[[#This Row],[CONTADOR]],"',STR_TO_DATE('",Tabla7[[#Headers],[15/10/2018]],"','%d/%m/%Y'),",BF323,"),","('",Tabla7[[#This Row],[CONTADOR]],"',STR_TO_DATE('",Tabla7[[#Headers],[15/11/2018]],"','%d/%m/%Y'),",BG323,"),","('",Tabla7[[#This Row],[CONTADOR]],"',STR_TO_DATE('",Tabla7[[#Headers],[15/12/2018]],"','%d/%m/%Y'),",BH323,");")</f>
        <v>insert into lecturas values ('CXRUGBI15051203690',STR_TO_DATE('31/12/2017','%d/%m/%Y'),0),('CXRUGBI15051203690',STR_TO_DATE('15/01/2018','%d/%m/%Y'),0),('CXRUGBI15051203690',STR_TO_DATE('15/02/2018','%d/%m/%Y'),0),('CXRUGBI15051203690',STR_TO_DATE('15/03/2018','%d/%m/%Y'),0),('CXRUGBI15051203690',STR_TO_DATE('15/04/2018','%d/%m/%Y'),0),('CXRUGBI15051203690',STR_TO_DATE('15/05/2018','%d/%m/%Y'),0),('CXRUGBI15051203690',STR_TO_DATE('15/06/2018','%d/%m/%Y'),0),('CXRUGBI15051203690',STR_TO_DATE('15/07/2018','%d/%m/%Y'),0),('CXRUGBI15051203690',STR_TO_DATE('15/08/2018','%d/%m/%Y'),0),('CXRUGBI15051203690',STR_TO_DATE('15/09/2018','%d/%m/%Y'),0),('CXRUGBI15051203690',STR_TO_DATE('15/10/2018','%d/%m/%Y'),0),('CXRUGBI15051203690',STR_TO_DATE('15/11/2018','%d/%m/%Y'),0),('CXRUGBI15051203690',STR_TO_DATE('15/12/2018','%d/%m/%Y'),0);</v>
      </c>
    </row>
    <row r="324" spans="1:68" ht="18" customHeight="1" x14ac:dyDescent="0.25">
      <c r="A324" s="241" t="s">
        <v>19</v>
      </c>
      <c r="B324" s="60"/>
      <c r="C324" s="342" t="s">
        <v>156</v>
      </c>
      <c r="D324" s="60" t="s">
        <v>152</v>
      </c>
      <c r="E324" s="258">
        <v>140</v>
      </c>
      <c r="F324" s="274" t="s">
        <v>157</v>
      </c>
      <c r="G324" s="274" t="s">
        <v>1014</v>
      </c>
      <c r="H324" s="274"/>
      <c r="I324" s="2"/>
      <c r="J324" s="311">
        <v>2440</v>
      </c>
      <c r="K324" s="311">
        <v>2488</v>
      </c>
      <c r="L324" s="354">
        <v>2573</v>
      </c>
      <c r="M324" s="311">
        <v>2646</v>
      </c>
      <c r="N324" s="311">
        <v>2727</v>
      </c>
      <c r="O324" s="311">
        <v>2810</v>
      </c>
      <c r="P324" s="311">
        <v>2894</v>
      </c>
      <c r="Q324" s="275">
        <v>2973</v>
      </c>
      <c r="R324" s="307">
        <v>3047</v>
      </c>
      <c r="S324" s="311">
        <v>3120</v>
      </c>
      <c r="T324" s="311">
        <v>3187</v>
      </c>
      <c r="U324" s="531">
        <v>3286</v>
      </c>
      <c r="V324" s="492">
        <v>3368</v>
      </c>
      <c r="W324" s="274"/>
      <c r="X324" s="2"/>
      <c r="Y324" s="2">
        <f t="shared" si="104"/>
        <v>48</v>
      </c>
      <c r="Z324" s="2">
        <f t="shared" si="105"/>
        <v>85</v>
      </c>
      <c r="AA324" s="2">
        <f t="shared" si="106"/>
        <v>73</v>
      </c>
      <c r="AB324" s="2">
        <f t="shared" si="107"/>
        <v>81</v>
      </c>
      <c r="AC324" s="2">
        <f t="shared" si="108"/>
        <v>83</v>
      </c>
      <c r="AD324" s="2">
        <f t="shared" si="109"/>
        <v>84</v>
      </c>
      <c r="AE324" s="2">
        <f t="shared" si="110"/>
        <v>79</v>
      </c>
      <c r="AF324" s="2">
        <f t="shared" si="111"/>
        <v>74</v>
      </c>
      <c r="AG324" s="2">
        <f t="shared" si="112"/>
        <v>73</v>
      </c>
      <c r="AH324" s="2">
        <f t="shared" si="113"/>
        <v>67</v>
      </c>
      <c r="AI324" s="2">
        <f t="shared" si="114"/>
        <v>99</v>
      </c>
      <c r="AJ324" s="2">
        <f t="shared" si="115"/>
        <v>82</v>
      </c>
      <c r="AK324" s="406">
        <v>1</v>
      </c>
      <c r="AL324" s="274">
        <f t="shared" ca="1" si="116"/>
        <v>2727</v>
      </c>
      <c r="AM324" s="311">
        <f t="shared" ca="1" si="117"/>
        <v>2810</v>
      </c>
      <c r="AN324" s="274">
        <f ca="1">IF(AND(Tabla7[[#This Row],[UltLec]]&lt;&gt;0,Tabla7[[#This Row],[PenLect]]&lt;&gt;0),(AM324-AL324)*Tabla7[[#This Row],[RT]],"N/A")</f>
        <v>83</v>
      </c>
      <c r="AO324" s="273" t="s">
        <v>862</v>
      </c>
      <c r="AP324" s="392" t="s">
        <v>1191</v>
      </c>
      <c r="AQ324" s="392" t="s">
        <v>1189</v>
      </c>
      <c r="AR324" s="407">
        <f t="shared" si="118"/>
        <v>0</v>
      </c>
      <c r="AT324" s="2">
        <f t="shared" ca="1" si="91"/>
        <v>1.0246913580246915</v>
      </c>
      <c r="AV324">
        <f>IF(ISBLANK(Tabla7[[#This Row],[31/12/2017]]),0,Tabla7[[#This Row],[31/12/2017]])</f>
        <v>2440</v>
      </c>
      <c r="AW324">
        <f>IF(ISBLANK(Tabla7[[#This Row],[15/01/2018]]),0,Tabla7[[#This Row],[15/01/2018]])</f>
        <v>2488</v>
      </c>
      <c r="AX324">
        <f>IF(ISBLANK(Tabla7[[#This Row],[15/02/2018]]),0,Tabla7[[#This Row],[15/02/2018]])</f>
        <v>2573</v>
      </c>
      <c r="AY324">
        <f>IF(ISBLANK(Tabla7[[#This Row],[15/03/2018]]),0,Tabla7[[#This Row],[15/03/2018]])</f>
        <v>2646</v>
      </c>
      <c r="AZ324">
        <f>IF(ISBLANK(Tabla7[[#This Row],[15/04/2018]]),0,Tabla7[[#This Row],[15/04/2018]])</f>
        <v>2727</v>
      </c>
      <c r="BA324">
        <f>IF(ISBLANK(Tabla7[[#This Row],[15/05/2018]]),0,Tabla7[[#This Row],[15/05/2018]])</f>
        <v>2810</v>
      </c>
      <c r="BB324">
        <f>IF(ISBLANK(Tabla7[[#This Row],[15/06/2018]]),0,Tabla7[[#This Row],[15/06/2018]])</f>
        <v>2894</v>
      </c>
      <c r="BC324">
        <f>IF(ISBLANK(Tabla7[[#This Row],[15/07/2018]]),0,Tabla7[[#This Row],[15/07/2018]])</f>
        <v>2973</v>
      </c>
      <c r="BD324">
        <f>IF(ISBLANK(Tabla7[[#This Row],[15/08/2018]]),0,Tabla7[[#This Row],[15/08/2018]])</f>
        <v>3047</v>
      </c>
      <c r="BE324">
        <f>IF(ISBLANK(Tabla7[[#This Row],[15/09/2018]]),0,Tabla7[[#This Row],[15/09/2018]])</f>
        <v>3120</v>
      </c>
      <c r="BF324">
        <f>IF(ISBLANK(Tabla7[[#This Row],[15/10/2018]]),0,Tabla7[[#This Row],[15/10/2018]])</f>
        <v>3187</v>
      </c>
      <c r="BG324">
        <f>IF(ISBLANK(Tabla7[[#This Row],[15/11/2018]]),0,Tabla7[[#This Row],[15/11/2018]])</f>
        <v>3286</v>
      </c>
      <c r="BH324">
        <f>IF(ISBLANK(Tabla7[[#This Row],[15/12/2018]]),0,Tabla7[[#This Row],[15/12/2018]])</f>
        <v>3368</v>
      </c>
      <c r="BI324">
        <f>IF(ISBLANK(Tabla7[[#This Row],[28/12/2018]]),0,Tabla7[[#This Row],[28/12/2018]])</f>
        <v>0</v>
      </c>
      <c r="BN32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('CXRUGBI15051203691','V','VCT17','140','CONSUMOS CUADRO APV VARIOS','EN CENTRALIZACION (03)','','');</v>
      </c>
      <c r="BO324" t="s">
        <v>243</v>
      </c>
      <c r="BP324" s="632" t="str">
        <f>CONCATENATE("insert into lecturas values ","('",Tabla7[[#This Row],[CONTADOR]],"',STR_TO_DATE('",Tabla7[[#Headers],[31/12/2017]],"','%d/%m/%Y'),",AV324,"),","('",Tabla7[[#This Row],[CONTADOR]],"',STR_TO_DATE('",Tabla7[[#Headers],[15/01/2018]],"','%d/%m/%Y'),",AW324,"),","('",Tabla7[[#This Row],[CONTADOR]],"',STR_TO_DATE('",Tabla7[[#Headers],[15/02/2018]],"','%d/%m/%Y'),",AX324,"),","('",Tabla7[[#This Row],[CONTADOR]],"',STR_TO_DATE('",Tabla7[[#Headers],[15/03/2018]],"','%d/%m/%Y'),",AY324,"),","('",Tabla7[[#This Row],[CONTADOR]],"',STR_TO_DATE('",Tabla7[[#Headers],[15/04/2018]],"','%d/%m/%Y'),",AZ324,"),","('",Tabla7[[#This Row],[CONTADOR]],"',STR_TO_DATE('",Tabla7[[#Headers],[15/05/2018]],"','%d/%m/%Y'),",BA324,"),","('",Tabla7[[#This Row],[CONTADOR]],"',STR_TO_DATE('",Tabla7[[#Headers],[15/06/2018]],"','%d/%m/%Y'),",BB324,"),","('",Tabla7[[#This Row],[CONTADOR]],"',STR_TO_DATE('",Tabla7[[#Headers],[15/07/2018]],"','%d/%m/%Y'),",BC324,"),","('",Tabla7[[#This Row],[CONTADOR]],"',STR_TO_DATE('",Tabla7[[#Headers],[15/08/2018]],"','%d/%m/%Y'),",BD324,"),","('",Tabla7[[#This Row],[CONTADOR]],"',STR_TO_DATE('",Tabla7[[#Headers],[15/09/2018]],"','%d/%m/%Y'),",BE324,"),","('",Tabla7[[#This Row],[CONTADOR]],"',STR_TO_DATE('",Tabla7[[#Headers],[15/10/2018]],"','%d/%m/%Y'),",BF324,"),","('",Tabla7[[#This Row],[CONTADOR]],"',STR_TO_DATE('",Tabla7[[#Headers],[15/11/2018]],"','%d/%m/%Y'),",BG324,"),","('",Tabla7[[#This Row],[CONTADOR]],"',STR_TO_DATE('",Tabla7[[#Headers],[15/12/2018]],"','%d/%m/%Y'),",BH324,");")</f>
        <v>insert into lecturas values ('CXRUGBI15051203691',STR_TO_DATE('31/12/2017','%d/%m/%Y'),2440),('CXRUGBI15051203691',STR_TO_DATE('15/01/2018','%d/%m/%Y'),2488),('CXRUGBI15051203691',STR_TO_DATE('15/02/2018','%d/%m/%Y'),2573),('CXRUGBI15051203691',STR_TO_DATE('15/03/2018','%d/%m/%Y'),2646),('CXRUGBI15051203691',STR_TO_DATE('15/04/2018','%d/%m/%Y'),2727),('CXRUGBI15051203691',STR_TO_DATE('15/05/2018','%d/%m/%Y'),2810),('CXRUGBI15051203691',STR_TO_DATE('15/06/2018','%d/%m/%Y'),2894),('CXRUGBI15051203691',STR_TO_DATE('15/07/2018','%d/%m/%Y'),2973),('CXRUGBI15051203691',STR_TO_DATE('15/08/2018','%d/%m/%Y'),3047),('CXRUGBI15051203691',STR_TO_DATE('15/09/2018','%d/%m/%Y'),3120),('CXRUGBI15051203691',STR_TO_DATE('15/10/2018','%d/%m/%Y'),3187),('CXRUGBI15051203691',STR_TO_DATE('15/11/2018','%d/%m/%Y'),3286),('CXRUGBI15051203691',STR_TO_DATE('15/12/2018','%d/%m/%Y'),3368);</v>
      </c>
    </row>
    <row r="325" spans="1:68" ht="18" customHeight="1" x14ac:dyDescent="0.25">
      <c r="A325" s="241" t="s">
        <v>19</v>
      </c>
      <c r="B325" s="60">
        <v>1314</v>
      </c>
      <c r="C325" s="342" t="s">
        <v>1206</v>
      </c>
      <c r="D325" s="60" t="s">
        <v>152</v>
      </c>
      <c r="E325" s="258">
        <v>39194</v>
      </c>
      <c r="F325" s="2" t="s">
        <v>851</v>
      </c>
      <c r="G325" s="2" t="s">
        <v>992</v>
      </c>
      <c r="H325" s="2" t="s">
        <v>863</v>
      </c>
      <c r="I325" s="2"/>
      <c r="J325" s="311">
        <v>461</v>
      </c>
      <c r="K325" s="311">
        <v>462</v>
      </c>
      <c r="L325" s="354">
        <v>465</v>
      </c>
      <c r="M325" s="311">
        <v>467</v>
      </c>
      <c r="N325" s="311">
        <v>474</v>
      </c>
      <c r="O325" s="311">
        <v>478</v>
      </c>
      <c r="P325" s="311">
        <v>480</v>
      </c>
      <c r="Q325" s="275">
        <v>483</v>
      </c>
      <c r="R325" s="275">
        <v>485</v>
      </c>
      <c r="S325" s="311">
        <v>488</v>
      </c>
      <c r="T325" s="311">
        <v>490</v>
      </c>
      <c r="U325" s="531">
        <v>493</v>
      </c>
      <c r="V325" s="492">
        <v>497</v>
      </c>
      <c r="W325" s="274"/>
      <c r="X325" s="2"/>
      <c r="Y325" s="2">
        <f t="shared" si="104"/>
        <v>1</v>
      </c>
      <c r="Z325" s="2">
        <f t="shared" si="105"/>
        <v>3</v>
      </c>
      <c r="AA325" s="2">
        <f t="shared" si="106"/>
        <v>2</v>
      </c>
      <c r="AB325" s="2">
        <f t="shared" si="107"/>
        <v>7</v>
      </c>
      <c r="AC325" s="2">
        <f t="shared" si="108"/>
        <v>4</v>
      </c>
      <c r="AD325" s="2">
        <f t="shared" si="109"/>
        <v>2</v>
      </c>
      <c r="AE325" s="2">
        <f t="shared" si="110"/>
        <v>3</v>
      </c>
      <c r="AF325" s="2">
        <f t="shared" si="111"/>
        <v>2</v>
      </c>
      <c r="AG325" s="2">
        <f t="shared" si="112"/>
        <v>3</v>
      </c>
      <c r="AH325" s="2">
        <f t="shared" si="113"/>
        <v>2</v>
      </c>
      <c r="AI325" s="2">
        <f t="shared" si="114"/>
        <v>3</v>
      </c>
      <c r="AJ325" s="2">
        <f t="shared" si="115"/>
        <v>4</v>
      </c>
      <c r="AK325" s="406">
        <v>1</v>
      </c>
      <c r="AL325" s="274">
        <f t="shared" ca="1" si="116"/>
        <v>474</v>
      </c>
      <c r="AM325" s="311">
        <f t="shared" ca="1" si="117"/>
        <v>478</v>
      </c>
      <c r="AN325" s="274">
        <f ca="1">IF(AND(Tabla7[[#This Row],[UltLec]]&lt;&gt;0,Tabla7[[#This Row],[PenLect]]&lt;&gt;0),(AM325-AL325)*Tabla7[[#This Row],[RT]],"N/A")</f>
        <v>4</v>
      </c>
      <c r="AO325" s="403" t="s">
        <v>862</v>
      </c>
      <c r="AP325" s="392" t="s">
        <v>1191</v>
      </c>
      <c r="AQ325" s="392" t="s">
        <v>1189</v>
      </c>
      <c r="AR325" s="407">
        <f t="shared" si="118"/>
        <v>0</v>
      </c>
      <c r="AT325" s="2">
        <f t="shared" ref="AT325:AT388" ca="1" si="119">IF(IF(DAY(TODAY())&gt;15,INDEX($Y325:$AJ325,1,MONTH(TODAY())-1),INDEX($Y325:$AJ325,1,MONTH(TODAY())-2))=0,"0",IF(DAY(TODAY())&gt;15,INDEX($Y325:$AJ325,1,MONTH(TODAY())),INDEX($Y325:$AJ325,1,MONTH(TODAY())-1))/IF(DAY(TODAY())&gt;15,INDEX($Y325:$AJ325,1,MONTH(TODAY())-1),INDEX($Y325:$AJ325,1,MONTH(TODAY())-2)))</f>
        <v>0.5714285714285714</v>
      </c>
      <c r="AV325">
        <f>IF(ISBLANK(Tabla7[[#This Row],[31/12/2017]]),0,Tabla7[[#This Row],[31/12/2017]])</f>
        <v>461</v>
      </c>
      <c r="AW325">
        <f>IF(ISBLANK(Tabla7[[#This Row],[15/01/2018]]),0,Tabla7[[#This Row],[15/01/2018]])</f>
        <v>462</v>
      </c>
      <c r="AX325">
        <f>IF(ISBLANK(Tabla7[[#This Row],[15/02/2018]]),0,Tabla7[[#This Row],[15/02/2018]])</f>
        <v>465</v>
      </c>
      <c r="AY325">
        <f>IF(ISBLANK(Tabla7[[#This Row],[15/03/2018]]),0,Tabla7[[#This Row],[15/03/2018]])</f>
        <v>467</v>
      </c>
      <c r="AZ325">
        <f>IF(ISBLANK(Tabla7[[#This Row],[15/04/2018]]),0,Tabla7[[#This Row],[15/04/2018]])</f>
        <v>474</v>
      </c>
      <c r="BA325">
        <f>IF(ISBLANK(Tabla7[[#This Row],[15/05/2018]]),0,Tabla7[[#This Row],[15/05/2018]])</f>
        <v>478</v>
      </c>
      <c r="BB325">
        <f>IF(ISBLANK(Tabla7[[#This Row],[15/06/2018]]),0,Tabla7[[#This Row],[15/06/2018]])</f>
        <v>480</v>
      </c>
      <c r="BC325">
        <f>IF(ISBLANK(Tabla7[[#This Row],[15/07/2018]]),0,Tabla7[[#This Row],[15/07/2018]])</f>
        <v>483</v>
      </c>
      <c r="BD325">
        <f>IF(ISBLANK(Tabla7[[#This Row],[15/08/2018]]),0,Tabla7[[#This Row],[15/08/2018]])</f>
        <v>485</v>
      </c>
      <c r="BE325">
        <f>IF(ISBLANK(Tabla7[[#This Row],[15/09/2018]]),0,Tabla7[[#This Row],[15/09/2018]])</f>
        <v>488</v>
      </c>
      <c r="BF325">
        <f>IF(ISBLANK(Tabla7[[#This Row],[15/10/2018]]),0,Tabla7[[#This Row],[15/10/2018]])</f>
        <v>490</v>
      </c>
      <c r="BG325">
        <f>IF(ISBLANK(Tabla7[[#This Row],[15/11/2018]]),0,Tabla7[[#This Row],[15/11/2018]])</f>
        <v>493</v>
      </c>
      <c r="BH325">
        <f>IF(ISBLANK(Tabla7[[#This Row],[15/12/2018]]),0,Tabla7[[#This Row],[15/12/2018]])</f>
        <v>497</v>
      </c>
      <c r="BI325">
        <f>IF(ISBLANK(Tabla7[[#This Row],[28/12/2018]]),0,Tabla7[[#This Row],[28/12/2018]])</f>
        <v>0</v>
      </c>
      <c r="BN32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('CXRUGBI15051203692','V','VCT17','39194','PRACTICOS PUERTO VALENCIA','EN CENTRALIZACION (10)','PANTALÁN BOMBA DIESEL','');</v>
      </c>
      <c r="BO325" t="s">
        <v>243</v>
      </c>
      <c r="BP325" s="632" t="str">
        <f>CONCATENATE("insert into lecturas values ","('",Tabla7[[#This Row],[CONTADOR]],"',STR_TO_DATE('",Tabla7[[#Headers],[31/12/2017]],"','%d/%m/%Y'),",AV325,"),","('",Tabla7[[#This Row],[CONTADOR]],"',STR_TO_DATE('",Tabla7[[#Headers],[15/01/2018]],"','%d/%m/%Y'),",AW325,"),","('",Tabla7[[#This Row],[CONTADOR]],"',STR_TO_DATE('",Tabla7[[#Headers],[15/02/2018]],"','%d/%m/%Y'),",AX325,"),","('",Tabla7[[#This Row],[CONTADOR]],"',STR_TO_DATE('",Tabla7[[#Headers],[15/03/2018]],"','%d/%m/%Y'),",AY325,"),","('",Tabla7[[#This Row],[CONTADOR]],"',STR_TO_DATE('",Tabla7[[#Headers],[15/04/2018]],"','%d/%m/%Y'),",AZ325,"),","('",Tabla7[[#This Row],[CONTADOR]],"',STR_TO_DATE('",Tabla7[[#Headers],[15/05/2018]],"','%d/%m/%Y'),",BA325,"),","('",Tabla7[[#This Row],[CONTADOR]],"',STR_TO_DATE('",Tabla7[[#Headers],[15/06/2018]],"','%d/%m/%Y'),",BB325,"),","('",Tabla7[[#This Row],[CONTADOR]],"',STR_TO_DATE('",Tabla7[[#Headers],[15/07/2018]],"','%d/%m/%Y'),",BC325,"),","('",Tabla7[[#This Row],[CONTADOR]],"',STR_TO_DATE('",Tabla7[[#Headers],[15/08/2018]],"','%d/%m/%Y'),",BD325,"),","('",Tabla7[[#This Row],[CONTADOR]],"',STR_TO_DATE('",Tabla7[[#Headers],[15/09/2018]],"','%d/%m/%Y'),",BE325,"),","('",Tabla7[[#This Row],[CONTADOR]],"',STR_TO_DATE('",Tabla7[[#Headers],[15/10/2018]],"','%d/%m/%Y'),",BF325,"),","('",Tabla7[[#This Row],[CONTADOR]],"',STR_TO_DATE('",Tabla7[[#Headers],[15/11/2018]],"','%d/%m/%Y'),",BG325,"),","('",Tabla7[[#This Row],[CONTADOR]],"',STR_TO_DATE('",Tabla7[[#Headers],[15/12/2018]],"','%d/%m/%Y'),",BH325,");")</f>
        <v>insert into lecturas values ('CXRUGBI15051203692',STR_TO_DATE('31/12/2017','%d/%m/%Y'),461),('CXRUGBI15051203692',STR_TO_DATE('15/01/2018','%d/%m/%Y'),462),('CXRUGBI15051203692',STR_TO_DATE('15/02/2018','%d/%m/%Y'),465),('CXRUGBI15051203692',STR_TO_DATE('15/03/2018','%d/%m/%Y'),467),('CXRUGBI15051203692',STR_TO_DATE('15/04/2018','%d/%m/%Y'),474),('CXRUGBI15051203692',STR_TO_DATE('15/05/2018','%d/%m/%Y'),478),('CXRUGBI15051203692',STR_TO_DATE('15/06/2018','%d/%m/%Y'),480),('CXRUGBI15051203692',STR_TO_DATE('15/07/2018','%d/%m/%Y'),483),('CXRUGBI15051203692',STR_TO_DATE('15/08/2018','%d/%m/%Y'),485),('CXRUGBI15051203692',STR_TO_DATE('15/09/2018','%d/%m/%Y'),488),('CXRUGBI15051203692',STR_TO_DATE('15/10/2018','%d/%m/%Y'),490),('CXRUGBI15051203692',STR_TO_DATE('15/11/2018','%d/%m/%Y'),493),('CXRUGBI15051203692',STR_TO_DATE('15/12/2018','%d/%m/%Y'),497);</v>
      </c>
    </row>
    <row r="326" spans="1:68" ht="18" customHeight="1" x14ac:dyDescent="0.25">
      <c r="A326" s="241" t="s">
        <v>19</v>
      </c>
      <c r="B326" s="60">
        <v>5097</v>
      </c>
      <c r="C326" s="342" t="s">
        <v>1207</v>
      </c>
      <c r="D326" s="60" t="s">
        <v>152</v>
      </c>
      <c r="E326" s="258">
        <v>39757</v>
      </c>
      <c r="F326" s="2" t="s">
        <v>175</v>
      </c>
      <c r="G326" s="2" t="s">
        <v>986</v>
      </c>
      <c r="H326" s="2"/>
      <c r="I326" s="2"/>
      <c r="J326" s="311">
        <v>99597</v>
      </c>
      <c r="K326" s="311">
        <v>101440</v>
      </c>
      <c r="L326" s="354">
        <v>104642</v>
      </c>
      <c r="M326" s="311">
        <v>107472</v>
      </c>
      <c r="N326" s="311">
        <v>110742</v>
      </c>
      <c r="O326" s="311">
        <v>114219</v>
      </c>
      <c r="P326" s="311">
        <v>117920</v>
      </c>
      <c r="Q326" s="275">
        <v>121682</v>
      </c>
      <c r="R326" s="275">
        <v>125656</v>
      </c>
      <c r="S326" s="311">
        <v>129785</v>
      </c>
      <c r="T326" s="311">
        <v>133429</v>
      </c>
      <c r="U326" s="492">
        <v>137374</v>
      </c>
      <c r="V326" s="492">
        <v>141194</v>
      </c>
      <c r="W326" s="274"/>
      <c r="X326" s="2"/>
      <c r="Y326" s="2">
        <f t="shared" si="104"/>
        <v>1843</v>
      </c>
      <c r="Z326" s="2">
        <f t="shared" si="105"/>
        <v>3202</v>
      </c>
      <c r="AA326" s="2">
        <f t="shared" si="106"/>
        <v>2830</v>
      </c>
      <c r="AB326" s="2">
        <f t="shared" si="107"/>
        <v>3270</v>
      </c>
      <c r="AC326" s="2">
        <f t="shared" si="108"/>
        <v>3477</v>
      </c>
      <c r="AD326" s="2">
        <f t="shared" si="109"/>
        <v>3701</v>
      </c>
      <c r="AE326" s="2">
        <f t="shared" si="110"/>
        <v>3762</v>
      </c>
      <c r="AF326" s="2">
        <f t="shared" si="111"/>
        <v>3974</v>
      </c>
      <c r="AG326" s="2">
        <f t="shared" si="112"/>
        <v>4129</v>
      </c>
      <c r="AH326" s="2">
        <f t="shared" si="113"/>
        <v>3644</v>
      </c>
      <c r="AI326" s="2">
        <f t="shared" si="114"/>
        <v>3945</v>
      </c>
      <c r="AJ326" s="2">
        <f t="shared" si="115"/>
        <v>3820</v>
      </c>
      <c r="AK326" s="406">
        <v>1</v>
      </c>
      <c r="AL326" s="274">
        <f t="shared" ca="1" si="116"/>
        <v>110742</v>
      </c>
      <c r="AM326" s="311">
        <f t="shared" ca="1" si="117"/>
        <v>114219</v>
      </c>
      <c r="AN326" s="274">
        <f ca="1">IF(AND(Tabla7[[#This Row],[UltLec]]&lt;&gt;0,Tabla7[[#This Row],[PenLect]]&lt;&gt;0),(AM326-AL326)*Tabla7[[#This Row],[RT]],"N/A")</f>
        <v>3477</v>
      </c>
      <c r="AO326" s="273" t="s">
        <v>862</v>
      </c>
      <c r="AP326" s="392" t="s">
        <v>1191</v>
      </c>
      <c r="AQ326" s="392" t="s">
        <v>1189</v>
      </c>
      <c r="AR326" s="407">
        <f t="shared" si="118"/>
        <v>0</v>
      </c>
      <c r="AT326" s="2">
        <f t="shared" ca="1" si="119"/>
        <v>1.0633027522935781</v>
      </c>
      <c r="AV326">
        <f>IF(ISBLANK(Tabla7[[#This Row],[31/12/2017]]),0,Tabla7[[#This Row],[31/12/2017]])</f>
        <v>99597</v>
      </c>
      <c r="AW326">
        <f>IF(ISBLANK(Tabla7[[#This Row],[15/01/2018]]),0,Tabla7[[#This Row],[15/01/2018]])</f>
        <v>101440</v>
      </c>
      <c r="AX326">
        <f>IF(ISBLANK(Tabla7[[#This Row],[15/02/2018]]),0,Tabla7[[#This Row],[15/02/2018]])</f>
        <v>104642</v>
      </c>
      <c r="AY326">
        <f>IF(ISBLANK(Tabla7[[#This Row],[15/03/2018]]),0,Tabla7[[#This Row],[15/03/2018]])</f>
        <v>107472</v>
      </c>
      <c r="AZ326">
        <f>IF(ISBLANK(Tabla7[[#This Row],[15/04/2018]]),0,Tabla7[[#This Row],[15/04/2018]])</f>
        <v>110742</v>
      </c>
      <c r="BA326">
        <f>IF(ISBLANK(Tabla7[[#This Row],[15/05/2018]]),0,Tabla7[[#This Row],[15/05/2018]])</f>
        <v>114219</v>
      </c>
      <c r="BB326">
        <f>IF(ISBLANK(Tabla7[[#This Row],[15/06/2018]]),0,Tabla7[[#This Row],[15/06/2018]])</f>
        <v>117920</v>
      </c>
      <c r="BC326">
        <f>IF(ISBLANK(Tabla7[[#This Row],[15/07/2018]]),0,Tabla7[[#This Row],[15/07/2018]])</f>
        <v>121682</v>
      </c>
      <c r="BD326">
        <f>IF(ISBLANK(Tabla7[[#This Row],[15/08/2018]]),0,Tabla7[[#This Row],[15/08/2018]])</f>
        <v>125656</v>
      </c>
      <c r="BE326">
        <f>IF(ISBLANK(Tabla7[[#This Row],[15/09/2018]]),0,Tabla7[[#This Row],[15/09/2018]])</f>
        <v>129785</v>
      </c>
      <c r="BF326">
        <f>IF(ISBLANK(Tabla7[[#This Row],[15/10/2018]]),0,Tabla7[[#This Row],[15/10/2018]])</f>
        <v>133429</v>
      </c>
      <c r="BG326">
        <f>IF(ISBLANK(Tabla7[[#This Row],[15/11/2018]]),0,Tabla7[[#This Row],[15/11/2018]])</f>
        <v>137374</v>
      </c>
      <c r="BH326">
        <f>IF(ISBLANK(Tabla7[[#This Row],[15/12/2018]]),0,Tabla7[[#This Row],[15/12/2018]])</f>
        <v>141194</v>
      </c>
      <c r="BI326">
        <f>IF(ISBLANK(Tabla7[[#This Row],[28/12/2018]]),0,Tabla7[[#This Row],[28/12/2018]])</f>
        <v>0</v>
      </c>
      <c r="BN32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('CXRUGBI15051203693','V','VCT17','39757','TELEFONICA MOVILES ESPAÑA','EN CENTRALIZACION (12)','','');</v>
      </c>
      <c r="BO326" t="s">
        <v>243</v>
      </c>
      <c r="BP326" s="632" t="str">
        <f>CONCATENATE("insert into lecturas values ","('",Tabla7[[#This Row],[CONTADOR]],"',STR_TO_DATE('",Tabla7[[#Headers],[31/12/2017]],"','%d/%m/%Y'),",AV326,"),","('",Tabla7[[#This Row],[CONTADOR]],"',STR_TO_DATE('",Tabla7[[#Headers],[15/01/2018]],"','%d/%m/%Y'),",AW326,"),","('",Tabla7[[#This Row],[CONTADOR]],"',STR_TO_DATE('",Tabla7[[#Headers],[15/02/2018]],"','%d/%m/%Y'),",AX326,"),","('",Tabla7[[#This Row],[CONTADOR]],"',STR_TO_DATE('",Tabla7[[#Headers],[15/03/2018]],"','%d/%m/%Y'),",AY326,"),","('",Tabla7[[#This Row],[CONTADOR]],"',STR_TO_DATE('",Tabla7[[#Headers],[15/04/2018]],"','%d/%m/%Y'),",AZ326,"),","('",Tabla7[[#This Row],[CONTADOR]],"',STR_TO_DATE('",Tabla7[[#Headers],[15/05/2018]],"','%d/%m/%Y'),",BA326,"),","('",Tabla7[[#This Row],[CONTADOR]],"',STR_TO_DATE('",Tabla7[[#Headers],[15/06/2018]],"','%d/%m/%Y'),",BB326,"),","('",Tabla7[[#This Row],[CONTADOR]],"',STR_TO_DATE('",Tabla7[[#Headers],[15/07/2018]],"','%d/%m/%Y'),",BC326,"),","('",Tabla7[[#This Row],[CONTADOR]],"',STR_TO_DATE('",Tabla7[[#Headers],[15/08/2018]],"','%d/%m/%Y'),",BD326,"),","('",Tabla7[[#This Row],[CONTADOR]],"',STR_TO_DATE('",Tabla7[[#Headers],[15/09/2018]],"','%d/%m/%Y'),",BE326,"),","('",Tabla7[[#This Row],[CONTADOR]],"',STR_TO_DATE('",Tabla7[[#Headers],[15/10/2018]],"','%d/%m/%Y'),",BF326,"),","('",Tabla7[[#This Row],[CONTADOR]],"',STR_TO_DATE('",Tabla7[[#Headers],[15/11/2018]],"','%d/%m/%Y'),",BG326,"),","('",Tabla7[[#This Row],[CONTADOR]],"',STR_TO_DATE('",Tabla7[[#Headers],[15/12/2018]],"','%d/%m/%Y'),",BH326,");")</f>
        <v>insert into lecturas values ('CXRUGBI15051203693',STR_TO_DATE('31/12/2017','%d/%m/%Y'),99597),('CXRUGBI15051203693',STR_TO_DATE('15/01/2018','%d/%m/%Y'),101440),('CXRUGBI15051203693',STR_TO_DATE('15/02/2018','%d/%m/%Y'),104642),('CXRUGBI15051203693',STR_TO_DATE('15/03/2018','%d/%m/%Y'),107472),('CXRUGBI15051203693',STR_TO_DATE('15/04/2018','%d/%m/%Y'),110742),('CXRUGBI15051203693',STR_TO_DATE('15/05/2018','%d/%m/%Y'),114219),('CXRUGBI15051203693',STR_TO_DATE('15/06/2018','%d/%m/%Y'),117920),('CXRUGBI15051203693',STR_TO_DATE('15/07/2018','%d/%m/%Y'),121682),('CXRUGBI15051203693',STR_TO_DATE('15/08/2018','%d/%m/%Y'),125656),('CXRUGBI15051203693',STR_TO_DATE('15/09/2018','%d/%m/%Y'),129785),('CXRUGBI15051203693',STR_TO_DATE('15/10/2018','%d/%m/%Y'),133429),('CXRUGBI15051203693',STR_TO_DATE('15/11/2018','%d/%m/%Y'),137374),('CXRUGBI15051203693',STR_TO_DATE('15/12/2018','%d/%m/%Y'),141194);</v>
      </c>
    </row>
    <row r="327" spans="1:68" ht="18" customHeight="1" x14ac:dyDescent="0.25">
      <c r="A327" s="372" t="s">
        <v>1196</v>
      </c>
      <c r="B327" s="60">
        <v>42051</v>
      </c>
      <c r="C327" s="373" t="s">
        <v>173</v>
      </c>
      <c r="D327" s="374" t="s">
        <v>152</v>
      </c>
      <c r="E327" s="375">
        <v>39605</v>
      </c>
      <c r="F327" s="376" t="s">
        <v>174</v>
      </c>
      <c r="G327" s="376" t="s">
        <v>988</v>
      </c>
      <c r="H327" s="377"/>
      <c r="I327" s="376" t="s">
        <v>1113</v>
      </c>
      <c r="J327" s="383">
        <v>102811</v>
      </c>
      <c r="K327" s="383">
        <v>105507</v>
      </c>
      <c r="L327" s="376"/>
      <c r="M327" s="376"/>
      <c r="N327" s="376"/>
      <c r="O327" s="376"/>
      <c r="P327" s="382"/>
      <c r="Q327" s="376"/>
      <c r="R327" s="376"/>
      <c r="S327" s="311"/>
      <c r="T327" s="376"/>
      <c r="U327" s="519"/>
      <c r="V327" s="377"/>
      <c r="W327" s="376"/>
      <c r="X327" s="376"/>
      <c r="Y327" s="376">
        <f t="shared" si="104"/>
        <v>2696</v>
      </c>
      <c r="Z327" s="376" t="str">
        <f t="shared" si="105"/>
        <v/>
      </c>
      <c r="AA327" s="376" t="str">
        <f t="shared" si="106"/>
        <v/>
      </c>
      <c r="AB327" s="376" t="str">
        <f t="shared" si="107"/>
        <v/>
      </c>
      <c r="AC327" s="376" t="str">
        <f t="shared" si="108"/>
        <v/>
      </c>
      <c r="AD327" s="376" t="str">
        <f t="shared" si="109"/>
        <v/>
      </c>
      <c r="AE327" s="376" t="str">
        <f t="shared" si="110"/>
        <v/>
      </c>
      <c r="AF327" s="376" t="str">
        <f t="shared" si="111"/>
        <v/>
      </c>
      <c r="AG327" s="376" t="str">
        <f t="shared" si="112"/>
        <v/>
      </c>
      <c r="AH327" s="376" t="str">
        <f t="shared" si="113"/>
        <v/>
      </c>
      <c r="AI327" s="376" t="str">
        <f t="shared" si="114"/>
        <v/>
      </c>
      <c r="AJ327" s="376" t="str">
        <f t="shared" si="115"/>
        <v/>
      </c>
      <c r="AK327" s="408">
        <v>1</v>
      </c>
      <c r="AL327" s="377">
        <f t="shared" ca="1" si="116"/>
        <v>0</v>
      </c>
      <c r="AM327" s="383">
        <f t="shared" ca="1" si="117"/>
        <v>0</v>
      </c>
      <c r="AN327" s="377" t="str">
        <f ca="1">IF(AND(Tabla7[[#This Row],[UltLec]]&lt;&gt;0,Tabla7[[#This Row],[PenLect]]&lt;&gt;0),(AM327-AL327)*Tabla7[[#This Row],[RT]],"N/A")</f>
        <v>N/A</v>
      </c>
      <c r="AO327" s="380" t="s">
        <v>1281</v>
      </c>
      <c r="AP327" s="433" t="s">
        <v>1190</v>
      </c>
      <c r="AQ327" s="433" t="s">
        <v>1189</v>
      </c>
      <c r="AR327" s="409">
        <f t="shared" si="118"/>
        <v>0</v>
      </c>
      <c r="AT327" s="2" t="e">
        <f t="shared" ca="1" si="119"/>
        <v>#VALUE!</v>
      </c>
      <c r="AV327">
        <f>IF(ISBLANK(Tabla7[[#This Row],[31/12/2017]]),0,Tabla7[[#This Row],[31/12/2017]])</f>
        <v>102811</v>
      </c>
      <c r="AW327">
        <f>IF(ISBLANK(Tabla7[[#This Row],[15/01/2018]]),0,Tabla7[[#This Row],[15/01/2018]])</f>
        <v>105507</v>
      </c>
      <c r="AX327">
        <f>IF(ISBLANK(Tabla7[[#This Row],[15/02/2018]]),0,Tabla7[[#This Row],[15/02/2018]])</f>
        <v>0</v>
      </c>
      <c r="AY327">
        <f>IF(ISBLANK(Tabla7[[#This Row],[15/03/2018]]),0,Tabla7[[#This Row],[15/03/2018]])</f>
        <v>0</v>
      </c>
      <c r="AZ327">
        <f>IF(ISBLANK(Tabla7[[#This Row],[15/04/2018]]),0,Tabla7[[#This Row],[15/04/2018]])</f>
        <v>0</v>
      </c>
      <c r="BA327">
        <f>IF(ISBLANK(Tabla7[[#This Row],[15/05/2018]]),0,Tabla7[[#This Row],[15/05/2018]])</f>
        <v>0</v>
      </c>
      <c r="BB327">
        <f>IF(ISBLANK(Tabla7[[#This Row],[15/06/2018]]),0,Tabla7[[#This Row],[15/06/2018]])</f>
        <v>0</v>
      </c>
      <c r="BC327">
        <f>IF(ISBLANK(Tabla7[[#This Row],[15/07/2018]]),0,Tabla7[[#This Row],[15/07/2018]])</f>
        <v>0</v>
      </c>
      <c r="BD327">
        <f>IF(ISBLANK(Tabla7[[#This Row],[15/08/2018]]),0,Tabla7[[#This Row],[15/08/2018]])</f>
        <v>0</v>
      </c>
      <c r="BE327">
        <f>IF(ISBLANK(Tabla7[[#This Row],[15/09/2018]]),0,Tabla7[[#This Row],[15/09/2018]])</f>
        <v>0</v>
      </c>
      <c r="BF327">
        <f>IF(ISBLANK(Tabla7[[#This Row],[15/10/2018]]),0,Tabla7[[#This Row],[15/10/2018]])</f>
        <v>0</v>
      </c>
      <c r="BG327">
        <f>IF(ISBLANK(Tabla7[[#This Row],[15/11/2018]]),0,Tabla7[[#This Row],[15/11/2018]])</f>
        <v>0</v>
      </c>
      <c r="BH327">
        <f>IF(ISBLANK(Tabla7[[#This Row],[15/12/2018]]),0,Tabla7[[#This Row],[15/12/2018]])</f>
        <v>0</v>
      </c>
      <c r="BI327">
        <f>IF(ISBLANK(Tabla7[[#This Row],[28/12/2018]]),0,Tabla7[[#This Row],[28/12/2018]])</f>
        <v>0</v>
      </c>
      <c r="BN32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('CXRUGBI15051203694','VBAJA','VCT17','39605','REMOLCADORES BOLUDA','EN CENTRALIZACION (11)','','retirado');</v>
      </c>
      <c r="BO327" t="s">
        <v>243</v>
      </c>
      <c r="BP327" s="632" t="str">
        <f>CONCATENATE("insert into lecturas values ","('",Tabla7[[#This Row],[CONTADOR]],"',STR_TO_DATE('",Tabla7[[#Headers],[31/12/2017]],"','%d/%m/%Y'),",AV327,"),","('",Tabla7[[#This Row],[CONTADOR]],"',STR_TO_DATE('",Tabla7[[#Headers],[15/01/2018]],"','%d/%m/%Y'),",AW327,"),","('",Tabla7[[#This Row],[CONTADOR]],"',STR_TO_DATE('",Tabla7[[#Headers],[15/02/2018]],"','%d/%m/%Y'),",AX327,"),","('",Tabla7[[#This Row],[CONTADOR]],"',STR_TO_DATE('",Tabla7[[#Headers],[15/03/2018]],"','%d/%m/%Y'),",AY327,"),","('",Tabla7[[#This Row],[CONTADOR]],"',STR_TO_DATE('",Tabla7[[#Headers],[15/04/2018]],"','%d/%m/%Y'),",AZ327,"),","('",Tabla7[[#This Row],[CONTADOR]],"',STR_TO_DATE('",Tabla7[[#Headers],[15/05/2018]],"','%d/%m/%Y'),",BA327,"),","('",Tabla7[[#This Row],[CONTADOR]],"',STR_TO_DATE('",Tabla7[[#Headers],[15/06/2018]],"','%d/%m/%Y'),",BB327,"),","('",Tabla7[[#This Row],[CONTADOR]],"',STR_TO_DATE('",Tabla7[[#Headers],[15/07/2018]],"','%d/%m/%Y'),",BC327,"),","('",Tabla7[[#This Row],[CONTADOR]],"',STR_TO_DATE('",Tabla7[[#Headers],[15/08/2018]],"','%d/%m/%Y'),",BD327,"),","('",Tabla7[[#This Row],[CONTADOR]],"',STR_TO_DATE('",Tabla7[[#Headers],[15/09/2018]],"','%d/%m/%Y'),",BE327,"),","('",Tabla7[[#This Row],[CONTADOR]],"',STR_TO_DATE('",Tabla7[[#Headers],[15/10/2018]],"','%d/%m/%Y'),",BF327,"),","('",Tabla7[[#This Row],[CONTADOR]],"',STR_TO_DATE('",Tabla7[[#Headers],[15/11/2018]],"','%d/%m/%Y'),",BG327,"),","('",Tabla7[[#This Row],[CONTADOR]],"',STR_TO_DATE('",Tabla7[[#Headers],[15/12/2018]],"','%d/%m/%Y'),",BH327,");")</f>
        <v>insert into lecturas values ('CXRUGBI15051203694',STR_TO_DATE('31/12/2017','%d/%m/%Y'),102811),('CXRUGBI15051203694',STR_TO_DATE('15/01/2018','%d/%m/%Y'),105507),('CXRUGBI15051203694',STR_TO_DATE('15/02/2018','%d/%m/%Y'),0),('CXRUGBI15051203694',STR_TO_DATE('15/03/2018','%d/%m/%Y'),0),('CXRUGBI15051203694',STR_TO_DATE('15/04/2018','%d/%m/%Y'),0),('CXRUGBI15051203694',STR_TO_DATE('15/05/2018','%d/%m/%Y'),0),('CXRUGBI15051203694',STR_TO_DATE('15/06/2018','%d/%m/%Y'),0),('CXRUGBI15051203694',STR_TO_DATE('15/07/2018','%d/%m/%Y'),0),('CXRUGBI15051203694',STR_TO_DATE('15/08/2018','%d/%m/%Y'),0),('CXRUGBI15051203694',STR_TO_DATE('15/09/2018','%d/%m/%Y'),0),('CXRUGBI15051203694',STR_TO_DATE('15/10/2018','%d/%m/%Y'),0),('CXRUGBI15051203694',STR_TO_DATE('15/11/2018','%d/%m/%Y'),0),('CXRUGBI15051203694',STR_TO_DATE('15/12/2018','%d/%m/%Y'),0);</v>
      </c>
    </row>
    <row r="328" spans="1:68" ht="18" customHeight="1" x14ac:dyDescent="0.25">
      <c r="A328" s="372" t="s">
        <v>1196</v>
      </c>
      <c r="B328" s="60"/>
      <c r="C328" s="373" t="s">
        <v>170</v>
      </c>
      <c r="D328" s="374" t="s">
        <v>152</v>
      </c>
      <c r="E328" s="375">
        <v>39108</v>
      </c>
      <c r="F328" s="376" t="s">
        <v>132</v>
      </c>
      <c r="G328" s="376" t="s">
        <v>101</v>
      </c>
      <c r="H328" s="376"/>
      <c r="I328" s="376" t="s">
        <v>760</v>
      </c>
      <c r="J328" s="383"/>
      <c r="K328" s="383"/>
      <c r="L328" s="376"/>
      <c r="M328" s="376"/>
      <c r="N328" s="376"/>
      <c r="O328" s="453"/>
      <c r="P328" s="453"/>
      <c r="Q328" s="376"/>
      <c r="R328" s="376"/>
      <c r="S328" s="311"/>
      <c r="T328" s="376"/>
      <c r="U328" s="519"/>
      <c r="V328" s="377"/>
      <c r="W328" s="377"/>
      <c r="X328" s="376"/>
      <c r="Y328" s="376" t="str">
        <f t="shared" si="104"/>
        <v/>
      </c>
      <c r="Z328" s="376" t="str">
        <f t="shared" si="105"/>
        <v/>
      </c>
      <c r="AA328" s="376" t="str">
        <f t="shared" si="106"/>
        <v/>
      </c>
      <c r="AB328" s="376" t="str">
        <f t="shared" si="107"/>
        <v/>
      </c>
      <c r="AC328" s="376" t="str">
        <f t="shared" si="108"/>
        <v/>
      </c>
      <c r="AD328" s="376" t="str">
        <f t="shared" si="109"/>
        <v/>
      </c>
      <c r="AE328" s="376" t="str">
        <f t="shared" si="110"/>
        <v/>
      </c>
      <c r="AF328" s="376" t="str">
        <f t="shared" si="111"/>
        <v/>
      </c>
      <c r="AG328" s="376" t="str">
        <f t="shared" si="112"/>
        <v/>
      </c>
      <c r="AH328" s="376" t="str">
        <f t="shared" si="113"/>
        <v/>
      </c>
      <c r="AI328" s="376" t="str">
        <f t="shared" si="114"/>
        <v/>
      </c>
      <c r="AJ328" s="376" t="str">
        <f t="shared" si="115"/>
        <v/>
      </c>
      <c r="AK328" s="408">
        <v>1</v>
      </c>
      <c r="AL328" s="377">
        <f t="shared" ca="1" si="116"/>
        <v>0</v>
      </c>
      <c r="AM328" s="383">
        <f t="shared" ca="1" si="117"/>
        <v>0</v>
      </c>
      <c r="AN328" s="377" t="str">
        <f ca="1">IF(AND(Tabla7[[#This Row],[UltLec]]&lt;&gt;0,Tabla7[[#This Row],[PenLect]]&lt;&gt;0),(AM328-AL328)*Tabla7[[#This Row],[RT]],"N/A")</f>
        <v>N/A</v>
      </c>
      <c r="AO328" s="380" t="s">
        <v>1281</v>
      </c>
      <c r="AP328" s="433" t="s">
        <v>1191</v>
      </c>
      <c r="AQ328" s="433" t="s">
        <v>1189</v>
      </c>
      <c r="AR328" s="409">
        <f t="shared" si="118"/>
        <v>0</v>
      </c>
      <c r="AT328" s="2" t="e">
        <f t="shared" ca="1" si="119"/>
        <v>#VALUE!</v>
      </c>
      <c r="AV328">
        <f>IF(ISBLANK(Tabla7[[#This Row],[31/12/2017]]),0,Tabla7[[#This Row],[31/12/2017]])</f>
        <v>0</v>
      </c>
      <c r="AW328">
        <f>IF(ISBLANK(Tabla7[[#This Row],[15/01/2018]]),0,Tabla7[[#This Row],[15/01/2018]])</f>
        <v>0</v>
      </c>
      <c r="AX328">
        <f>IF(ISBLANK(Tabla7[[#This Row],[15/02/2018]]),0,Tabla7[[#This Row],[15/02/2018]])</f>
        <v>0</v>
      </c>
      <c r="AY328">
        <f>IF(ISBLANK(Tabla7[[#This Row],[15/03/2018]]),0,Tabla7[[#This Row],[15/03/2018]])</f>
        <v>0</v>
      </c>
      <c r="AZ328">
        <f>IF(ISBLANK(Tabla7[[#This Row],[15/04/2018]]),0,Tabla7[[#This Row],[15/04/2018]])</f>
        <v>0</v>
      </c>
      <c r="BA328">
        <f>IF(ISBLANK(Tabla7[[#This Row],[15/05/2018]]),0,Tabla7[[#This Row],[15/05/2018]])</f>
        <v>0</v>
      </c>
      <c r="BB328">
        <f>IF(ISBLANK(Tabla7[[#This Row],[15/06/2018]]),0,Tabla7[[#This Row],[15/06/2018]])</f>
        <v>0</v>
      </c>
      <c r="BC328">
        <f>IF(ISBLANK(Tabla7[[#This Row],[15/07/2018]]),0,Tabla7[[#This Row],[15/07/2018]])</f>
        <v>0</v>
      </c>
      <c r="BD328">
        <f>IF(ISBLANK(Tabla7[[#This Row],[15/08/2018]]),0,Tabla7[[#This Row],[15/08/2018]])</f>
        <v>0</v>
      </c>
      <c r="BE328">
        <f>IF(ISBLANK(Tabla7[[#This Row],[15/09/2018]]),0,Tabla7[[#This Row],[15/09/2018]])</f>
        <v>0</v>
      </c>
      <c r="BF328">
        <f>IF(ISBLANK(Tabla7[[#This Row],[15/10/2018]]),0,Tabla7[[#This Row],[15/10/2018]])</f>
        <v>0</v>
      </c>
      <c r="BG328">
        <f>IF(ISBLANK(Tabla7[[#This Row],[15/11/2018]]),0,Tabla7[[#This Row],[15/11/2018]])</f>
        <v>0</v>
      </c>
      <c r="BH328">
        <f>IF(ISBLANK(Tabla7[[#This Row],[15/12/2018]]),0,Tabla7[[#This Row],[15/12/2018]])</f>
        <v>0</v>
      </c>
      <c r="BI328">
        <f>IF(ISBLANK(Tabla7[[#This Row],[28/12/2018]]),0,Tabla7[[#This Row],[28/12/2018]])</f>
        <v>0</v>
      </c>
      <c r="BN32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('CXRUGBI15051203695','VBAJA','VCT17','39108','AMARRADORES PUERTO VALENCIA','EN CENTRALIZACION','','apagado');</v>
      </c>
      <c r="BO328" t="s">
        <v>243</v>
      </c>
      <c r="BP328" s="632" t="str">
        <f>CONCATENATE("insert into lecturas values ","('",Tabla7[[#This Row],[CONTADOR]],"',STR_TO_DATE('",Tabla7[[#Headers],[31/12/2017]],"','%d/%m/%Y'),",AV328,"),","('",Tabla7[[#This Row],[CONTADOR]],"',STR_TO_DATE('",Tabla7[[#Headers],[15/01/2018]],"','%d/%m/%Y'),",AW328,"),","('",Tabla7[[#This Row],[CONTADOR]],"',STR_TO_DATE('",Tabla7[[#Headers],[15/02/2018]],"','%d/%m/%Y'),",AX328,"),","('",Tabla7[[#This Row],[CONTADOR]],"',STR_TO_DATE('",Tabla7[[#Headers],[15/03/2018]],"','%d/%m/%Y'),",AY328,"),","('",Tabla7[[#This Row],[CONTADOR]],"',STR_TO_DATE('",Tabla7[[#Headers],[15/04/2018]],"','%d/%m/%Y'),",AZ328,"),","('",Tabla7[[#This Row],[CONTADOR]],"',STR_TO_DATE('",Tabla7[[#Headers],[15/05/2018]],"','%d/%m/%Y'),",BA328,"),","('",Tabla7[[#This Row],[CONTADOR]],"',STR_TO_DATE('",Tabla7[[#Headers],[15/06/2018]],"','%d/%m/%Y'),",BB328,"),","('",Tabla7[[#This Row],[CONTADOR]],"',STR_TO_DATE('",Tabla7[[#Headers],[15/07/2018]],"','%d/%m/%Y'),",BC328,"),","('",Tabla7[[#This Row],[CONTADOR]],"',STR_TO_DATE('",Tabla7[[#Headers],[15/08/2018]],"','%d/%m/%Y'),",BD328,"),","('",Tabla7[[#This Row],[CONTADOR]],"',STR_TO_DATE('",Tabla7[[#Headers],[15/09/2018]],"','%d/%m/%Y'),",BE328,"),","('",Tabla7[[#This Row],[CONTADOR]],"',STR_TO_DATE('",Tabla7[[#Headers],[15/10/2018]],"','%d/%m/%Y'),",BF328,"),","('",Tabla7[[#This Row],[CONTADOR]],"',STR_TO_DATE('",Tabla7[[#Headers],[15/11/2018]],"','%d/%m/%Y'),",BG328,"),","('",Tabla7[[#This Row],[CONTADOR]],"',STR_TO_DATE('",Tabla7[[#Headers],[15/12/2018]],"','%d/%m/%Y'),",BH328,");")</f>
        <v>insert into lecturas values ('CXRUGBI15051203695',STR_TO_DATE('31/12/2017','%d/%m/%Y'),0),('CXRUGBI15051203695',STR_TO_DATE('15/01/2018','%d/%m/%Y'),0),('CXRUGBI15051203695',STR_TO_DATE('15/02/2018','%d/%m/%Y'),0),('CXRUGBI15051203695',STR_TO_DATE('15/03/2018','%d/%m/%Y'),0),('CXRUGBI15051203695',STR_TO_DATE('15/04/2018','%d/%m/%Y'),0),('CXRUGBI15051203695',STR_TO_DATE('15/05/2018','%d/%m/%Y'),0),('CXRUGBI15051203695',STR_TO_DATE('15/06/2018','%d/%m/%Y'),0),('CXRUGBI15051203695',STR_TO_DATE('15/07/2018','%d/%m/%Y'),0),('CXRUGBI15051203695',STR_TO_DATE('15/08/2018','%d/%m/%Y'),0),('CXRUGBI15051203695',STR_TO_DATE('15/09/2018','%d/%m/%Y'),0),('CXRUGBI15051203695',STR_TO_DATE('15/10/2018','%d/%m/%Y'),0),('CXRUGBI15051203695',STR_TO_DATE('15/11/2018','%d/%m/%Y'),0),('CXRUGBI15051203695',STR_TO_DATE('15/12/2018','%d/%m/%Y'),0);</v>
      </c>
    </row>
    <row r="329" spans="1:68" ht="18" customHeight="1" x14ac:dyDescent="0.25">
      <c r="A329" s="241" t="s">
        <v>19</v>
      </c>
      <c r="B329" s="60">
        <v>962</v>
      </c>
      <c r="C329" s="342" t="s">
        <v>164</v>
      </c>
      <c r="D329" s="60" t="s">
        <v>152</v>
      </c>
      <c r="E329" s="258">
        <v>39657</v>
      </c>
      <c r="F329" s="274" t="s">
        <v>165</v>
      </c>
      <c r="G329" s="274" t="s">
        <v>1044</v>
      </c>
      <c r="H329" s="274"/>
      <c r="I329" s="274"/>
      <c r="J329" s="311">
        <v>22293</v>
      </c>
      <c r="K329" s="311">
        <v>22894</v>
      </c>
      <c r="L329" s="354">
        <v>24021</v>
      </c>
      <c r="M329" s="311">
        <v>24885</v>
      </c>
      <c r="N329" s="311">
        <v>25727</v>
      </c>
      <c r="O329" s="311">
        <v>26518</v>
      </c>
      <c r="P329" s="311">
        <v>27341</v>
      </c>
      <c r="Q329" s="307">
        <v>28389</v>
      </c>
      <c r="R329" s="307">
        <v>29318</v>
      </c>
      <c r="S329" s="311">
        <v>30239</v>
      </c>
      <c r="T329" s="311">
        <v>31089</v>
      </c>
      <c r="U329" s="353">
        <v>31990</v>
      </c>
      <c r="V329" s="353">
        <v>33070</v>
      </c>
      <c r="W329" s="274"/>
      <c r="X329" s="274"/>
      <c r="Y329" s="274">
        <f t="shared" si="104"/>
        <v>601</v>
      </c>
      <c r="Z329" s="274">
        <f t="shared" si="105"/>
        <v>1127</v>
      </c>
      <c r="AA329" s="274">
        <f t="shared" si="106"/>
        <v>864</v>
      </c>
      <c r="AB329" s="274">
        <f t="shared" si="107"/>
        <v>842</v>
      </c>
      <c r="AC329" s="274">
        <f t="shared" si="108"/>
        <v>791</v>
      </c>
      <c r="AD329" s="274">
        <f t="shared" si="109"/>
        <v>823</v>
      </c>
      <c r="AE329" s="274">
        <f t="shared" si="110"/>
        <v>1048</v>
      </c>
      <c r="AF329" s="274">
        <f t="shared" si="111"/>
        <v>929</v>
      </c>
      <c r="AG329" s="274">
        <f t="shared" si="112"/>
        <v>921</v>
      </c>
      <c r="AH329" s="274">
        <f t="shared" si="113"/>
        <v>850</v>
      </c>
      <c r="AI329" s="274">
        <f t="shared" si="114"/>
        <v>901</v>
      </c>
      <c r="AJ329" s="274">
        <f t="shared" si="115"/>
        <v>1080</v>
      </c>
      <c r="AK329" s="406">
        <v>1</v>
      </c>
      <c r="AL329" s="274">
        <f t="shared" ca="1" si="116"/>
        <v>25727</v>
      </c>
      <c r="AM329" s="311">
        <f t="shared" ca="1" si="117"/>
        <v>26518</v>
      </c>
      <c r="AN329" s="274">
        <f ca="1">IF(AND(Tabla7[[#This Row],[UltLec]]&lt;&gt;0,Tabla7[[#This Row],[PenLect]]&lt;&gt;0),(AM329-AL329)*Tabla7[[#This Row],[RT]],"N/A")</f>
        <v>791</v>
      </c>
      <c r="AO329" s="273" t="s">
        <v>862</v>
      </c>
      <c r="AP329" s="392" t="s">
        <v>1191</v>
      </c>
      <c r="AQ329" s="392" t="s">
        <v>1189</v>
      </c>
      <c r="AR329" s="407">
        <f t="shared" si="118"/>
        <v>0</v>
      </c>
      <c r="AT329" s="2">
        <f t="shared" ca="1" si="119"/>
        <v>0.93942992874109266</v>
      </c>
      <c r="AV329">
        <f>IF(ISBLANK(Tabla7[[#This Row],[31/12/2017]]),0,Tabla7[[#This Row],[31/12/2017]])</f>
        <v>22293</v>
      </c>
      <c r="AW329">
        <f>IF(ISBLANK(Tabla7[[#This Row],[15/01/2018]]),0,Tabla7[[#This Row],[15/01/2018]])</f>
        <v>22894</v>
      </c>
      <c r="AX329">
        <f>IF(ISBLANK(Tabla7[[#This Row],[15/02/2018]]),0,Tabla7[[#This Row],[15/02/2018]])</f>
        <v>24021</v>
      </c>
      <c r="AY329">
        <f>IF(ISBLANK(Tabla7[[#This Row],[15/03/2018]]),0,Tabla7[[#This Row],[15/03/2018]])</f>
        <v>24885</v>
      </c>
      <c r="AZ329">
        <f>IF(ISBLANK(Tabla7[[#This Row],[15/04/2018]]),0,Tabla7[[#This Row],[15/04/2018]])</f>
        <v>25727</v>
      </c>
      <c r="BA329">
        <f>IF(ISBLANK(Tabla7[[#This Row],[15/05/2018]]),0,Tabla7[[#This Row],[15/05/2018]])</f>
        <v>26518</v>
      </c>
      <c r="BB329">
        <f>IF(ISBLANK(Tabla7[[#This Row],[15/06/2018]]),0,Tabla7[[#This Row],[15/06/2018]])</f>
        <v>27341</v>
      </c>
      <c r="BC329">
        <f>IF(ISBLANK(Tabla7[[#This Row],[15/07/2018]]),0,Tabla7[[#This Row],[15/07/2018]])</f>
        <v>28389</v>
      </c>
      <c r="BD329">
        <f>IF(ISBLANK(Tabla7[[#This Row],[15/08/2018]]),0,Tabla7[[#This Row],[15/08/2018]])</f>
        <v>29318</v>
      </c>
      <c r="BE329">
        <f>IF(ISBLANK(Tabla7[[#This Row],[15/09/2018]]),0,Tabla7[[#This Row],[15/09/2018]])</f>
        <v>30239</v>
      </c>
      <c r="BF329">
        <f>IF(ISBLANK(Tabla7[[#This Row],[15/10/2018]]),0,Tabla7[[#This Row],[15/10/2018]])</f>
        <v>31089</v>
      </c>
      <c r="BG329">
        <f>IF(ISBLANK(Tabla7[[#This Row],[15/11/2018]]),0,Tabla7[[#This Row],[15/11/2018]])</f>
        <v>31990</v>
      </c>
      <c r="BH329">
        <f>IF(ISBLANK(Tabla7[[#This Row],[15/12/2018]]),0,Tabla7[[#This Row],[15/12/2018]])</f>
        <v>33070</v>
      </c>
      <c r="BI329">
        <f>IF(ISBLANK(Tabla7[[#This Row],[28/12/2018]]),0,Tabla7[[#This Row],[28/12/2018]])</f>
        <v>0</v>
      </c>
      <c r="BN32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('CXRUGBI15051203696','V','VCT17','39657','GARBA PORT','EN CENTRALIZACIÓN (08)','','');</v>
      </c>
      <c r="BO329" t="s">
        <v>243</v>
      </c>
      <c r="BP329" s="632" t="str">
        <f>CONCATENATE("insert into lecturas values ","('",Tabla7[[#This Row],[CONTADOR]],"',STR_TO_DATE('",Tabla7[[#Headers],[31/12/2017]],"','%d/%m/%Y'),",AV329,"),","('",Tabla7[[#This Row],[CONTADOR]],"',STR_TO_DATE('",Tabla7[[#Headers],[15/01/2018]],"','%d/%m/%Y'),",AW329,"),","('",Tabla7[[#This Row],[CONTADOR]],"',STR_TO_DATE('",Tabla7[[#Headers],[15/02/2018]],"','%d/%m/%Y'),",AX329,"),","('",Tabla7[[#This Row],[CONTADOR]],"',STR_TO_DATE('",Tabla7[[#Headers],[15/03/2018]],"','%d/%m/%Y'),",AY329,"),","('",Tabla7[[#This Row],[CONTADOR]],"',STR_TO_DATE('",Tabla7[[#Headers],[15/04/2018]],"','%d/%m/%Y'),",AZ329,"),","('",Tabla7[[#This Row],[CONTADOR]],"',STR_TO_DATE('",Tabla7[[#Headers],[15/05/2018]],"','%d/%m/%Y'),",BA329,"),","('",Tabla7[[#This Row],[CONTADOR]],"',STR_TO_DATE('",Tabla7[[#Headers],[15/06/2018]],"','%d/%m/%Y'),",BB329,"),","('",Tabla7[[#This Row],[CONTADOR]],"',STR_TO_DATE('",Tabla7[[#Headers],[15/07/2018]],"','%d/%m/%Y'),",BC329,"),","('",Tabla7[[#This Row],[CONTADOR]],"',STR_TO_DATE('",Tabla7[[#Headers],[15/08/2018]],"','%d/%m/%Y'),",BD329,"),","('",Tabla7[[#This Row],[CONTADOR]],"',STR_TO_DATE('",Tabla7[[#Headers],[15/09/2018]],"','%d/%m/%Y'),",BE329,"),","('",Tabla7[[#This Row],[CONTADOR]],"',STR_TO_DATE('",Tabla7[[#Headers],[15/10/2018]],"','%d/%m/%Y'),",BF329,"),","('",Tabla7[[#This Row],[CONTADOR]],"',STR_TO_DATE('",Tabla7[[#Headers],[15/11/2018]],"','%d/%m/%Y'),",BG329,"),","('",Tabla7[[#This Row],[CONTADOR]],"',STR_TO_DATE('",Tabla7[[#Headers],[15/12/2018]],"','%d/%m/%Y'),",BH329,");")</f>
        <v>insert into lecturas values ('CXRUGBI15051203696',STR_TO_DATE('31/12/2017','%d/%m/%Y'),22293),('CXRUGBI15051203696',STR_TO_DATE('15/01/2018','%d/%m/%Y'),22894),('CXRUGBI15051203696',STR_TO_DATE('15/02/2018','%d/%m/%Y'),24021),('CXRUGBI15051203696',STR_TO_DATE('15/03/2018','%d/%m/%Y'),24885),('CXRUGBI15051203696',STR_TO_DATE('15/04/2018','%d/%m/%Y'),25727),('CXRUGBI15051203696',STR_TO_DATE('15/05/2018','%d/%m/%Y'),26518),('CXRUGBI15051203696',STR_TO_DATE('15/06/2018','%d/%m/%Y'),27341),('CXRUGBI15051203696',STR_TO_DATE('15/07/2018','%d/%m/%Y'),28389),('CXRUGBI15051203696',STR_TO_DATE('15/08/2018','%d/%m/%Y'),29318),('CXRUGBI15051203696',STR_TO_DATE('15/09/2018','%d/%m/%Y'),30239),('CXRUGBI15051203696',STR_TO_DATE('15/10/2018','%d/%m/%Y'),31089),('CXRUGBI15051203696',STR_TO_DATE('15/11/2018','%d/%m/%Y'),31990),('CXRUGBI15051203696',STR_TO_DATE('15/12/2018','%d/%m/%Y'),33070);</v>
      </c>
    </row>
    <row r="330" spans="1:68" ht="18" customHeight="1" x14ac:dyDescent="0.25">
      <c r="A330" s="241" t="s">
        <v>19</v>
      </c>
      <c r="B330" s="60"/>
      <c r="C330" s="342" t="s">
        <v>161</v>
      </c>
      <c r="D330" s="60" t="s">
        <v>152</v>
      </c>
      <c r="E330" s="258">
        <v>131</v>
      </c>
      <c r="F330" s="2" t="s">
        <v>455</v>
      </c>
      <c r="G330" s="274" t="s">
        <v>1017</v>
      </c>
      <c r="H330" s="2"/>
      <c r="I330" s="2"/>
      <c r="J330" s="311">
        <v>112128</v>
      </c>
      <c r="K330" s="311">
        <v>115042</v>
      </c>
      <c r="L330" s="354">
        <v>120021</v>
      </c>
      <c r="M330" s="311">
        <v>123622</v>
      </c>
      <c r="N330" s="311">
        <v>127524</v>
      </c>
      <c r="O330" s="311">
        <v>131377</v>
      </c>
      <c r="P330" s="311">
        <v>135091</v>
      </c>
      <c r="Q330" s="307">
        <v>138617</v>
      </c>
      <c r="R330" s="275">
        <v>142227</v>
      </c>
      <c r="S330" s="311">
        <v>146717</v>
      </c>
      <c r="T330" s="311">
        <v>150916</v>
      </c>
      <c r="U330" s="531">
        <v>156393</v>
      </c>
      <c r="V330" s="531">
        <v>162315</v>
      </c>
      <c r="W330" s="274"/>
      <c r="X330" s="2"/>
      <c r="Y330" s="2">
        <f t="shared" si="104"/>
        <v>2914</v>
      </c>
      <c r="Z330" s="2">
        <f t="shared" si="105"/>
        <v>4979</v>
      </c>
      <c r="AA330" s="2">
        <f t="shared" si="106"/>
        <v>3601</v>
      </c>
      <c r="AB330" s="2">
        <f t="shared" si="107"/>
        <v>3902</v>
      </c>
      <c r="AC330" s="2">
        <f t="shared" si="108"/>
        <v>3853</v>
      </c>
      <c r="AD330" s="2">
        <f t="shared" si="109"/>
        <v>3714</v>
      </c>
      <c r="AE330" s="2">
        <f t="shared" si="110"/>
        <v>3526</v>
      </c>
      <c r="AF330" s="2">
        <f t="shared" si="111"/>
        <v>3610</v>
      </c>
      <c r="AG330" s="2">
        <f t="shared" si="112"/>
        <v>4490</v>
      </c>
      <c r="AH330" s="2">
        <f t="shared" si="113"/>
        <v>4199</v>
      </c>
      <c r="AI330" s="2">
        <f t="shared" si="114"/>
        <v>5477</v>
      </c>
      <c r="AJ330" s="2">
        <f t="shared" si="115"/>
        <v>5922</v>
      </c>
      <c r="AK330" s="406">
        <v>1</v>
      </c>
      <c r="AL330" s="274">
        <f t="shared" ca="1" si="116"/>
        <v>127524</v>
      </c>
      <c r="AM330" s="311">
        <f t="shared" ca="1" si="117"/>
        <v>131377</v>
      </c>
      <c r="AN330" s="274">
        <f ca="1">IF(AND(Tabla7[[#This Row],[UltLec]]&lt;&gt;0,Tabla7[[#This Row],[PenLect]]&lt;&gt;0),(AM330-AL330)*Tabla7[[#This Row],[RT]],"N/A")</f>
        <v>3853</v>
      </c>
      <c r="AO330" s="273" t="s">
        <v>862</v>
      </c>
      <c r="AP330" s="392" t="s">
        <v>1191</v>
      </c>
      <c r="AQ330" s="392" t="s">
        <v>1189</v>
      </c>
      <c r="AR330" s="407">
        <f t="shared" si="118"/>
        <v>0</v>
      </c>
      <c r="AT330" s="2">
        <f t="shared" ca="1" si="119"/>
        <v>0.98744233726294206</v>
      </c>
      <c r="AV330">
        <f>IF(ISBLANK(Tabla7[[#This Row],[31/12/2017]]),0,Tabla7[[#This Row],[31/12/2017]])</f>
        <v>112128</v>
      </c>
      <c r="AW330">
        <f>IF(ISBLANK(Tabla7[[#This Row],[15/01/2018]]),0,Tabla7[[#This Row],[15/01/2018]])</f>
        <v>115042</v>
      </c>
      <c r="AX330">
        <f>IF(ISBLANK(Tabla7[[#This Row],[15/02/2018]]),0,Tabla7[[#This Row],[15/02/2018]])</f>
        <v>120021</v>
      </c>
      <c r="AY330">
        <f>IF(ISBLANK(Tabla7[[#This Row],[15/03/2018]]),0,Tabla7[[#This Row],[15/03/2018]])</f>
        <v>123622</v>
      </c>
      <c r="AZ330">
        <f>IF(ISBLANK(Tabla7[[#This Row],[15/04/2018]]),0,Tabla7[[#This Row],[15/04/2018]])</f>
        <v>127524</v>
      </c>
      <c r="BA330">
        <f>IF(ISBLANK(Tabla7[[#This Row],[15/05/2018]]),0,Tabla7[[#This Row],[15/05/2018]])</f>
        <v>131377</v>
      </c>
      <c r="BB330">
        <f>IF(ISBLANK(Tabla7[[#This Row],[15/06/2018]]),0,Tabla7[[#This Row],[15/06/2018]])</f>
        <v>135091</v>
      </c>
      <c r="BC330">
        <f>IF(ISBLANK(Tabla7[[#This Row],[15/07/2018]]),0,Tabla7[[#This Row],[15/07/2018]])</f>
        <v>138617</v>
      </c>
      <c r="BD330">
        <f>IF(ISBLANK(Tabla7[[#This Row],[15/08/2018]]),0,Tabla7[[#This Row],[15/08/2018]])</f>
        <v>142227</v>
      </c>
      <c r="BE330">
        <f>IF(ISBLANK(Tabla7[[#This Row],[15/09/2018]]),0,Tabla7[[#This Row],[15/09/2018]])</f>
        <v>146717</v>
      </c>
      <c r="BF330">
        <f>IF(ISBLANK(Tabla7[[#This Row],[15/10/2018]]),0,Tabla7[[#This Row],[15/10/2018]])</f>
        <v>150916</v>
      </c>
      <c r="BG330">
        <f>IF(ISBLANK(Tabla7[[#This Row],[15/11/2018]]),0,Tabla7[[#This Row],[15/11/2018]])</f>
        <v>156393</v>
      </c>
      <c r="BH330">
        <f>IF(ISBLANK(Tabla7[[#This Row],[15/12/2018]]),0,Tabla7[[#This Row],[15/12/2018]])</f>
        <v>162315</v>
      </c>
      <c r="BI330">
        <f>IF(ISBLANK(Tabla7[[#This Row],[28/12/2018]]),0,Tabla7[[#This Row],[28/12/2018]])</f>
        <v>0</v>
      </c>
      <c r="BN33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('CXRUGBI15051203697','V','VCT17','131','APV ALUMBRADO VIALES','EN CENTRALIZACION (06)','','');</v>
      </c>
      <c r="BO330" t="s">
        <v>243</v>
      </c>
      <c r="BP330" s="632" t="str">
        <f>CONCATENATE("insert into lecturas values ","('",Tabla7[[#This Row],[CONTADOR]],"',STR_TO_DATE('",Tabla7[[#Headers],[31/12/2017]],"','%d/%m/%Y'),",AV330,"),","('",Tabla7[[#This Row],[CONTADOR]],"',STR_TO_DATE('",Tabla7[[#Headers],[15/01/2018]],"','%d/%m/%Y'),",AW330,"),","('",Tabla7[[#This Row],[CONTADOR]],"',STR_TO_DATE('",Tabla7[[#Headers],[15/02/2018]],"','%d/%m/%Y'),",AX330,"),","('",Tabla7[[#This Row],[CONTADOR]],"',STR_TO_DATE('",Tabla7[[#Headers],[15/03/2018]],"','%d/%m/%Y'),",AY330,"),","('",Tabla7[[#This Row],[CONTADOR]],"',STR_TO_DATE('",Tabla7[[#Headers],[15/04/2018]],"','%d/%m/%Y'),",AZ330,"),","('",Tabla7[[#This Row],[CONTADOR]],"',STR_TO_DATE('",Tabla7[[#Headers],[15/05/2018]],"','%d/%m/%Y'),",BA330,"),","('",Tabla7[[#This Row],[CONTADOR]],"',STR_TO_DATE('",Tabla7[[#Headers],[15/06/2018]],"','%d/%m/%Y'),",BB330,"),","('",Tabla7[[#This Row],[CONTADOR]],"',STR_TO_DATE('",Tabla7[[#Headers],[15/07/2018]],"','%d/%m/%Y'),",BC330,"),","('",Tabla7[[#This Row],[CONTADOR]],"',STR_TO_DATE('",Tabla7[[#Headers],[15/08/2018]],"','%d/%m/%Y'),",BD330,"),","('",Tabla7[[#This Row],[CONTADOR]],"',STR_TO_DATE('",Tabla7[[#Headers],[15/09/2018]],"','%d/%m/%Y'),",BE330,"),","('",Tabla7[[#This Row],[CONTADOR]],"',STR_TO_DATE('",Tabla7[[#Headers],[15/10/2018]],"','%d/%m/%Y'),",BF330,"),","('",Tabla7[[#This Row],[CONTADOR]],"',STR_TO_DATE('",Tabla7[[#Headers],[15/11/2018]],"','%d/%m/%Y'),",BG330,"),","('",Tabla7[[#This Row],[CONTADOR]],"',STR_TO_DATE('",Tabla7[[#Headers],[15/12/2018]],"','%d/%m/%Y'),",BH330,");")</f>
        <v>insert into lecturas values ('CXRUGBI15051203697',STR_TO_DATE('31/12/2017','%d/%m/%Y'),112128),('CXRUGBI15051203697',STR_TO_DATE('15/01/2018','%d/%m/%Y'),115042),('CXRUGBI15051203697',STR_TO_DATE('15/02/2018','%d/%m/%Y'),120021),('CXRUGBI15051203697',STR_TO_DATE('15/03/2018','%d/%m/%Y'),123622),('CXRUGBI15051203697',STR_TO_DATE('15/04/2018','%d/%m/%Y'),127524),('CXRUGBI15051203697',STR_TO_DATE('15/05/2018','%d/%m/%Y'),131377),('CXRUGBI15051203697',STR_TO_DATE('15/06/2018','%d/%m/%Y'),135091),('CXRUGBI15051203697',STR_TO_DATE('15/07/2018','%d/%m/%Y'),138617),('CXRUGBI15051203697',STR_TO_DATE('15/08/2018','%d/%m/%Y'),142227),('CXRUGBI15051203697',STR_TO_DATE('15/09/2018','%d/%m/%Y'),146717),('CXRUGBI15051203697',STR_TO_DATE('15/10/2018','%d/%m/%Y'),150916),('CXRUGBI15051203697',STR_TO_DATE('15/11/2018','%d/%m/%Y'),156393),('CXRUGBI15051203697',STR_TO_DATE('15/12/2018','%d/%m/%Y'),162315);</v>
      </c>
    </row>
    <row r="331" spans="1:68" ht="18" customHeight="1" x14ac:dyDescent="0.25">
      <c r="A331" s="241" t="s">
        <v>19</v>
      </c>
      <c r="B331" s="60"/>
      <c r="C331" s="342" t="s">
        <v>159</v>
      </c>
      <c r="D331" s="60" t="s">
        <v>152</v>
      </c>
      <c r="E331" s="258">
        <v>132</v>
      </c>
      <c r="F331" s="274" t="s">
        <v>160</v>
      </c>
      <c r="G331" s="2" t="s">
        <v>1016</v>
      </c>
      <c r="H331" s="2" t="s">
        <v>1120</v>
      </c>
      <c r="I331" s="2"/>
      <c r="J331" s="311">
        <v>65703</v>
      </c>
      <c r="K331" s="311">
        <v>67326</v>
      </c>
      <c r="L331" s="354">
        <v>70194</v>
      </c>
      <c r="M331" s="311">
        <v>72349</v>
      </c>
      <c r="N331" s="311">
        <v>74592</v>
      </c>
      <c r="O331" s="311">
        <v>76595</v>
      </c>
      <c r="P331" s="311">
        <v>78540</v>
      </c>
      <c r="Q331" s="275">
        <v>80269</v>
      </c>
      <c r="R331" s="275">
        <v>82078</v>
      </c>
      <c r="S331" s="311">
        <v>84265</v>
      </c>
      <c r="T331" s="311">
        <v>86396</v>
      </c>
      <c r="U331" s="531">
        <v>89067</v>
      </c>
      <c r="V331" s="531">
        <v>91901</v>
      </c>
      <c r="W331" s="274"/>
      <c r="X331" s="2"/>
      <c r="Y331" s="2">
        <f t="shared" si="104"/>
        <v>1623</v>
      </c>
      <c r="Z331" s="2">
        <f t="shared" si="105"/>
        <v>2868</v>
      </c>
      <c r="AA331" s="2">
        <f t="shared" si="106"/>
        <v>2155</v>
      </c>
      <c r="AB331" s="2">
        <f t="shared" si="107"/>
        <v>2243</v>
      </c>
      <c r="AC331" s="2">
        <f t="shared" si="108"/>
        <v>2003</v>
      </c>
      <c r="AD331" s="2">
        <f t="shared" si="109"/>
        <v>1945</v>
      </c>
      <c r="AE331" s="2">
        <f t="shared" si="110"/>
        <v>1729</v>
      </c>
      <c r="AF331" s="2">
        <f t="shared" si="111"/>
        <v>1809</v>
      </c>
      <c r="AG331" s="2">
        <f t="shared" si="112"/>
        <v>2187</v>
      </c>
      <c r="AH331" s="2">
        <f t="shared" si="113"/>
        <v>2131</v>
      </c>
      <c r="AI331" s="2">
        <f t="shared" si="114"/>
        <v>2671</v>
      </c>
      <c r="AJ331" s="2">
        <f t="shared" si="115"/>
        <v>2834</v>
      </c>
      <c r="AK331" s="406">
        <v>1</v>
      </c>
      <c r="AL331" s="274">
        <f t="shared" ca="1" si="116"/>
        <v>74592</v>
      </c>
      <c r="AM331" s="311">
        <f t="shared" ca="1" si="117"/>
        <v>76595</v>
      </c>
      <c r="AN331" s="274">
        <f ca="1">IF(AND(Tabla7[[#This Row],[UltLec]]&lt;&gt;0,Tabla7[[#This Row],[PenLect]]&lt;&gt;0),(AM331-AL331)*Tabla7[[#This Row],[RT]],"N/A")</f>
        <v>2003</v>
      </c>
      <c r="AO331" s="273" t="s">
        <v>862</v>
      </c>
      <c r="AP331" s="392" t="s">
        <v>1191</v>
      </c>
      <c r="AQ331" s="392" t="s">
        <v>1189</v>
      </c>
      <c r="AR331" s="407">
        <f t="shared" si="118"/>
        <v>0</v>
      </c>
      <c r="AT331" s="2">
        <f t="shared" ca="1" si="119"/>
        <v>0.89300044583147575</v>
      </c>
      <c r="AV331">
        <f>IF(ISBLANK(Tabla7[[#This Row],[31/12/2017]]),0,Tabla7[[#This Row],[31/12/2017]])</f>
        <v>65703</v>
      </c>
      <c r="AW331">
        <f>IF(ISBLANK(Tabla7[[#This Row],[15/01/2018]]),0,Tabla7[[#This Row],[15/01/2018]])</f>
        <v>67326</v>
      </c>
      <c r="AX331">
        <f>IF(ISBLANK(Tabla7[[#This Row],[15/02/2018]]),0,Tabla7[[#This Row],[15/02/2018]])</f>
        <v>70194</v>
      </c>
      <c r="AY331">
        <f>IF(ISBLANK(Tabla7[[#This Row],[15/03/2018]]),0,Tabla7[[#This Row],[15/03/2018]])</f>
        <v>72349</v>
      </c>
      <c r="AZ331">
        <f>IF(ISBLANK(Tabla7[[#This Row],[15/04/2018]]),0,Tabla7[[#This Row],[15/04/2018]])</f>
        <v>74592</v>
      </c>
      <c r="BA331">
        <f>IF(ISBLANK(Tabla7[[#This Row],[15/05/2018]]),0,Tabla7[[#This Row],[15/05/2018]])</f>
        <v>76595</v>
      </c>
      <c r="BB331">
        <f>IF(ISBLANK(Tabla7[[#This Row],[15/06/2018]]),0,Tabla7[[#This Row],[15/06/2018]])</f>
        <v>78540</v>
      </c>
      <c r="BC331">
        <f>IF(ISBLANK(Tabla7[[#This Row],[15/07/2018]]),0,Tabla7[[#This Row],[15/07/2018]])</f>
        <v>80269</v>
      </c>
      <c r="BD331">
        <f>IF(ISBLANK(Tabla7[[#This Row],[15/08/2018]]),0,Tabla7[[#This Row],[15/08/2018]])</f>
        <v>82078</v>
      </c>
      <c r="BE331">
        <f>IF(ISBLANK(Tabla7[[#This Row],[15/09/2018]]),0,Tabla7[[#This Row],[15/09/2018]])</f>
        <v>84265</v>
      </c>
      <c r="BF331">
        <f>IF(ISBLANK(Tabla7[[#This Row],[15/10/2018]]),0,Tabla7[[#This Row],[15/10/2018]])</f>
        <v>86396</v>
      </c>
      <c r="BG331">
        <f>IF(ISBLANK(Tabla7[[#This Row],[15/11/2018]]),0,Tabla7[[#This Row],[15/11/2018]])</f>
        <v>89067</v>
      </c>
      <c r="BH331">
        <f>IF(ISBLANK(Tabla7[[#This Row],[15/12/2018]]),0,Tabla7[[#This Row],[15/12/2018]])</f>
        <v>91901</v>
      </c>
      <c r="BI331">
        <f>IF(ISBLANK(Tabla7[[#This Row],[28/12/2018]]),0,Tabla7[[#This Row],[28/12/2018]])</f>
        <v>0</v>
      </c>
      <c r="BN33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('CXRUGBI15051203698','V','VCT17','132','ALUMBRADO MUELLES','EN CENTRALIZACION (05)','2/3 torres con 4 focos','');</v>
      </c>
      <c r="BO331" t="s">
        <v>243</v>
      </c>
      <c r="BP331" s="632" t="str">
        <f>CONCATENATE("insert into lecturas values ","('",Tabla7[[#This Row],[CONTADOR]],"',STR_TO_DATE('",Tabla7[[#Headers],[31/12/2017]],"','%d/%m/%Y'),",AV331,"),","('",Tabla7[[#This Row],[CONTADOR]],"',STR_TO_DATE('",Tabla7[[#Headers],[15/01/2018]],"','%d/%m/%Y'),",AW331,"),","('",Tabla7[[#This Row],[CONTADOR]],"',STR_TO_DATE('",Tabla7[[#Headers],[15/02/2018]],"','%d/%m/%Y'),",AX331,"),","('",Tabla7[[#This Row],[CONTADOR]],"',STR_TO_DATE('",Tabla7[[#Headers],[15/03/2018]],"','%d/%m/%Y'),",AY331,"),","('",Tabla7[[#This Row],[CONTADOR]],"',STR_TO_DATE('",Tabla7[[#Headers],[15/04/2018]],"','%d/%m/%Y'),",AZ331,"),","('",Tabla7[[#This Row],[CONTADOR]],"',STR_TO_DATE('",Tabla7[[#Headers],[15/05/2018]],"','%d/%m/%Y'),",BA331,"),","('",Tabla7[[#This Row],[CONTADOR]],"',STR_TO_DATE('",Tabla7[[#Headers],[15/06/2018]],"','%d/%m/%Y'),",BB331,"),","('",Tabla7[[#This Row],[CONTADOR]],"',STR_TO_DATE('",Tabla7[[#Headers],[15/07/2018]],"','%d/%m/%Y'),",BC331,"),","('",Tabla7[[#This Row],[CONTADOR]],"',STR_TO_DATE('",Tabla7[[#Headers],[15/08/2018]],"','%d/%m/%Y'),",BD331,"),","('",Tabla7[[#This Row],[CONTADOR]],"',STR_TO_DATE('",Tabla7[[#Headers],[15/09/2018]],"','%d/%m/%Y'),",BE331,"),","('",Tabla7[[#This Row],[CONTADOR]],"',STR_TO_DATE('",Tabla7[[#Headers],[15/10/2018]],"','%d/%m/%Y'),",BF331,"),","('",Tabla7[[#This Row],[CONTADOR]],"',STR_TO_DATE('",Tabla7[[#Headers],[15/11/2018]],"','%d/%m/%Y'),",BG331,"),","('",Tabla7[[#This Row],[CONTADOR]],"',STR_TO_DATE('",Tabla7[[#Headers],[15/12/2018]],"','%d/%m/%Y'),",BH331,");")</f>
        <v>insert into lecturas values ('CXRUGBI15051203698',STR_TO_DATE('31/12/2017','%d/%m/%Y'),65703),('CXRUGBI15051203698',STR_TO_DATE('15/01/2018','%d/%m/%Y'),67326),('CXRUGBI15051203698',STR_TO_DATE('15/02/2018','%d/%m/%Y'),70194),('CXRUGBI15051203698',STR_TO_DATE('15/03/2018','%d/%m/%Y'),72349),('CXRUGBI15051203698',STR_TO_DATE('15/04/2018','%d/%m/%Y'),74592),('CXRUGBI15051203698',STR_TO_DATE('15/05/2018','%d/%m/%Y'),76595),('CXRUGBI15051203698',STR_TO_DATE('15/06/2018','%d/%m/%Y'),78540),('CXRUGBI15051203698',STR_TO_DATE('15/07/2018','%d/%m/%Y'),80269),('CXRUGBI15051203698',STR_TO_DATE('15/08/2018','%d/%m/%Y'),82078),('CXRUGBI15051203698',STR_TO_DATE('15/09/2018','%d/%m/%Y'),84265),('CXRUGBI15051203698',STR_TO_DATE('15/10/2018','%d/%m/%Y'),86396),('CXRUGBI15051203698',STR_TO_DATE('15/11/2018','%d/%m/%Y'),89067),('CXRUGBI15051203698',STR_TO_DATE('15/12/2018','%d/%m/%Y'),91901);</v>
      </c>
    </row>
    <row r="332" spans="1:68" ht="18" customHeight="1" x14ac:dyDescent="0.25">
      <c r="A332" s="241" t="s">
        <v>19</v>
      </c>
      <c r="B332" s="60">
        <v>509</v>
      </c>
      <c r="C332" s="342" t="s">
        <v>429</v>
      </c>
      <c r="D332" s="60" t="s">
        <v>152</v>
      </c>
      <c r="E332" s="258">
        <v>39259</v>
      </c>
      <c r="F332" s="274" t="s">
        <v>23</v>
      </c>
      <c r="G332" s="2" t="s">
        <v>1012</v>
      </c>
      <c r="H332" s="274"/>
      <c r="I332" s="2" t="s">
        <v>446</v>
      </c>
      <c r="J332" s="311">
        <v>150677</v>
      </c>
      <c r="K332" s="311">
        <v>157779</v>
      </c>
      <c r="L332" s="354">
        <v>175111</v>
      </c>
      <c r="M332" s="311">
        <v>189642</v>
      </c>
      <c r="N332" s="311">
        <v>204032</v>
      </c>
      <c r="O332" s="311">
        <v>217334</v>
      </c>
      <c r="P332" s="311">
        <v>230154</v>
      </c>
      <c r="Q332" s="275">
        <v>241540</v>
      </c>
      <c r="R332" s="275">
        <v>253182</v>
      </c>
      <c r="S332" s="311">
        <v>265408</v>
      </c>
      <c r="T332" s="311">
        <v>277506</v>
      </c>
      <c r="U332" s="531">
        <v>293526</v>
      </c>
      <c r="V332" s="531">
        <v>310789</v>
      </c>
      <c r="W332" s="274"/>
      <c r="X332" s="2"/>
      <c r="Y332" s="2">
        <f t="shared" si="104"/>
        <v>7102</v>
      </c>
      <c r="Z332" s="2">
        <f t="shared" si="105"/>
        <v>17332</v>
      </c>
      <c r="AA332" s="2">
        <f t="shared" si="106"/>
        <v>14531</v>
      </c>
      <c r="AB332" s="2">
        <f t="shared" si="107"/>
        <v>14390</v>
      </c>
      <c r="AC332" s="2">
        <f t="shared" si="108"/>
        <v>13302</v>
      </c>
      <c r="AD332" s="2">
        <f t="shared" si="109"/>
        <v>12820</v>
      </c>
      <c r="AE332" s="2">
        <f t="shared" si="110"/>
        <v>11386</v>
      </c>
      <c r="AF332" s="2">
        <f t="shared" si="111"/>
        <v>11642</v>
      </c>
      <c r="AG332" s="2">
        <f t="shared" si="112"/>
        <v>12226</v>
      </c>
      <c r="AH332" s="2">
        <f t="shared" si="113"/>
        <v>12098</v>
      </c>
      <c r="AI332" s="2">
        <f t="shared" si="114"/>
        <v>16020</v>
      </c>
      <c r="AJ332" s="2">
        <f t="shared" si="115"/>
        <v>17263</v>
      </c>
      <c r="AK332" s="406">
        <v>1</v>
      </c>
      <c r="AL332" s="274">
        <f t="shared" ca="1" si="116"/>
        <v>204032</v>
      </c>
      <c r="AM332" s="311">
        <f t="shared" ca="1" si="117"/>
        <v>217334</v>
      </c>
      <c r="AN332" s="274">
        <f ca="1">IF(AND(Tabla7[[#This Row],[UltLec]]&lt;&gt;0,Tabla7[[#This Row],[PenLect]]&lt;&gt;0),(AM332-AL332)*Tabla7[[#This Row],[RT]],"N/A")</f>
        <v>13302</v>
      </c>
      <c r="AO332" s="273" t="s">
        <v>862</v>
      </c>
      <c r="AP332" s="392" t="s">
        <v>1191</v>
      </c>
      <c r="AQ332" s="392" t="s">
        <v>1189</v>
      </c>
      <c r="AR332" s="407">
        <f t="shared" si="118"/>
        <v>0</v>
      </c>
      <c r="AT332" s="2">
        <f t="shared" ca="1" si="119"/>
        <v>0.92439193884642112</v>
      </c>
      <c r="AV332">
        <f>IF(ISBLANK(Tabla7[[#This Row],[31/12/2017]]),0,Tabla7[[#This Row],[31/12/2017]])</f>
        <v>150677</v>
      </c>
      <c r="AW332">
        <f>IF(ISBLANK(Tabla7[[#This Row],[15/01/2018]]),0,Tabla7[[#This Row],[15/01/2018]])</f>
        <v>157779</v>
      </c>
      <c r="AX332">
        <f>IF(ISBLANK(Tabla7[[#This Row],[15/02/2018]]),0,Tabla7[[#This Row],[15/02/2018]])</f>
        <v>175111</v>
      </c>
      <c r="AY332">
        <f>IF(ISBLANK(Tabla7[[#This Row],[15/03/2018]]),0,Tabla7[[#This Row],[15/03/2018]])</f>
        <v>189642</v>
      </c>
      <c r="AZ332">
        <f>IF(ISBLANK(Tabla7[[#This Row],[15/04/2018]]),0,Tabla7[[#This Row],[15/04/2018]])</f>
        <v>204032</v>
      </c>
      <c r="BA332">
        <f>IF(ISBLANK(Tabla7[[#This Row],[15/05/2018]]),0,Tabla7[[#This Row],[15/05/2018]])</f>
        <v>217334</v>
      </c>
      <c r="BB332">
        <f>IF(ISBLANK(Tabla7[[#This Row],[15/06/2018]]),0,Tabla7[[#This Row],[15/06/2018]])</f>
        <v>230154</v>
      </c>
      <c r="BC332">
        <f>IF(ISBLANK(Tabla7[[#This Row],[15/07/2018]]),0,Tabla7[[#This Row],[15/07/2018]])</f>
        <v>241540</v>
      </c>
      <c r="BD332">
        <f>IF(ISBLANK(Tabla7[[#This Row],[15/08/2018]]),0,Tabla7[[#This Row],[15/08/2018]])</f>
        <v>253182</v>
      </c>
      <c r="BE332">
        <f>IF(ISBLANK(Tabla7[[#This Row],[15/09/2018]]),0,Tabla7[[#This Row],[15/09/2018]])</f>
        <v>265408</v>
      </c>
      <c r="BF332">
        <f>IF(ISBLANK(Tabla7[[#This Row],[15/10/2018]]),0,Tabla7[[#This Row],[15/10/2018]])</f>
        <v>277506</v>
      </c>
      <c r="BG332">
        <f>IF(ISBLANK(Tabla7[[#This Row],[15/11/2018]]),0,Tabla7[[#This Row],[15/11/2018]])</f>
        <v>293526</v>
      </c>
      <c r="BH332">
        <f>IF(ISBLANK(Tabla7[[#This Row],[15/12/2018]]),0,Tabla7[[#This Row],[15/12/2018]])</f>
        <v>310789</v>
      </c>
      <c r="BI332">
        <f>IF(ISBLANK(Tabla7[[#This Row],[28/12/2018]]),0,Tabla7[[#This Row],[28/12/2018]])</f>
        <v>0</v>
      </c>
      <c r="BN33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('CXZVFER1501348811','V','VCT17','39259','TCV STEVEDORING COMPANY','EN CENTRALIZACION (01)','','CAMBIO/ALTA DE CONTADOR POR AVERÍA (EN PROCESO)');</v>
      </c>
      <c r="BO332" t="s">
        <v>243</v>
      </c>
      <c r="BP332" s="632" t="str">
        <f>CONCATENATE("insert into lecturas values ","('",Tabla7[[#This Row],[CONTADOR]],"',STR_TO_DATE('",Tabla7[[#Headers],[31/12/2017]],"','%d/%m/%Y'),",AV332,"),","('",Tabla7[[#This Row],[CONTADOR]],"',STR_TO_DATE('",Tabla7[[#Headers],[15/01/2018]],"','%d/%m/%Y'),",AW332,"),","('",Tabla7[[#This Row],[CONTADOR]],"',STR_TO_DATE('",Tabla7[[#Headers],[15/02/2018]],"','%d/%m/%Y'),",AX332,"),","('",Tabla7[[#This Row],[CONTADOR]],"',STR_TO_DATE('",Tabla7[[#Headers],[15/03/2018]],"','%d/%m/%Y'),",AY332,"),","('",Tabla7[[#This Row],[CONTADOR]],"',STR_TO_DATE('",Tabla7[[#Headers],[15/04/2018]],"','%d/%m/%Y'),",AZ332,"),","('",Tabla7[[#This Row],[CONTADOR]],"',STR_TO_DATE('",Tabla7[[#Headers],[15/05/2018]],"','%d/%m/%Y'),",BA332,"),","('",Tabla7[[#This Row],[CONTADOR]],"',STR_TO_DATE('",Tabla7[[#Headers],[15/06/2018]],"','%d/%m/%Y'),",BB332,"),","('",Tabla7[[#This Row],[CONTADOR]],"',STR_TO_DATE('",Tabla7[[#Headers],[15/07/2018]],"','%d/%m/%Y'),",BC332,"),","('",Tabla7[[#This Row],[CONTADOR]],"',STR_TO_DATE('",Tabla7[[#Headers],[15/08/2018]],"','%d/%m/%Y'),",BD332,"),","('",Tabla7[[#This Row],[CONTADOR]],"',STR_TO_DATE('",Tabla7[[#Headers],[15/09/2018]],"','%d/%m/%Y'),",BE332,"),","('",Tabla7[[#This Row],[CONTADOR]],"',STR_TO_DATE('",Tabla7[[#Headers],[15/10/2018]],"','%d/%m/%Y'),",BF332,"),","('",Tabla7[[#This Row],[CONTADOR]],"',STR_TO_DATE('",Tabla7[[#Headers],[15/11/2018]],"','%d/%m/%Y'),",BG332,"),","('",Tabla7[[#This Row],[CONTADOR]],"',STR_TO_DATE('",Tabla7[[#Headers],[15/12/2018]],"','%d/%m/%Y'),",BH332,");")</f>
        <v>insert into lecturas values ('CXZVFER1501348811',STR_TO_DATE('31/12/2017','%d/%m/%Y'),150677),('CXZVFER1501348811',STR_TO_DATE('15/01/2018','%d/%m/%Y'),157779),('CXZVFER1501348811',STR_TO_DATE('15/02/2018','%d/%m/%Y'),175111),('CXZVFER1501348811',STR_TO_DATE('15/03/2018','%d/%m/%Y'),189642),('CXZVFER1501348811',STR_TO_DATE('15/04/2018','%d/%m/%Y'),204032),('CXZVFER1501348811',STR_TO_DATE('15/05/2018','%d/%m/%Y'),217334),('CXZVFER1501348811',STR_TO_DATE('15/06/2018','%d/%m/%Y'),230154),('CXZVFER1501348811',STR_TO_DATE('15/07/2018','%d/%m/%Y'),241540),('CXZVFER1501348811',STR_TO_DATE('15/08/2018','%d/%m/%Y'),253182),('CXZVFER1501348811',STR_TO_DATE('15/09/2018','%d/%m/%Y'),265408),('CXZVFER1501348811',STR_TO_DATE('15/10/2018','%d/%m/%Y'),277506),('CXZVFER1501348811',STR_TO_DATE('15/11/2018','%d/%m/%Y'),293526),('CXZVFER1501348811',STR_TO_DATE('15/12/2018','%d/%m/%Y'),310789);</v>
      </c>
    </row>
    <row r="333" spans="1:68" ht="18" customHeight="1" x14ac:dyDescent="0.25">
      <c r="A333" s="372" t="s">
        <v>1196</v>
      </c>
      <c r="B333" s="60">
        <v>509</v>
      </c>
      <c r="C333" s="373" t="s">
        <v>153</v>
      </c>
      <c r="D333" s="374" t="s">
        <v>152</v>
      </c>
      <c r="E333" s="375">
        <v>39259</v>
      </c>
      <c r="F333" s="376" t="s">
        <v>23</v>
      </c>
      <c r="G333" s="376" t="s">
        <v>101</v>
      </c>
      <c r="H333" s="376" t="s">
        <v>470</v>
      </c>
      <c r="I333" s="376" t="s">
        <v>471</v>
      </c>
      <c r="J333" s="383"/>
      <c r="K333" s="383"/>
      <c r="L333" s="376"/>
      <c r="M333" s="376"/>
      <c r="N333" s="376"/>
      <c r="O333" s="376"/>
      <c r="P333" s="376"/>
      <c r="Q333" s="275"/>
      <c r="R333" s="275"/>
      <c r="S333" s="311"/>
      <c r="T333" s="376"/>
      <c r="U333" s="519"/>
      <c r="V333" s="377"/>
      <c r="W333" s="377"/>
      <c r="X333" s="376"/>
      <c r="Y333" s="376" t="str">
        <f t="shared" si="104"/>
        <v/>
      </c>
      <c r="Z333" s="376" t="str">
        <f t="shared" si="105"/>
        <v/>
      </c>
      <c r="AA333" s="376" t="str">
        <f t="shared" si="106"/>
        <v/>
      </c>
      <c r="AB333" s="376" t="str">
        <f t="shared" si="107"/>
        <v/>
      </c>
      <c r="AC333" s="376" t="str">
        <f t="shared" si="108"/>
        <v/>
      </c>
      <c r="AD333" s="376" t="str">
        <f t="shared" si="109"/>
        <v/>
      </c>
      <c r="AE333" s="376" t="str">
        <f t="shared" si="110"/>
        <v/>
      </c>
      <c r="AF333" s="376" t="str">
        <f t="shared" si="111"/>
        <v/>
      </c>
      <c r="AG333" s="376" t="str">
        <f t="shared" si="112"/>
        <v/>
      </c>
      <c r="AH333" s="376" t="str">
        <f t="shared" si="113"/>
        <v/>
      </c>
      <c r="AI333" s="376" t="str">
        <f t="shared" si="114"/>
        <v/>
      </c>
      <c r="AJ333" s="376" t="str">
        <f t="shared" si="115"/>
        <v/>
      </c>
      <c r="AK333" s="408">
        <v>1</v>
      </c>
      <c r="AL333" s="377">
        <f t="shared" ca="1" si="116"/>
        <v>0</v>
      </c>
      <c r="AM333" s="383">
        <f t="shared" ca="1" si="117"/>
        <v>0</v>
      </c>
      <c r="AN333" s="377" t="str">
        <f ca="1">IF(AND(Tabla7[[#This Row],[UltLec]]&lt;&gt;0,Tabla7[[#This Row],[PenLect]]&lt;&gt;0),(AM333-AL333)*Tabla7[[#This Row],[RT]],"N/A")</f>
        <v>N/A</v>
      </c>
      <c r="AO333" s="380" t="s">
        <v>1281</v>
      </c>
      <c r="AP333" s="433" t="s">
        <v>1191</v>
      </c>
      <c r="AQ333" s="433" t="s">
        <v>1189</v>
      </c>
      <c r="AR333" s="409">
        <f t="shared" si="118"/>
        <v>0</v>
      </c>
      <c r="AT333" s="2" t="e">
        <f t="shared" ca="1" si="119"/>
        <v>#VALUE!</v>
      </c>
      <c r="AV333">
        <f>IF(ISBLANK(Tabla7[[#This Row],[31/12/2017]]),0,Tabla7[[#This Row],[31/12/2017]])</f>
        <v>0</v>
      </c>
      <c r="AW333">
        <f>IF(ISBLANK(Tabla7[[#This Row],[15/01/2018]]),0,Tabla7[[#This Row],[15/01/2018]])</f>
        <v>0</v>
      </c>
      <c r="AX333">
        <f>IF(ISBLANK(Tabla7[[#This Row],[15/02/2018]]),0,Tabla7[[#This Row],[15/02/2018]])</f>
        <v>0</v>
      </c>
      <c r="AY333">
        <f>IF(ISBLANK(Tabla7[[#This Row],[15/03/2018]]),0,Tabla7[[#This Row],[15/03/2018]])</f>
        <v>0</v>
      </c>
      <c r="AZ333">
        <f>IF(ISBLANK(Tabla7[[#This Row],[15/04/2018]]),0,Tabla7[[#This Row],[15/04/2018]])</f>
        <v>0</v>
      </c>
      <c r="BA333">
        <f>IF(ISBLANK(Tabla7[[#This Row],[15/05/2018]]),0,Tabla7[[#This Row],[15/05/2018]])</f>
        <v>0</v>
      </c>
      <c r="BB333">
        <f>IF(ISBLANK(Tabla7[[#This Row],[15/06/2018]]),0,Tabla7[[#This Row],[15/06/2018]])</f>
        <v>0</v>
      </c>
      <c r="BC333">
        <f>IF(ISBLANK(Tabla7[[#This Row],[15/07/2018]]),0,Tabla7[[#This Row],[15/07/2018]])</f>
        <v>0</v>
      </c>
      <c r="BD333">
        <f>IF(ISBLANK(Tabla7[[#This Row],[15/08/2018]]),0,Tabla7[[#This Row],[15/08/2018]])</f>
        <v>0</v>
      </c>
      <c r="BE333">
        <f>IF(ISBLANK(Tabla7[[#This Row],[15/09/2018]]),0,Tabla7[[#This Row],[15/09/2018]])</f>
        <v>0</v>
      </c>
      <c r="BF333">
        <f>IF(ISBLANK(Tabla7[[#This Row],[15/10/2018]]),0,Tabla7[[#This Row],[15/10/2018]])</f>
        <v>0</v>
      </c>
      <c r="BG333">
        <f>IF(ISBLANK(Tabla7[[#This Row],[15/11/2018]]),0,Tabla7[[#This Row],[15/11/2018]])</f>
        <v>0</v>
      </c>
      <c r="BH333">
        <f>IF(ISBLANK(Tabla7[[#This Row],[15/12/2018]]),0,Tabla7[[#This Row],[15/12/2018]])</f>
        <v>0</v>
      </c>
      <c r="BI333">
        <f>IF(ISBLANK(Tabla7[[#This Row],[28/12/2018]]),0,Tabla7[[#This Row],[28/12/2018]])</f>
        <v>0</v>
      </c>
      <c r="BN33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('CXZVFER15051003024','VBAJA','VCT17','39259','TCV STEVEDORING COMPANY','EN CENTRALIZACION','sin lectura en junio( cambio de contador en mayo)','CAMBIO/BAJA DE CONTADOR POR AVERÍA (EN PROCESO)');</v>
      </c>
      <c r="BO333" t="s">
        <v>243</v>
      </c>
      <c r="BP333" s="632" t="str">
        <f>CONCATENATE("insert into lecturas values ","('",Tabla7[[#This Row],[CONTADOR]],"',STR_TO_DATE('",Tabla7[[#Headers],[31/12/2017]],"','%d/%m/%Y'),",AV333,"),","('",Tabla7[[#This Row],[CONTADOR]],"',STR_TO_DATE('",Tabla7[[#Headers],[15/01/2018]],"','%d/%m/%Y'),",AW333,"),","('",Tabla7[[#This Row],[CONTADOR]],"',STR_TO_DATE('",Tabla7[[#Headers],[15/02/2018]],"','%d/%m/%Y'),",AX333,"),","('",Tabla7[[#This Row],[CONTADOR]],"',STR_TO_DATE('",Tabla7[[#Headers],[15/03/2018]],"','%d/%m/%Y'),",AY333,"),","('",Tabla7[[#This Row],[CONTADOR]],"',STR_TO_DATE('",Tabla7[[#Headers],[15/04/2018]],"','%d/%m/%Y'),",AZ333,"),","('",Tabla7[[#This Row],[CONTADOR]],"',STR_TO_DATE('",Tabla7[[#Headers],[15/05/2018]],"','%d/%m/%Y'),",BA333,"),","('",Tabla7[[#This Row],[CONTADOR]],"',STR_TO_DATE('",Tabla7[[#Headers],[15/06/2018]],"','%d/%m/%Y'),",BB333,"),","('",Tabla7[[#This Row],[CONTADOR]],"',STR_TO_DATE('",Tabla7[[#Headers],[15/07/2018]],"','%d/%m/%Y'),",BC333,"),","('",Tabla7[[#This Row],[CONTADOR]],"',STR_TO_DATE('",Tabla7[[#Headers],[15/08/2018]],"','%d/%m/%Y'),",BD333,"),","('",Tabla7[[#This Row],[CONTADOR]],"',STR_TO_DATE('",Tabla7[[#Headers],[15/09/2018]],"','%d/%m/%Y'),",BE333,"),","('",Tabla7[[#This Row],[CONTADOR]],"',STR_TO_DATE('",Tabla7[[#Headers],[15/10/2018]],"','%d/%m/%Y'),",BF333,"),","('",Tabla7[[#This Row],[CONTADOR]],"',STR_TO_DATE('",Tabla7[[#Headers],[15/11/2018]],"','%d/%m/%Y'),",BG333,"),","('",Tabla7[[#This Row],[CONTADOR]],"',STR_TO_DATE('",Tabla7[[#Headers],[15/12/2018]],"','%d/%m/%Y'),",BH333,");")</f>
        <v>insert into lecturas values ('CXZVFER15051003024',STR_TO_DATE('31/12/2017','%d/%m/%Y'),0),('CXZVFER15051003024',STR_TO_DATE('15/01/2018','%d/%m/%Y'),0),('CXZVFER15051003024',STR_TO_DATE('15/02/2018','%d/%m/%Y'),0),('CXZVFER15051003024',STR_TO_DATE('15/03/2018','%d/%m/%Y'),0),('CXZVFER15051003024',STR_TO_DATE('15/04/2018','%d/%m/%Y'),0),('CXZVFER15051003024',STR_TO_DATE('15/05/2018','%d/%m/%Y'),0),('CXZVFER15051003024',STR_TO_DATE('15/06/2018','%d/%m/%Y'),0),('CXZVFER15051003024',STR_TO_DATE('15/07/2018','%d/%m/%Y'),0),('CXZVFER15051003024',STR_TO_DATE('15/08/2018','%d/%m/%Y'),0),('CXZVFER15051003024',STR_TO_DATE('15/09/2018','%d/%m/%Y'),0),('CXZVFER15051003024',STR_TO_DATE('15/10/2018','%d/%m/%Y'),0),('CXZVFER15051003024',STR_TO_DATE('15/11/2018','%d/%m/%Y'),0),('CXZVFER15051003024',STR_TO_DATE('15/12/2018','%d/%m/%Y'),0);</v>
      </c>
    </row>
    <row r="334" spans="1:68" ht="18" customHeight="1" x14ac:dyDescent="0.25">
      <c r="A334" s="241" t="s">
        <v>19</v>
      </c>
      <c r="B334" s="60"/>
      <c r="C334" s="342" t="s">
        <v>163</v>
      </c>
      <c r="D334" s="60" t="s">
        <v>152</v>
      </c>
      <c r="E334" s="258">
        <v>142</v>
      </c>
      <c r="F334" s="274" t="s">
        <v>892</v>
      </c>
      <c r="G334" s="274" t="s">
        <v>1018</v>
      </c>
      <c r="H334" s="274"/>
      <c r="I334" s="2"/>
      <c r="J334" s="311">
        <v>26148</v>
      </c>
      <c r="K334" s="311">
        <v>26701</v>
      </c>
      <c r="L334" s="354">
        <v>27773</v>
      </c>
      <c r="M334" s="311">
        <v>28668</v>
      </c>
      <c r="N334" s="311">
        <v>29672</v>
      </c>
      <c r="O334" s="311">
        <v>30554</v>
      </c>
      <c r="P334" s="311">
        <v>31529</v>
      </c>
      <c r="Q334" s="275">
        <v>32453</v>
      </c>
      <c r="R334" s="307">
        <v>33525</v>
      </c>
      <c r="S334" s="311">
        <v>34542</v>
      </c>
      <c r="T334" s="311">
        <v>35377</v>
      </c>
      <c r="U334" s="531">
        <v>36491</v>
      </c>
      <c r="V334" s="531">
        <v>37665</v>
      </c>
      <c r="W334" s="274"/>
      <c r="X334" s="2"/>
      <c r="Y334" s="2">
        <f t="shared" si="104"/>
        <v>553</v>
      </c>
      <c r="Z334" s="2">
        <f t="shared" si="105"/>
        <v>1072</v>
      </c>
      <c r="AA334" s="2">
        <f t="shared" si="106"/>
        <v>895</v>
      </c>
      <c r="AB334" s="2">
        <f t="shared" si="107"/>
        <v>1004</v>
      </c>
      <c r="AC334" s="2">
        <f t="shared" si="108"/>
        <v>882</v>
      </c>
      <c r="AD334" s="2">
        <f t="shared" si="109"/>
        <v>975</v>
      </c>
      <c r="AE334" s="2">
        <f t="shared" si="110"/>
        <v>924</v>
      </c>
      <c r="AF334" s="2">
        <f t="shared" si="111"/>
        <v>1072</v>
      </c>
      <c r="AG334" s="2">
        <f t="shared" si="112"/>
        <v>1017</v>
      </c>
      <c r="AH334" s="2">
        <f t="shared" si="113"/>
        <v>835</v>
      </c>
      <c r="AI334" s="2">
        <f t="shared" si="114"/>
        <v>1114</v>
      </c>
      <c r="AJ334" s="2">
        <f t="shared" si="115"/>
        <v>1174</v>
      </c>
      <c r="AK334" s="406">
        <v>1</v>
      </c>
      <c r="AL334" s="274">
        <f t="shared" ca="1" si="116"/>
        <v>29672</v>
      </c>
      <c r="AM334" s="311">
        <f t="shared" ca="1" si="117"/>
        <v>30554</v>
      </c>
      <c r="AN334" s="274">
        <f ca="1">IF(AND(Tabla7[[#This Row],[UltLec]]&lt;&gt;0,Tabla7[[#This Row],[PenLect]]&lt;&gt;0),(AM334-AL334)*Tabla7[[#This Row],[RT]],"N/A")</f>
        <v>882</v>
      </c>
      <c r="AO334" s="273" t="s">
        <v>862</v>
      </c>
      <c r="AP334" s="392" t="s">
        <v>1191</v>
      </c>
      <c r="AQ334" s="392" t="s">
        <v>1189</v>
      </c>
      <c r="AR334" s="407">
        <f t="shared" si="118"/>
        <v>0</v>
      </c>
      <c r="AT334" s="2">
        <f t="shared" ca="1" si="119"/>
        <v>0.87848605577689243</v>
      </c>
      <c r="AV334">
        <f>IF(ISBLANK(Tabla7[[#This Row],[31/12/2017]]),0,Tabla7[[#This Row],[31/12/2017]])</f>
        <v>26148</v>
      </c>
      <c r="AW334">
        <f>IF(ISBLANK(Tabla7[[#This Row],[15/01/2018]]),0,Tabla7[[#This Row],[15/01/2018]])</f>
        <v>26701</v>
      </c>
      <c r="AX334">
        <f>IF(ISBLANK(Tabla7[[#This Row],[15/02/2018]]),0,Tabla7[[#This Row],[15/02/2018]])</f>
        <v>27773</v>
      </c>
      <c r="AY334">
        <f>IF(ISBLANK(Tabla7[[#This Row],[15/03/2018]]),0,Tabla7[[#This Row],[15/03/2018]])</f>
        <v>28668</v>
      </c>
      <c r="AZ334">
        <f>IF(ISBLANK(Tabla7[[#This Row],[15/04/2018]]),0,Tabla7[[#This Row],[15/04/2018]])</f>
        <v>29672</v>
      </c>
      <c r="BA334">
        <f>IF(ISBLANK(Tabla7[[#This Row],[15/05/2018]]),0,Tabla7[[#This Row],[15/05/2018]])</f>
        <v>30554</v>
      </c>
      <c r="BB334">
        <f>IF(ISBLANK(Tabla7[[#This Row],[15/06/2018]]),0,Tabla7[[#This Row],[15/06/2018]])</f>
        <v>31529</v>
      </c>
      <c r="BC334">
        <f>IF(ISBLANK(Tabla7[[#This Row],[15/07/2018]]),0,Tabla7[[#This Row],[15/07/2018]])</f>
        <v>32453</v>
      </c>
      <c r="BD334">
        <f>IF(ISBLANK(Tabla7[[#This Row],[15/08/2018]]),0,Tabla7[[#This Row],[15/08/2018]])</f>
        <v>33525</v>
      </c>
      <c r="BE334">
        <f>IF(ISBLANK(Tabla7[[#This Row],[15/09/2018]]),0,Tabla7[[#This Row],[15/09/2018]])</f>
        <v>34542</v>
      </c>
      <c r="BF334">
        <f>IF(ISBLANK(Tabla7[[#This Row],[15/10/2018]]),0,Tabla7[[#This Row],[15/10/2018]])</f>
        <v>35377</v>
      </c>
      <c r="BG334">
        <f>IF(ISBLANK(Tabla7[[#This Row],[15/11/2018]]),0,Tabla7[[#This Row],[15/11/2018]])</f>
        <v>36491</v>
      </c>
      <c r="BH334">
        <f>IF(ISBLANK(Tabla7[[#This Row],[15/12/2018]]),0,Tabla7[[#This Row],[15/12/2018]])</f>
        <v>37665</v>
      </c>
      <c r="BI334">
        <f>IF(ISBLANK(Tabla7[[#This Row],[28/12/2018]]),0,Tabla7[[#This Row],[28/12/2018]])</f>
        <v>0</v>
      </c>
      <c r="BN33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('CXZVFER15051109407','V','VCT17','142','APV ESTACION VACÍO NORTE','EN CENTRALIZACION (07)','','');</v>
      </c>
      <c r="BO334" t="s">
        <v>243</v>
      </c>
      <c r="BP334" s="632" t="str">
        <f>CONCATENATE("insert into lecturas values ","('",Tabla7[[#This Row],[CONTADOR]],"',STR_TO_DATE('",Tabla7[[#Headers],[31/12/2017]],"','%d/%m/%Y'),",AV334,"),","('",Tabla7[[#This Row],[CONTADOR]],"',STR_TO_DATE('",Tabla7[[#Headers],[15/01/2018]],"','%d/%m/%Y'),",AW334,"),","('",Tabla7[[#This Row],[CONTADOR]],"',STR_TO_DATE('",Tabla7[[#Headers],[15/02/2018]],"','%d/%m/%Y'),",AX334,"),","('",Tabla7[[#This Row],[CONTADOR]],"',STR_TO_DATE('",Tabla7[[#Headers],[15/03/2018]],"','%d/%m/%Y'),",AY334,"),","('",Tabla7[[#This Row],[CONTADOR]],"',STR_TO_DATE('",Tabla7[[#Headers],[15/04/2018]],"','%d/%m/%Y'),",AZ334,"),","('",Tabla7[[#This Row],[CONTADOR]],"',STR_TO_DATE('",Tabla7[[#Headers],[15/05/2018]],"','%d/%m/%Y'),",BA334,"),","('",Tabla7[[#This Row],[CONTADOR]],"',STR_TO_DATE('",Tabla7[[#Headers],[15/06/2018]],"','%d/%m/%Y'),",BB334,"),","('",Tabla7[[#This Row],[CONTADOR]],"',STR_TO_DATE('",Tabla7[[#Headers],[15/07/2018]],"','%d/%m/%Y'),",BC334,"),","('",Tabla7[[#This Row],[CONTADOR]],"',STR_TO_DATE('",Tabla7[[#Headers],[15/08/2018]],"','%d/%m/%Y'),",BD334,"),","('",Tabla7[[#This Row],[CONTADOR]],"',STR_TO_DATE('",Tabla7[[#Headers],[15/09/2018]],"','%d/%m/%Y'),",BE334,"),","('",Tabla7[[#This Row],[CONTADOR]],"',STR_TO_DATE('",Tabla7[[#Headers],[15/10/2018]],"','%d/%m/%Y'),",BF334,"),","('",Tabla7[[#This Row],[CONTADOR]],"',STR_TO_DATE('",Tabla7[[#Headers],[15/11/2018]],"','%d/%m/%Y'),",BG334,"),","('",Tabla7[[#This Row],[CONTADOR]],"',STR_TO_DATE('",Tabla7[[#Headers],[15/12/2018]],"','%d/%m/%Y'),",BH334,");")</f>
        <v>insert into lecturas values ('CXZVFER15051109407',STR_TO_DATE('31/12/2017','%d/%m/%Y'),26148),('CXZVFER15051109407',STR_TO_DATE('15/01/2018','%d/%m/%Y'),26701),('CXZVFER15051109407',STR_TO_DATE('15/02/2018','%d/%m/%Y'),27773),('CXZVFER15051109407',STR_TO_DATE('15/03/2018','%d/%m/%Y'),28668),('CXZVFER15051109407',STR_TO_DATE('15/04/2018','%d/%m/%Y'),29672),('CXZVFER15051109407',STR_TO_DATE('15/05/2018','%d/%m/%Y'),30554),('CXZVFER15051109407',STR_TO_DATE('15/06/2018','%d/%m/%Y'),31529),('CXZVFER15051109407',STR_TO_DATE('15/07/2018','%d/%m/%Y'),32453),('CXZVFER15051109407',STR_TO_DATE('15/08/2018','%d/%m/%Y'),33525),('CXZVFER15051109407',STR_TO_DATE('15/09/2018','%d/%m/%Y'),34542),('CXZVFER15051109407',STR_TO_DATE('15/10/2018','%d/%m/%Y'),35377),('CXZVFER15051109407',STR_TO_DATE('15/11/2018','%d/%m/%Y'),36491),('CXZVFER15051109407',STR_TO_DATE('15/12/2018','%d/%m/%Y'),37665);</v>
      </c>
    </row>
    <row r="335" spans="1:68" ht="18" customHeight="1" x14ac:dyDescent="0.25">
      <c r="A335" s="362" t="s">
        <v>739</v>
      </c>
      <c r="B335" s="60"/>
      <c r="C335" s="342" t="s">
        <v>1254</v>
      </c>
      <c r="D335" s="364" t="s">
        <v>152</v>
      </c>
      <c r="E335" s="365">
        <v>1</v>
      </c>
      <c r="F335" s="366" t="s">
        <v>892</v>
      </c>
      <c r="G335" s="367" t="s">
        <v>819</v>
      </c>
      <c r="H335" s="367"/>
      <c r="I335" s="367"/>
      <c r="J335" s="368"/>
      <c r="K335" s="368"/>
      <c r="L335" s="354"/>
      <c r="M335" s="311"/>
      <c r="N335" s="368"/>
      <c r="O335" s="368"/>
      <c r="P335" s="368">
        <v>40610</v>
      </c>
      <c r="Q335" s="275"/>
      <c r="R335" s="275"/>
      <c r="S335" s="368"/>
      <c r="T335" s="367"/>
      <c r="U335" s="614"/>
      <c r="V335" s="366"/>
      <c r="W335" s="367"/>
      <c r="X335" s="367"/>
      <c r="Y335" s="367" t="str">
        <f t="shared" si="104"/>
        <v/>
      </c>
      <c r="Z335" s="367" t="str">
        <f t="shared" si="105"/>
        <v/>
      </c>
      <c r="AA335" s="367" t="str">
        <f t="shared" si="106"/>
        <v/>
      </c>
      <c r="AB335" s="367" t="str">
        <f t="shared" si="107"/>
        <v/>
      </c>
      <c r="AC335" s="367" t="str">
        <f t="shared" si="108"/>
        <v/>
      </c>
      <c r="AD335" s="367" t="str">
        <f t="shared" si="109"/>
        <v/>
      </c>
      <c r="AE335" s="367" t="str">
        <f t="shared" si="110"/>
        <v/>
      </c>
      <c r="AF335" s="367" t="str">
        <f t="shared" si="111"/>
        <v/>
      </c>
      <c r="AG335" s="367" t="str">
        <f t="shared" si="112"/>
        <v/>
      </c>
      <c r="AH335" s="367" t="str">
        <f t="shared" si="113"/>
        <v/>
      </c>
      <c r="AI335" s="367" t="str">
        <f t="shared" si="114"/>
        <v/>
      </c>
      <c r="AJ335" s="367" t="str">
        <f t="shared" si="115"/>
        <v/>
      </c>
      <c r="AK335" s="414">
        <v>1</v>
      </c>
      <c r="AL335" s="366">
        <f t="shared" ca="1" si="116"/>
        <v>0</v>
      </c>
      <c r="AM335" s="368">
        <f t="shared" ca="1" si="117"/>
        <v>0</v>
      </c>
      <c r="AN335" s="366" t="str">
        <f ca="1">IF(AND(Tabla7[[#This Row],[UltLec]]&lt;&gt;0,Tabla7[[#This Row],[PenLect]]&lt;&gt;0),(AM335-AL335)*Tabla7[[#This Row],[RT]],"N/A")</f>
        <v>N/A</v>
      </c>
      <c r="AO335" s="370"/>
      <c r="AP335" s="392" t="s">
        <v>1191</v>
      </c>
      <c r="AQ335" s="392" t="s">
        <v>818</v>
      </c>
      <c r="AR335" s="415">
        <f t="shared" si="118"/>
        <v>0</v>
      </c>
      <c r="AT335" s="2" t="e">
        <f t="shared" ca="1" si="119"/>
        <v>#VALUE!</v>
      </c>
      <c r="AV335">
        <f>IF(ISBLANK(Tabla7[[#This Row],[31/12/2017]]),0,Tabla7[[#This Row],[31/12/2017]])</f>
        <v>0</v>
      </c>
      <c r="AW335">
        <f>IF(ISBLANK(Tabla7[[#This Row],[15/01/2018]]),0,Tabla7[[#This Row],[15/01/2018]])</f>
        <v>0</v>
      </c>
      <c r="AX335">
        <f>IF(ISBLANK(Tabla7[[#This Row],[15/02/2018]]),0,Tabla7[[#This Row],[15/02/2018]])</f>
        <v>0</v>
      </c>
      <c r="AY335">
        <f>IF(ISBLANK(Tabla7[[#This Row],[15/03/2018]]),0,Tabla7[[#This Row],[15/03/2018]])</f>
        <v>0</v>
      </c>
      <c r="AZ335">
        <f>IF(ISBLANK(Tabla7[[#This Row],[15/04/2018]]),0,Tabla7[[#This Row],[15/04/2018]])</f>
        <v>0</v>
      </c>
      <c r="BA335">
        <f>IF(ISBLANK(Tabla7[[#This Row],[15/05/2018]]),0,Tabla7[[#This Row],[15/05/2018]])</f>
        <v>0</v>
      </c>
      <c r="BB335">
        <f>IF(ISBLANK(Tabla7[[#This Row],[15/06/2018]]),0,Tabla7[[#This Row],[15/06/2018]])</f>
        <v>40610</v>
      </c>
      <c r="BC335">
        <f>IF(ISBLANK(Tabla7[[#This Row],[15/07/2018]]),0,Tabla7[[#This Row],[15/07/2018]])</f>
        <v>0</v>
      </c>
      <c r="BD335">
        <f>IF(ISBLANK(Tabla7[[#This Row],[15/08/2018]]),0,Tabla7[[#This Row],[15/08/2018]])</f>
        <v>0</v>
      </c>
      <c r="BE335">
        <f>IF(ISBLANK(Tabla7[[#This Row],[15/09/2018]]),0,Tabla7[[#This Row],[15/09/2018]])</f>
        <v>0</v>
      </c>
      <c r="BF335">
        <f>IF(ISBLANK(Tabla7[[#This Row],[15/10/2018]]),0,Tabla7[[#This Row],[15/10/2018]])</f>
        <v>0</v>
      </c>
      <c r="BG335">
        <f>IF(ISBLANK(Tabla7[[#This Row],[15/11/2018]]),0,Tabla7[[#This Row],[15/11/2018]])</f>
        <v>0</v>
      </c>
      <c r="BH335">
        <f>IF(ISBLANK(Tabla7[[#This Row],[15/12/2018]]),0,Tabla7[[#This Row],[15/12/2018]])</f>
        <v>0</v>
      </c>
      <c r="BI335">
        <f>IF(ISBLANK(Tabla7[[#This Row],[28/12/2018]]),0,Tabla7[[#This Row],[28/12/2018]])</f>
        <v>0</v>
      </c>
      <c r="BN33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('PM4D33D749','VREP','VCT17','1','APV ESTACION VACÍO NORTE','EN SCADA','','');</v>
      </c>
      <c r="BO335" t="s">
        <v>243</v>
      </c>
      <c r="BP335" s="632" t="str">
        <f>CONCATENATE("insert into lecturas values ","('",Tabla7[[#This Row],[CONTADOR]],"',STR_TO_DATE('",Tabla7[[#Headers],[31/12/2017]],"','%d/%m/%Y'),",AV335,"),","('",Tabla7[[#This Row],[CONTADOR]],"',STR_TO_DATE('",Tabla7[[#Headers],[15/01/2018]],"','%d/%m/%Y'),",AW335,"),","('",Tabla7[[#This Row],[CONTADOR]],"',STR_TO_DATE('",Tabla7[[#Headers],[15/02/2018]],"','%d/%m/%Y'),",AX335,"),","('",Tabla7[[#This Row],[CONTADOR]],"',STR_TO_DATE('",Tabla7[[#Headers],[15/03/2018]],"','%d/%m/%Y'),",AY335,"),","('",Tabla7[[#This Row],[CONTADOR]],"',STR_TO_DATE('",Tabla7[[#Headers],[15/04/2018]],"','%d/%m/%Y'),",AZ335,"),","('",Tabla7[[#This Row],[CONTADOR]],"',STR_TO_DATE('",Tabla7[[#Headers],[15/05/2018]],"','%d/%m/%Y'),",BA335,"),","('",Tabla7[[#This Row],[CONTADOR]],"',STR_TO_DATE('",Tabla7[[#Headers],[15/06/2018]],"','%d/%m/%Y'),",BB335,"),","('",Tabla7[[#This Row],[CONTADOR]],"',STR_TO_DATE('",Tabla7[[#Headers],[15/07/2018]],"','%d/%m/%Y'),",BC335,"),","('",Tabla7[[#This Row],[CONTADOR]],"',STR_TO_DATE('",Tabla7[[#Headers],[15/08/2018]],"','%d/%m/%Y'),",BD335,"),","('",Tabla7[[#This Row],[CONTADOR]],"',STR_TO_DATE('",Tabla7[[#Headers],[15/09/2018]],"','%d/%m/%Y'),",BE335,"),","('",Tabla7[[#This Row],[CONTADOR]],"',STR_TO_DATE('",Tabla7[[#Headers],[15/10/2018]],"','%d/%m/%Y'),",BF335,"),","('",Tabla7[[#This Row],[CONTADOR]],"',STR_TO_DATE('",Tabla7[[#Headers],[15/11/2018]],"','%d/%m/%Y'),",BG335,"),","('",Tabla7[[#This Row],[CONTADOR]],"',STR_TO_DATE('",Tabla7[[#Headers],[15/12/2018]],"','%d/%m/%Y'),",BH335,");")</f>
        <v>insert into lecturas values ('PM4D33D749',STR_TO_DATE('31/12/2017','%d/%m/%Y'),0),('PM4D33D749',STR_TO_DATE('15/01/2018','%d/%m/%Y'),0),('PM4D33D749',STR_TO_DATE('15/02/2018','%d/%m/%Y'),0),('PM4D33D749',STR_TO_DATE('15/03/2018','%d/%m/%Y'),0),('PM4D33D749',STR_TO_DATE('15/04/2018','%d/%m/%Y'),0),('PM4D33D749',STR_TO_DATE('15/05/2018','%d/%m/%Y'),0),('PM4D33D749',STR_TO_DATE('15/06/2018','%d/%m/%Y'),40610),('PM4D33D749',STR_TO_DATE('15/07/2018','%d/%m/%Y'),0),('PM4D33D749',STR_TO_DATE('15/08/2018','%d/%m/%Y'),0),('PM4D33D749',STR_TO_DATE('15/09/2018','%d/%m/%Y'),0),('PM4D33D749',STR_TO_DATE('15/10/2018','%d/%m/%Y'),0),('PM4D33D749',STR_TO_DATE('15/11/2018','%d/%m/%Y'),0),('PM4D33D749',STR_TO_DATE('15/12/2018','%d/%m/%Y'),0);</v>
      </c>
    </row>
    <row r="336" spans="1:68" ht="18" customHeight="1" x14ac:dyDescent="0.25">
      <c r="A336" s="360" t="s">
        <v>19</v>
      </c>
      <c r="B336" s="60"/>
      <c r="C336" s="342" t="s">
        <v>179</v>
      </c>
      <c r="D336" s="320" t="s">
        <v>176</v>
      </c>
      <c r="E336" s="268">
        <v>39246</v>
      </c>
      <c r="F336" s="308" t="s">
        <v>180</v>
      </c>
      <c r="G336" s="308" t="s">
        <v>101</v>
      </c>
      <c r="H336" s="265" t="s">
        <v>735</v>
      </c>
      <c r="I336" s="265"/>
      <c r="J336" s="354">
        <v>561413</v>
      </c>
      <c r="K336" s="354">
        <v>571212</v>
      </c>
      <c r="L336" s="354">
        <v>588374</v>
      </c>
      <c r="M336" s="354">
        <v>603150</v>
      </c>
      <c r="N336" s="354">
        <v>619568</v>
      </c>
      <c r="O336" s="354">
        <v>736528</v>
      </c>
      <c r="P336" s="354">
        <v>753064</v>
      </c>
      <c r="Q336" s="354">
        <v>770116</v>
      </c>
      <c r="R336" s="354">
        <v>785886</v>
      </c>
      <c r="S336" s="354">
        <v>792673</v>
      </c>
      <c r="T336" s="354">
        <v>817356</v>
      </c>
      <c r="U336" s="615">
        <v>834574</v>
      </c>
      <c r="V336" s="615">
        <v>851996</v>
      </c>
      <c r="W336" s="308"/>
      <c r="X336" s="265"/>
      <c r="Y336" s="2">
        <f t="shared" si="104"/>
        <v>9799</v>
      </c>
      <c r="Z336" s="2">
        <f t="shared" si="105"/>
        <v>17162</v>
      </c>
      <c r="AA336" s="2">
        <f t="shared" si="106"/>
        <v>14776</v>
      </c>
      <c r="AB336" s="2">
        <f t="shared" si="107"/>
        <v>16418</v>
      </c>
      <c r="AC336" s="2">
        <f t="shared" si="108"/>
        <v>116960</v>
      </c>
      <c r="AD336" s="2">
        <f t="shared" si="109"/>
        <v>16536</v>
      </c>
      <c r="AE336" s="2">
        <f t="shared" si="110"/>
        <v>17052</v>
      </c>
      <c r="AF336" s="2">
        <f t="shared" si="111"/>
        <v>15770</v>
      </c>
      <c r="AG336" s="2">
        <f t="shared" si="112"/>
        <v>6787</v>
      </c>
      <c r="AH336" s="2">
        <f t="shared" si="113"/>
        <v>24683</v>
      </c>
      <c r="AI336" s="2">
        <f t="shared" si="114"/>
        <v>17218</v>
      </c>
      <c r="AJ336" s="2">
        <f t="shared" si="115"/>
        <v>17422</v>
      </c>
      <c r="AK336" s="406">
        <v>1</v>
      </c>
      <c r="AL336" s="274">
        <f t="shared" ca="1" si="116"/>
        <v>619568</v>
      </c>
      <c r="AM336" s="311">
        <f t="shared" ca="1" si="117"/>
        <v>736528</v>
      </c>
      <c r="AN336" s="274">
        <f ca="1">IF(AND(Tabla7[[#This Row],[UltLec]]&lt;&gt;0,Tabla7[[#This Row],[PenLect]]&lt;&gt;0),(AM336-AL336)*Tabla7[[#This Row],[RT]],"N/A")</f>
        <v>116960</v>
      </c>
      <c r="AO336" s="273" t="s">
        <v>862</v>
      </c>
      <c r="AP336" s="392" t="s">
        <v>1190</v>
      </c>
      <c r="AQ336" s="392" t="s">
        <v>1189</v>
      </c>
      <c r="AR336" s="407">
        <f t="shared" si="118"/>
        <v>0</v>
      </c>
      <c r="AT336" s="2">
        <f t="shared" ca="1" si="119"/>
        <v>7.1238884151540995</v>
      </c>
      <c r="AV336">
        <f>IF(ISBLANK(Tabla7[[#This Row],[31/12/2017]]),0,Tabla7[[#This Row],[31/12/2017]])</f>
        <v>561413</v>
      </c>
      <c r="AW336">
        <f>IF(ISBLANK(Tabla7[[#This Row],[15/01/2018]]),0,Tabla7[[#This Row],[15/01/2018]])</f>
        <v>571212</v>
      </c>
      <c r="AX336">
        <f>IF(ISBLANK(Tabla7[[#This Row],[15/02/2018]]),0,Tabla7[[#This Row],[15/02/2018]])</f>
        <v>588374</v>
      </c>
      <c r="AY336">
        <f>IF(ISBLANK(Tabla7[[#This Row],[15/03/2018]]),0,Tabla7[[#This Row],[15/03/2018]])</f>
        <v>603150</v>
      </c>
      <c r="AZ336">
        <f>IF(ISBLANK(Tabla7[[#This Row],[15/04/2018]]),0,Tabla7[[#This Row],[15/04/2018]])</f>
        <v>619568</v>
      </c>
      <c r="BA336">
        <f>IF(ISBLANK(Tabla7[[#This Row],[15/05/2018]]),0,Tabla7[[#This Row],[15/05/2018]])</f>
        <v>736528</v>
      </c>
      <c r="BB336">
        <f>IF(ISBLANK(Tabla7[[#This Row],[15/06/2018]]),0,Tabla7[[#This Row],[15/06/2018]])</f>
        <v>753064</v>
      </c>
      <c r="BC336">
        <f>IF(ISBLANK(Tabla7[[#This Row],[15/07/2018]]),0,Tabla7[[#This Row],[15/07/2018]])</f>
        <v>770116</v>
      </c>
      <c r="BD336">
        <f>IF(ISBLANK(Tabla7[[#This Row],[15/08/2018]]),0,Tabla7[[#This Row],[15/08/2018]])</f>
        <v>785886</v>
      </c>
      <c r="BE336">
        <f>IF(ISBLANK(Tabla7[[#This Row],[15/09/2018]]),0,Tabla7[[#This Row],[15/09/2018]])</f>
        <v>792673</v>
      </c>
      <c r="BF336">
        <f>IF(ISBLANK(Tabla7[[#This Row],[15/10/2018]]),0,Tabla7[[#This Row],[15/10/2018]])</f>
        <v>817356</v>
      </c>
      <c r="BG336">
        <f>IF(ISBLANK(Tabla7[[#This Row],[15/11/2018]]),0,Tabla7[[#This Row],[15/11/2018]])</f>
        <v>834574</v>
      </c>
      <c r="BH336">
        <f>IF(ISBLANK(Tabla7[[#This Row],[15/12/2018]]),0,Tabla7[[#This Row],[15/12/2018]])</f>
        <v>851996</v>
      </c>
      <c r="BI336">
        <f>IF(ISBLANK(Tabla7[[#This Row],[28/12/2018]]),0,Tabla7[[#This Row],[28/12/2018]])</f>
        <v>0</v>
      </c>
      <c r="BN33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('LW00012610','V','VCT20','39246','CIUDAD DE LAS ARTES Y DE LAS CIENCIAS','EN CENTRALIZACION','Primer digito indica nº vuelta y se añade manualmente.','');</v>
      </c>
      <c r="BO336" t="s">
        <v>243</v>
      </c>
      <c r="BP336" s="632" t="str">
        <f>CONCATENATE("insert into lecturas values ","('",Tabla7[[#This Row],[CONTADOR]],"',STR_TO_DATE('",Tabla7[[#Headers],[31/12/2017]],"','%d/%m/%Y'),",AV336,"),","('",Tabla7[[#This Row],[CONTADOR]],"',STR_TO_DATE('",Tabla7[[#Headers],[15/01/2018]],"','%d/%m/%Y'),",AW336,"),","('",Tabla7[[#This Row],[CONTADOR]],"',STR_TO_DATE('",Tabla7[[#Headers],[15/02/2018]],"','%d/%m/%Y'),",AX336,"),","('",Tabla7[[#This Row],[CONTADOR]],"',STR_TO_DATE('",Tabla7[[#Headers],[15/03/2018]],"','%d/%m/%Y'),",AY336,"),","('",Tabla7[[#This Row],[CONTADOR]],"',STR_TO_DATE('",Tabla7[[#Headers],[15/04/2018]],"','%d/%m/%Y'),",AZ336,"),","('",Tabla7[[#This Row],[CONTADOR]],"',STR_TO_DATE('",Tabla7[[#Headers],[15/05/2018]],"','%d/%m/%Y'),",BA336,"),","('",Tabla7[[#This Row],[CONTADOR]],"',STR_TO_DATE('",Tabla7[[#Headers],[15/06/2018]],"','%d/%m/%Y'),",BB336,"),","('",Tabla7[[#This Row],[CONTADOR]],"',STR_TO_DATE('",Tabla7[[#Headers],[15/07/2018]],"','%d/%m/%Y'),",BC336,"),","('",Tabla7[[#This Row],[CONTADOR]],"',STR_TO_DATE('",Tabla7[[#Headers],[15/08/2018]],"','%d/%m/%Y'),",BD336,"),","('",Tabla7[[#This Row],[CONTADOR]],"',STR_TO_DATE('",Tabla7[[#Headers],[15/09/2018]],"','%d/%m/%Y'),",BE336,"),","('",Tabla7[[#This Row],[CONTADOR]],"',STR_TO_DATE('",Tabla7[[#Headers],[15/10/2018]],"','%d/%m/%Y'),",BF336,"),","('",Tabla7[[#This Row],[CONTADOR]],"',STR_TO_DATE('",Tabla7[[#Headers],[15/11/2018]],"','%d/%m/%Y'),",BG336,"),","('",Tabla7[[#This Row],[CONTADOR]],"',STR_TO_DATE('",Tabla7[[#Headers],[15/12/2018]],"','%d/%m/%Y'),",BH336,");")</f>
        <v>insert into lecturas values ('LW00012610',STR_TO_DATE('31/12/2017','%d/%m/%Y'),561413),('LW00012610',STR_TO_DATE('15/01/2018','%d/%m/%Y'),571212),('LW00012610',STR_TO_DATE('15/02/2018','%d/%m/%Y'),588374),('LW00012610',STR_TO_DATE('15/03/2018','%d/%m/%Y'),603150),('LW00012610',STR_TO_DATE('15/04/2018','%d/%m/%Y'),619568),('LW00012610',STR_TO_DATE('15/05/2018','%d/%m/%Y'),736528),('LW00012610',STR_TO_DATE('15/06/2018','%d/%m/%Y'),753064),('LW00012610',STR_TO_DATE('15/07/2018','%d/%m/%Y'),770116),('LW00012610',STR_TO_DATE('15/08/2018','%d/%m/%Y'),785886),('LW00012610',STR_TO_DATE('15/09/2018','%d/%m/%Y'),792673),('LW00012610',STR_TO_DATE('15/10/2018','%d/%m/%Y'),817356),('LW00012610',STR_TO_DATE('15/11/2018','%d/%m/%Y'),834574),('LW00012610',STR_TO_DATE('15/12/2018','%d/%m/%Y'),851996);</v>
      </c>
    </row>
    <row r="337" spans="1:68" ht="18" customHeight="1" x14ac:dyDescent="0.25">
      <c r="A337" s="241" t="s">
        <v>19</v>
      </c>
      <c r="B337" s="60"/>
      <c r="C337" s="342" t="s">
        <v>181</v>
      </c>
      <c r="D337" s="60" t="s">
        <v>176</v>
      </c>
      <c r="E337" s="258">
        <v>140</v>
      </c>
      <c r="F337" s="274" t="s">
        <v>759</v>
      </c>
      <c r="G337" s="274" t="s">
        <v>182</v>
      </c>
      <c r="H337" s="2"/>
      <c r="I337" s="2"/>
      <c r="J337" s="311">
        <v>227864</v>
      </c>
      <c r="K337" s="311">
        <v>228808</v>
      </c>
      <c r="L337" s="2">
        <v>230672</v>
      </c>
      <c r="M337" s="311">
        <v>232273</v>
      </c>
      <c r="N337" s="311">
        <v>233593</v>
      </c>
      <c r="O337" s="311">
        <v>234426</v>
      </c>
      <c r="P337" s="311">
        <v>235301</v>
      </c>
      <c r="Q337" s="2">
        <v>236566</v>
      </c>
      <c r="R337" s="274">
        <v>238419</v>
      </c>
      <c r="S337" s="311">
        <v>240435</v>
      </c>
      <c r="T337" s="311">
        <v>241493</v>
      </c>
      <c r="U337" s="492">
        <v>242226</v>
      </c>
      <c r="V337" s="274">
        <v>243099</v>
      </c>
      <c r="W337" s="2"/>
      <c r="X337" s="2"/>
      <c r="Y337" s="2">
        <f t="shared" si="104"/>
        <v>944</v>
      </c>
      <c r="Z337" s="2">
        <f t="shared" si="105"/>
        <v>1864</v>
      </c>
      <c r="AA337" s="2">
        <f t="shared" si="106"/>
        <v>1601</v>
      </c>
      <c r="AB337" s="2">
        <f t="shared" si="107"/>
        <v>1320</v>
      </c>
      <c r="AC337" s="2">
        <f t="shared" si="108"/>
        <v>833</v>
      </c>
      <c r="AD337" s="2">
        <f t="shared" si="109"/>
        <v>875</v>
      </c>
      <c r="AE337" s="2">
        <f t="shared" si="110"/>
        <v>1265</v>
      </c>
      <c r="AF337" s="2">
        <f t="shared" si="111"/>
        <v>1853</v>
      </c>
      <c r="AG337" s="2">
        <f t="shared" si="112"/>
        <v>2016</v>
      </c>
      <c r="AH337" s="2">
        <f t="shared" si="113"/>
        <v>1058</v>
      </c>
      <c r="AI337" s="2">
        <f t="shared" si="114"/>
        <v>733</v>
      </c>
      <c r="AJ337" s="2">
        <f t="shared" si="115"/>
        <v>873</v>
      </c>
      <c r="AK337" s="406">
        <v>1</v>
      </c>
      <c r="AL337" s="274">
        <f t="shared" ca="1" si="116"/>
        <v>233593</v>
      </c>
      <c r="AM337" s="311">
        <f t="shared" ca="1" si="117"/>
        <v>234426</v>
      </c>
      <c r="AN337" s="274">
        <f ca="1">IF(AND(Tabla7[[#This Row],[UltLec]]&lt;&gt;0,Tabla7[[#This Row],[PenLect]]&lt;&gt;0),(AM337-AL337)*Tabla7[[#This Row],[RT]],"N/A")</f>
        <v>833</v>
      </c>
      <c r="AO337" s="273" t="s">
        <v>862</v>
      </c>
      <c r="AP337" s="392" t="s">
        <v>1190</v>
      </c>
      <c r="AQ337" s="392" t="s">
        <v>1189</v>
      </c>
      <c r="AR337" s="407">
        <f t="shared" si="118"/>
        <v>0</v>
      </c>
      <c r="AT337" s="2">
        <f t="shared" ca="1" si="119"/>
        <v>0.6310606060606061</v>
      </c>
      <c r="AV337">
        <f>IF(ISBLANK(Tabla7[[#This Row],[31/12/2017]]),0,Tabla7[[#This Row],[31/12/2017]])</f>
        <v>227864</v>
      </c>
      <c r="AW337">
        <f>IF(ISBLANK(Tabla7[[#This Row],[15/01/2018]]),0,Tabla7[[#This Row],[15/01/2018]])</f>
        <v>228808</v>
      </c>
      <c r="AX337">
        <f>IF(ISBLANK(Tabla7[[#This Row],[15/02/2018]]),0,Tabla7[[#This Row],[15/02/2018]])</f>
        <v>230672</v>
      </c>
      <c r="AY337">
        <f>IF(ISBLANK(Tabla7[[#This Row],[15/03/2018]]),0,Tabla7[[#This Row],[15/03/2018]])</f>
        <v>232273</v>
      </c>
      <c r="AZ337">
        <f>IF(ISBLANK(Tabla7[[#This Row],[15/04/2018]]),0,Tabla7[[#This Row],[15/04/2018]])</f>
        <v>233593</v>
      </c>
      <c r="BA337">
        <f>IF(ISBLANK(Tabla7[[#This Row],[15/05/2018]]),0,Tabla7[[#This Row],[15/05/2018]])</f>
        <v>234426</v>
      </c>
      <c r="BB337">
        <f>IF(ISBLANK(Tabla7[[#This Row],[15/06/2018]]),0,Tabla7[[#This Row],[15/06/2018]])</f>
        <v>235301</v>
      </c>
      <c r="BC337">
        <f>IF(ISBLANK(Tabla7[[#This Row],[15/07/2018]]),0,Tabla7[[#This Row],[15/07/2018]])</f>
        <v>236566</v>
      </c>
      <c r="BD337">
        <f>IF(ISBLANK(Tabla7[[#This Row],[15/08/2018]]),0,Tabla7[[#This Row],[15/08/2018]])</f>
        <v>238419</v>
      </c>
      <c r="BE337">
        <f>IF(ISBLANK(Tabla7[[#This Row],[15/09/2018]]),0,Tabla7[[#This Row],[15/09/2018]])</f>
        <v>240435</v>
      </c>
      <c r="BF337">
        <f>IF(ISBLANK(Tabla7[[#This Row],[15/10/2018]]),0,Tabla7[[#This Row],[15/10/2018]])</f>
        <v>241493</v>
      </c>
      <c r="BG337">
        <f>IF(ISBLANK(Tabla7[[#This Row],[15/11/2018]]),0,Tabla7[[#This Row],[15/11/2018]])</f>
        <v>242226</v>
      </c>
      <c r="BH337">
        <f>IF(ISBLANK(Tabla7[[#This Row],[15/12/2018]]),0,Tabla7[[#This Row],[15/12/2018]])</f>
        <v>243099</v>
      </c>
      <c r="BI337">
        <f>IF(ISBLANK(Tabla7[[#This Row],[28/12/2018]]),0,Tabla7[[#This Row],[28/12/2018]])</f>
        <v>0</v>
      </c>
      <c r="BN33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('LW00043012','V','VCT20','140','APV FARO','INTERIOR FARO','','');</v>
      </c>
      <c r="BO337" t="s">
        <v>243</v>
      </c>
      <c r="BP337" s="632" t="str">
        <f>CONCATENATE("insert into lecturas values ","('",Tabla7[[#This Row],[CONTADOR]],"',STR_TO_DATE('",Tabla7[[#Headers],[31/12/2017]],"','%d/%m/%Y'),",AV337,"),","('",Tabla7[[#This Row],[CONTADOR]],"',STR_TO_DATE('",Tabla7[[#Headers],[15/01/2018]],"','%d/%m/%Y'),",AW337,"),","('",Tabla7[[#This Row],[CONTADOR]],"',STR_TO_DATE('",Tabla7[[#Headers],[15/02/2018]],"','%d/%m/%Y'),",AX337,"),","('",Tabla7[[#This Row],[CONTADOR]],"',STR_TO_DATE('",Tabla7[[#Headers],[15/03/2018]],"','%d/%m/%Y'),",AY337,"),","('",Tabla7[[#This Row],[CONTADOR]],"',STR_TO_DATE('",Tabla7[[#Headers],[15/04/2018]],"','%d/%m/%Y'),",AZ337,"),","('",Tabla7[[#This Row],[CONTADOR]],"',STR_TO_DATE('",Tabla7[[#Headers],[15/05/2018]],"','%d/%m/%Y'),",BA337,"),","('",Tabla7[[#This Row],[CONTADOR]],"',STR_TO_DATE('",Tabla7[[#Headers],[15/06/2018]],"','%d/%m/%Y'),",BB337,"),","('",Tabla7[[#This Row],[CONTADOR]],"',STR_TO_DATE('",Tabla7[[#Headers],[15/07/2018]],"','%d/%m/%Y'),",BC337,"),","('",Tabla7[[#This Row],[CONTADOR]],"',STR_TO_DATE('",Tabla7[[#Headers],[15/08/2018]],"','%d/%m/%Y'),",BD337,"),","('",Tabla7[[#This Row],[CONTADOR]],"',STR_TO_DATE('",Tabla7[[#Headers],[15/09/2018]],"','%d/%m/%Y'),",BE337,"),","('",Tabla7[[#This Row],[CONTADOR]],"',STR_TO_DATE('",Tabla7[[#Headers],[15/10/2018]],"','%d/%m/%Y'),",BF337,"),","('",Tabla7[[#This Row],[CONTADOR]],"',STR_TO_DATE('",Tabla7[[#Headers],[15/11/2018]],"','%d/%m/%Y'),",BG337,"),","('",Tabla7[[#This Row],[CONTADOR]],"',STR_TO_DATE('",Tabla7[[#Headers],[15/12/2018]],"','%d/%m/%Y'),",BH337,");")</f>
        <v>insert into lecturas values ('LW00043012',STR_TO_DATE('31/12/2017','%d/%m/%Y'),227864),('LW00043012',STR_TO_DATE('15/01/2018','%d/%m/%Y'),228808),('LW00043012',STR_TO_DATE('15/02/2018','%d/%m/%Y'),230672),('LW00043012',STR_TO_DATE('15/03/2018','%d/%m/%Y'),232273),('LW00043012',STR_TO_DATE('15/04/2018','%d/%m/%Y'),233593),('LW00043012',STR_TO_DATE('15/05/2018','%d/%m/%Y'),234426),('LW00043012',STR_TO_DATE('15/06/2018','%d/%m/%Y'),235301),('LW00043012',STR_TO_DATE('15/07/2018','%d/%m/%Y'),236566),('LW00043012',STR_TO_DATE('15/08/2018','%d/%m/%Y'),238419),('LW00043012',STR_TO_DATE('15/09/2018','%d/%m/%Y'),240435),('LW00043012',STR_TO_DATE('15/10/2018','%d/%m/%Y'),241493),('LW00043012',STR_TO_DATE('15/11/2018','%d/%m/%Y'),242226),('LW00043012',STR_TO_DATE('15/12/2018','%d/%m/%Y'),243099);</v>
      </c>
    </row>
    <row r="338" spans="1:68" ht="18" customHeight="1" x14ac:dyDescent="0.25">
      <c r="A338" s="360" t="s">
        <v>19</v>
      </c>
      <c r="B338" s="60">
        <v>40364</v>
      </c>
      <c r="C338" s="342" t="s">
        <v>177</v>
      </c>
      <c r="D338" s="320" t="s">
        <v>176</v>
      </c>
      <c r="E338" s="268">
        <v>39497</v>
      </c>
      <c r="F338" s="265" t="s">
        <v>178</v>
      </c>
      <c r="G338" s="265" t="s">
        <v>101</v>
      </c>
      <c r="H338" s="265" t="s">
        <v>735</v>
      </c>
      <c r="I338" s="265"/>
      <c r="J338" s="354">
        <v>3116435</v>
      </c>
      <c r="K338" s="354">
        <v>3152145</v>
      </c>
      <c r="L338" s="354">
        <v>3219697</v>
      </c>
      <c r="M338" s="354">
        <v>3283804</v>
      </c>
      <c r="N338" s="354">
        <v>3349864</v>
      </c>
      <c r="O338" s="354">
        <v>3414084</v>
      </c>
      <c r="P338" s="354">
        <v>3475881</v>
      </c>
      <c r="Q338" s="354">
        <v>3538113</v>
      </c>
      <c r="R338" s="354">
        <v>3593515</v>
      </c>
      <c r="S338" s="354">
        <v>3644764</v>
      </c>
      <c r="T338" s="354">
        <v>3697298</v>
      </c>
      <c r="U338" s="615">
        <v>3757779</v>
      </c>
      <c r="V338" s="615">
        <v>3821159</v>
      </c>
      <c r="W338" s="308"/>
      <c r="X338" s="265"/>
      <c r="Y338" s="2">
        <f t="shared" si="104"/>
        <v>35710</v>
      </c>
      <c r="Z338" s="2">
        <f t="shared" si="105"/>
        <v>67552</v>
      </c>
      <c r="AA338" s="2">
        <f t="shared" si="106"/>
        <v>64107</v>
      </c>
      <c r="AB338" s="2">
        <f t="shared" si="107"/>
        <v>66060</v>
      </c>
      <c r="AC338" s="2">
        <f t="shared" si="108"/>
        <v>64220</v>
      </c>
      <c r="AD338" s="2">
        <f t="shared" si="109"/>
        <v>61797</v>
      </c>
      <c r="AE338" s="2">
        <f t="shared" si="110"/>
        <v>62232</v>
      </c>
      <c r="AF338" s="2">
        <f t="shared" si="111"/>
        <v>55402</v>
      </c>
      <c r="AG338" s="2">
        <f t="shared" si="112"/>
        <v>51249</v>
      </c>
      <c r="AH338" s="2">
        <f t="shared" si="113"/>
        <v>52534</v>
      </c>
      <c r="AI338" s="2">
        <f t="shared" si="114"/>
        <v>60481</v>
      </c>
      <c r="AJ338" s="2">
        <f t="shared" si="115"/>
        <v>63380</v>
      </c>
      <c r="AK338" s="406">
        <v>1</v>
      </c>
      <c r="AL338" s="274">
        <f t="shared" ca="1" si="116"/>
        <v>3349864</v>
      </c>
      <c r="AM338" s="311">
        <f t="shared" ca="1" si="117"/>
        <v>3414084</v>
      </c>
      <c r="AN338" s="274">
        <f ca="1">IF(AND(Tabla7[[#This Row],[UltLec]]&lt;&gt;0,Tabla7[[#This Row],[PenLect]]&lt;&gt;0),(AM338-AL338)*Tabla7[[#This Row],[RT]],"N/A")</f>
        <v>64220</v>
      </c>
      <c r="AO338" s="273" t="s">
        <v>862</v>
      </c>
      <c r="AP338" s="392" t="s">
        <v>1190</v>
      </c>
      <c r="AQ338" s="392" t="s">
        <v>1189</v>
      </c>
      <c r="AR338" s="407">
        <f t="shared" si="118"/>
        <v>0</v>
      </c>
      <c r="AT338" s="2">
        <f t="shared" ca="1" si="119"/>
        <v>0.97214653345443536</v>
      </c>
      <c r="AV338">
        <f>IF(ISBLANK(Tabla7[[#This Row],[31/12/2017]]),0,Tabla7[[#This Row],[31/12/2017]])</f>
        <v>3116435</v>
      </c>
      <c r="AW338">
        <f>IF(ISBLANK(Tabla7[[#This Row],[15/01/2018]]),0,Tabla7[[#This Row],[15/01/2018]])</f>
        <v>3152145</v>
      </c>
      <c r="AX338">
        <f>IF(ISBLANK(Tabla7[[#This Row],[15/02/2018]]),0,Tabla7[[#This Row],[15/02/2018]])</f>
        <v>3219697</v>
      </c>
      <c r="AY338">
        <f>IF(ISBLANK(Tabla7[[#This Row],[15/03/2018]]),0,Tabla7[[#This Row],[15/03/2018]])</f>
        <v>3283804</v>
      </c>
      <c r="AZ338">
        <f>IF(ISBLANK(Tabla7[[#This Row],[15/04/2018]]),0,Tabla7[[#This Row],[15/04/2018]])</f>
        <v>3349864</v>
      </c>
      <c r="BA338">
        <f>IF(ISBLANK(Tabla7[[#This Row],[15/05/2018]]),0,Tabla7[[#This Row],[15/05/2018]])</f>
        <v>3414084</v>
      </c>
      <c r="BB338">
        <f>IF(ISBLANK(Tabla7[[#This Row],[15/06/2018]]),0,Tabla7[[#This Row],[15/06/2018]])</f>
        <v>3475881</v>
      </c>
      <c r="BC338">
        <f>IF(ISBLANK(Tabla7[[#This Row],[15/07/2018]]),0,Tabla7[[#This Row],[15/07/2018]])</f>
        <v>3538113</v>
      </c>
      <c r="BD338">
        <f>IF(ISBLANK(Tabla7[[#This Row],[15/08/2018]]),0,Tabla7[[#This Row],[15/08/2018]])</f>
        <v>3593515</v>
      </c>
      <c r="BE338">
        <f>IF(ISBLANK(Tabla7[[#This Row],[15/09/2018]]),0,Tabla7[[#This Row],[15/09/2018]])</f>
        <v>3644764</v>
      </c>
      <c r="BF338">
        <f>IF(ISBLANK(Tabla7[[#This Row],[15/10/2018]]),0,Tabla7[[#This Row],[15/10/2018]])</f>
        <v>3697298</v>
      </c>
      <c r="BG338">
        <f>IF(ISBLANK(Tabla7[[#This Row],[15/11/2018]]),0,Tabla7[[#This Row],[15/11/2018]])</f>
        <v>3757779</v>
      </c>
      <c r="BH338">
        <f>IF(ISBLANK(Tabla7[[#This Row],[15/12/2018]]),0,Tabla7[[#This Row],[15/12/2018]])</f>
        <v>3821159</v>
      </c>
      <c r="BI338">
        <f>IF(ISBLANK(Tabla7[[#This Row],[28/12/2018]]),0,Tabla7[[#This Row],[28/12/2018]])</f>
        <v>0</v>
      </c>
      <c r="BN33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('LW00181243','V','VCT20','39497','URBAMAR LEVANTE','EN CENTRALIZACION','Primer digito indica nº vuelta y se añade manualmente.','');</v>
      </c>
      <c r="BO338" t="s">
        <v>243</v>
      </c>
      <c r="BP338" s="632" t="str">
        <f>CONCATENATE("insert into lecturas values ","('",Tabla7[[#This Row],[CONTADOR]],"',STR_TO_DATE('",Tabla7[[#Headers],[31/12/2017]],"','%d/%m/%Y'),",AV338,"),","('",Tabla7[[#This Row],[CONTADOR]],"',STR_TO_DATE('",Tabla7[[#Headers],[15/01/2018]],"','%d/%m/%Y'),",AW338,"),","('",Tabla7[[#This Row],[CONTADOR]],"',STR_TO_DATE('",Tabla7[[#Headers],[15/02/2018]],"','%d/%m/%Y'),",AX338,"),","('",Tabla7[[#This Row],[CONTADOR]],"',STR_TO_DATE('",Tabla7[[#Headers],[15/03/2018]],"','%d/%m/%Y'),",AY338,"),","('",Tabla7[[#This Row],[CONTADOR]],"',STR_TO_DATE('",Tabla7[[#Headers],[15/04/2018]],"','%d/%m/%Y'),",AZ338,"),","('",Tabla7[[#This Row],[CONTADOR]],"',STR_TO_DATE('",Tabla7[[#Headers],[15/05/2018]],"','%d/%m/%Y'),",BA338,"),","('",Tabla7[[#This Row],[CONTADOR]],"',STR_TO_DATE('",Tabla7[[#Headers],[15/06/2018]],"','%d/%m/%Y'),",BB338,"),","('",Tabla7[[#This Row],[CONTADOR]],"',STR_TO_DATE('",Tabla7[[#Headers],[15/07/2018]],"','%d/%m/%Y'),",BC338,"),","('",Tabla7[[#This Row],[CONTADOR]],"',STR_TO_DATE('",Tabla7[[#Headers],[15/08/2018]],"','%d/%m/%Y'),",BD338,"),","('",Tabla7[[#This Row],[CONTADOR]],"',STR_TO_DATE('",Tabla7[[#Headers],[15/09/2018]],"','%d/%m/%Y'),",BE338,"),","('",Tabla7[[#This Row],[CONTADOR]],"',STR_TO_DATE('",Tabla7[[#Headers],[15/10/2018]],"','%d/%m/%Y'),",BF338,"),","('",Tabla7[[#This Row],[CONTADOR]],"',STR_TO_DATE('",Tabla7[[#Headers],[15/11/2018]],"','%d/%m/%Y'),",BG338,"),","('",Tabla7[[#This Row],[CONTADOR]],"',STR_TO_DATE('",Tabla7[[#Headers],[15/12/2018]],"','%d/%m/%Y'),",BH338,");")</f>
        <v>insert into lecturas values ('LW00181243',STR_TO_DATE('31/12/2017','%d/%m/%Y'),3116435),('LW00181243',STR_TO_DATE('15/01/2018','%d/%m/%Y'),3152145),('LW00181243',STR_TO_DATE('15/02/2018','%d/%m/%Y'),3219697),('LW00181243',STR_TO_DATE('15/03/2018','%d/%m/%Y'),3283804),('LW00181243',STR_TO_DATE('15/04/2018','%d/%m/%Y'),3349864),('LW00181243',STR_TO_DATE('15/05/2018','%d/%m/%Y'),3414084),('LW00181243',STR_TO_DATE('15/06/2018','%d/%m/%Y'),3475881),('LW00181243',STR_TO_DATE('15/07/2018','%d/%m/%Y'),3538113),('LW00181243',STR_TO_DATE('15/08/2018','%d/%m/%Y'),3593515),('LW00181243',STR_TO_DATE('15/09/2018','%d/%m/%Y'),3644764),('LW00181243',STR_TO_DATE('15/10/2018','%d/%m/%Y'),3697298),('LW00181243',STR_TO_DATE('15/11/2018','%d/%m/%Y'),3757779),('LW00181243',STR_TO_DATE('15/12/2018','%d/%m/%Y'),3821159);</v>
      </c>
    </row>
    <row r="339" spans="1:68" ht="18" customHeight="1" x14ac:dyDescent="0.25">
      <c r="A339" s="241" t="s">
        <v>19</v>
      </c>
      <c r="B339" s="60"/>
      <c r="C339" s="342" t="s">
        <v>1239</v>
      </c>
      <c r="D339" s="60" t="s">
        <v>176</v>
      </c>
      <c r="E339" s="258">
        <v>131</v>
      </c>
      <c r="F339" s="2" t="s">
        <v>455</v>
      </c>
      <c r="G339" s="2" t="s">
        <v>447</v>
      </c>
      <c r="H339" s="2"/>
      <c r="I339" s="2"/>
      <c r="J339" s="311">
        <v>235379</v>
      </c>
      <c r="K339" s="311">
        <v>236611</v>
      </c>
      <c r="L339" s="311">
        <v>238631</v>
      </c>
      <c r="M339" s="311">
        <v>240212</v>
      </c>
      <c r="N339" s="311">
        <v>241789</v>
      </c>
      <c r="O339" s="311">
        <v>243162</v>
      </c>
      <c r="P339" s="311">
        <v>244367</v>
      </c>
      <c r="Q339" s="307">
        <v>245602</v>
      </c>
      <c r="R339" s="275">
        <v>246826</v>
      </c>
      <c r="S339" s="311">
        <v>248378</v>
      </c>
      <c r="T339" s="311">
        <v>249860</v>
      </c>
      <c r="U339" s="492">
        <v>251773</v>
      </c>
      <c r="V339" s="492">
        <v>253805</v>
      </c>
      <c r="W339" s="2"/>
      <c r="X339" s="2"/>
      <c r="Y339" s="2">
        <f t="shared" si="104"/>
        <v>1232</v>
      </c>
      <c r="Z339" s="2">
        <f t="shared" si="105"/>
        <v>2020</v>
      </c>
      <c r="AA339" s="2">
        <f t="shared" si="106"/>
        <v>1581</v>
      </c>
      <c r="AB339" s="2">
        <f t="shared" si="107"/>
        <v>1577</v>
      </c>
      <c r="AC339" s="2">
        <f t="shared" si="108"/>
        <v>1373</v>
      </c>
      <c r="AD339" s="2">
        <f t="shared" si="109"/>
        <v>1205</v>
      </c>
      <c r="AE339" s="2">
        <f t="shared" si="110"/>
        <v>1235</v>
      </c>
      <c r="AF339" s="2">
        <f t="shared" si="111"/>
        <v>1224</v>
      </c>
      <c r="AG339" s="2">
        <f t="shared" si="112"/>
        <v>1552</v>
      </c>
      <c r="AH339" s="2">
        <f t="shared" si="113"/>
        <v>1482</v>
      </c>
      <c r="AI339" s="2">
        <f t="shared" si="114"/>
        <v>1913</v>
      </c>
      <c r="AJ339" s="2">
        <f t="shared" si="115"/>
        <v>2032</v>
      </c>
      <c r="AK339" s="406">
        <v>1</v>
      </c>
      <c r="AL339" s="274">
        <f t="shared" ca="1" si="116"/>
        <v>241789</v>
      </c>
      <c r="AM339" s="311">
        <f t="shared" ca="1" si="117"/>
        <v>243162</v>
      </c>
      <c r="AN339" s="274">
        <f ca="1">IF(AND(Tabla7[[#This Row],[UltLec]]&lt;&gt;0,Tabla7[[#This Row],[PenLect]]&lt;&gt;0),(AM339-AL339)*Tabla7[[#This Row],[RT]],"N/A")</f>
        <v>1373</v>
      </c>
      <c r="AO339" s="273" t="s">
        <v>862</v>
      </c>
      <c r="AP339" s="392" t="s">
        <v>1191</v>
      </c>
      <c r="AQ339" s="392" t="s">
        <v>818</v>
      </c>
      <c r="AR339" s="407">
        <f t="shared" si="118"/>
        <v>0</v>
      </c>
      <c r="AT339" s="2">
        <f t="shared" ca="1" si="119"/>
        <v>0.87064045656309452</v>
      </c>
      <c r="AV339">
        <f>IF(ISBLANK(Tabla7[[#This Row],[31/12/2017]]),0,Tabla7[[#This Row],[31/12/2017]])</f>
        <v>235379</v>
      </c>
      <c r="AW339">
        <f>IF(ISBLANK(Tabla7[[#This Row],[15/01/2018]]),0,Tabla7[[#This Row],[15/01/2018]])</f>
        <v>236611</v>
      </c>
      <c r="AX339">
        <f>IF(ISBLANK(Tabla7[[#This Row],[15/02/2018]]),0,Tabla7[[#This Row],[15/02/2018]])</f>
        <v>238631</v>
      </c>
      <c r="AY339">
        <f>IF(ISBLANK(Tabla7[[#This Row],[15/03/2018]]),0,Tabla7[[#This Row],[15/03/2018]])</f>
        <v>240212</v>
      </c>
      <c r="AZ339">
        <f>IF(ISBLANK(Tabla7[[#This Row],[15/04/2018]]),0,Tabla7[[#This Row],[15/04/2018]])</f>
        <v>241789</v>
      </c>
      <c r="BA339">
        <f>IF(ISBLANK(Tabla7[[#This Row],[15/05/2018]]),0,Tabla7[[#This Row],[15/05/2018]])</f>
        <v>243162</v>
      </c>
      <c r="BB339">
        <f>IF(ISBLANK(Tabla7[[#This Row],[15/06/2018]]),0,Tabla7[[#This Row],[15/06/2018]])</f>
        <v>244367</v>
      </c>
      <c r="BC339">
        <f>IF(ISBLANK(Tabla7[[#This Row],[15/07/2018]]),0,Tabla7[[#This Row],[15/07/2018]])</f>
        <v>245602</v>
      </c>
      <c r="BD339">
        <f>IF(ISBLANK(Tabla7[[#This Row],[15/08/2018]]),0,Tabla7[[#This Row],[15/08/2018]])</f>
        <v>246826</v>
      </c>
      <c r="BE339">
        <f>IF(ISBLANK(Tabla7[[#This Row],[15/09/2018]]),0,Tabla7[[#This Row],[15/09/2018]])</f>
        <v>248378</v>
      </c>
      <c r="BF339">
        <f>IF(ISBLANK(Tabla7[[#This Row],[15/10/2018]]),0,Tabla7[[#This Row],[15/10/2018]])</f>
        <v>249860</v>
      </c>
      <c r="BG339">
        <f>IF(ISBLANK(Tabla7[[#This Row],[15/11/2018]]),0,Tabla7[[#This Row],[15/11/2018]])</f>
        <v>251773</v>
      </c>
      <c r="BH339">
        <f>IF(ISBLANK(Tabla7[[#This Row],[15/12/2018]]),0,Tabla7[[#This Row],[15/12/2018]])</f>
        <v>253805</v>
      </c>
      <c r="BI339">
        <f>IF(ISBLANK(Tabla7[[#This Row],[28/12/2018]]),0,Tabla7[[#This Row],[28/12/2018]])</f>
        <v>0</v>
      </c>
      <c r="BN33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('PM484E5A10','V','VCT20','131','APV ALUMBRADO VIALES','EN C.T.','','');</v>
      </c>
      <c r="BO339" t="s">
        <v>243</v>
      </c>
      <c r="BP339" s="632" t="str">
        <f>CONCATENATE("insert into lecturas values ","('",Tabla7[[#This Row],[CONTADOR]],"',STR_TO_DATE('",Tabla7[[#Headers],[31/12/2017]],"','%d/%m/%Y'),",AV339,"),","('",Tabla7[[#This Row],[CONTADOR]],"',STR_TO_DATE('",Tabla7[[#Headers],[15/01/2018]],"','%d/%m/%Y'),",AW339,"),","('",Tabla7[[#This Row],[CONTADOR]],"',STR_TO_DATE('",Tabla7[[#Headers],[15/02/2018]],"','%d/%m/%Y'),",AX339,"),","('",Tabla7[[#This Row],[CONTADOR]],"',STR_TO_DATE('",Tabla7[[#Headers],[15/03/2018]],"','%d/%m/%Y'),",AY339,"),","('",Tabla7[[#This Row],[CONTADOR]],"',STR_TO_DATE('",Tabla7[[#Headers],[15/04/2018]],"','%d/%m/%Y'),",AZ339,"),","('",Tabla7[[#This Row],[CONTADOR]],"',STR_TO_DATE('",Tabla7[[#Headers],[15/05/2018]],"','%d/%m/%Y'),",BA339,"),","('",Tabla7[[#This Row],[CONTADOR]],"',STR_TO_DATE('",Tabla7[[#Headers],[15/06/2018]],"','%d/%m/%Y'),",BB339,"),","('",Tabla7[[#This Row],[CONTADOR]],"',STR_TO_DATE('",Tabla7[[#Headers],[15/07/2018]],"','%d/%m/%Y'),",BC339,"),","('",Tabla7[[#This Row],[CONTADOR]],"',STR_TO_DATE('",Tabla7[[#Headers],[15/08/2018]],"','%d/%m/%Y'),",BD339,"),","('",Tabla7[[#This Row],[CONTADOR]],"',STR_TO_DATE('",Tabla7[[#Headers],[15/09/2018]],"','%d/%m/%Y'),",BE339,"),","('",Tabla7[[#This Row],[CONTADOR]],"',STR_TO_DATE('",Tabla7[[#Headers],[15/10/2018]],"','%d/%m/%Y'),",BF339,"),","('",Tabla7[[#This Row],[CONTADOR]],"',STR_TO_DATE('",Tabla7[[#Headers],[15/11/2018]],"','%d/%m/%Y'),",BG339,"),","('",Tabla7[[#This Row],[CONTADOR]],"',STR_TO_DATE('",Tabla7[[#Headers],[15/12/2018]],"','%d/%m/%Y'),",BH339,");")</f>
        <v>insert into lecturas values ('PM484E5A10',STR_TO_DATE('31/12/2017','%d/%m/%Y'),235379),('PM484E5A10',STR_TO_DATE('15/01/2018','%d/%m/%Y'),236611),('PM484E5A10',STR_TO_DATE('15/02/2018','%d/%m/%Y'),238631),('PM484E5A10',STR_TO_DATE('15/03/2018','%d/%m/%Y'),240212),('PM484E5A10',STR_TO_DATE('15/04/2018','%d/%m/%Y'),241789),('PM484E5A10',STR_TO_DATE('15/05/2018','%d/%m/%Y'),243162),('PM484E5A10',STR_TO_DATE('15/06/2018','%d/%m/%Y'),244367),('PM484E5A10',STR_TO_DATE('15/07/2018','%d/%m/%Y'),245602),('PM484E5A10',STR_TO_DATE('15/08/2018','%d/%m/%Y'),246826),('PM484E5A10',STR_TO_DATE('15/09/2018','%d/%m/%Y'),248378),('PM484E5A10',STR_TO_DATE('15/10/2018','%d/%m/%Y'),249860),('PM484E5A10',STR_TO_DATE('15/11/2018','%d/%m/%Y'),251773),('PM484E5A10',STR_TO_DATE('15/12/2018','%d/%m/%Y'),253805);</v>
      </c>
    </row>
    <row r="340" spans="1:68" ht="18" customHeight="1" x14ac:dyDescent="0.25">
      <c r="A340" s="360" t="s">
        <v>19</v>
      </c>
      <c r="B340" s="60">
        <v>552</v>
      </c>
      <c r="C340" s="342" t="s">
        <v>184</v>
      </c>
      <c r="D340" s="320" t="s">
        <v>183</v>
      </c>
      <c r="E340" s="268">
        <v>39787</v>
      </c>
      <c r="F340" s="265" t="s">
        <v>185</v>
      </c>
      <c r="G340" s="265" t="s">
        <v>186</v>
      </c>
      <c r="H340" s="265" t="s">
        <v>735</v>
      </c>
      <c r="I340" s="308"/>
      <c r="J340" s="354">
        <v>147402</v>
      </c>
      <c r="K340" s="354">
        <v>148158</v>
      </c>
      <c r="L340" s="354">
        <v>149883</v>
      </c>
      <c r="M340" s="354">
        <v>151245</v>
      </c>
      <c r="N340" s="354">
        <v>152429</v>
      </c>
      <c r="O340" s="354">
        <v>153124</v>
      </c>
      <c r="P340" s="354">
        <v>154047</v>
      </c>
      <c r="Q340" s="354">
        <v>155246</v>
      </c>
      <c r="R340" s="354">
        <v>156730</v>
      </c>
      <c r="S340" s="354">
        <v>158165</v>
      </c>
      <c r="T340" s="354">
        <v>159309</v>
      </c>
      <c r="U340" s="354">
        <v>160265</v>
      </c>
      <c r="V340" s="354">
        <v>161732</v>
      </c>
      <c r="W340" s="354"/>
      <c r="X340" s="354"/>
      <c r="Y340" s="2">
        <f t="shared" si="104"/>
        <v>756</v>
      </c>
      <c r="Z340" s="2">
        <f t="shared" si="105"/>
        <v>1725</v>
      </c>
      <c r="AA340" s="2">
        <f t="shared" si="106"/>
        <v>1362</v>
      </c>
      <c r="AB340" s="2">
        <f t="shared" si="107"/>
        <v>1184</v>
      </c>
      <c r="AC340" s="2">
        <f t="shared" si="108"/>
        <v>695</v>
      </c>
      <c r="AD340" s="2">
        <f t="shared" si="109"/>
        <v>923</v>
      </c>
      <c r="AE340" s="2">
        <f t="shared" si="110"/>
        <v>1199</v>
      </c>
      <c r="AF340" s="2">
        <f t="shared" si="111"/>
        <v>1484</v>
      </c>
      <c r="AG340" s="2">
        <f t="shared" si="112"/>
        <v>1435</v>
      </c>
      <c r="AH340" s="2">
        <f t="shared" si="113"/>
        <v>1144</v>
      </c>
      <c r="AI340" s="2">
        <f t="shared" si="114"/>
        <v>956</v>
      </c>
      <c r="AJ340" s="2">
        <f t="shared" si="115"/>
        <v>1467</v>
      </c>
      <c r="AK340" s="406">
        <v>1</v>
      </c>
      <c r="AL340" s="274">
        <f t="shared" ca="1" si="116"/>
        <v>152429</v>
      </c>
      <c r="AM340" s="311">
        <f t="shared" ca="1" si="117"/>
        <v>153124</v>
      </c>
      <c r="AN340" s="274">
        <f ca="1">IF(AND(Tabla7[[#This Row],[UltLec]]&lt;&gt;0,Tabla7[[#This Row],[PenLect]]&lt;&gt;0),(AM340-AL340)*Tabla7[[#This Row],[RT]],"N/A")</f>
        <v>695</v>
      </c>
      <c r="AO340" s="273" t="s">
        <v>862</v>
      </c>
      <c r="AP340" s="392" t="s">
        <v>1190</v>
      </c>
      <c r="AQ340" s="392" t="s">
        <v>1189</v>
      </c>
      <c r="AR340" s="407">
        <f t="shared" si="118"/>
        <v>0</v>
      </c>
      <c r="AT340" s="2">
        <f t="shared" ca="1" si="119"/>
        <v>0.5869932432432432</v>
      </c>
      <c r="AV340">
        <f>IF(ISBLANK(Tabla7[[#This Row],[31/12/2017]]),0,Tabla7[[#This Row],[31/12/2017]])</f>
        <v>147402</v>
      </c>
      <c r="AW340">
        <f>IF(ISBLANK(Tabla7[[#This Row],[15/01/2018]]),0,Tabla7[[#This Row],[15/01/2018]])</f>
        <v>148158</v>
      </c>
      <c r="AX340">
        <f>IF(ISBLANK(Tabla7[[#This Row],[15/02/2018]]),0,Tabla7[[#This Row],[15/02/2018]])</f>
        <v>149883</v>
      </c>
      <c r="AY340">
        <f>IF(ISBLANK(Tabla7[[#This Row],[15/03/2018]]),0,Tabla7[[#This Row],[15/03/2018]])</f>
        <v>151245</v>
      </c>
      <c r="AZ340">
        <f>IF(ISBLANK(Tabla7[[#This Row],[15/04/2018]]),0,Tabla7[[#This Row],[15/04/2018]])</f>
        <v>152429</v>
      </c>
      <c r="BA340">
        <f>IF(ISBLANK(Tabla7[[#This Row],[15/05/2018]]),0,Tabla7[[#This Row],[15/05/2018]])</f>
        <v>153124</v>
      </c>
      <c r="BB340">
        <f>IF(ISBLANK(Tabla7[[#This Row],[15/06/2018]]),0,Tabla7[[#This Row],[15/06/2018]])</f>
        <v>154047</v>
      </c>
      <c r="BC340">
        <f>IF(ISBLANK(Tabla7[[#This Row],[15/07/2018]]),0,Tabla7[[#This Row],[15/07/2018]])</f>
        <v>155246</v>
      </c>
      <c r="BD340">
        <f>IF(ISBLANK(Tabla7[[#This Row],[15/08/2018]]),0,Tabla7[[#This Row],[15/08/2018]])</f>
        <v>156730</v>
      </c>
      <c r="BE340">
        <f>IF(ISBLANK(Tabla7[[#This Row],[15/09/2018]]),0,Tabla7[[#This Row],[15/09/2018]])</f>
        <v>158165</v>
      </c>
      <c r="BF340">
        <f>IF(ISBLANK(Tabla7[[#This Row],[15/10/2018]]),0,Tabla7[[#This Row],[15/10/2018]])</f>
        <v>159309</v>
      </c>
      <c r="BG340">
        <f>IF(ISBLANK(Tabla7[[#This Row],[15/11/2018]]),0,Tabla7[[#This Row],[15/11/2018]])</f>
        <v>160265</v>
      </c>
      <c r="BH340">
        <f>IF(ISBLANK(Tabla7[[#This Row],[15/12/2018]]),0,Tabla7[[#This Row],[15/12/2018]])</f>
        <v>161732</v>
      </c>
      <c r="BI340">
        <f>IF(ISBLANK(Tabla7[[#This Row],[28/12/2018]]),0,Tabla7[[#This Row],[28/12/2018]])</f>
        <v>0</v>
      </c>
      <c r="BN34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('LW00012532','V','VCT21','39787','RANDSTAD EMPLEO ETT, S.A.','VALLA AL LADO DE BUNGE DETRÁS CT21','Primer digito indica nº vuelta y se añade manualmente.','');</v>
      </c>
      <c r="BO340" t="s">
        <v>243</v>
      </c>
      <c r="BP340" s="632" t="str">
        <f>CONCATENATE("insert into lecturas values ","('",Tabla7[[#This Row],[CONTADOR]],"',STR_TO_DATE('",Tabla7[[#Headers],[31/12/2017]],"','%d/%m/%Y'),",AV340,"),","('",Tabla7[[#This Row],[CONTADOR]],"',STR_TO_DATE('",Tabla7[[#Headers],[15/01/2018]],"','%d/%m/%Y'),",AW340,"),","('",Tabla7[[#This Row],[CONTADOR]],"',STR_TO_DATE('",Tabla7[[#Headers],[15/02/2018]],"','%d/%m/%Y'),",AX340,"),","('",Tabla7[[#This Row],[CONTADOR]],"',STR_TO_DATE('",Tabla7[[#Headers],[15/03/2018]],"','%d/%m/%Y'),",AY340,"),","('",Tabla7[[#This Row],[CONTADOR]],"',STR_TO_DATE('",Tabla7[[#Headers],[15/04/2018]],"','%d/%m/%Y'),",AZ340,"),","('",Tabla7[[#This Row],[CONTADOR]],"',STR_TO_DATE('",Tabla7[[#Headers],[15/05/2018]],"','%d/%m/%Y'),",BA340,"),","('",Tabla7[[#This Row],[CONTADOR]],"',STR_TO_DATE('",Tabla7[[#Headers],[15/06/2018]],"','%d/%m/%Y'),",BB340,"),","('",Tabla7[[#This Row],[CONTADOR]],"',STR_TO_DATE('",Tabla7[[#Headers],[15/07/2018]],"','%d/%m/%Y'),",BC340,"),","('",Tabla7[[#This Row],[CONTADOR]],"',STR_TO_DATE('",Tabla7[[#Headers],[15/08/2018]],"','%d/%m/%Y'),",BD340,"),","('",Tabla7[[#This Row],[CONTADOR]],"',STR_TO_DATE('",Tabla7[[#Headers],[15/09/2018]],"','%d/%m/%Y'),",BE340,"),","('",Tabla7[[#This Row],[CONTADOR]],"',STR_TO_DATE('",Tabla7[[#Headers],[15/10/2018]],"','%d/%m/%Y'),",BF340,"),","('",Tabla7[[#This Row],[CONTADOR]],"',STR_TO_DATE('",Tabla7[[#Headers],[15/11/2018]],"','%d/%m/%Y'),",BG340,"),","('",Tabla7[[#This Row],[CONTADOR]],"',STR_TO_DATE('",Tabla7[[#Headers],[15/12/2018]],"','%d/%m/%Y'),",BH340,");")</f>
        <v>insert into lecturas values ('LW00012532',STR_TO_DATE('31/12/2017','%d/%m/%Y'),147402),('LW00012532',STR_TO_DATE('15/01/2018','%d/%m/%Y'),148158),('LW00012532',STR_TO_DATE('15/02/2018','%d/%m/%Y'),149883),('LW00012532',STR_TO_DATE('15/03/2018','%d/%m/%Y'),151245),('LW00012532',STR_TO_DATE('15/04/2018','%d/%m/%Y'),152429),('LW00012532',STR_TO_DATE('15/05/2018','%d/%m/%Y'),153124),('LW00012532',STR_TO_DATE('15/06/2018','%d/%m/%Y'),154047),('LW00012532',STR_TO_DATE('15/07/2018','%d/%m/%Y'),155246),('LW00012532',STR_TO_DATE('15/08/2018','%d/%m/%Y'),156730),('LW00012532',STR_TO_DATE('15/09/2018','%d/%m/%Y'),158165),('LW00012532',STR_TO_DATE('15/10/2018','%d/%m/%Y'),159309),('LW00012532',STR_TO_DATE('15/11/2018','%d/%m/%Y'),160265),('LW00012532',STR_TO_DATE('15/12/2018','%d/%m/%Y'),161732);</v>
      </c>
    </row>
    <row r="341" spans="1:68" ht="18" customHeight="1" x14ac:dyDescent="0.25">
      <c r="A341" s="241" t="s">
        <v>19</v>
      </c>
      <c r="B341" s="60">
        <v>1234</v>
      </c>
      <c r="C341" s="342" t="s">
        <v>188</v>
      </c>
      <c r="D341" s="60" t="s">
        <v>183</v>
      </c>
      <c r="E341" s="258">
        <v>39051</v>
      </c>
      <c r="F341" s="274" t="s">
        <v>189</v>
      </c>
      <c r="G341" s="274" t="s">
        <v>101</v>
      </c>
      <c r="H341" s="2"/>
      <c r="I341" s="2"/>
      <c r="J341" s="311">
        <v>31526</v>
      </c>
      <c r="K341" s="311">
        <v>31528</v>
      </c>
      <c r="L341" s="311">
        <v>31562</v>
      </c>
      <c r="M341" s="311">
        <v>31566</v>
      </c>
      <c r="N341" s="311">
        <v>31577</v>
      </c>
      <c r="O341" s="353">
        <v>31582</v>
      </c>
      <c r="P341" s="311">
        <v>31582</v>
      </c>
      <c r="Q341" s="264">
        <v>31582</v>
      </c>
      <c r="R341" s="2">
        <v>31312</v>
      </c>
      <c r="S341" s="311">
        <v>31319</v>
      </c>
      <c r="T341" s="311">
        <v>31327</v>
      </c>
      <c r="U341" s="492">
        <v>31335</v>
      </c>
      <c r="V341" s="274">
        <v>31342</v>
      </c>
      <c r="W341" s="274"/>
      <c r="X341" s="2"/>
      <c r="Y341" s="2">
        <f t="shared" si="104"/>
        <v>2</v>
      </c>
      <c r="Z341" s="275">
        <f t="shared" si="105"/>
        <v>34</v>
      </c>
      <c r="AA341" s="275">
        <f t="shared" si="106"/>
        <v>4</v>
      </c>
      <c r="AB341" s="275">
        <f t="shared" si="107"/>
        <v>11</v>
      </c>
      <c r="AC341" s="275">
        <f t="shared" si="108"/>
        <v>5</v>
      </c>
      <c r="AD341" s="2">
        <f t="shared" si="109"/>
        <v>0</v>
      </c>
      <c r="AE341" s="2">
        <f t="shared" si="110"/>
        <v>0</v>
      </c>
      <c r="AF341" s="2" t="str">
        <f t="shared" si="111"/>
        <v>!!!!</v>
      </c>
      <c r="AG341" s="2">
        <f t="shared" si="112"/>
        <v>7</v>
      </c>
      <c r="AH341" s="2">
        <f t="shared" si="113"/>
        <v>8</v>
      </c>
      <c r="AI341" s="2">
        <f t="shared" si="114"/>
        <v>8</v>
      </c>
      <c r="AJ341" s="2">
        <f t="shared" si="115"/>
        <v>7</v>
      </c>
      <c r="AK341" s="406">
        <v>1</v>
      </c>
      <c r="AL341" s="274">
        <f t="shared" ca="1" si="116"/>
        <v>31577</v>
      </c>
      <c r="AM341" s="311">
        <f t="shared" ca="1" si="117"/>
        <v>31582</v>
      </c>
      <c r="AN341" s="274">
        <f ca="1">IF(AND(Tabla7[[#This Row],[UltLec]]&lt;&gt;0,Tabla7[[#This Row],[PenLect]]&lt;&gt;0),(AM341-AL341)*Tabla7[[#This Row],[RT]],"N/A")</f>
        <v>5</v>
      </c>
      <c r="AO341" s="273" t="s">
        <v>862</v>
      </c>
      <c r="AP341" s="392" t="s">
        <v>1190</v>
      </c>
      <c r="AQ341" s="392" t="s">
        <v>1189</v>
      </c>
      <c r="AR341" s="407">
        <f t="shared" si="118"/>
        <v>1</v>
      </c>
      <c r="AT341" s="2">
        <f t="shared" ca="1" si="119"/>
        <v>0.45454545454545453</v>
      </c>
      <c r="AV341">
        <f>IF(ISBLANK(Tabla7[[#This Row],[31/12/2017]]),0,Tabla7[[#This Row],[31/12/2017]])</f>
        <v>31526</v>
      </c>
      <c r="AW341">
        <f>IF(ISBLANK(Tabla7[[#This Row],[15/01/2018]]),0,Tabla7[[#This Row],[15/01/2018]])</f>
        <v>31528</v>
      </c>
      <c r="AX341">
        <f>IF(ISBLANK(Tabla7[[#This Row],[15/02/2018]]),0,Tabla7[[#This Row],[15/02/2018]])</f>
        <v>31562</v>
      </c>
      <c r="AY341">
        <f>IF(ISBLANK(Tabla7[[#This Row],[15/03/2018]]),0,Tabla7[[#This Row],[15/03/2018]])</f>
        <v>31566</v>
      </c>
      <c r="AZ341">
        <f>IF(ISBLANK(Tabla7[[#This Row],[15/04/2018]]),0,Tabla7[[#This Row],[15/04/2018]])</f>
        <v>31577</v>
      </c>
      <c r="BA341">
        <f>IF(ISBLANK(Tabla7[[#This Row],[15/05/2018]]),0,Tabla7[[#This Row],[15/05/2018]])</f>
        <v>31582</v>
      </c>
      <c r="BB341">
        <f>IF(ISBLANK(Tabla7[[#This Row],[15/06/2018]]),0,Tabla7[[#This Row],[15/06/2018]])</f>
        <v>31582</v>
      </c>
      <c r="BC341">
        <f>IF(ISBLANK(Tabla7[[#This Row],[15/07/2018]]),0,Tabla7[[#This Row],[15/07/2018]])</f>
        <v>31582</v>
      </c>
      <c r="BD341">
        <f>IF(ISBLANK(Tabla7[[#This Row],[15/08/2018]]),0,Tabla7[[#This Row],[15/08/2018]])</f>
        <v>31312</v>
      </c>
      <c r="BE341">
        <f>IF(ISBLANK(Tabla7[[#This Row],[15/09/2018]]),0,Tabla7[[#This Row],[15/09/2018]])</f>
        <v>31319</v>
      </c>
      <c r="BF341">
        <f>IF(ISBLANK(Tabla7[[#This Row],[15/10/2018]]),0,Tabla7[[#This Row],[15/10/2018]])</f>
        <v>31327</v>
      </c>
      <c r="BG341">
        <f>IF(ISBLANK(Tabla7[[#This Row],[15/11/2018]]),0,Tabla7[[#This Row],[15/11/2018]])</f>
        <v>31335</v>
      </c>
      <c r="BH341">
        <f>IF(ISBLANK(Tabla7[[#This Row],[15/12/2018]]),0,Tabla7[[#This Row],[15/12/2018]])</f>
        <v>31342</v>
      </c>
      <c r="BI341">
        <f>IF(ISBLANK(Tabla7[[#This Row],[28/12/2018]]),0,Tabla7[[#This Row],[28/12/2018]])</f>
        <v>0</v>
      </c>
      <c r="BN34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('LW00012961','V','VCT21','39051','SACYR CONSTRUCCIONES, S.A.','EN CENTRALIZACION','','');</v>
      </c>
      <c r="BO341" t="s">
        <v>243</v>
      </c>
      <c r="BP341" s="632" t="str">
        <f>CONCATENATE("insert into lecturas values ","('",Tabla7[[#This Row],[CONTADOR]],"',STR_TO_DATE('",Tabla7[[#Headers],[31/12/2017]],"','%d/%m/%Y'),",AV341,"),","('",Tabla7[[#This Row],[CONTADOR]],"',STR_TO_DATE('",Tabla7[[#Headers],[15/01/2018]],"','%d/%m/%Y'),",AW341,"),","('",Tabla7[[#This Row],[CONTADOR]],"',STR_TO_DATE('",Tabla7[[#Headers],[15/02/2018]],"','%d/%m/%Y'),",AX341,"),","('",Tabla7[[#This Row],[CONTADOR]],"',STR_TO_DATE('",Tabla7[[#Headers],[15/03/2018]],"','%d/%m/%Y'),",AY341,"),","('",Tabla7[[#This Row],[CONTADOR]],"',STR_TO_DATE('",Tabla7[[#Headers],[15/04/2018]],"','%d/%m/%Y'),",AZ341,"),","('",Tabla7[[#This Row],[CONTADOR]],"',STR_TO_DATE('",Tabla7[[#Headers],[15/05/2018]],"','%d/%m/%Y'),",BA341,"),","('",Tabla7[[#This Row],[CONTADOR]],"',STR_TO_DATE('",Tabla7[[#Headers],[15/06/2018]],"','%d/%m/%Y'),",BB341,"),","('",Tabla7[[#This Row],[CONTADOR]],"',STR_TO_DATE('",Tabla7[[#Headers],[15/07/2018]],"','%d/%m/%Y'),",BC341,"),","('",Tabla7[[#This Row],[CONTADOR]],"',STR_TO_DATE('",Tabla7[[#Headers],[15/08/2018]],"','%d/%m/%Y'),",BD341,"),","('",Tabla7[[#This Row],[CONTADOR]],"',STR_TO_DATE('",Tabla7[[#Headers],[15/09/2018]],"','%d/%m/%Y'),",BE341,"),","('",Tabla7[[#This Row],[CONTADOR]],"',STR_TO_DATE('",Tabla7[[#Headers],[15/10/2018]],"','%d/%m/%Y'),",BF341,"),","('",Tabla7[[#This Row],[CONTADOR]],"',STR_TO_DATE('",Tabla7[[#Headers],[15/11/2018]],"','%d/%m/%Y'),",BG341,"),","('",Tabla7[[#This Row],[CONTADOR]],"',STR_TO_DATE('",Tabla7[[#Headers],[15/12/2018]],"','%d/%m/%Y'),",BH341,");")</f>
        <v>insert into lecturas values ('LW00012961',STR_TO_DATE('31/12/2017','%d/%m/%Y'),31526),('LW00012961',STR_TO_DATE('15/01/2018','%d/%m/%Y'),31528),('LW00012961',STR_TO_DATE('15/02/2018','%d/%m/%Y'),31562),('LW00012961',STR_TO_DATE('15/03/2018','%d/%m/%Y'),31566),('LW00012961',STR_TO_DATE('15/04/2018','%d/%m/%Y'),31577),('LW00012961',STR_TO_DATE('15/05/2018','%d/%m/%Y'),31582),('LW00012961',STR_TO_DATE('15/06/2018','%d/%m/%Y'),31582),('LW00012961',STR_TO_DATE('15/07/2018','%d/%m/%Y'),31582),('LW00012961',STR_TO_DATE('15/08/2018','%d/%m/%Y'),31312),('LW00012961',STR_TO_DATE('15/09/2018','%d/%m/%Y'),31319),('LW00012961',STR_TO_DATE('15/10/2018','%d/%m/%Y'),31327),('LW00012961',STR_TO_DATE('15/11/2018','%d/%m/%Y'),31335),('LW00012961',STR_TO_DATE('15/12/2018','%d/%m/%Y'),31342);</v>
      </c>
    </row>
    <row r="342" spans="1:68" ht="18.75" customHeight="1" x14ac:dyDescent="0.25">
      <c r="A342" s="360" t="s">
        <v>19</v>
      </c>
      <c r="B342" s="60"/>
      <c r="C342" s="342" t="s">
        <v>187</v>
      </c>
      <c r="D342" s="320" t="s">
        <v>183</v>
      </c>
      <c r="E342" s="268">
        <v>150</v>
      </c>
      <c r="F342" s="265" t="s">
        <v>897</v>
      </c>
      <c r="G342" s="265" t="s">
        <v>101</v>
      </c>
      <c r="H342" s="265" t="s">
        <v>735</v>
      </c>
      <c r="I342" s="265"/>
      <c r="J342" s="354">
        <v>4422256</v>
      </c>
      <c r="K342" s="354">
        <v>4449688</v>
      </c>
      <c r="L342" s="354">
        <v>4502763</v>
      </c>
      <c r="M342" s="354">
        <v>4552131</v>
      </c>
      <c r="N342" s="354">
        <v>4604357</v>
      </c>
      <c r="O342" s="354">
        <v>4660695</v>
      </c>
      <c r="P342" s="354">
        <v>4720104</v>
      </c>
      <c r="Q342" s="354">
        <v>4793229</v>
      </c>
      <c r="R342" s="354">
        <v>4868063</v>
      </c>
      <c r="S342" s="354">
        <v>4940165</v>
      </c>
      <c r="T342" s="354">
        <v>5007776</v>
      </c>
      <c r="U342" s="615">
        <v>5060211</v>
      </c>
      <c r="V342" s="615">
        <v>5119348</v>
      </c>
      <c r="W342" s="308"/>
      <c r="X342" s="265"/>
      <c r="Y342" s="2">
        <f t="shared" si="104"/>
        <v>27432</v>
      </c>
      <c r="Z342" s="2">
        <f t="shared" si="105"/>
        <v>53075</v>
      </c>
      <c r="AA342" s="2">
        <f t="shared" si="106"/>
        <v>49368</v>
      </c>
      <c r="AB342" s="2">
        <f t="shared" si="107"/>
        <v>52226</v>
      </c>
      <c r="AC342" s="2">
        <f t="shared" si="108"/>
        <v>56338</v>
      </c>
      <c r="AD342" s="2">
        <f t="shared" si="109"/>
        <v>59409</v>
      </c>
      <c r="AE342" s="2">
        <f t="shared" si="110"/>
        <v>73125</v>
      </c>
      <c r="AF342" s="2">
        <f t="shared" si="111"/>
        <v>74834</v>
      </c>
      <c r="AG342" s="2">
        <f t="shared" si="112"/>
        <v>72102</v>
      </c>
      <c r="AH342" s="2">
        <f t="shared" si="113"/>
        <v>67611</v>
      </c>
      <c r="AI342" s="2">
        <f t="shared" si="114"/>
        <v>52435</v>
      </c>
      <c r="AJ342" s="2">
        <f t="shared" si="115"/>
        <v>59137</v>
      </c>
      <c r="AK342" s="406">
        <v>1</v>
      </c>
      <c r="AL342" s="274">
        <f t="shared" ca="1" si="116"/>
        <v>4604357</v>
      </c>
      <c r="AM342" s="311">
        <f t="shared" ca="1" si="117"/>
        <v>4660695</v>
      </c>
      <c r="AN342" s="274">
        <f ca="1">IF(AND(Tabla7[[#This Row],[UltLec]]&lt;&gt;0,Tabla7[[#This Row],[PenLect]]&lt;&gt;0),(AM342-AL342)*Tabla7[[#This Row],[RT]],"N/A")</f>
        <v>56338</v>
      </c>
      <c r="AO342" s="273" t="s">
        <v>862</v>
      </c>
      <c r="AP342" s="392" t="s">
        <v>1190</v>
      </c>
      <c r="AQ342" s="392" t="s">
        <v>1189</v>
      </c>
      <c r="AR342" s="407">
        <f t="shared" si="118"/>
        <v>0</v>
      </c>
      <c r="AT342" s="2">
        <f t="shared" ca="1" si="119"/>
        <v>1.078734729828055</v>
      </c>
      <c r="AV342">
        <f>IF(ISBLANK(Tabla7[[#This Row],[31/12/2017]]),0,Tabla7[[#This Row],[31/12/2017]])</f>
        <v>4422256</v>
      </c>
      <c r="AW342">
        <f>IF(ISBLANK(Tabla7[[#This Row],[15/01/2018]]),0,Tabla7[[#This Row],[15/01/2018]])</f>
        <v>4449688</v>
      </c>
      <c r="AX342">
        <f>IF(ISBLANK(Tabla7[[#This Row],[15/02/2018]]),0,Tabla7[[#This Row],[15/02/2018]])</f>
        <v>4502763</v>
      </c>
      <c r="AY342">
        <f>IF(ISBLANK(Tabla7[[#This Row],[15/03/2018]]),0,Tabla7[[#This Row],[15/03/2018]])</f>
        <v>4552131</v>
      </c>
      <c r="AZ342">
        <f>IF(ISBLANK(Tabla7[[#This Row],[15/04/2018]]),0,Tabla7[[#This Row],[15/04/2018]])</f>
        <v>4604357</v>
      </c>
      <c r="BA342">
        <f>IF(ISBLANK(Tabla7[[#This Row],[15/05/2018]]),0,Tabla7[[#This Row],[15/05/2018]])</f>
        <v>4660695</v>
      </c>
      <c r="BB342">
        <f>IF(ISBLANK(Tabla7[[#This Row],[15/06/2018]]),0,Tabla7[[#This Row],[15/06/2018]])</f>
        <v>4720104</v>
      </c>
      <c r="BC342">
        <f>IF(ISBLANK(Tabla7[[#This Row],[15/07/2018]]),0,Tabla7[[#This Row],[15/07/2018]])</f>
        <v>4793229</v>
      </c>
      <c r="BD342">
        <f>IF(ISBLANK(Tabla7[[#This Row],[15/08/2018]]),0,Tabla7[[#This Row],[15/08/2018]])</f>
        <v>4868063</v>
      </c>
      <c r="BE342">
        <f>IF(ISBLANK(Tabla7[[#This Row],[15/09/2018]]),0,Tabla7[[#This Row],[15/09/2018]])</f>
        <v>4940165</v>
      </c>
      <c r="BF342">
        <f>IF(ISBLANK(Tabla7[[#This Row],[15/10/2018]]),0,Tabla7[[#This Row],[15/10/2018]])</f>
        <v>5007776</v>
      </c>
      <c r="BG342">
        <f>IF(ISBLANK(Tabla7[[#This Row],[15/11/2018]]),0,Tabla7[[#This Row],[15/11/2018]])</f>
        <v>5060211</v>
      </c>
      <c r="BH342">
        <f>IF(ISBLANK(Tabla7[[#This Row],[15/12/2018]]),0,Tabla7[[#This Row],[15/12/2018]])</f>
        <v>5119348</v>
      </c>
      <c r="BI342">
        <f>IF(ISBLANK(Tabla7[[#This Row],[28/12/2018]]),0,Tabla7[[#This Row],[28/12/2018]])</f>
        <v>0</v>
      </c>
      <c r="BN34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('LW00181554','V','VCT21','150','APV PIF','EN CENTRALIZACION','Primer digito indica nº vuelta y se añade manualmente.','');</v>
      </c>
      <c r="BO342" t="s">
        <v>243</v>
      </c>
      <c r="BP342" s="632" t="str">
        <f>CONCATENATE("insert into lecturas values ","('",Tabla7[[#This Row],[CONTADOR]],"',STR_TO_DATE('",Tabla7[[#Headers],[31/12/2017]],"','%d/%m/%Y'),",AV342,"),","('",Tabla7[[#This Row],[CONTADOR]],"',STR_TO_DATE('",Tabla7[[#Headers],[15/01/2018]],"','%d/%m/%Y'),",AW342,"),","('",Tabla7[[#This Row],[CONTADOR]],"',STR_TO_DATE('",Tabla7[[#Headers],[15/02/2018]],"','%d/%m/%Y'),",AX342,"),","('",Tabla7[[#This Row],[CONTADOR]],"',STR_TO_DATE('",Tabla7[[#Headers],[15/03/2018]],"','%d/%m/%Y'),",AY342,"),","('",Tabla7[[#This Row],[CONTADOR]],"',STR_TO_DATE('",Tabla7[[#Headers],[15/04/2018]],"','%d/%m/%Y'),",AZ342,"),","('",Tabla7[[#This Row],[CONTADOR]],"',STR_TO_DATE('",Tabla7[[#Headers],[15/05/2018]],"','%d/%m/%Y'),",BA342,"),","('",Tabla7[[#This Row],[CONTADOR]],"',STR_TO_DATE('",Tabla7[[#Headers],[15/06/2018]],"','%d/%m/%Y'),",BB342,"),","('",Tabla7[[#This Row],[CONTADOR]],"',STR_TO_DATE('",Tabla7[[#Headers],[15/07/2018]],"','%d/%m/%Y'),",BC342,"),","('",Tabla7[[#This Row],[CONTADOR]],"',STR_TO_DATE('",Tabla7[[#Headers],[15/08/2018]],"','%d/%m/%Y'),",BD342,"),","('",Tabla7[[#This Row],[CONTADOR]],"',STR_TO_DATE('",Tabla7[[#Headers],[15/09/2018]],"','%d/%m/%Y'),",BE342,"),","('",Tabla7[[#This Row],[CONTADOR]],"',STR_TO_DATE('",Tabla7[[#Headers],[15/10/2018]],"','%d/%m/%Y'),",BF342,"),","('",Tabla7[[#This Row],[CONTADOR]],"',STR_TO_DATE('",Tabla7[[#Headers],[15/11/2018]],"','%d/%m/%Y'),",BG342,"),","('",Tabla7[[#This Row],[CONTADOR]],"',STR_TO_DATE('",Tabla7[[#Headers],[15/12/2018]],"','%d/%m/%Y'),",BH342,");")</f>
        <v>insert into lecturas values ('LW00181554',STR_TO_DATE('31/12/2017','%d/%m/%Y'),4422256),('LW00181554',STR_TO_DATE('15/01/2018','%d/%m/%Y'),4449688),('LW00181554',STR_TO_DATE('15/02/2018','%d/%m/%Y'),4502763),('LW00181554',STR_TO_DATE('15/03/2018','%d/%m/%Y'),4552131),('LW00181554',STR_TO_DATE('15/04/2018','%d/%m/%Y'),4604357),('LW00181554',STR_TO_DATE('15/05/2018','%d/%m/%Y'),4660695),('LW00181554',STR_TO_DATE('15/06/2018','%d/%m/%Y'),4720104),('LW00181554',STR_TO_DATE('15/07/2018','%d/%m/%Y'),4793229),('LW00181554',STR_TO_DATE('15/08/2018','%d/%m/%Y'),4868063),('LW00181554',STR_TO_DATE('15/09/2018','%d/%m/%Y'),4940165),('LW00181554',STR_TO_DATE('15/10/2018','%d/%m/%Y'),5007776),('LW00181554',STR_TO_DATE('15/11/2018','%d/%m/%Y'),5060211),('LW00181554',STR_TO_DATE('15/12/2018','%d/%m/%Y'),5119348);</v>
      </c>
    </row>
    <row r="343" spans="1:68" ht="18" customHeight="1" x14ac:dyDescent="0.25">
      <c r="A343" s="241" t="s">
        <v>19</v>
      </c>
      <c r="B343" s="60"/>
      <c r="C343" s="342" t="s">
        <v>1317</v>
      </c>
      <c r="D343" s="60" t="s">
        <v>183</v>
      </c>
      <c r="E343" s="258">
        <v>131</v>
      </c>
      <c r="F343" s="2" t="s">
        <v>455</v>
      </c>
      <c r="G343" s="2" t="s">
        <v>447</v>
      </c>
      <c r="H343" s="2"/>
      <c r="I343" s="2"/>
      <c r="J343" s="311">
        <v>677063</v>
      </c>
      <c r="K343" s="311">
        <v>680958</v>
      </c>
      <c r="L343" s="311">
        <v>688077</v>
      </c>
      <c r="M343" s="311">
        <v>694137</v>
      </c>
      <c r="N343" s="311">
        <v>700096</v>
      </c>
      <c r="O343" s="311">
        <v>705362</v>
      </c>
      <c r="P343" s="311">
        <v>710006</v>
      </c>
      <c r="Q343" s="274">
        <v>714856</v>
      </c>
      <c r="R343" s="2">
        <v>719848</v>
      </c>
      <c r="S343" s="311">
        <v>725567</v>
      </c>
      <c r="T343" s="311">
        <v>731544</v>
      </c>
      <c r="U343" s="492">
        <v>738814</v>
      </c>
      <c r="V343" s="492">
        <v>746636</v>
      </c>
      <c r="W343" s="2"/>
      <c r="X343" s="2"/>
      <c r="Y343" s="2">
        <f t="shared" si="104"/>
        <v>3895</v>
      </c>
      <c r="Z343" s="2">
        <f t="shared" si="105"/>
        <v>7119</v>
      </c>
      <c r="AA343" s="2">
        <f t="shared" si="106"/>
        <v>6060</v>
      </c>
      <c r="AB343" s="2">
        <f t="shared" si="107"/>
        <v>5959</v>
      </c>
      <c r="AC343" s="2">
        <f t="shared" si="108"/>
        <v>5266</v>
      </c>
      <c r="AD343" s="2">
        <f t="shared" si="109"/>
        <v>4644</v>
      </c>
      <c r="AE343" s="2">
        <f t="shared" si="110"/>
        <v>4850</v>
      </c>
      <c r="AF343" s="2">
        <f t="shared" si="111"/>
        <v>4992</v>
      </c>
      <c r="AG343" s="2">
        <f t="shared" si="112"/>
        <v>5719</v>
      </c>
      <c r="AH343" s="2">
        <f t="shared" si="113"/>
        <v>5977</v>
      </c>
      <c r="AI343" s="2">
        <f t="shared" si="114"/>
        <v>7270</v>
      </c>
      <c r="AJ343" s="2">
        <f t="shared" si="115"/>
        <v>7822</v>
      </c>
      <c r="AK343" s="406">
        <v>1</v>
      </c>
      <c r="AL343" s="274">
        <f t="shared" ca="1" si="116"/>
        <v>700096</v>
      </c>
      <c r="AM343" s="311">
        <f t="shared" ca="1" si="117"/>
        <v>705362</v>
      </c>
      <c r="AN343" s="274">
        <f ca="1">IF(AND(Tabla7[[#This Row],[UltLec]]&lt;&gt;0,Tabla7[[#This Row],[PenLect]]&lt;&gt;0),(AM343-AL343)*Tabla7[[#This Row],[RT]],"N/A")</f>
        <v>5266</v>
      </c>
      <c r="AO343" s="273" t="s">
        <v>862</v>
      </c>
      <c r="AP343" s="392" t="s">
        <v>1191</v>
      </c>
      <c r="AQ343" s="392" t="s">
        <v>818</v>
      </c>
      <c r="AR343" s="407">
        <f t="shared" si="118"/>
        <v>0</v>
      </c>
      <c r="AT343" s="2">
        <f t="shared" ca="1" si="119"/>
        <v>0.88370531968451083</v>
      </c>
      <c r="AV343">
        <f>IF(ISBLANK(Tabla7[[#This Row],[31/12/2017]]),0,Tabla7[[#This Row],[31/12/2017]])</f>
        <v>677063</v>
      </c>
      <c r="AW343">
        <f>IF(ISBLANK(Tabla7[[#This Row],[15/01/2018]]),0,Tabla7[[#This Row],[15/01/2018]])</f>
        <v>680958</v>
      </c>
      <c r="AX343">
        <f>IF(ISBLANK(Tabla7[[#This Row],[15/02/2018]]),0,Tabla7[[#This Row],[15/02/2018]])</f>
        <v>688077</v>
      </c>
      <c r="AY343">
        <f>IF(ISBLANK(Tabla7[[#This Row],[15/03/2018]]),0,Tabla7[[#This Row],[15/03/2018]])</f>
        <v>694137</v>
      </c>
      <c r="AZ343">
        <f>IF(ISBLANK(Tabla7[[#This Row],[15/04/2018]]),0,Tabla7[[#This Row],[15/04/2018]])</f>
        <v>700096</v>
      </c>
      <c r="BA343">
        <f>IF(ISBLANK(Tabla7[[#This Row],[15/05/2018]]),0,Tabla7[[#This Row],[15/05/2018]])</f>
        <v>705362</v>
      </c>
      <c r="BB343">
        <f>IF(ISBLANK(Tabla7[[#This Row],[15/06/2018]]),0,Tabla7[[#This Row],[15/06/2018]])</f>
        <v>710006</v>
      </c>
      <c r="BC343">
        <f>IF(ISBLANK(Tabla7[[#This Row],[15/07/2018]]),0,Tabla7[[#This Row],[15/07/2018]])</f>
        <v>714856</v>
      </c>
      <c r="BD343">
        <f>IF(ISBLANK(Tabla7[[#This Row],[15/08/2018]]),0,Tabla7[[#This Row],[15/08/2018]])</f>
        <v>719848</v>
      </c>
      <c r="BE343">
        <f>IF(ISBLANK(Tabla7[[#This Row],[15/09/2018]]),0,Tabla7[[#This Row],[15/09/2018]])</f>
        <v>725567</v>
      </c>
      <c r="BF343">
        <f>IF(ISBLANK(Tabla7[[#This Row],[15/10/2018]]),0,Tabla7[[#This Row],[15/10/2018]])</f>
        <v>731544</v>
      </c>
      <c r="BG343">
        <f>IF(ISBLANK(Tabla7[[#This Row],[15/11/2018]]),0,Tabla7[[#This Row],[15/11/2018]])</f>
        <v>738814</v>
      </c>
      <c r="BH343">
        <f>IF(ISBLANK(Tabla7[[#This Row],[15/12/2018]]),0,Tabla7[[#This Row],[15/12/2018]])</f>
        <v>746636</v>
      </c>
      <c r="BI343">
        <f>IF(ISBLANK(Tabla7[[#This Row],[28/12/2018]]),0,Tabla7[[#This Row],[28/12/2018]])</f>
        <v>0</v>
      </c>
      <c r="BN34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('PM4A5B4CCA','V','VCT21','131','APV ALUMBRADO VIALES','EN C.T.','','');</v>
      </c>
      <c r="BO343" t="s">
        <v>243</v>
      </c>
      <c r="BP343" s="632" t="str">
        <f>CONCATENATE("insert into lecturas values ","('",Tabla7[[#This Row],[CONTADOR]],"',STR_TO_DATE('",Tabla7[[#Headers],[31/12/2017]],"','%d/%m/%Y'),",AV343,"),","('",Tabla7[[#This Row],[CONTADOR]],"',STR_TO_DATE('",Tabla7[[#Headers],[15/01/2018]],"','%d/%m/%Y'),",AW343,"),","('",Tabla7[[#This Row],[CONTADOR]],"',STR_TO_DATE('",Tabla7[[#Headers],[15/02/2018]],"','%d/%m/%Y'),",AX343,"),","('",Tabla7[[#This Row],[CONTADOR]],"',STR_TO_DATE('",Tabla7[[#Headers],[15/03/2018]],"','%d/%m/%Y'),",AY343,"),","('",Tabla7[[#This Row],[CONTADOR]],"',STR_TO_DATE('",Tabla7[[#Headers],[15/04/2018]],"','%d/%m/%Y'),",AZ343,"),","('",Tabla7[[#This Row],[CONTADOR]],"',STR_TO_DATE('",Tabla7[[#Headers],[15/05/2018]],"','%d/%m/%Y'),",BA343,"),","('",Tabla7[[#This Row],[CONTADOR]],"',STR_TO_DATE('",Tabla7[[#Headers],[15/06/2018]],"','%d/%m/%Y'),",BB343,"),","('",Tabla7[[#This Row],[CONTADOR]],"',STR_TO_DATE('",Tabla7[[#Headers],[15/07/2018]],"','%d/%m/%Y'),",BC343,"),","('",Tabla7[[#This Row],[CONTADOR]],"',STR_TO_DATE('",Tabla7[[#Headers],[15/08/2018]],"','%d/%m/%Y'),",BD343,"),","('",Tabla7[[#This Row],[CONTADOR]],"',STR_TO_DATE('",Tabla7[[#Headers],[15/09/2018]],"','%d/%m/%Y'),",BE343,"),","('",Tabla7[[#This Row],[CONTADOR]],"',STR_TO_DATE('",Tabla7[[#Headers],[15/10/2018]],"','%d/%m/%Y'),",BF343,"),","('",Tabla7[[#This Row],[CONTADOR]],"',STR_TO_DATE('",Tabla7[[#Headers],[15/11/2018]],"','%d/%m/%Y'),",BG343,"),","('",Tabla7[[#This Row],[CONTADOR]],"',STR_TO_DATE('",Tabla7[[#Headers],[15/12/2018]],"','%d/%m/%Y'),",BH343,");")</f>
        <v>insert into lecturas values ('PM4A5B4CCA',STR_TO_DATE('31/12/2017','%d/%m/%Y'),677063),('PM4A5B4CCA',STR_TO_DATE('15/01/2018','%d/%m/%Y'),680958),('PM4A5B4CCA',STR_TO_DATE('15/02/2018','%d/%m/%Y'),688077),('PM4A5B4CCA',STR_TO_DATE('15/03/2018','%d/%m/%Y'),694137),('PM4A5B4CCA',STR_TO_DATE('15/04/2018','%d/%m/%Y'),700096),('PM4A5B4CCA',STR_TO_DATE('15/05/2018','%d/%m/%Y'),705362),('PM4A5B4CCA',STR_TO_DATE('15/06/2018','%d/%m/%Y'),710006),('PM4A5B4CCA',STR_TO_DATE('15/07/2018','%d/%m/%Y'),714856),('PM4A5B4CCA',STR_TO_DATE('15/08/2018','%d/%m/%Y'),719848),('PM4A5B4CCA',STR_TO_DATE('15/09/2018','%d/%m/%Y'),725567),('PM4A5B4CCA',STR_TO_DATE('15/10/2018','%d/%m/%Y'),731544),('PM4A5B4CCA',STR_TO_DATE('15/11/2018','%d/%m/%Y'),738814),('PM4A5B4CCA',STR_TO_DATE('15/12/2018','%d/%m/%Y'),746636);</v>
      </c>
    </row>
    <row r="344" spans="1:68" ht="18.75" customHeight="1" x14ac:dyDescent="0.25">
      <c r="A344" s="241" t="s">
        <v>19</v>
      </c>
      <c r="B344" s="60"/>
      <c r="C344" s="342" t="s">
        <v>1320</v>
      </c>
      <c r="D344" s="60" t="s">
        <v>183</v>
      </c>
      <c r="E344" s="258">
        <v>142</v>
      </c>
      <c r="F344" s="2" t="s">
        <v>823</v>
      </c>
      <c r="G344" s="274" t="s">
        <v>864</v>
      </c>
      <c r="H344" s="2" t="s">
        <v>824</v>
      </c>
      <c r="I344" s="2" t="s">
        <v>821</v>
      </c>
      <c r="J344" s="311">
        <v>37695</v>
      </c>
      <c r="K344" s="311">
        <v>37861</v>
      </c>
      <c r="L344" s="2">
        <v>38291</v>
      </c>
      <c r="M344" s="311">
        <v>38580</v>
      </c>
      <c r="N344" s="311">
        <v>38994</v>
      </c>
      <c r="O344" s="311">
        <v>39314</v>
      </c>
      <c r="P344" s="311">
        <v>39657</v>
      </c>
      <c r="Q344" s="274">
        <v>40054</v>
      </c>
      <c r="R344" s="274">
        <v>40414</v>
      </c>
      <c r="S344" s="311">
        <v>40969</v>
      </c>
      <c r="T344" s="311">
        <v>41504</v>
      </c>
      <c r="U344" s="311">
        <v>42330</v>
      </c>
      <c r="V344" s="311">
        <v>43152</v>
      </c>
      <c r="W344" s="274"/>
      <c r="X344" s="2"/>
      <c r="Y344" s="2">
        <f t="shared" si="104"/>
        <v>166</v>
      </c>
      <c r="Z344" s="2">
        <f t="shared" si="105"/>
        <v>430</v>
      </c>
      <c r="AA344" s="2">
        <f t="shared" si="106"/>
        <v>289</v>
      </c>
      <c r="AB344" s="2">
        <f t="shared" si="107"/>
        <v>414</v>
      </c>
      <c r="AC344" s="2">
        <f t="shared" si="108"/>
        <v>320</v>
      </c>
      <c r="AD344" s="2">
        <f t="shared" si="109"/>
        <v>343</v>
      </c>
      <c r="AE344" s="2">
        <f t="shared" si="110"/>
        <v>397</v>
      </c>
      <c r="AF344" s="2">
        <f t="shared" si="111"/>
        <v>360</v>
      </c>
      <c r="AG344" s="2">
        <f t="shared" si="112"/>
        <v>555</v>
      </c>
      <c r="AH344" s="2">
        <f t="shared" si="113"/>
        <v>535</v>
      </c>
      <c r="AI344" s="2">
        <f t="shared" si="114"/>
        <v>826</v>
      </c>
      <c r="AJ344" s="2">
        <f t="shared" si="115"/>
        <v>822</v>
      </c>
      <c r="AK344" s="406">
        <v>1</v>
      </c>
      <c r="AL344" s="274">
        <f t="shared" ca="1" si="116"/>
        <v>38994</v>
      </c>
      <c r="AM344" s="311">
        <f t="shared" ca="1" si="117"/>
        <v>39314</v>
      </c>
      <c r="AN344" s="274">
        <f ca="1">IF(AND(Tabla7[[#This Row],[UltLec]]&lt;&gt;0,Tabla7[[#This Row],[PenLect]]&lt;&gt;0),(AM344-AL344)*Tabla7[[#This Row],[RT]],"N/A")</f>
        <v>320</v>
      </c>
      <c r="AO344" s="273" t="s">
        <v>862</v>
      </c>
      <c r="AP344" s="392" t="s">
        <v>1191</v>
      </c>
      <c r="AQ344" s="392" t="s">
        <v>818</v>
      </c>
      <c r="AR344" s="407">
        <f t="shared" si="118"/>
        <v>0</v>
      </c>
      <c r="AT344" s="2">
        <f t="shared" ca="1" si="119"/>
        <v>0.77294685990338163</v>
      </c>
      <c r="AV344">
        <f>IF(ISBLANK(Tabla7[[#This Row],[31/12/2017]]),0,Tabla7[[#This Row],[31/12/2017]])</f>
        <v>37695</v>
      </c>
      <c r="AW344">
        <f>IF(ISBLANK(Tabla7[[#This Row],[15/01/2018]]),0,Tabla7[[#This Row],[15/01/2018]])</f>
        <v>37861</v>
      </c>
      <c r="AX344">
        <f>IF(ISBLANK(Tabla7[[#This Row],[15/02/2018]]),0,Tabla7[[#This Row],[15/02/2018]])</f>
        <v>38291</v>
      </c>
      <c r="AY344">
        <f>IF(ISBLANK(Tabla7[[#This Row],[15/03/2018]]),0,Tabla7[[#This Row],[15/03/2018]])</f>
        <v>38580</v>
      </c>
      <c r="AZ344">
        <f>IF(ISBLANK(Tabla7[[#This Row],[15/04/2018]]),0,Tabla7[[#This Row],[15/04/2018]])</f>
        <v>38994</v>
      </c>
      <c r="BA344">
        <f>IF(ISBLANK(Tabla7[[#This Row],[15/05/2018]]),0,Tabla7[[#This Row],[15/05/2018]])</f>
        <v>39314</v>
      </c>
      <c r="BB344">
        <f>IF(ISBLANK(Tabla7[[#This Row],[15/06/2018]]),0,Tabla7[[#This Row],[15/06/2018]])</f>
        <v>39657</v>
      </c>
      <c r="BC344">
        <f>IF(ISBLANK(Tabla7[[#This Row],[15/07/2018]]),0,Tabla7[[#This Row],[15/07/2018]])</f>
        <v>40054</v>
      </c>
      <c r="BD344">
        <f>IF(ISBLANK(Tabla7[[#This Row],[15/08/2018]]),0,Tabla7[[#This Row],[15/08/2018]])</f>
        <v>40414</v>
      </c>
      <c r="BE344">
        <f>IF(ISBLANK(Tabla7[[#This Row],[15/09/2018]]),0,Tabla7[[#This Row],[15/09/2018]])</f>
        <v>40969</v>
      </c>
      <c r="BF344">
        <f>IF(ISBLANK(Tabla7[[#This Row],[15/10/2018]]),0,Tabla7[[#This Row],[15/10/2018]])</f>
        <v>41504</v>
      </c>
      <c r="BG344">
        <f>IF(ISBLANK(Tabla7[[#This Row],[15/11/2018]]),0,Tabla7[[#This Row],[15/11/2018]])</f>
        <v>42330</v>
      </c>
      <c r="BH344">
        <f>IF(ISBLANK(Tabla7[[#This Row],[15/12/2018]]),0,Tabla7[[#This Row],[15/12/2018]])</f>
        <v>43152</v>
      </c>
      <c r="BI344">
        <f>IF(ISBLANK(Tabla7[[#This Row],[28/12/2018]]),0,Tabla7[[#This Row],[28/12/2018]])</f>
        <v>0</v>
      </c>
      <c r="BN34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('PM4E33C51B','V','VCT21','142','APV ESTACION VACIO SUR','EN SALA Y SCADA','ESTACION VACIO SUR','DESDE EL 5/4/17');</v>
      </c>
      <c r="BO344" t="s">
        <v>243</v>
      </c>
      <c r="BP344" s="632" t="str">
        <f>CONCATENATE("insert into lecturas values ","('",Tabla7[[#This Row],[CONTADOR]],"',STR_TO_DATE('",Tabla7[[#Headers],[31/12/2017]],"','%d/%m/%Y'),",AV344,"),","('",Tabla7[[#This Row],[CONTADOR]],"',STR_TO_DATE('",Tabla7[[#Headers],[15/01/2018]],"','%d/%m/%Y'),",AW344,"),","('",Tabla7[[#This Row],[CONTADOR]],"',STR_TO_DATE('",Tabla7[[#Headers],[15/02/2018]],"','%d/%m/%Y'),",AX344,"),","('",Tabla7[[#This Row],[CONTADOR]],"',STR_TO_DATE('",Tabla7[[#Headers],[15/03/2018]],"','%d/%m/%Y'),",AY344,"),","('",Tabla7[[#This Row],[CONTADOR]],"',STR_TO_DATE('",Tabla7[[#Headers],[15/04/2018]],"','%d/%m/%Y'),",AZ344,"),","('",Tabla7[[#This Row],[CONTADOR]],"',STR_TO_DATE('",Tabla7[[#Headers],[15/05/2018]],"','%d/%m/%Y'),",BA344,"),","('",Tabla7[[#This Row],[CONTADOR]],"',STR_TO_DATE('",Tabla7[[#Headers],[15/06/2018]],"','%d/%m/%Y'),",BB344,"),","('",Tabla7[[#This Row],[CONTADOR]],"',STR_TO_DATE('",Tabla7[[#Headers],[15/07/2018]],"','%d/%m/%Y'),",BC344,"),","('",Tabla7[[#This Row],[CONTADOR]],"',STR_TO_DATE('",Tabla7[[#Headers],[15/08/2018]],"','%d/%m/%Y'),",BD344,"),","('",Tabla7[[#This Row],[CONTADOR]],"',STR_TO_DATE('",Tabla7[[#Headers],[15/09/2018]],"','%d/%m/%Y'),",BE344,"),","('",Tabla7[[#This Row],[CONTADOR]],"',STR_TO_DATE('",Tabla7[[#Headers],[15/10/2018]],"','%d/%m/%Y'),",BF344,"),","('",Tabla7[[#This Row],[CONTADOR]],"',STR_TO_DATE('",Tabla7[[#Headers],[15/11/2018]],"','%d/%m/%Y'),",BG344,"),","('",Tabla7[[#This Row],[CONTADOR]],"',STR_TO_DATE('",Tabla7[[#Headers],[15/12/2018]],"','%d/%m/%Y'),",BH344,");")</f>
        <v>insert into lecturas values ('PM4E33C51B',STR_TO_DATE('31/12/2017','%d/%m/%Y'),37695),('PM4E33C51B',STR_TO_DATE('15/01/2018','%d/%m/%Y'),37861),('PM4E33C51B',STR_TO_DATE('15/02/2018','%d/%m/%Y'),38291),('PM4E33C51B',STR_TO_DATE('15/03/2018','%d/%m/%Y'),38580),('PM4E33C51B',STR_TO_DATE('15/04/2018','%d/%m/%Y'),38994),('PM4E33C51B',STR_TO_DATE('15/05/2018','%d/%m/%Y'),39314),('PM4E33C51B',STR_TO_DATE('15/06/2018','%d/%m/%Y'),39657),('PM4E33C51B',STR_TO_DATE('15/07/2018','%d/%m/%Y'),40054),('PM4E33C51B',STR_TO_DATE('15/08/2018','%d/%m/%Y'),40414),('PM4E33C51B',STR_TO_DATE('15/09/2018','%d/%m/%Y'),40969),('PM4E33C51B',STR_TO_DATE('15/10/2018','%d/%m/%Y'),41504),('PM4E33C51B',STR_TO_DATE('15/11/2018','%d/%m/%Y'),42330),('PM4E33C51B',STR_TO_DATE('15/12/2018','%d/%m/%Y'),43152);</v>
      </c>
    </row>
    <row r="345" spans="1:68" ht="18" customHeight="1" x14ac:dyDescent="0.25">
      <c r="A345" s="372" t="s">
        <v>1196</v>
      </c>
      <c r="B345" s="60"/>
      <c r="C345" s="373">
        <v>90003147</v>
      </c>
      <c r="D345" s="374" t="s">
        <v>190</v>
      </c>
      <c r="E345" s="375">
        <v>30000</v>
      </c>
      <c r="F345" s="376" t="s">
        <v>763</v>
      </c>
      <c r="G345" s="376" t="s">
        <v>764</v>
      </c>
      <c r="H345" s="376"/>
      <c r="I345" s="376" t="s">
        <v>875</v>
      </c>
      <c r="J345" s="383"/>
      <c r="K345" s="383"/>
      <c r="L345" s="376"/>
      <c r="M345" s="376"/>
      <c r="N345" s="376"/>
      <c r="O345" s="376"/>
      <c r="P345" s="376"/>
      <c r="Q345" s="377"/>
      <c r="R345" s="377"/>
      <c r="S345" s="311"/>
      <c r="T345" s="311"/>
      <c r="U345" s="519"/>
      <c r="V345" s="377"/>
      <c r="W345" s="377"/>
      <c r="X345" s="376"/>
      <c r="Y345" s="376" t="str">
        <f t="shared" si="104"/>
        <v/>
      </c>
      <c r="Z345" s="376" t="str">
        <f t="shared" si="105"/>
        <v/>
      </c>
      <c r="AA345" s="376" t="str">
        <f t="shared" si="106"/>
        <v/>
      </c>
      <c r="AB345" s="376" t="str">
        <f t="shared" si="107"/>
        <v/>
      </c>
      <c r="AC345" s="376" t="str">
        <f t="shared" si="108"/>
        <v/>
      </c>
      <c r="AD345" s="376" t="str">
        <f t="shared" si="109"/>
        <v/>
      </c>
      <c r="AE345" s="376" t="str">
        <f t="shared" si="110"/>
        <v/>
      </c>
      <c r="AF345" s="376" t="str">
        <f t="shared" si="111"/>
        <v/>
      </c>
      <c r="AG345" s="376" t="str">
        <f t="shared" si="112"/>
        <v/>
      </c>
      <c r="AH345" s="376" t="str">
        <f t="shared" si="113"/>
        <v/>
      </c>
      <c r="AI345" s="376" t="str">
        <f t="shared" si="114"/>
        <v/>
      </c>
      <c r="AJ345" s="376" t="str">
        <f t="shared" si="115"/>
        <v/>
      </c>
      <c r="AK345" s="408">
        <v>1</v>
      </c>
      <c r="AL345" s="377">
        <f t="shared" ca="1" si="116"/>
        <v>0</v>
      </c>
      <c r="AM345" s="383">
        <f t="shared" ca="1" si="117"/>
        <v>0</v>
      </c>
      <c r="AN345" s="377" t="str">
        <f ca="1">IF(AND(Tabla7[[#This Row],[UltLec]]&lt;&gt;0,Tabla7[[#This Row],[PenLect]]&lt;&gt;0),(AM345-AL345)*Tabla7[[#This Row],[RT]],"N/A")</f>
        <v>N/A</v>
      </c>
      <c r="AO345" s="380" t="s">
        <v>1281</v>
      </c>
      <c r="AP345" s="433" t="s">
        <v>1190</v>
      </c>
      <c r="AQ345" s="433" t="s">
        <v>1189</v>
      </c>
      <c r="AR345" s="409">
        <f t="shared" si="118"/>
        <v>0</v>
      </c>
      <c r="AT345" s="2" t="e">
        <f t="shared" ca="1" si="119"/>
        <v>#VALUE!</v>
      </c>
      <c r="AV345">
        <f>IF(ISBLANK(Tabla7[[#This Row],[31/12/2017]]),0,Tabla7[[#This Row],[31/12/2017]])</f>
        <v>0</v>
      </c>
      <c r="AW345">
        <f>IF(ISBLANK(Tabla7[[#This Row],[15/01/2018]]),0,Tabla7[[#This Row],[15/01/2018]])</f>
        <v>0</v>
      </c>
      <c r="AX345">
        <f>IF(ISBLANK(Tabla7[[#This Row],[15/02/2018]]),0,Tabla7[[#This Row],[15/02/2018]])</f>
        <v>0</v>
      </c>
      <c r="AY345">
        <f>IF(ISBLANK(Tabla7[[#This Row],[15/03/2018]]),0,Tabla7[[#This Row],[15/03/2018]])</f>
        <v>0</v>
      </c>
      <c r="AZ345">
        <f>IF(ISBLANK(Tabla7[[#This Row],[15/04/2018]]),0,Tabla7[[#This Row],[15/04/2018]])</f>
        <v>0</v>
      </c>
      <c r="BA345">
        <f>IF(ISBLANK(Tabla7[[#This Row],[15/05/2018]]),0,Tabla7[[#This Row],[15/05/2018]])</f>
        <v>0</v>
      </c>
      <c r="BB345">
        <f>IF(ISBLANK(Tabla7[[#This Row],[15/06/2018]]),0,Tabla7[[#This Row],[15/06/2018]])</f>
        <v>0</v>
      </c>
      <c r="BC345">
        <f>IF(ISBLANK(Tabla7[[#This Row],[15/07/2018]]),0,Tabla7[[#This Row],[15/07/2018]])</f>
        <v>0</v>
      </c>
      <c r="BD345">
        <f>IF(ISBLANK(Tabla7[[#This Row],[15/08/2018]]),0,Tabla7[[#This Row],[15/08/2018]])</f>
        <v>0</v>
      </c>
      <c r="BE345">
        <f>IF(ISBLANK(Tabla7[[#This Row],[15/09/2018]]),0,Tabla7[[#This Row],[15/09/2018]])</f>
        <v>0</v>
      </c>
      <c r="BF345">
        <f>IF(ISBLANK(Tabla7[[#This Row],[15/10/2018]]),0,Tabla7[[#This Row],[15/10/2018]])</f>
        <v>0</v>
      </c>
      <c r="BG345">
        <f>IF(ISBLANK(Tabla7[[#This Row],[15/11/2018]]),0,Tabla7[[#This Row],[15/11/2018]])</f>
        <v>0</v>
      </c>
      <c r="BH345">
        <f>IF(ISBLANK(Tabla7[[#This Row],[15/12/2018]]),0,Tabla7[[#This Row],[15/12/2018]])</f>
        <v>0</v>
      </c>
      <c r="BI345">
        <f>IF(ISBLANK(Tabla7[[#This Row],[28/12/2018]]),0,Tabla7[[#This Row],[28/12/2018]])</f>
        <v>0</v>
      </c>
      <c r="BN34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('90003147','VBAJA','VCT22','30000','DRAGADOS ','EN TORRE 2204','','BAJA  ');</v>
      </c>
      <c r="BO345" t="s">
        <v>243</v>
      </c>
      <c r="BP345" s="632" t="str">
        <f>CONCATENATE("insert into lecturas values ","('",Tabla7[[#This Row],[CONTADOR]],"',STR_TO_DATE('",Tabla7[[#Headers],[31/12/2017]],"','%d/%m/%Y'),",AV345,"),","('",Tabla7[[#This Row],[CONTADOR]],"',STR_TO_DATE('",Tabla7[[#Headers],[15/01/2018]],"','%d/%m/%Y'),",AW345,"),","('",Tabla7[[#This Row],[CONTADOR]],"',STR_TO_DATE('",Tabla7[[#Headers],[15/02/2018]],"','%d/%m/%Y'),",AX345,"),","('",Tabla7[[#This Row],[CONTADOR]],"',STR_TO_DATE('",Tabla7[[#Headers],[15/03/2018]],"','%d/%m/%Y'),",AY345,"),","('",Tabla7[[#This Row],[CONTADOR]],"',STR_TO_DATE('",Tabla7[[#Headers],[15/04/2018]],"','%d/%m/%Y'),",AZ345,"),","('",Tabla7[[#This Row],[CONTADOR]],"',STR_TO_DATE('",Tabla7[[#Headers],[15/05/2018]],"','%d/%m/%Y'),",BA345,"),","('",Tabla7[[#This Row],[CONTADOR]],"',STR_TO_DATE('",Tabla7[[#Headers],[15/06/2018]],"','%d/%m/%Y'),",BB345,"),","('",Tabla7[[#This Row],[CONTADOR]],"',STR_TO_DATE('",Tabla7[[#Headers],[15/07/2018]],"','%d/%m/%Y'),",BC345,"),","('",Tabla7[[#This Row],[CONTADOR]],"',STR_TO_DATE('",Tabla7[[#Headers],[15/08/2018]],"','%d/%m/%Y'),",BD345,"),","('",Tabla7[[#This Row],[CONTADOR]],"',STR_TO_DATE('",Tabla7[[#Headers],[15/09/2018]],"','%d/%m/%Y'),",BE345,"),","('",Tabla7[[#This Row],[CONTADOR]],"',STR_TO_DATE('",Tabla7[[#Headers],[15/10/2018]],"','%d/%m/%Y'),",BF345,"),","('",Tabla7[[#This Row],[CONTADOR]],"',STR_TO_DATE('",Tabla7[[#Headers],[15/11/2018]],"','%d/%m/%Y'),",BG345,"),","('",Tabla7[[#This Row],[CONTADOR]],"',STR_TO_DATE('",Tabla7[[#Headers],[15/12/2018]],"','%d/%m/%Y'),",BH345,");")</f>
        <v>insert into lecturas values ('90003147',STR_TO_DATE('31/12/2017','%d/%m/%Y'),0),('90003147',STR_TO_DATE('15/01/2018','%d/%m/%Y'),0),('90003147',STR_TO_DATE('15/02/2018','%d/%m/%Y'),0),('90003147',STR_TO_DATE('15/03/2018','%d/%m/%Y'),0),('90003147',STR_TO_DATE('15/04/2018','%d/%m/%Y'),0),('90003147',STR_TO_DATE('15/05/2018','%d/%m/%Y'),0),('90003147',STR_TO_DATE('15/06/2018','%d/%m/%Y'),0),('90003147',STR_TO_DATE('15/07/2018','%d/%m/%Y'),0),('90003147',STR_TO_DATE('15/08/2018','%d/%m/%Y'),0),('90003147',STR_TO_DATE('15/09/2018','%d/%m/%Y'),0),('90003147',STR_TO_DATE('15/10/2018','%d/%m/%Y'),0),('90003147',STR_TO_DATE('15/11/2018','%d/%m/%Y'),0),('90003147',STR_TO_DATE('15/12/2018','%d/%m/%Y'),0);</v>
      </c>
    </row>
    <row r="346" spans="1:68" ht="18" customHeight="1" x14ac:dyDescent="0.25">
      <c r="A346" s="241" t="s">
        <v>19</v>
      </c>
      <c r="B346" s="60"/>
      <c r="C346" s="342" t="s">
        <v>191</v>
      </c>
      <c r="D346" s="60" t="s">
        <v>190</v>
      </c>
      <c r="E346" s="258">
        <v>140</v>
      </c>
      <c r="F346" s="274" t="s">
        <v>1328</v>
      </c>
      <c r="G346" s="274" t="s">
        <v>982</v>
      </c>
      <c r="H346" s="2" t="s">
        <v>448</v>
      </c>
      <c r="I346" s="2"/>
      <c r="J346" s="311"/>
      <c r="K346" s="311"/>
      <c r="L346" s="2"/>
      <c r="M346" s="311"/>
      <c r="N346" s="311"/>
      <c r="O346" s="353">
        <v>669208</v>
      </c>
      <c r="P346" s="463">
        <v>669208</v>
      </c>
      <c r="Q346" s="463">
        <v>669208</v>
      </c>
      <c r="R346" s="274">
        <v>0</v>
      </c>
      <c r="S346" s="311">
        <v>0</v>
      </c>
      <c r="T346" s="311">
        <v>0</v>
      </c>
      <c r="U346" s="492">
        <v>0</v>
      </c>
      <c r="V346" s="531">
        <v>0</v>
      </c>
      <c r="W346" s="274"/>
      <c r="X346" s="2"/>
      <c r="Y346" s="2" t="str">
        <f t="shared" ref="Y346:Y377" si="120">IF(OR(ISBLANK(K346),ISBLANK(J346)),"",IF(AND(K346&gt;=J346,K346-J346&lt;=K346),(K346-J346)*$AK346,"!!!!"))</f>
        <v/>
      </c>
      <c r="Z346" s="275" t="str">
        <f t="shared" ref="Z346:Z377" si="121">IF(OR(ISBLANK(L346),ISBLANK(K346)),"",IF(AND(L346&gt;=K346,L346-K346&lt;=L346),(L346-K346)*$AK346,"!!!!"))</f>
        <v/>
      </c>
      <c r="AA346" s="275" t="str">
        <f>IF(OR(ISBLANK(#REF!),ISBLANK(L346)),"",IF(AND(#REF!&gt;=L346,#REF!-L346&lt;=#REF!),(#REF!-L346)*$AK346,"!!!!"))</f>
        <v/>
      </c>
      <c r="AB346" s="275" t="str">
        <f>IF(OR(ISBLANK(N346),ISBLANK(#REF!)),"",IF(AND(N346&gt;=#REF!,N346-#REF!&lt;=N346),(N346-#REF!)*$AK346,"!!!!"))</f>
        <v/>
      </c>
      <c r="AC346" s="275" t="str">
        <f t="shared" ref="AC346:AC377" si="122">IF(OR(ISBLANK(O346),ISBLANK(N346)),"",IF(AND(O346&gt;=N346,O346-N346&lt;=O346),(O346-N346)*$AK346,"!!!!"))</f>
        <v/>
      </c>
      <c r="AD346" s="2">
        <f t="shared" ref="AD346:AD377" si="123">IF(OR(ISBLANK(P346),ISBLANK(O346)),"",IF(AND(P346&gt;=O346,P346-O346&lt;=P346),(P346-O346)*$AK346,"!!!!"))</f>
        <v>0</v>
      </c>
      <c r="AE346" s="2">
        <f t="shared" ref="AE346:AE377" si="124">IF(OR(ISBLANK(Q346),ISBLANK(P346)),"",IF(AND(Q346&gt;=P346,Q346-P346&lt;=Q346),(Q346-P346)*$AK346,"!!!!"))</f>
        <v>0</v>
      </c>
      <c r="AF346" s="2" t="str">
        <f t="shared" ref="AF346:AF377" si="125">IF(OR(ISBLANK(R346),ISBLANK(Q346)),"",IF(AND(R346&gt;=Q346,R346-Q346&lt;=R346),(R346-Q346)*$AK346,"!!!!"))</f>
        <v>!!!!</v>
      </c>
      <c r="AG346" s="2">
        <f t="shared" ref="AG346:AG377" si="126">IF(OR(ISBLANK(S346),ISBLANK(R346)),"",IF(AND(S346&gt;=R346,S346-R346&lt;=S346),(S346-R346)*$AK346,"!!!!"))</f>
        <v>0</v>
      </c>
      <c r="AH346" s="271">
        <f t="shared" ref="AH346:AH377" si="127">IF(OR(ISBLANK(T346),ISBLANK(S346)),"",IF(AND(T346&gt;=S346,T346-S346&lt;=T346),(T346-S346)*$AK346,"!!!!"))</f>
        <v>0</v>
      </c>
      <c r="AI346" s="2">
        <f t="shared" ref="AI346:AI377" si="128">IF(OR(ISBLANK(U346),ISBLANK(T346)),"",IF(AND(U346&gt;=T346,U346-T346&lt;=U346),(U346-T346)*$AK346,"!!!!"))</f>
        <v>0</v>
      </c>
      <c r="AJ346" s="2">
        <f t="shared" ref="AJ346:AJ377" si="129">IF(OR(ISBLANK(V346),ISBLANK(U346)),"",IF(AND(V346&gt;=U346,V346-U346&lt;=V346),(V346-U346)*$AK346,"!!!!"))</f>
        <v>0</v>
      </c>
      <c r="AK346" s="406">
        <v>1</v>
      </c>
      <c r="AL346" s="412">
        <f t="shared" ca="1" si="116"/>
        <v>0</v>
      </c>
      <c r="AM346" s="311">
        <f t="shared" ca="1" si="117"/>
        <v>669208</v>
      </c>
      <c r="AN346" s="412" t="str">
        <f ca="1">IF(AND(Tabla7[[#This Row],[UltLec]]&lt;&gt;0,Tabla7[[#This Row],[PenLect]]&lt;&gt;0),(AM346-AL346)*Tabla7[[#This Row],[RT]],"N/A")</f>
        <v>N/A</v>
      </c>
      <c r="AO346" s="273" t="s">
        <v>862</v>
      </c>
      <c r="AP346" s="392" t="s">
        <v>1190</v>
      </c>
      <c r="AQ346" s="392" t="s">
        <v>1189</v>
      </c>
      <c r="AR346" s="407">
        <f t="shared" si="118"/>
        <v>1</v>
      </c>
      <c r="AT346" s="2" t="e">
        <f t="shared" ca="1" si="119"/>
        <v>#VALUE!</v>
      </c>
      <c r="AV346">
        <f>IF(ISBLANK(Tabla7[[#This Row],[31/12/2017]]),0,Tabla7[[#This Row],[31/12/2017]])</f>
        <v>0</v>
      </c>
      <c r="AW346">
        <f>IF(ISBLANK(Tabla7[[#This Row],[15/01/2018]]),0,Tabla7[[#This Row],[15/01/2018]])</f>
        <v>0</v>
      </c>
      <c r="AX346">
        <f>IF(ISBLANK(Tabla7[[#This Row],[15/02/2018]]),0,Tabla7[[#This Row],[15/02/2018]])</f>
        <v>0</v>
      </c>
      <c r="AY346">
        <f>IF(ISBLANK(Tabla7[[#This Row],[15/03/2018]]),0,Tabla7[[#This Row],[15/03/2018]])</f>
        <v>0</v>
      </c>
      <c r="AZ346">
        <f>IF(ISBLANK(Tabla7[[#This Row],[15/04/2018]]),0,Tabla7[[#This Row],[15/04/2018]])</f>
        <v>0</v>
      </c>
      <c r="BA346">
        <f>IF(ISBLANK(Tabla7[[#This Row],[15/05/2018]]),0,Tabla7[[#This Row],[15/05/2018]])</f>
        <v>669208</v>
      </c>
      <c r="BB346">
        <f>IF(ISBLANK(Tabla7[[#This Row],[15/06/2018]]),0,Tabla7[[#This Row],[15/06/2018]])</f>
        <v>669208</v>
      </c>
      <c r="BC346">
        <f>IF(ISBLANK(Tabla7[[#This Row],[15/07/2018]]),0,Tabla7[[#This Row],[15/07/2018]])</f>
        <v>669208</v>
      </c>
      <c r="BD346">
        <f>IF(ISBLANK(Tabla7[[#This Row],[15/08/2018]]),0,Tabla7[[#This Row],[15/08/2018]])</f>
        <v>0</v>
      </c>
      <c r="BE346">
        <f>IF(ISBLANK(Tabla7[[#This Row],[15/09/2018]]),0,Tabla7[[#This Row],[15/09/2018]])</f>
        <v>0</v>
      </c>
      <c r="BF346">
        <f>IF(ISBLANK(Tabla7[[#This Row],[15/10/2018]]),0,Tabla7[[#This Row],[15/10/2018]])</f>
        <v>0</v>
      </c>
      <c r="BG346">
        <f>IF(ISBLANK(Tabla7[[#This Row],[15/11/2018]]),0,Tabla7[[#This Row],[15/11/2018]])</f>
        <v>0</v>
      </c>
      <c r="BH346">
        <f>IF(ISBLANK(Tabla7[[#This Row],[15/12/2018]]),0,Tabla7[[#This Row],[15/12/2018]])</f>
        <v>0</v>
      </c>
      <c r="BI346">
        <f>IF(ISBLANK(Tabla7[[#This Row],[28/12/2018]]),0,Tabla7[[#This Row],[28/12/2018]])</f>
        <v>0</v>
      </c>
      <c r="BN34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('LW00042834','V','VCT22','140','APV VARIOS','EN CENTRALIZACION (3)','NAVE Y TORRES 2201, 02, 03 ( alta 1/12/2013 )(APAGADO)','');</v>
      </c>
      <c r="BO346" t="s">
        <v>243</v>
      </c>
      <c r="BP346" s="632" t="str">
        <f>CONCATENATE("insert into lecturas values ","('",Tabla7[[#This Row],[CONTADOR]],"',STR_TO_DATE('",Tabla7[[#Headers],[31/12/2017]],"','%d/%m/%Y'),",AV346,"),","('",Tabla7[[#This Row],[CONTADOR]],"',STR_TO_DATE('",Tabla7[[#Headers],[15/01/2018]],"','%d/%m/%Y'),",AW346,"),","('",Tabla7[[#This Row],[CONTADOR]],"',STR_TO_DATE('",Tabla7[[#Headers],[15/02/2018]],"','%d/%m/%Y'),",AX346,"),","('",Tabla7[[#This Row],[CONTADOR]],"',STR_TO_DATE('",Tabla7[[#Headers],[15/03/2018]],"','%d/%m/%Y'),",AY346,"),","('",Tabla7[[#This Row],[CONTADOR]],"',STR_TO_DATE('",Tabla7[[#Headers],[15/04/2018]],"','%d/%m/%Y'),",AZ346,"),","('",Tabla7[[#This Row],[CONTADOR]],"',STR_TO_DATE('",Tabla7[[#Headers],[15/05/2018]],"','%d/%m/%Y'),",BA346,"),","('",Tabla7[[#This Row],[CONTADOR]],"',STR_TO_DATE('",Tabla7[[#Headers],[15/06/2018]],"','%d/%m/%Y'),",BB346,"),","('",Tabla7[[#This Row],[CONTADOR]],"',STR_TO_DATE('",Tabla7[[#Headers],[15/07/2018]],"','%d/%m/%Y'),",BC346,"),","('",Tabla7[[#This Row],[CONTADOR]],"',STR_TO_DATE('",Tabla7[[#Headers],[15/08/2018]],"','%d/%m/%Y'),",BD346,"),","('",Tabla7[[#This Row],[CONTADOR]],"',STR_TO_DATE('",Tabla7[[#Headers],[15/09/2018]],"','%d/%m/%Y'),",BE346,"),","('",Tabla7[[#This Row],[CONTADOR]],"',STR_TO_DATE('",Tabla7[[#Headers],[15/10/2018]],"','%d/%m/%Y'),",BF346,"),","('",Tabla7[[#This Row],[CONTADOR]],"',STR_TO_DATE('",Tabla7[[#Headers],[15/11/2018]],"','%d/%m/%Y'),",BG346,"),","('",Tabla7[[#This Row],[CONTADOR]],"',STR_TO_DATE('",Tabla7[[#Headers],[15/12/2018]],"','%d/%m/%Y'),",BH346,");")</f>
        <v>insert into lecturas values ('LW00042834',STR_TO_DATE('31/12/2017','%d/%m/%Y'),0),('LW00042834',STR_TO_DATE('15/01/2018','%d/%m/%Y'),0),('LW00042834',STR_TO_DATE('15/02/2018','%d/%m/%Y'),0),('LW00042834',STR_TO_DATE('15/03/2018','%d/%m/%Y'),0),('LW00042834',STR_TO_DATE('15/04/2018','%d/%m/%Y'),0),('LW00042834',STR_TO_DATE('15/05/2018','%d/%m/%Y'),669208),('LW00042834',STR_TO_DATE('15/06/2018','%d/%m/%Y'),669208),('LW00042834',STR_TO_DATE('15/07/2018','%d/%m/%Y'),669208),('LW00042834',STR_TO_DATE('15/08/2018','%d/%m/%Y'),0),('LW00042834',STR_TO_DATE('15/09/2018','%d/%m/%Y'),0),('LW00042834',STR_TO_DATE('15/10/2018','%d/%m/%Y'),0),('LW00042834',STR_TO_DATE('15/11/2018','%d/%m/%Y'),0),('LW00042834',STR_TO_DATE('15/12/2018','%d/%m/%Y'),0);</v>
      </c>
    </row>
    <row r="347" spans="1:68" ht="18" customHeight="1" x14ac:dyDescent="0.25">
      <c r="A347" s="372" t="s">
        <v>1196</v>
      </c>
      <c r="B347" s="374"/>
      <c r="C347" s="373" t="s">
        <v>191</v>
      </c>
      <c r="D347" s="374" t="s">
        <v>190</v>
      </c>
      <c r="E347" s="375">
        <v>39434</v>
      </c>
      <c r="F347" s="376" t="s">
        <v>192</v>
      </c>
      <c r="G347" s="376" t="s">
        <v>982</v>
      </c>
      <c r="H347" s="376" t="s">
        <v>448</v>
      </c>
      <c r="I347" s="376"/>
      <c r="J347" s="383">
        <v>667193</v>
      </c>
      <c r="K347" s="383">
        <v>668376</v>
      </c>
      <c r="L347" s="376">
        <v>669207</v>
      </c>
      <c r="M347" s="383">
        <v>669207</v>
      </c>
      <c r="N347" s="383">
        <v>669208</v>
      </c>
      <c r="O347" s="383">
        <v>669208</v>
      </c>
      <c r="P347" s="383"/>
      <c r="Q347" s="376"/>
      <c r="R347" s="376"/>
      <c r="S347" s="311"/>
      <c r="T347" s="311"/>
      <c r="U347" s="519"/>
      <c r="V347" s="377"/>
      <c r="W347" s="377"/>
      <c r="X347" s="376"/>
      <c r="Y347" s="376">
        <f t="shared" si="120"/>
        <v>1183</v>
      </c>
      <c r="Z347" s="376">
        <f t="shared" si="121"/>
        <v>831</v>
      </c>
      <c r="AA347" s="376">
        <f t="shared" ref="AA347:AA355" si="130">IF(OR(ISBLANK(M347),ISBLANK(L347)),"",IF(AND(M347&gt;=L347,M347-L347&lt;=M347),(M347-L347)*$AK347,"!!!!"))</f>
        <v>0</v>
      </c>
      <c r="AB347" s="376">
        <f t="shared" ref="AB347:AB355" si="131">IF(OR(ISBLANK(N347),ISBLANK(M347)),"",IF(AND(N347&gt;=M347,N347-M347&lt;=N347),(N347-M347)*$AK347,"!!!!"))</f>
        <v>1</v>
      </c>
      <c r="AC347" s="376">
        <f t="shared" si="122"/>
        <v>0</v>
      </c>
      <c r="AD347" s="376" t="str">
        <f t="shared" si="123"/>
        <v/>
      </c>
      <c r="AE347" s="376" t="str">
        <f t="shared" si="124"/>
        <v/>
      </c>
      <c r="AF347" s="376" t="str">
        <f t="shared" si="125"/>
        <v/>
      </c>
      <c r="AG347" s="376" t="str">
        <f t="shared" si="126"/>
        <v/>
      </c>
      <c r="AH347" s="376" t="str">
        <f t="shared" si="127"/>
        <v/>
      </c>
      <c r="AI347" s="376" t="str">
        <f t="shared" si="128"/>
        <v/>
      </c>
      <c r="AJ347" s="376" t="str">
        <f t="shared" si="129"/>
        <v/>
      </c>
      <c r="AK347" s="408">
        <v>1</v>
      </c>
      <c r="AL347" s="377">
        <f t="shared" ca="1" si="116"/>
        <v>669208</v>
      </c>
      <c r="AM347" s="383">
        <f t="shared" ca="1" si="117"/>
        <v>669208</v>
      </c>
      <c r="AN347" s="377">
        <f ca="1">IF(AND(Tabla7[[#This Row],[UltLec]]&lt;&gt;0,Tabla7[[#This Row],[PenLect]]&lt;&gt;0),(AM347-AL347)*Tabla7[[#This Row],[RT]],"N/A")</f>
        <v>0</v>
      </c>
      <c r="AO347" s="380" t="s">
        <v>1281</v>
      </c>
      <c r="AP347" s="433" t="s">
        <v>1190</v>
      </c>
      <c r="AQ347" s="433" t="s">
        <v>1189</v>
      </c>
      <c r="AR347" s="409">
        <f t="shared" si="118"/>
        <v>0</v>
      </c>
      <c r="AT347" s="2">
        <f t="shared" ca="1" si="119"/>
        <v>0</v>
      </c>
      <c r="AV347">
        <f>IF(ISBLANK(Tabla7[[#This Row],[31/12/2017]]),0,Tabla7[[#This Row],[31/12/2017]])</f>
        <v>667193</v>
      </c>
      <c r="AW347">
        <f>IF(ISBLANK(Tabla7[[#This Row],[15/01/2018]]),0,Tabla7[[#This Row],[15/01/2018]])</f>
        <v>668376</v>
      </c>
      <c r="AX347">
        <f>IF(ISBLANK(Tabla7[[#This Row],[15/02/2018]]),0,Tabla7[[#This Row],[15/02/2018]])</f>
        <v>669207</v>
      </c>
      <c r="AY347">
        <f>IF(ISBLANK(Tabla7[[#This Row],[15/03/2018]]),0,Tabla7[[#This Row],[15/03/2018]])</f>
        <v>669207</v>
      </c>
      <c r="AZ347">
        <f>IF(ISBLANK(Tabla7[[#This Row],[15/04/2018]]),0,Tabla7[[#This Row],[15/04/2018]])</f>
        <v>669208</v>
      </c>
      <c r="BA347">
        <f>IF(ISBLANK(Tabla7[[#This Row],[15/05/2018]]),0,Tabla7[[#This Row],[15/05/2018]])</f>
        <v>669208</v>
      </c>
      <c r="BB347">
        <f>IF(ISBLANK(Tabla7[[#This Row],[15/06/2018]]),0,Tabla7[[#This Row],[15/06/2018]])</f>
        <v>0</v>
      </c>
      <c r="BC347">
        <f>IF(ISBLANK(Tabla7[[#This Row],[15/07/2018]]),0,Tabla7[[#This Row],[15/07/2018]])</f>
        <v>0</v>
      </c>
      <c r="BD347">
        <f>IF(ISBLANK(Tabla7[[#This Row],[15/08/2018]]),0,Tabla7[[#This Row],[15/08/2018]])</f>
        <v>0</v>
      </c>
      <c r="BE347">
        <f>IF(ISBLANK(Tabla7[[#This Row],[15/09/2018]]),0,Tabla7[[#This Row],[15/09/2018]])</f>
        <v>0</v>
      </c>
      <c r="BF347">
        <f>IF(ISBLANK(Tabla7[[#This Row],[15/10/2018]]),0,Tabla7[[#This Row],[15/10/2018]])</f>
        <v>0</v>
      </c>
      <c r="BG347">
        <f>IF(ISBLANK(Tabla7[[#This Row],[15/11/2018]]),0,Tabla7[[#This Row],[15/11/2018]])</f>
        <v>0</v>
      </c>
      <c r="BH347">
        <f>IF(ISBLANK(Tabla7[[#This Row],[15/12/2018]]),0,Tabla7[[#This Row],[15/12/2018]])</f>
        <v>0</v>
      </c>
      <c r="BI347">
        <f>IF(ISBLANK(Tabla7[[#This Row],[28/12/2018]]),0,Tabla7[[#This Row],[28/12/2018]])</f>
        <v>0</v>
      </c>
      <c r="BN34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('LW00042834','VBAJA','VCT22','39434','NOATUM','EN CENTRALIZACION (3)','NAVE Y TORRES 2201, 02, 03 ( alta 1/12/2013 )(APAGADO)','');</v>
      </c>
      <c r="BO347" t="s">
        <v>243</v>
      </c>
      <c r="BP347" s="632" t="str">
        <f>CONCATENATE("insert into lecturas values ","('",Tabla7[[#This Row],[CONTADOR]],"',STR_TO_DATE('",Tabla7[[#Headers],[31/12/2017]],"','%d/%m/%Y'),",AV347,"),","('",Tabla7[[#This Row],[CONTADOR]],"',STR_TO_DATE('",Tabla7[[#Headers],[15/01/2018]],"','%d/%m/%Y'),",AW347,"),","('",Tabla7[[#This Row],[CONTADOR]],"',STR_TO_DATE('",Tabla7[[#Headers],[15/02/2018]],"','%d/%m/%Y'),",AX347,"),","('",Tabla7[[#This Row],[CONTADOR]],"',STR_TO_DATE('",Tabla7[[#Headers],[15/03/2018]],"','%d/%m/%Y'),",AY347,"),","('",Tabla7[[#This Row],[CONTADOR]],"',STR_TO_DATE('",Tabla7[[#Headers],[15/04/2018]],"','%d/%m/%Y'),",AZ347,"),","('",Tabla7[[#This Row],[CONTADOR]],"',STR_TO_DATE('",Tabla7[[#Headers],[15/05/2018]],"','%d/%m/%Y'),",BA347,"),","('",Tabla7[[#This Row],[CONTADOR]],"',STR_TO_DATE('",Tabla7[[#Headers],[15/06/2018]],"','%d/%m/%Y'),",BB347,"),","('",Tabla7[[#This Row],[CONTADOR]],"',STR_TO_DATE('",Tabla7[[#Headers],[15/07/2018]],"','%d/%m/%Y'),",BC347,"),","('",Tabla7[[#This Row],[CONTADOR]],"',STR_TO_DATE('",Tabla7[[#Headers],[15/08/2018]],"','%d/%m/%Y'),",BD347,"),","('",Tabla7[[#This Row],[CONTADOR]],"',STR_TO_DATE('",Tabla7[[#Headers],[15/09/2018]],"','%d/%m/%Y'),",BE347,"),","('",Tabla7[[#This Row],[CONTADOR]],"',STR_TO_DATE('",Tabla7[[#Headers],[15/10/2018]],"','%d/%m/%Y'),",BF347,"),","('",Tabla7[[#This Row],[CONTADOR]],"',STR_TO_DATE('",Tabla7[[#Headers],[15/11/2018]],"','%d/%m/%Y'),",BG347,"),","('",Tabla7[[#This Row],[CONTADOR]],"',STR_TO_DATE('",Tabla7[[#Headers],[15/12/2018]],"','%d/%m/%Y'),",BH347,");")</f>
        <v>insert into lecturas values ('LW00042834',STR_TO_DATE('31/12/2017','%d/%m/%Y'),667193),('LW00042834',STR_TO_DATE('15/01/2018','%d/%m/%Y'),668376),('LW00042834',STR_TO_DATE('15/02/2018','%d/%m/%Y'),669207),('LW00042834',STR_TO_DATE('15/03/2018','%d/%m/%Y'),669207),('LW00042834',STR_TO_DATE('15/04/2018','%d/%m/%Y'),669208),('LW00042834',STR_TO_DATE('15/05/2018','%d/%m/%Y'),669208),('LW00042834',STR_TO_DATE('15/06/2018','%d/%m/%Y'),0),('LW00042834',STR_TO_DATE('15/07/2018','%d/%m/%Y'),0),('LW00042834',STR_TO_DATE('15/08/2018','%d/%m/%Y'),0),('LW00042834',STR_TO_DATE('15/09/2018','%d/%m/%Y'),0),('LW00042834',STR_TO_DATE('15/10/2018','%d/%m/%Y'),0),('LW00042834',STR_TO_DATE('15/11/2018','%d/%m/%Y'),0),('LW00042834',STR_TO_DATE('15/12/2018','%d/%m/%Y'),0);</v>
      </c>
    </row>
    <row r="348" spans="1:68" ht="18" customHeight="1" x14ac:dyDescent="0.25">
      <c r="A348" s="241" t="s">
        <v>19</v>
      </c>
      <c r="B348" s="60"/>
      <c r="C348" s="342" t="s">
        <v>873</v>
      </c>
      <c r="D348" s="60" t="s">
        <v>190</v>
      </c>
      <c r="E348" s="258">
        <v>140</v>
      </c>
      <c r="F348" s="274" t="s">
        <v>874</v>
      </c>
      <c r="G348" s="274" t="s">
        <v>985</v>
      </c>
      <c r="H348" s="2"/>
      <c r="I348" s="2"/>
      <c r="J348" s="311">
        <v>145420</v>
      </c>
      <c r="K348" s="311">
        <v>145459</v>
      </c>
      <c r="L348" s="2">
        <v>145699</v>
      </c>
      <c r="M348" s="311">
        <v>145937</v>
      </c>
      <c r="N348" s="311">
        <v>146332</v>
      </c>
      <c r="O348" s="311">
        <v>146846</v>
      </c>
      <c r="P348" s="311">
        <v>147406</v>
      </c>
      <c r="Q348" s="274">
        <v>148609</v>
      </c>
      <c r="R348" s="274">
        <v>150256</v>
      </c>
      <c r="S348" s="311">
        <v>151731</v>
      </c>
      <c r="T348" s="311">
        <v>152963</v>
      </c>
      <c r="U348" s="492">
        <v>153561</v>
      </c>
      <c r="V348" s="531">
        <v>153661</v>
      </c>
      <c r="W348" s="274"/>
      <c r="X348" s="2"/>
      <c r="Y348" s="2">
        <f t="shared" si="120"/>
        <v>39</v>
      </c>
      <c r="Z348" s="2">
        <f t="shared" si="121"/>
        <v>240</v>
      </c>
      <c r="AA348" s="2">
        <f t="shared" si="130"/>
        <v>238</v>
      </c>
      <c r="AB348" s="2">
        <f t="shared" si="131"/>
        <v>395</v>
      </c>
      <c r="AC348" s="2">
        <f t="shared" si="122"/>
        <v>514</v>
      </c>
      <c r="AD348" s="2">
        <f t="shared" si="123"/>
        <v>560</v>
      </c>
      <c r="AE348" s="2">
        <f t="shared" si="124"/>
        <v>1203</v>
      </c>
      <c r="AF348" s="2">
        <f t="shared" si="125"/>
        <v>1647</v>
      </c>
      <c r="AG348" s="2">
        <f t="shared" si="126"/>
        <v>1475</v>
      </c>
      <c r="AH348" s="2">
        <f t="shared" si="127"/>
        <v>1232</v>
      </c>
      <c r="AI348" s="2">
        <f t="shared" si="128"/>
        <v>598</v>
      </c>
      <c r="AJ348" s="2">
        <f t="shared" si="129"/>
        <v>100</v>
      </c>
      <c r="AK348" s="406">
        <v>1</v>
      </c>
      <c r="AL348" s="274">
        <f t="shared" ca="1" si="116"/>
        <v>146332</v>
      </c>
      <c r="AM348" s="311">
        <f t="shared" ca="1" si="117"/>
        <v>146846</v>
      </c>
      <c r="AN348" s="274">
        <f ca="1">IF(AND(Tabla7[[#This Row],[UltLec]]&lt;&gt;0,Tabla7[[#This Row],[PenLect]]&lt;&gt;0),(AM348-AL348)*Tabla7[[#This Row],[RT]],"N/A")</f>
        <v>514</v>
      </c>
      <c r="AO348" s="273" t="s">
        <v>862</v>
      </c>
      <c r="AP348" s="392" t="s">
        <v>1190</v>
      </c>
      <c r="AQ348" s="392" t="s">
        <v>1189</v>
      </c>
      <c r="AR348" s="407">
        <f t="shared" si="118"/>
        <v>0</v>
      </c>
      <c r="AT348" s="2">
        <f t="shared" ca="1" si="119"/>
        <v>1.3012658227848102</v>
      </c>
      <c r="AV348">
        <f>IF(ISBLANK(Tabla7[[#This Row],[31/12/2017]]),0,Tabla7[[#This Row],[31/12/2017]])</f>
        <v>145420</v>
      </c>
      <c r="AW348">
        <f>IF(ISBLANK(Tabla7[[#This Row],[15/01/2018]]),0,Tabla7[[#This Row],[15/01/2018]])</f>
        <v>145459</v>
      </c>
      <c r="AX348">
        <f>IF(ISBLANK(Tabla7[[#This Row],[15/02/2018]]),0,Tabla7[[#This Row],[15/02/2018]])</f>
        <v>145699</v>
      </c>
      <c r="AY348">
        <f>IF(ISBLANK(Tabla7[[#This Row],[15/03/2018]]),0,Tabla7[[#This Row],[15/03/2018]])</f>
        <v>145937</v>
      </c>
      <c r="AZ348">
        <f>IF(ISBLANK(Tabla7[[#This Row],[15/04/2018]]),0,Tabla7[[#This Row],[15/04/2018]])</f>
        <v>146332</v>
      </c>
      <c r="BA348">
        <f>IF(ISBLANK(Tabla7[[#This Row],[15/05/2018]]),0,Tabla7[[#This Row],[15/05/2018]])</f>
        <v>146846</v>
      </c>
      <c r="BB348">
        <f>IF(ISBLANK(Tabla7[[#This Row],[15/06/2018]]),0,Tabla7[[#This Row],[15/06/2018]])</f>
        <v>147406</v>
      </c>
      <c r="BC348">
        <f>IF(ISBLANK(Tabla7[[#This Row],[15/07/2018]]),0,Tabla7[[#This Row],[15/07/2018]])</f>
        <v>148609</v>
      </c>
      <c r="BD348">
        <f>IF(ISBLANK(Tabla7[[#This Row],[15/08/2018]]),0,Tabla7[[#This Row],[15/08/2018]])</f>
        <v>150256</v>
      </c>
      <c r="BE348">
        <f>IF(ISBLANK(Tabla7[[#This Row],[15/09/2018]]),0,Tabla7[[#This Row],[15/09/2018]])</f>
        <v>151731</v>
      </c>
      <c r="BF348">
        <f>IF(ISBLANK(Tabla7[[#This Row],[15/10/2018]]),0,Tabla7[[#This Row],[15/10/2018]])</f>
        <v>152963</v>
      </c>
      <c r="BG348">
        <f>IF(ISBLANK(Tabla7[[#This Row],[15/11/2018]]),0,Tabla7[[#This Row],[15/11/2018]])</f>
        <v>153561</v>
      </c>
      <c r="BH348">
        <f>IF(ISBLANK(Tabla7[[#This Row],[15/12/2018]]),0,Tabla7[[#This Row],[15/12/2018]])</f>
        <v>153661</v>
      </c>
      <c r="BI348">
        <f>IF(ISBLANK(Tabla7[[#This Row],[28/12/2018]]),0,Tabla7[[#This Row],[28/12/2018]])</f>
        <v>0</v>
      </c>
      <c r="BN34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('LW00042943','V','VCT22','140','NUEVO EDIFICIO RESPONSABLE DE CIRCULACION','EN CENTRALIZACION (4)','','');</v>
      </c>
      <c r="BO348" t="s">
        <v>243</v>
      </c>
      <c r="BP348" s="632" t="str">
        <f>CONCATENATE("insert into lecturas values ","('",Tabla7[[#This Row],[CONTADOR]],"',STR_TO_DATE('",Tabla7[[#Headers],[31/12/2017]],"','%d/%m/%Y'),",AV348,"),","('",Tabla7[[#This Row],[CONTADOR]],"',STR_TO_DATE('",Tabla7[[#Headers],[15/01/2018]],"','%d/%m/%Y'),",AW348,"),","('",Tabla7[[#This Row],[CONTADOR]],"',STR_TO_DATE('",Tabla7[[#Headers],[15/02/2018]],"','%d/%m/%Y'),",AX348,"),","('",Tabla7[[#This Row],[CONTADOR]],"',STR_TO_DATE('",Tabla7[[#Headers],[15/03/2018]],"','%d/%m/%Y'),",AY348,"),","('",Tabla7[[#This Row],[CONTADOR]],"',STR_TO_DATE('",Tabla7[[#Headers],[15/04/2018]],"','%d/%m/%Y'),",AZ348,"),","('",Tabla7[[#This Row],[CONTADOR]],"',STR_TO_DATE('",Tabla7[[#Headers],[15/05/2018]],"','%d/%m/%Y'),",BA348,"),","('",Tabla7[[#This Row],[CONTADOR]],"',STR_TO_DATE('",Tabla7[[#Headers],[15/06/2018]],"','%d/%m/%Y'),",BB348,"),","('",Tabla7[[#This Row],[CONTADOR]],"',STR_TO_DATE('",Tabla7[[#Headers],[15/07/2018]],"','%d/%m/%Y'),",BC348,"),","('",Tabla7[[#This Row],[CONTADOR]],"',STR_TO_DATE('",Tabla7[[#Headers],[15/08/2018]],"','%d/%m/%Y'),",BD348,"),","('",Tabla7[[#This Row],[CONTADOR]],"',STR_TO_DATE('",Tabla7[[#Headers],[15/09/2018]],"','%d/%m/%Y'),",BE348,"),","('",Tabla7[[#This Row],[CONTADOR]],"',STR_TO_DATE('",Tabla7[[#Headers],[15/10/2018]],"','%d/%m/%Y'),",BF348,"),","('",Tabla7[[#This Row],[CONTADOR]],"',STR_TO_DATE('",Tabla7[[#Headers],[15/11/2018]],"','%d/%m/%Y'),",BG348,"),","('",Tabla7[[#This Row],[CONTADOR]],"',STR_TO_DATE('",Tabla7[[#Headers],[15/12/2018]],"','%d/%m/%Y'),",BH348,");")</f>
        <v>insert into lecturas values ('LW00042943',STR_TO_DATE('31/12/2017','%d/%m/%Y'),145420),('LW00042943',STR_TO_DATE('15/01/2018','%d/%m/%Y'),145459),('LW00042943',STR_TO_DATE('15/02/2018','%d/%m/%Y'),145699),('LW00042943',STR_TO_DATE('15/03/2018','%d/%m/%Y'),145937),('LW00042943',STR_TO_DATE('15/04/2018','%d/%m/%Y'),146332),('LW00042943',STR_TO_DATE('15/05/2018','%d/%m/%Y'),146846),('LW00042943',STR_TO_DATE('15/06/2018','%d/%m/%Y'),147406),('LW00042943',STR_TO_DATE('15/07/2018','%d/%m/%Y'),148609),('LW00042943',STR_TO_DATE('15/08/2018','%d/%m/%Y'),150256),('LW00042943',STR_TO_DATE('15/09/2018','%d/%m/%Y'),151731),('LW00042943',STR_TO_DATE('15/10/2018','%d/%m/%Y'),152963),('LW00042943',STR_TO_DATE('15/11/2018','%d/%m/%Y'),153561),('LW00042943',STR_TO_DATE('15/12/2018','%d/%m/%Y'),153661);</v>
      </c>
    </row>
    <row r="349" spans="1:68" ht="18" customHeight="1" x14ac:dyDescent="0.25">
      <c r="A349" s="241" t="s">
        <v>19</v>
      </c>
      <c r="B349" s="60">
        <v>1185</v>
      </c>
      <c r="C349" s="342" t="s">
        <v>197</v>
      </c>
      <c r="D349" s="60" t="s">
        <v>190</v>
      </c>
      <c r="E349" s="258">
        <v>39042</v>
      </c>
      <c r="F349" s="2" t="s">
        <v>198</v>
      </c>
      <c r="G349" s="2" t="s">
        <v>990</v>
      </c>
      <c r="H349" s="2" t="s">
        <v>199</v>
      </c>
      <c r="I349" s="2"/>
      <c r="J349" s="311">
        <v>31963</v>
      </c>
      <c r="K349" s="311">
        <v>32312</v>
      </c>
      <c r="L349" s="2">
        <v>32316</v>
      </c>
      <c r="M349" s="311">
        <v>33895</v>
      </c>
      <c r="N349" s="311">
        <v>34409</v>
      </c>
      <c r="O349" s="311">
        <v>34906</v>
      </c>
      <c r="P349" s="311">
        <v>35525</v>
      </c>
      <c r="Q349" s="2">
        <v>36628</v>
      </c>
      <c r="R349" s="2">
        <v>38005</v>
      </c>
      <c r="S349" s="311">
        <v>39241</v>
      </c>
      <c r="T349" s="311">
        <v>40174</v>
      </c>
      <c r="U349" s="492">
        <v>41000</v>
      </c>
      <c r="V349" s="531">
        <v>41727</v>
      </c>
      <c r="W349" s="274"/>
      <c r="X349" s="2"/>
      <c r="Y349" s="2">
        <f t="shared" si="120"/>
        <v>349</v>
      </c>
      <c r="Z349" s="2">
        <f t="shared" si="121"/>
        <v>4</v>
      </c>
      <c r="AA349" s="2">
        <f t="shared" si="130"/>
        <v>1579</v>
      </c>
      <c r="AB349" s="2">
        <f t="shared" si="131"/>
        <v>514</v>
      </c>
      <c r="AC349" s="2">
        <f t="shared" si="122"/>
        <v>497</v>
      </c>
      <c r="AD349" s="2">
        <f t="shared" si="123"/>
        <v>619</v>
      </c>
      <c r="AE349" s="2">
        <f t="shared" si="124"/>
        <v>1103</v>
      </c>
      <c r="AF349" s="2">
        <f t="shared" si="125"/>
        <v>1377</v>
      </c>
      <c r="AG349" s="2">
        <f t="shared" si="126"/>
        <v>1236</v>
      </c>
      <c r="AH349" s="2">
        <f t="shared" si="127"/>
        <v>933</v>
      </c>
      <c r="AI349" s="2">
        <f t="shared" si="128"/>
        <v>826</v>
      </c>
      <c r="AJ349" s="2">
        <f t="shared" si="129"/>
        <v>727</v>
      </c>
      <c r="AK349" s="406">
        <v>1</v>
      </c>
      <c r="AL349" s="274">
        <f t="shared" ca="1" si="116"/>
        <v>34409</v>
      </c>
      <c r="AM349" s="311">
        <f t="shared" ca="1" si="117"/>
        <v>34906</v>
      </c>
      <c r="AN349" s="274">
        <f ca="1">IF(AND(Tabla7[[#This Row],[UltLec]]&lt;&gt;0,Tabla7[[#This Row],[PenLect]]&lt;&gt;0),(AM349-AL349)*Tabla7[[#This Row],[RT]],"N/A")</f>
        <v>497</v>
      </c>
      <c r="AO349" s="273" t="s">
        <v>862</v>
      </c>
      <c r="AP349" s="392" t="s">
        <v>1190</v>
      </c>
      <c r="AQ349" s="392" t="s">
        <v>1189</v>
      </c>
      <c r="AR349" s="407">
        <f t="shared" si="118"/>
        <v>0</v>
      </c>
      <c r="AT349" s="2">
        <f t="shared" ca="1" si="119"/>
        <v>0.96692607003891051</v>
      </c>
      <c r="AV349">
        <f>IF(ISBLANK(Tabla7[[#This Row],[31/12/2017]]),0,Tabla7[[#This Row],[31/12/2017]])</f>
        <v>31963</v>
      </c>
      <c r="AW349">
        <f>IF(ISBLANK(Tabla7[[#This Row],[15/01/2018]]),0,Tabla7[[#This Row],[15/01/2018]])</f>
        <v>32312</v>
      </c>
      <c r="AX349">
        <f>IF(ISBLANK(Tabla7[[#This Row],[15/02/2018]]),0,Tabla7[[#This Row],[15/02/2018]])</f>
        <v>32316</v>
      </c>
      <c r="AY349">
        <f>IF(ISBLANK(Tabla7[[#This Row],[15/03/2018]]),0,Tabla7[[#This Row],[15/03/2018]])</f>
        <v>33895</v>
      </c>
      <c r="AZ349">
        <f>IF(ISBLANK(Tabla7[[#This Row],[15/04/2018]]),0,Tabla7[[#This Row],[15/04/2018]])</f>
        <v>34409</v>
      </c>
      <c r="BA349">
        <f>IF(ISBLANK(Tabla7[[#This Row],[15/05/2018]]),0,Tabla7[[#This Row],[15/05/2018]])</f>
        <v>34906</v>
      </c>
      <c r="BB349">
        <f>IF(ISBLANK(Tabla7[[#This Row],[15/06/2018]]),0,Tabla7[[#This Row],[15/06/2018]])</f>
        <v>35525</v>
      </c>
      <c r="BC349">
        <f>IF(ISBLANK(Tabla7[[#This Row],[15/07/2018]]),0,Tabla7[[#This Row],[15/07/2018]])</f>
        <v>36628</v>
      </c>
      <c r="BD349">
        <f>IF(ISBLANK(Tabla7[[#This Row],[15/08/2018]]),0,Tabla7[[#This Row],[15/08/2018]])</f>
        <v>38005</v>
      </c>
      <c r="BE349">
        <f>IF(ISBLANK(Tabla7[[#This Row],[15/09/2018]]),0,Tabla7[[#This Row],[15/09/2018]])</f>
        <v>39241</v>
      </c>
      <c r="BF349">
        <f>IF(ISBLANK(Tabla7[[#This Row],[15/10/2018]]),0,Tabla7[[#This Row],[15/10/2018]])</f>
        <v>40174</v>
      </c>
      <c r="BG349">
        <f>IF(ISBLANK(Tabla7[[#This Row],[15/11/2018]]),0,Tabla7[[#This Row],[15/11/2018]])</f>
        <v>41000</v>
      </c>
      <c r="BH349">
        <f>IF(ISBLANK(Tabla7[[#This Row],[15/12/2018]]),0,Tabla7[[#This Row],[15/12/2018]])</f>
        <v>41727</v>
      </c>
      <c r="BI349">
        <f>IF(ISBLANK(Tabla7[[#This Row],[28/12/2018]]),0,Tabla7[[#This Row],[28/12/2018]])</f>
        <v>0</v>
      </c>
      <c r="BN34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('LW00043030','V','VCT22','39042','MADICO Y VILLARROEL, S.L.','EN CENTRALIZACION (1)','ZONA DE ORDENES 3','');</v>
      </c>
      <c r="BO349" t="s">
        <v>243</v>
      </c>
      <c r="BP349" s="632" t="str">
        <f>CONCATENATE("insert into lecturas values ","('",Tabla7[[#This Row],[CONTADOR]],"',STR_TO_DATE('",Tabla7[[#Headers],[31/12/2017]],"','%d/%m/%Y'),",AV349,"),","('",Tabla7[[#This Row],[CONTADOR]],"',STR_TO_DATE('",Tabla7[[#Headers],[15/01/2018]],"','%d/%m/%Y'),",AW349,"),","('",Tabla7[[#This Row],[CONTADOR]],"',STR_TO_DATE('",Tabla7[[#Headers],[15/02/2018]],"','%d/%m/%Y'),",AX349,"),","('",Tabla7[[#This Row],[CONTADOR]],"',STR_TO_DATE('",Tabla7[[#Headers],[15/03/2018]],"','%d/%m/%Y'),",AY349,"),","('",Tabla7[[#This Row],[CONTADOR]],"',STR_TO_DATE('",Tabla7[[#Headers],[15/04/2018]],"','%d/%m/%Y'),",AZ349,"),","('",Tabla7[[#This Row],[CONTADOR]],"',STR_TO_DATE('",Tabla7[[#Headers],[15/05/2018]],"','%d/%m/%Y'),",BA349,"),","('",Tabla7[[#This Row],[CONTADOR]],"',STR_TO_DATE('",Tabla7[[#Headers],[15/06/2018]],"','%d/%m/%Y'),",BB349,"),","('",Tabla7[[#This Row],[CONTADOR]],"',STR_TO_DATE('",Tabla7[[#Headers],[15/07/2018]],"','%d/%m/%Y'),",BC349,"),","('",Tabla7[[#This Row],[CONTADOR]],"',STR_TO_DATE('",Tabla7[[#Headers],[15/08/2018]],"','%d/%m/%Y'),",BD349,"),","('",Tabla7[[#This Row],[CONTADOR]],"',STR_TO_DATE('",Tabla7[[#Headers],[15/09/2018]],"','%d/%m/%Y'),",BE349,"),","('",Tabla7[[#This Row],[CONTADOR]],"',STR_TO_DATE('",Tabla7[[#Headers],[15/10/2018]],"','%d/%m/%Y'),",BF349,"),","('",Tabla7[[#This Row],[CONTADOR]],"',STR_TO_DATE('",Tabla7[[#Headers],[15/11/2018]],"','%d/%m/%Y'),",BG349,"),","('",Tabla7[[#This Row],[CONTADOR]],"',STR_TO_DATE('",Tabla7[[#Headers],[15/12/2018]],"','%d/%m/%Y'),",BH349,");")</f>
        <v>insert into lecturas values ('LW00043030',STR_TO_DATE('31/12/2017','%d/%m/%Y'),31963),('LW00043030',STR_TO_DATE('15/01/2018','%d/%m/%Y'),32312),('LW00043030',STR_TO_DATE('15/02/2018','%d/%m/%Y'),32316),('LW00043030',STR_TO_DATE('15/03/2018','%d/%m/%Y'),33895),('LW00043030',STR_TO_DATE('15/04/2018','%d/%m/%Y'),34409),('LW00043030',STR_TO_DATE('15/05/2018','%d/%m/%Y'),34906),('LW00043030',STR_TO_DATE('15/06/2018','%d/%m/%Y'),35525),('LW00043030',STR_TO_DATE('15/07/2018','%d/%m/%Y'),36628),('LW00043030',STR_TO_DATE('15/08/2018','%d/%m/%Y'),38005),('LW00043030',STR_TO_DATE('15/09/2018','%d/%m/%Y'),39241),('LW00043030',STR_TO_DATE('15/10/2018','%d/%m/%Y'),40174),('LW00043030',STR_TO_DATE('15/11/2018','%d/%m/%Y'),41000),('LW00043030',STR_TO_DATE('15/12/2018','%d/%m/%Y'),41727);</v>
      </c>
    </row>
    <row r="350" spans="1:68" ht="18" customHeight="1" x14ac:dyDescent="0.25">
      <c r="A350" s="241" t="s">
        <v>19</v>
      </c>
      <c r="B350" s="60">
        <v>648</v>
      </c>
      <c r="C350" s="342" t="s">
        <v>193</v>
      </c>
      <c r="D350" s="60" t="s">
        <v>190</v>
      </c>
      <c r="E350" s="258">
        <v>39275</v>
      </c>
      <c r="F350" s="2" t="s">
        <v>194</v>
      </c>
      <c r="G350" s="2" t="s">
        <v>983</v>
      </c>
      <c r="H350" s="2"/>
      <c r="I350" s="2"/>
      <c r="J350" s="311">
        <v>32601</v>
      </c>
      <c r="K350" s="311">
        <v>32653</v>
      </c>
      <c r="L350" s="2">
        <v>32708</v>
      </c>
      <c r="M350" s="311">
        <v>32790</v>
      </c>
      <c r="N350" s="311">
        <v>32826</v>
      </c>
      <c r="O350" s="311">
        <v>32856</v>
      </c>
      <c r="P350" s="311">
        <v>32867</v>
      </c>
      <c r="Q350" s="49">
        <v>32891</v>
      </c>
      <c r="R350" s="2">
        <v>32933</v>
      </c>
      <c r="S350" s="311">
        <v>32958</v>
      </c>
      <c r="T350" s="311">
        <v>32969</v>
      </c>
      <c r="U350" s="492">
        <v>33005</v>
      </c>
      <c r="V350" s="531">
        <v>33108</v>
      </c>
      <c r="W350" s="274"/>
      <c r="X350" s="2"/>
      <c r="Y350" s="2">
        <f t="shared" si="120"/>
        <v>52</v>
      </c>
      <c r="Z350" s="2">
        <f t="shared" si="121"/>
        <v>55</v>
      </c>
      <c r="AA350" s="2">
        <f t="shared" si="130"/>
        <v>82</v>
      </c>
      <c r="AB350" s="2">
        <f t="shared" si="131"/>
        <v>36</v>
      </c>
      <c r="AC350" s="2">
        <f t="shared" si="122"/>
        <v>30</v>
      </c>
      <c r="AD350" s="2">
        <f t="shared" si="123"/>
        <v>11</v>
      </c>
      <c r="AE350" s="2">
        <f t="shared" si="124"/>
        <v>24</v>
      </c>
      <c r="AF350" s="2">
        <f t="shared" si="125"/>
        <v>42</v>
      </c>
      <c r="AG350" s="2">
        <f t="shared" si="126"/>
        <v>25</v>
      </c>
      <c r="AH350" s="2">
        <f t="shared" si="127"/>
        <v>11</v>
      </c>
      <c r="AI350" s="2">
        <f t="shared" si="128"/>
        <v>36</v>
      </c>
      <c r="AJ350" s="2">
        <f t="shared" si="129"/>
        <v>103</v>
      </c>
      <c r="AK350" s="406">
        <v>1</v>
      </c>
      <c r="AL350" s="274">
        <f t="shared" ca="1" si="116"/>
        <v>32826</v>
      </c>
      <c r="AM350" s="311">
        <f t="shared" ca="1" si="117"/>
        <v>32856</v>
      </c>
      <c r="AN350" s="274">
        <f ca="1">IF(AND(Tabla7[[#This Row],[UltLec]]&lt;&gt;0,Tabla7[[#This Row],[PenLect]]&lt;&gt;0),(AM350-AL350)*Tabla7[[#This Row],[RT]],"N/A")</f>
        <v>30</v>
      </c>
      <c r="AO350" s="273" t="s">
        <v>862</v>
      </c>
      <c r="AP350" s="441" t="s">
        <v>1190</v>
      </c>
      <c r="AQ350" s="441" t="s">
        <v>1189</v>
      </c>
      <c r="AR350" s="407">
        <f t="shared" si="118"/>
        <v>0</v>
      </c>
      <c r="AT350" s="2">
        <f t="shared" ca="1" si="119"/>
        <v>0.83333333333333337</v>
      </c>
      <c r="AV350">
        <f>IF(ISBLANK(Tabla7[[#This Row],[31/12/2017]]),0,Tabla7[[#This Row],[31/12/2017]])</f>
        <v>32601</v>
      </c>
      <c r="AW350">
        <f>IF(ISBLANK(Tabla7[[#This Row],[15/01/2018]]),0,Tabla7[[#This Row],[15/01/2018]])</f>
        <v>32653</v>
      </c>
      <c r="AX350">
        <f>IF(ISBLANK(Tabla7[[#This Row],[15/02/2018]]),0,Tabla7[[#This Row],[15/02/2018]])</f>
        <v>32708</v>
      </c>
      <c r="AY350">
        <f>IF(ISBLANK(Tabla7[[#This Row],[15/03/2018]]),0,Tabla7[[#This Row],[15/03/2018]])</f>
        <v>32790</v>
      </c>
      <c r="AZ350">
        <f>IF(ISBLANK(Tabla7[[#This Row],[15/04/2018]]),0,Tabla7[[#This Row],[15/04/2018]])</f>
        <v>32826</v>
      </c>
      <c r="BA350">
        <f>IF(ISBLANK(Tabla7[[#This Row],[15/05/2018]]),0,Tabla7[[#This Row],[15/05/2018]])</f>
        <v>32856</v>
      </c>
      <c r="BB350">
        <f>IF(ISBLANK(Tabla7[[#This Row],[15/06/2018]]),0,Tabla7[[#This Row],[15/06/2018]])</f>
        <v>32867</v>
      </c>
      <c r="BC350">
        <f>IF(ISBLANK(Tabla7[[#This Row],[15/07/2018]]),0,Tabla7[[#This Row],[15/07/2018]])</f>
        <v>32891</v>
      </c>
      <c r="BD350">
        <f>IF(ISBLANK(Tabla7[[#This Row],[15/08/2018]]),0,Tabla7[[#This Row],[15/08/2018]])</f>
        <v>32933</v>
      </c>
      <c r="BE350">
        <f>IF(ISBLANK(Tabla7[[#This Row],[15/09/2018]]),0,Tabla7[[#This Row],[15/09/2018]])</f>
        <v>32958</v>
      </c>
      <c r="BF350">
        <f>IF(ISBLANK(Tabla7[[#This Row],[15/10/2018]]),0,Tabla7[[#This Row],[15/10/2018]])</f>
        <v>32969</v>
      </c>
      <c r="BG350">
        <f>IF(ISBLANK(Tabla7[[#This Row],[15/11/2018]]),0,Tabla7[[#This Row],[15/11/2018]])</f>
        <v>33005</v>
      </c>
      <c r="BH350">
        <f>IF(ISBLANK(Tabla7[[#This Row],[15/12/2018]]),0,Tabla7[[#This Row],[15/12/2018]])</f>
        <v>33108</v>
      </c>
      <c r="BI350">
        <f>IF(ISBLANK(Tabla7[[#This Row],[28/12/2018]]),0,Tabla7[[#This Row],[28/12/2018]])</f>
        <v>0</v>
      </c>
      <c r="BN35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('LW00112653','V','VCT22','39275','DRAGADOS S.A. (2473)','EN CENTRALIZACION (2)','','');</v>
      </c>
      <c r="BO350" t="s">
        <v>243</v>
      </c>
      <c r="BP350" s="632" t="str">
        <f>CONCATENATE("insert into lecturas values ","('",Tabla7[[#This Row],[CONTADOR]],"',STR_TO_DATE('",Tabla7[[#Headers],[31/12/2017]],"','%d/%m/%Y'),",AV350,"),","('",Tabla7[[#This Row],[CONTADOR]],"',STR_TO_DATE('",Tabla7[[#Headers],[15/01/2018]],"','%d/%m/%Y'),",AW350,"),","('",Tabla7[[#This Row],[CONTADOR]],"',STR_TO_DATE('",Tabla7[[#Headers],[15/02/2018]],"','%d/%m/%Y'),",AX350,"),","('",Tabla7[[#This Row],[CONTADOR]],"',STR_TO_DATE('",Tabla7[[#Headers],[15/03/2018]],"','%d/%m/%Y'),",AY350,"),","('",Tabla7[[#This Row],[CONTADOR]],"',STR_TO_DATE('",Tabla7[[#Headers],[15/04/2018]],"','%d/%m/%Y'),",AZ350,"),","('",Tabla7[[#This Row],[CONTADOR]],"',STR_TO_DATE('",Tabla7[[#Headers],[15/05/2018]],"','%d/%m/%Y'),",BA350,"),","('",Tabla7[[#This Row],[CONTADOR]],"',STR_TO_DATE('",Tabla7[[#Headers],[15/06/2018]],"','%d/%m/%Y'),",BB350,"),","('",Tabla7[[#This Row],[CONTADOR]],"',STR_TO_DATE('",Tabla7[[#Headers],[15/07/2018]],"','%d/%m/%Y'),",BC350,"),","('",Tabla7[[#This Row],[CONTADOR]],"',STR_TO_DATE('",Tabla7[[#Headers],[15/08/2018]],"','%d/%m/%Y'),",BD350,"),","('",Tabla7[[#This Row],[CONTADOR]],"',STR_TO_DATE('",Tabla7[[#Headers],[15/09/2018]],"','%d/%m/%Y'),",BE350,"),","('",Tabla7[[#This Row],[CONTADOR]],"',STR_TO_DATE('",Tabla7[[#Headers],[15/10/2018]],"','%d/%m/%Y'),",BF350,"),","('",Tabla7[[#This Row],[CONTADOR]],"',STR_TO_DATE('",Tabla7[[#Headers],[15/11/2018]],"','%d/%m/%Y'),",BG350,"),","('",Tabla7[[#This Row],[CONTADOR]],"',STR_TO_DATE('",Tabla7[[#Headers],[15/12/2018]],"','%d/%m/%Y'),",BH350,");")</f>
        <v>insert into lecturas values ('LW00112653',STR_TO_DATE('31/12/2017','%d/%m/%Y'),32601),('LW00112653',STR_TO_DATE('15/01/2018','%d/%m/%Y'),32653),('LW00112653',STR_TO_DATE('15/02/2018','%d/%m/%Y'),32708),('LW00112653',STR_TO_DATE('15/03/2018','%d/%m/%Y'),32790),('LW00112653',STR_TO_DATE('15/04/2018','%d/%m/%Y'),32826),('LW00112653',STR_TO_DATE('15/05/2018','%d/%m/%Y'),32856),('LW00112653',STR_TO_DATE('15/06/2018','%d/%m/%Y'),32867),('LW00112653',STR_TO_DATE('15/07/2018','%d/%m/%Y'),32891),('LW00112653',STR_TO_DATE('15/08/2018','%d/%m/%Y'),32933),('LW00112653',STR_TO_DATE('15/09/2018','%d/%m/%Y'),32958),('LW00112653',STR_TO_DATE('15/10/2018','%d/%m/%Y'),32969),('LW00112653',STR_TO_DATE('15/11/2018','%d/%m/%Y'),33005),('LW00112653',STR_TO_DATE('15/12/2018','%d/%m/%Y'),33108);</v>
      </c>
    </row>
    <row r="351" spans="1:68" ht="18" customHeight="1" x14ac:dyDescent="0.25">
      <c r="A351" s="241" t="s">
        <v>19</v>
      </c>
      <c r="B351" s="60">
        <v>280</v>
      </c>
      <c r="C351" s="342" t="s">
        <v>195</v>
      </c>
      <c r="D351" s="60" t="s">
        <v>190</v>
      </c>
      <c r="E351" s="258">
        <v>39135</v>
      </c>
      <c r="F351" s="274" t="s">
        <v>196</v>
      </c>
      <c r="G351" s="274" t="s">
        <v>991</v>
      </c>
      <c r="H351" s="2" t="s">
        <v>449</v>
      </c>
      <c r="I351" s="2"/>
      <c r="J351" s="311">
        <v>601053</v>
      </c>
      <c r="K351" s="311">
        <v>605617</v>
      </c>
      <c r="L351" s="2">
        <v>616305</v>
      </c>
      <c r="M351" s="311">
        <v>626348</v>
      </c>
      <c r="N351" s="311">
        <v>634516</v>
      </c>
      <c r="O351" s="311">
        <v>641827</v>
      </c>
      <c r="P351" s="311">
        <v>649844</v>
      </c>
      <c r="Q351" s="2">
        <v>660198</v>
      </c>
      <c r="R351" s="2">
        <v>670740</v>
      </c>
      <c r="S351" s="311">
        <v>681130</v>
      </c>
      <c r="T351" s="311">
        <v>688631</v>
      </c>
      <c r="U351" s="492">
        <v>697401</v>
      </c>
      <c r="V351" s="531">
        <v>707267</v>
      </c>
      <c r="W351" s="274"/>
      <c r="X351" s="2"/>
      <c r="Y351" s="2">
        <f t="shared" si="120"/>
        <v>4564</v>
      </c>
      <c r="Z351" s="2">
        <f t="shared" si="121"/>
        <v>10688</v>
      </c>
      <c r="AA351" s="2">
        <f t="shared" si="130"/>
        <v>10043</v>
      </c>
      <c r="AB351" s="2">
        <f t="shared" si="131"/>
        <v>8168</v>
      </c>
      <c r="AC351" s="2">
        <f t="shared" si="122"/>
        <v>7311</v>
      </c>
      <c r="AD351" s="2">
        <f t="shared" si="123"/>
        <v>8017</v>
      </c>
      <c r="AE351" s="2">
        <f t="shared" si="124"/>
        <v>10354</v>
      </c>
      <c r="AF351" s="2">
        <f t="shared" si="125"/>
        <v>10542</v>
      </c>
      <c r="AG351" s="2">
        <f t="shared" si="126"/>
        <v>10390</v>
      </c>
      <c r="AH351" s="2">
        <f t="shared" si="127"/>
        <v>7501</v>
      </c>
      <c r="AI351" s="2">
        <f t="shared" si="128"/>
        <v>8770</v>
      </c>
      <c r="AJ351" s="2">
        <f t="shared" si="129"/>
        <v>9866</v>
      </c>
      <c r="AK351" s="406">
        <v>1</v>
      </c>
      <c r="AL351" s="274">
        <f t="shared" ca="1" si="116"/>
        <v>634516</v>
      </c>
      <c r="AM351" s="311">
        <f t="shared" ca="1" si="117"/>
        <v>641827</v>
      </c>
      <c r="AN351" s="274">
        <f ca="1">IF(AND(Tabla7[[#This Row],[UltLec]]&lt;&gt;0,Tabla7[[#This Row],[PenLect]]&lt;&gt;0),(AM351-AL351)*Tabla7[[#This Row],[RT]],"N/A")</f>
        <v>7311</v>
      </c>
      <c r="AO351" s="273" t="s">
        <v>862</v>
      </c>
      <c r="AP351" s="392" t="s">
        <v>1190</v>
      </c>
      <c r="AQ351" s="392" t="s">
        <v>1189</v>
      </c>
      <c r="AR351" s="407">
        <f t="shared" si="118"/>
        <v>0</v>
      </c>
      <c r="AT351" s="2">
        <f t="shared" ca="1" si="119"/>
        <v>0.89507835455435847</v>
      </c>
      <c r="AV351">
        <f>IF(ISBLANK(Tabla7[[#This Row],[31/12/2017]]),0,Tabla7[[#This Row],[31/12/2017]])</f>
        <v>601053</v>
      </c>
      <c r="AW351">
        <f>IF(ISBLANK(Tabla7[[#This Row],[15/01/2018]]),0,Tabla7[[#This Row],[15/01/2018]])</f>
        <v>605617</v>
      </c>
      <c r="AX351">
        <f>IF(ISBLANK(Tabla7[[#This Row],[15/02/2018]]),0,Tabla7[[#This Row],[15/02/2018]])</f>
        <v>616305</v>
      </c>
      <c r="AY351">
        <f>IF(ISBLANK(Tabla7[[#This Row],[15/03/2018]]),0,Tabla7[[#This Row],[15/03/2018]])</f>
        <v>626348</v>
      </c>
      <c r="AZ351">
        <f>IF(ISBLANK(Tabla7[[#This Row],[15/04/2018]]),0,Tabla7[[#This Row],[15/04/2018]])</f>
        <v>634516</v>
      </c>
      <c r="BA351">
        <f>IF(ISBLANK(Tabla7[[#This Row],[15/05/2018]]),0,Tabla7[[#This Row],[15/05/2018]])</f>
        <v>641827</v>
      </c>
      <c r="BB351">
        <f>IF(ISBLANK(Tabla7[[#This Row],[15/06/2018]]),0,Tabla7[[#This Row],[15/06/2018]])</f>
        <v>649844</v>
      </c>
      <c r="BC351">
        <f>IF(ISBLANK(Tabla7[[#This Row],[15/07/2018]]),0,Tabla7[[#This Row],[15/07/2018]])</f>
        <v>660198</v>
      </c>
      <c r="BD351">
        <f>IF(ISBLANK(Tabla7[[#This Row],[15/08/2018]]),0,Tabla7[[#This Row],[15/08/2018]])</f>
        <v>670740</v>
      </c>
      <c r="BE351">
        <f>IF(ISBLANK(Tabla7[[#This Row],[15/09/2018]]),0,Tabla7[[#This Row],[15/09/2018]])</f>
        <v>681130</v>
      </c>
      <c r="BF351">
        <f>IF(ISBLANK(Tabla7[[#This Row],[15/10/2018]]),0,Tabla7[[#This Row],[15/10/2018]])</f>
        <v>688631</v>
      </c>
      <c r="BG351">
        <f>IF(ISBLANK(Tabla7[[#This Row],[15/11/2018]]),0,Tabla7[[#This Row],[15/11/2018]])</f>
        <v>697401</v>
      </c>
      <c r="BH351">
        <f>IF(ISBLANK(Tabla7[[#This Row],[15/12/2018]]),0,Tabla7[[#This Row],[15/12/2018]])</f>
        <v>707267</v>
      </c>
      <c r="BI351">
        <f>IF(ISBLANK(Tabla7[[#This Row],[28/12/2018]]),0,Tabla7[[#This Row],[28/12/2018]])</f>
        <v>0</v>
      </c>
      <c r="BN35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('LW00181021','V','VCT22','39135','TALLERES NAVALES VALENCIA','EN CENTRALIZACION (5)','Dio la vuelta el 28/8/2013 (APAGADO)','');</v>
      </c>
      <c r="BO351" t="s">
        <v>243</v>
      </c>
      <c r="BP351" s="632" t="str">
        <f>CONCATENATE("insert into lecturas values ","('",Tabla7[[#This Row],[CONTADOR]],"',STR_TO_DATE('",Tabla7[[#Headers],[31/12/2017]],"','%d/%m/%Y'),",AV351,"),","('",Tabla7[[#This Row],[CONTADOR]],"',STR_TO_DATE('",Tabla7[[#Headers],[15/01/2018]],"','%d/%m/%Y'),",AW351,"),","('",Tabla7[[#This Row],[CONTADOR]],"',STR_TO_DATE('",Tabla7[[#Headers],[15/02/2018]],"','%d/%m/%Y'),",AX351,"),","('",Tabla7[[#This Row],[CONTADOR]],"',STR_TO_DATE('",Tabla7[[#Headers],[15/03/2018]],"','%d/%m/%Y'),",AY351,"),","('",Tabla7[[#This Row],[CONTADOR]],"',STR_TO_DATE('",Tabla7[[#Headers],[15/04/2018]],"','%d/%m/%Y'),",AZ351,"),","('",Tabla7[[#This Row],[CONTADOR]],"',STR_TO_DATE('",Tabla7[[#Headers],[15/05/2018]],"','%d/%m/%Y'),",BA351,"),","('",Tabla7[[#This Row],[CONTADOR]],"',STR_TO_DATE('",Tabla7[[#Headers],[15/06/2018]],"','%d/%m/%Y'),",BB351,"),","('",Tabla7[[#This Row],[CONTADOR]],"',STR_TO_DATE('",Tabla7[[#Headers],[15/07/2018]],"','%d/%m/%Y'),",BC351,"),","('",Tabla7[[#This Row],[CONTADOR]],"',STR_TO_DATE('",Tabla7[[#Headers],[15/08/2018]],"','%d/%m/%Y'),",BD351,"),","('",Tabla7[[#This Row],[CONTADOR]],"',STR_TO_DATE('",Tabla7[[#Headers],[15/09/2018]],"','%d/%m/%Y'),",BE351,"),","('",Tabla7[[#This Row],[CONTADOR]],"',STR_TO_DATE('",Tabla7[[#Headers],[15/10/2018]],"','%d/%m/%Y'),",BF351,"),","('",Tabla7[[#This Row],[CONTADOR]],"',STR_TO_DATE('",Tabla7[[#Headers],[15/11/2018]],"','%d/%m/%Y'),",BG351,"),","('",Tabla7[[#This Row],[CONTADOR]],"',STR_TO_DATE('",Tabla7[[#Headers],[15/12/2018]],"','%d/%m/%Y'),",BH351,");")</f>
        <v>insert into lecturas values ('LW00181021',STR_TO_DATE('31/12/2017','%d/%m/%Y'),601053),('LW00181021',STR_TO_DATE('15/01/2018','%d/%m/%Y'),605617),('LW00181021',STR_TO_DATE('15/02/2018','%d/%m/%Y'),616305),('LW00181021',STR_TO_DATE('15/03/2018','%d/%m/%Y'),626348),('LW00181021',STR_TO_DATE('15/04/2018','%d/%m/%Y'),634516),('LW00181021',STR_TO_DATE('15/05/2018','%d/%m/%Y'),641827),('LW00181021',STR_TO_DATE('15/06/2018','%d/%m/%Y'),649844),('LW00181021',STR_TO_DATE('15/07/2018','%d/%m/%Y'),660198),('LW00181021',STR_TO_DATE('15/08/2018','%d/%m/%Y'),670740),('LW00181021',STR_TO_DATE('15/09/2018','%d/%m/%Y'),681130),('LW00181021',STR_TO_DATE('15/10/2018','%d/%m/%Y'),688631),('LW00181021',STR_TO_DATE('15/11/2018','%d/%m/%Y'),697401),('LW00181021',STR_TO_DATE('15/12/2018','%d/%m/%Y'),707267);</v>
      </c>
    </row>
    <row r="352" spans="1:68" ht="18" customHeight="1" x14ac:dyDescent="0.25">
      <c r="A352" s="241" t="s">
        <v>19</v>
      </c>
      <c r="B352" s="60"/>
      <c r="C352" s="342" t="s">
        <v>1350</v>
      </c>
      <c r="D352" s="60" t="s">
        <v>190</v>
      </c>
      <c r="E352" s="258">
        <v>131</v>
      </c>
      <c r="F352" s="2" t="s">
        <v>455</v>
      </c>
      <c r="G352" s="2" t="s">
        <v>47</v>
      </c>
      <c r="H352" s="2"/>
      <c r="I352" s="2"/>
      <c r="J352" s="311">
        <v>604645</v>
      </c>
      <c r="K352" s="311">
        <v>607775</v>
      </c>
      <c r="L352" s="311">
        <v>613523</v>
      </c>
      <c r="M352" s="311">
        <v>618340</v>
      </c>
      <c r="N352" s="311">
        <v>622944</v>
      </c>
      <c r="O352" s="311">
        <v>626837</v>
      </c>
      <c r="P352" s="311">
        <v>630484</v>
      </c>
      <c r="Q352" s="274">
        <v>634161</v>
      </c>
      <c r="R352" s="2">
        <v>637834</v>
      </c>
      <c r="S352" s="311">
        <v>641925</v>
      </c>
      <c r="T352" s="311">
        <v>646067</v>
      </c>
      <c r="U352" s="492">
        <v>651166</v>
      </c>
      <c r="V352" s="531">
        <v>656537</v>
      </c>
      <c r="W352" s="2"/>
      <c r="X352" s="2"/>
      <c r="Y352" s="2">
        <f t="shared" si="120"/>
        <v>3130</v>
      </c>
      <c r="Z352" s="2">
        <f t="shared" si="121"/>
        <v>5748</v>
      </c>
      <c r="AA352" s="2">
        <f t="shared" si="130"/>
        <v>4817</v>
      </c>
      <c r="AB352" s="2">
        <f t="shared" si="131"/>
        <v>4604</v>
      </c>
      <c r="AC352" s="2">
        <f t="shared" si="122"/>
        <v>3893</v>
      </c>
      <c r="AD352" s="2">
        <f t="shared" si="123"/>
        <v>3647</v>
      </c>
      <c r="AE352" s="2">
        <f t="shared" si="124"/>
        <v>3677</v>
      </c>
      <c r="AF352" s="2">
        <f t="shared" si="125"/>
        <v>3673</v>
      </c>
      <c r="AG352" s="2">
        <f t="shared" si="126"/>
        <v>4091</v>
      </c>
      <c r="AH352" s="2">
        <f t="shared" si="127"/>
        <v>4142</v>
      </c>
      <c r="AI352" s="2">
        <f t="shared" si="128"/>
        <v>5099</v>
      </c>
      <c r="AJ352" s="2">
        <f t="shared" si="129"/>
        <v>5371</v>
      </c>
      <c r="AK352" s="406">
        <v>1</v>
      </c>
      <c r="AL352" s="274">
        <f t="shared" ca="1" si="116"/>
        <v>622944</v>
      </c>
      <c r="AM352" s="311">
        <f t="shared" ca="1" si="117"/>
        <v>626837</v>
      </c>
      <c r="AN352" s="274">
        <f ca="1">IF(AND(Tabla7[[#This Row],[UltLec]]&lt;&gt;0,Tabla7[[#This Row],[PenLect]]&lt;&gt;0),(AM352-AL352)*Tabla7[[#This Row],[RT]],"N/A")</f>
        <v>3893</v>
      </c>
      <c r="AO352" s="273" t="s">
        <v>862</v>
      </c>
      <c r="AP352" s="392" t="s">
        <v>1191</v>
      </c>
      <c r="AQ352" s="392" t="s">
        <v>818</v>
      </c>
      <c r="AR352" s="407">
        <f t="shared" si="118"/>
        <v>0</v>
      </c>
      <c r="AT352" s="2">
        <f t="shared" ca="1" si="119"/>
        <v>0.84556907037358819</v>
      </c>
      <c r="AV352">
        <f>IF(ISBLANK(Tabla7[[#This Row],[31/12/2017]]),0,Tabla7[[#This Row],[31/12/2017]])</f>
        <v>604645</v>
      </c>
      <c r="AW352">
        <f>IF(ISBLANK(Tabla7[[#This Row],[15/01/2018]]),0,Tabla7[[#This Row],[15/01/2018]])</f>
        <v>607775</v>
      </c>
      <c r="AX352">
        <f>IF(ISBLANK(Tabla7[[#This Row],[15/02/2018]]),0,Tabla7[[#This Row],[15/02/2018]])</f>
        <v>613523</v>
      </c>
      <c r="AY352">
        <f>IF(ISBLANK(Tabla7[[#This Row],[15/03/2018]]),0,Tabla7[[#This Row],[15/03/2018]])</f>
        <v>618340</v>
      </c>
      <c r="AZ352">
        <f>IF(ISBLANK(Tabla7[[#This Row],[15/04/2018]]),0,Tabla7[[#This Row],[15/04/2018]])</f>
        <v>622944</v>
      </c>
      <c r="BA352">
        <f>IF(ISBLANK(Tabla7[[#This Row],[15/05/2018]]),0,Tabla7[[#This Row],[15/05/2018]])</f>
        <v>626837</v>
      </c>
      <c r="BB352">
        <f>IF(ISBLANK(Tabla7[[#This Row],[15/06/2018]]),0,Tabla7[[#This Row],[15/06/2018]])</f>
        <v>630484</v>
      </c>
      <c r="BC352">
        <f>IF(ISBLANK(Tabla7[[#This Row],[15/07/2018]]),0,Tabla7[[#This Row],[15/07/2018]])</f>
        <v>634161</v>
      </c>
      <c r="BD352">
        <f>IF(ISBLANK(Tabla7[[#This Row],[15/08/2018]]),0,Tabla7[[#This Row],[15/08/2018]])</f>
        <v>637834</v>
      </c>
      <c r="BE352">
        <f>IF(ISBLANK(Tabla7[[#This Row],[15/09/2018]]),0,Tabla7[[#This Row],[15/09/2018]])</f>
        <v>641925</v>
      </c>
      <c r="BF352">
        <f>IF(ISBLANK(Tabla7[[#This Row],[15/10/2018]]),0,Tabla7[[#This Row],[15/10/2018]])</f>
        <v>646067</v>
      </c>
      <c r="BG352">
        <f>IF(ISBLANK(Tabla7[[#This Row],[15/11/2018]]),0,Tabla7[[#This Row],[15/11/2018]])</f>
        <v>651166</v>
      </c>
      <c r="BH352">
        <f>IF(ISBLANK(Tabla7[[#This Row],[15/12/2018]]),0,Tabla7[[#This Row],[15/12/2018]])</f>
        <v>656537</v>
      </c>
      <c r="BI352">
        <f>IF(ISBLANK(Tabla7[[#This Row],[28/12/2018]]),0,Tabla7[[#This Row],[28/12/2018]])</f>
        <v>0</v>
      </c>
      <c r="BN35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('PM4B162524','V','VCT22','131','APV ALUMBRADO VIALES','INTERIOR CT','','');</v>
      </c>
      <c r="BO352" t="s">
        <v>243</v>
      </c>
      <c r="BP352" s="632" t="str">
        <f>CONCATENATE("insert into lecturas values ","('",Tabla7[[#This Row],[CONTADOR]],"',STR_TO_DATE('",Tabla7[[#Headers],[31/12/2017]],"','%d/%m/%Y'),",AV352,"),","('",Tabla7[[#This Row],[CONTADOR]],"',STR_TO_DATE('",Tabla7[[#Headers],[15/01/2018]],"','%d/%m/%Y'),",AW352,"),","('",Tabla7[[#This Row],[CONTADOR]],"',STR_TO_DATE('",Tabla7[[#Headers],[15/02/2018]],"','%d/%m/%Y'),",AX352,"),","('",Tabla7[[#This Row],[CONTADOR]],"',STR_TO_DATE('",Tabla7[[#Headers],[15/03/2018]],"','%d/%m/%Y'),",AY352,"),","('",Tabla7[[#This Row],[CONTADOR]],"',STR_TO_DATE('",Tabla7[[#Headers],[15/04/2018]],"','%d/%m/%Y'),",AZ352,"),","('",Tabla7[[#This Row],[CONTADOR]],"',STR_TO_DATE('",Tabla7[[#Headers],[15/05/2018]],"','%d/%m/%Y'),",BA352,"),","('",Tabla7[[#This Row],[CONTADOR]],"',STR_TO_DATE('",Tabla7[[#Headers],[15/06/2018]],"','%d/%m/%Y'),",BB352,"),","('",Tabla7[[#This Row],[CONTADOR]],"',STR_TO_DATE('",Tabla7[[#Headers],[15/07/2018]],"','%d/%m/%Y'),",BC352,"),","('",Tabla7[[#This Row],[CONTADOR]],"',STR_TO_DATE('",Tabla7[[#Headers],[15/08/2018]],"','%d/%m/%Y'),",BD352,"),","('",Tabla7[[#This Row],[CONTADOR]],"',STR_TO_DATE('",Tabla7[[#Headers],[15/09/2018]],"','%d/%m/%Y'),",BE352,"),","('",Tabla7[[#This Row],[CONTADOR]],"',STR_TO_DATE('",Tabla7[[#Headers],[15/10/2018]],"','%d/%m/%Y'),",BF352,"),","('",Tabla7[[#This Row],[CONTADOR]],"',STR_TO_DATE('",Tabla7[[#Headers],[15/11/2018]],"','%d/%m/%Y'),",BG352,"),","('",Tabla7[[#This Row],[CONTADOR]],"',STR_TO_DATE('",Tabla7[[#Headers],[15/12/2018]],"','%d/%m/%Y'),",BH352,");")</f>
        <v>insert into lecturas values ('PM4B162524',STR_TO_DATE('31/12/2017','%d/%m/%Y'),604645),('PM4B162524',STR_TO_DATE('15/01/2018','%d/%m/%Y'),607775),('PM4B162524',STR_TO_DATE('15/02/2018','%d/%m/%Y'),613523),('PM4B162524',STR_TO_DATE('15/03/2018','%d/%m/%Y'),618340),('PM4B162524',STR_TO_DATE('15/04/2018','%d/%m/%Y'),622944),('PM4B162524',STR_TO_DATE('15/05/2018','%d/%m/%Y'),626837),('PM4B162524',STR_TO_DATE('15/06/2018','%d/%m/%Y'),630484),('PM4B162524',STR_TO_DATE('15/07/2018','%d/%m/%Y'),634161),('PM4B162524',STR_TO_DATE('15/08/2018','%d/%m/%Y'),637834),('PM4B162524',STR_TO_DATE('15/09/2018','%d/%m/%Y'),641925),('PM4B162524',STR_TO_DATE('15/10/2018','%d/%m/%Y'),646067),('PM4B162524',STR_TO_DATE('15/11/2018','%d/%m/%Y'),651166),('PM4B162524',STR_TO_DATE('15/12/2018','%d/%m/%Y'),656537);</v>
      </c>
    </row>
    <row r="353" spans="1:68" ht="18" customHeight="1" x14ac:dyDescent="0.25">
      <c r="A353" s="241" t="s">
        <v>19</v>
      </c>
      <c r="B353" s="60"/>
      <c r="C353" s="342" t="s">
        <v>1255</v>
      </c>
      <c r="D353" s="60" t="s">
        <v>200</v>
      </c>
      <c r="E353" s="258">
        <v>140</v>
      </c>
      <c r="F353" s="274" t="s">
        <v>898</v>
      </c>
      <c r="G353" s="274" t="s">
        <v>450</v>
      </c>
      <c r="H353" s="274" t="s">
        <v>451</v>
      </c>
      <c r="I353" s="2"/>
      <c r="J353" s="311">
        <v>284935</v>
      </c>
      <c r="K353" s="311">
        <v>286133</v>
      </c>
      <c r="L353" s="311">
        <v>289915</v>
      </c>
      <c r="M353" s="311">
        <v>293631</v>
      </c>
      <c r="N353" s="311">
        <v>296904</v>
      </c>
      <c r="O353" s="311">
        <v>300052</v>
      </c>
      <c r="P353" s="311">
        <v>303222</v>
      </c>
      <c r="Q353" s="2">
        <v>307564</v>
      </c>
      <c r="R353" s="274">
        <v>311878</v>
      </c>
      <c r="S353" s="311">
        <v>315549</v>
      </c>
      <c r="T353" s="311">
        <v>318121</v>
      </c>
      <c r="U353" s="492">
        <v>319861</v>
      </c>
      <c r="V353" s="531">
        <v>321253</v>
      </c>
      <c r="W353" s="2"/>
      <c r="X353" s="2"/>
      <c r="Y353" s="2">
        <f t="shared" si="120"/>
        <v>1198</v>
      </c>
      <c r="Z353" s="2">
        <f t="shared" si="121"/>
        <v>3782</v>
      </c>
      <c r="AA353" s="2">
        <f t="shared" si="130"/>
        <v>3716</v>
      </c>
      <c r="AB353" s="2">
        <f t="shared" si="131"/>
        <v>3273</v>
      </c>
      <c r="AC353" s="2">
        <f t="shared" si="122"/>
        <v>3148</v>
      </c>
      <c r="AD353" s="2">
        <f t="shared" si="123"/>
        <v>3170</v>
      </c>
      <c r="AE353" s="2">
        <f t="shared" si="124"/>
        <v>4342</v>
      </c>
      <c r="AF353" s="2">
        <f t="shared" si="125"/>
        <v>4314</v>
      </c>
      <c r="AG353" s="2">
        <f t="shared" si="126"/>
        <v>3671</v>
      </c>
      <c r="AH353" s="2">
        <f t="shared" si="127"/>
        <v>2572</v>
      </c>
      <c r="AI353" s="2">
        <f t="shared" si="128"/>
        <v>1740</v>
      </c>
      <c r="AJ353" s="2">
        <f t="shared" si="129"/>
        <v>1392</v>
      </c>
      <c r="AK353" s="406">
        <v>1</v>
      </c>
      <c r="AL353" s="274">
        <f t="shared" ca="1" si="116"/>
        <v>296904</v>
      </c>
      <c r="AM353" s="311">
        <f t="shared" ca="1" si="117"/>
        <v>300052</v>
      </c>
      <c r="AN353" s="274">
        <f ca="1">IF(AND(Tabla7[[#This Row],[UltLec]]&lt;&gt;0,Tabla7[[#This Row],[PenLect]]&lt;&gt;0),(AM353-AL353)*Tabla7[[#This Row],[RT]],"N/A")</f>
        <v>3148</v>
      </c>
      <c r="AO353" s="273" t="s">
        <v>862</v>
      </c>
      <c r="AP353" s="392" t="s">
        <v>1191</v>
      </c>
      <c r="AQ353" s="392" t="s">
        <v>818</v>
      </c>
      <c r="AR353" s="407">
        <f t="shared" si="118"/>
        <v>0</v>
      </c>
      <c r="AT353" s="2">
        <f t="shared" ca="1" si="119"/>
        <v>0.96180873816070878</v>
      </c>
      <c r="AV353">
        <f>IF(ISBLANK(Tabla7[[#This Row],[31/12/2017]]),0,Tabla7[[#This Row],[31/12/2017]])</f>
        <v>284935</v>
      </c>
      <c r="AW353">
        <f>IF(ISBLANK(Tabla7[[#This Row],[15/01/2018]]),0,Tabla7[[#This Row],[15/01/2018]])</f>
        <v>286133</v>
      </c>
      <c r="AX353">
        <f>IF(ISBLANK(Tabla7[[#This Row],[15/02/2018]]),0,Tabla7[[#This Row],[15/02/2018]])</f>
        <v>289915</v>
      </c>
      <c r="AY353">
        <f>IF(ISBLANK(Tabla7[[#This Row],[15/03/2018]]),0,Tabla7[[#This Row],[15/03/2018]])</f>
        <v>293631</v>
      </c>
      <c r="AZ353">
        <f>IF(ISBLANK(Tabla7[[#This Row],[15/04/2018]]),0,Tabla7[[#This Row],[15/04/2018]])</f>
        <v>296904</v>
      </c>
      <c r="BA353">
        <f>IF(ISBLANK(Tabla7[[#This Row],[15/05/2018]]),0,Tabla7[[#This Row],[15/05/2018]])</f>
        <v>300052</v>
      </c>
      <c r="BB353">
        <f>IF(ISBLANK(Tabla7[[#This Row],[15/06/2018]]),0,Tabla7[[#This Row],[15/06/2018]])</f>
        <v>303222</v>
      </c>
      <c r="BC353">
        <f>IF(ISBLANK(Tabla7[[#This Row],[15/07/2018]]),0,Tabla7[[#This Row],[15/07/2018]])</f>
        <v>307564</v>
      </c>
      <c r="BD353">
        <f>IF(ISBLANK(Tabla7[[#This Row],[15/08/2018]]),0,Tabla7[[#This Row],[15/08/2018]])</f>
        <v>311878</v>
      </c>
      <c r="BE353">
        <f>IF(ISBLANK(Tabla7[[#This Row],[15/09/2018]]),0,Tabla7[[#This Row],[15/09/2018]])</f>
        <v>315549</v>
      </c>
      <c r="BF353">
        <f>IF(ISBLANK(Tabla7[[#This Row],[15/10/2018]]),0,Tabla7[[#This Row],[15/10/2018]])</f>
        <v>318121</v>
      </c>
      <c r="BG353">
        <f>IF(ISBLANK(Tabla7[[#This Row],[15/11/2018]]),0,Tabla7[[#This Row],[15/11/2018]])</f>
        <v>319861</v>
      </c>
      <c r="BH353">
        <f>IF(ISBLANK(Tabla7[[#This Row],[15/12/2018]]),0,Tabla7[[#This Row],[15/12/2018]])</f>
        <v>321253</v>
      </c>
      <c r="BI353">
        <f>IF(ISBLANK(Tabla7[[#This Row],[28/12/2018]]),0,Tabla7[[#This Row],[28/12/2018]])</f>
        <v>0</v>
      </c>
      <c r="BN35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 PM4CE4E184','V','VCT23','140','APV ACCESO SUR izq','C.P.B.T. MARQUESINA','C.D. BAJA TENSIÓN','');</v>
      </c>
      <c r="BO353" t="s">
        <v>243</v>
      </c>
      <c r="BP353" s="632" t="str">
        <f>CONCATENATE("insert into lecturas values ","('",Tabla7[[#This Row],[CONTADOR]],"',STR_TO_DATE('",Tabla7[[#Headers],[31/12/2017]],"','%d/%m/%Y'),",AV353,"),","('",Tabla7[[#This Row],[CONTADOR]],"',STR_TO_DATE('",Tabla7[[#Headers],[15/01/2018]],"','%d/%m/%Y'),",AW353,"),","('",Tabla7[[#This Row],[CONTADOR]],"',STR_TO_DATE('",Tabla7[[#Headers],[15/02/2018]],"','%d/%m/%Y'),",AX353,"),","('",Tabla7[[#This Row],[CONTADOR]],"',STR_TO_DATE('",Tabla7[[#Headers],[15/03/2018]],"','%d/%m/%Y'),",AY353,"),","('",Tabla7[[#This Row],[CONTADOR]],"',STR_TO_DATE('",Tabla7[[#Headers],[15/04/2018]],"','%d/%m/%Y'),",AZ353,"),","('",Tabla7[[#This Row],[CONTADOR]],"',STR_TO_DATE('",Tabla7[[#Headers],[15/05/2018]],"','%d/%m/%Y'),",BA353,"),","('",Tabla7[[#This Row],[CONTADOR]],"',STR_TO_DATE('",Tabla7[[#Headers],[15/06/2018]],"','%d/%m/%Y'),",BB353,"),","('",Tabla7[[#This Row],[CONTADOR]],"',STR_TO_DATE('",Tabla7[[#Headers],[15/07/2018]],"','%d/%m/%Y'),",BC353,"),","('",Tabla7[[#This Row],[CONTADOR]],"',STR_TO_DATE('",Tabla7[[#Headers],[15/08/2018]],"','%d/%m/%Y'),",BD353,"),","('",Tabla7[[#This Row],[CONTADOR]],"',STR_TO_DATE('",Tabla7[[#Headers],[15/09/2018]],"','%d/%m/%Y'),",BE353,"),","('",Tabla7[[#This Row],[CONTADOR]],"',STR_TO_DATE('",Tabla7[[#Headers],[15/10/2018]],"','%d/%m/%Y'),",BF353,"),","('",Tabla7[[#This Row],[CONTADOR]],"',STR_TO_DATE('",Tabla7[[#Headers],[15/11/2018]],"','%d/%m/%Y'),",BG353,"),","('",Tabla7[[#This Row],[CONTADOR]],"',STR_TO_DATE('",Tabla7[[#Headers],[15/12/2018]],"','%d/%m/%Y'),",BH353,");")</f>
        <v>insert into lecturas values ('1 PM4CE4E184',STR_TO_DATE('31/12/2017','%d/%m/%Y'),284935),('1 PM4CE4E184',STR_TO_DATE('15/01/2018','%d/%m/%Y'),286133),('1 PM4CE4E184',STR_TO_DATE('15/02/2018','%d/%m/%Y'),289915),('1 PM4CE4E184',STR_TO_DATE('15/03/2018','%d/%m/%Y'),293631),('1 PM4CE4E184',STR_TO_DATE('15/04/2018','%d/%m/%Y'),296904),('1 PM4CE4E184',STR_TO_DATE('15/05/2018','%d/%m/%Y'),300052),('1 PM4CE4E184',STR_TO_DATE('15/06/2018','%d/%m/%Y'),303222),('1 PM4CE4E184',STR_TO_DATE('15/07/2018','%d/%m/%Y'),307564),('1 PM4CE4E184',STR_TO_DATE('15/08/2018','%d/%m/%Y'),311878),('1 PM4CE4E184',STR_TO_DATE('15/09/2018','%d/%m/%Y'),315549),('1 PM4CE4E184',STR_TO_DATE('15/10/2018','%d/%m/%Y'),318121),('1 PM4CE4E184',STR_TO_DATE('15/11/2018','%d/%m/%Y'),319861),('1 PM4CE4E184',STR_TO_DATE('15/12/2018','%d/%m/%Y'),321253);</v>
      </c>
    </row>
    <row r="354" spans="1:68" ht="18" customHeight="1" x14ac:dyDescent="0.25">
      <c r="A354" s="241" t="s">
        <v>19</v>
      </c>
      <c r="B354" s="60"/>
      <c r="C354" s="342" t="s">
        <v>1256</v>
      </c>
      <c r="D354" s="60" t="s">
        <v>200</v>
      </c>
      <c r="E354" s="258">
        <v>140</v>
      </c>
      <c r="F354" s="274" t="s">
        <v>899</v>
      </c>
      <c r="G354" s="274" t="s">
        <v>450</v>
      </c>
      <c r="H354" s="2" t="s">
        <v>451</v>
      </c>
      <c r="I354" s="2"/>
      <c r="J354" s="311">
        <v>848395</v>
      </c>
      <c r="K354" s="311">
        <v>853117</v>
      </c>
      <c r="L354" s="311">
        <v>862357</v>
      </c>
      <c r="M354" s="311">
        <v>870864</v>
      </c>
      <c r="N354" s="311">
        <v>879174</v>
      </c>
      <c r="O354" s="311">
        <v>887681</v>
      </c>
      <c r="P354" s="311">
        <v>896250</v>
      </c>
      <c r="Q354" s="2">
        <v>905777</v>
      </c>
      <c r="R354" s="274">
        <v>915478</v>
      </c>
      <c r="S354" s="311">
        <v>925026</v>
      </c>
      <c r="T354" s="311">
        <v>933703</v>
      </c>
      <c r="U354" s="492">
        <v>943205</v>
      </c>
      <c r="V354" s="531">
        <v>952862</v>
      </c>
      <c r="W354" s="2"/>
      <c r="X354" s="2"/>
      <c r="Y354" s="2">
        <f t="shared" si="120"/>
        <v>4722</v>
      </c>
      <c r="Z354" s="2">
        <f t="shared" si="121"/>
        <v>9240</v>
      </c>
      <c r="AA354" s="2">
        <f t="shared" si="130"/>
        <v>8507</v>
      </c>
      <c r="AB354" s="2">
        <f t="shared" si="131"/>
        <v>8310</v>
      </c>
      <c r="AC354" s="2">
        <f t="shared" si="122"/>
        <v>8507</v>
      </c>
      <c r="AD354" s="2">
        <f t="shared" si="123"/>
        <v>8569</v>
      </c>
      <c r="AE354" s="2">
        <f t="shared" si="124"/>
        <v>9527</v>
      </c>
      <c r="AF354" s="2">
        <f t="shared" si="125"/>
        <v>9701</v>
      </c>
      <c r="AG354" s="2">
        <f t="shared" si="126"/>
        <v>9548</v>
      </c>
      <c r="AH354" s="2">
        <f t="shared" si="127"/>
        <v>8677</v>
      </c>
      <c r="AI354" s="2">
        <f t="shared" si="128"/>
        <v>9502</v>
      </c>
      <c r="AJ354" s="2">
        <f t="shared" si="129"/>
        <v>9657</v>
      </c>
      <c r="AK354" s="406">
        <v>1</v>
      </c>
      <c r="AL354" s="274">
        <f t="shared" ca="1" si="116"/>
        <v>879174</v>
      </c>
      <c r="AM354" s="311">
        <f t="shared" ca="1" si="117"/>
        <v>887681</v>
      </c>
      <c r="AN354" s="274">
        <f ca="1">IF(AND(Tabla7[[#This Row],[UltLec]]&lt;&gt;0,Tabla7[[#This Row],[PenLect]]&lt;&gt;0),(AM354-AL354)*Tabla7[[#This Row],[RT]],"N/A")</f>
        <v>8507</v>
      </c>
      <c r="AO354" s="273" t="s">
        <v>862</v>
      </c>
      <c r="AP354" s="392" t="s">
        <v>1191</v>
      </c>
      <c r="AQ354" s="392" t="s">
        <v>818</v>
      </c>
      <c r="AR354" s="407">
        <f t="shared" si="118"/>
        <v>0</v>
      </c>
      <c r="AT354" s="2">
        <f t="shared" ca="1" si="119"/>
        <v>1.0237063778580024</v>
      </c>
      <c r="AV354">
        <f>IF(ISBLANK(Tabla7[[#This Row],[31/12/2017]]),0,Tabla7[[#This Row],[31/12/2017]])</f>
        <v>848395</v>
      </c>
      <c r="AW354">
        <f>IF(ISBLANK(Tabla7[[#This Row],[15/01/2018]]),0,Tabla7[[#This Row],[15/01/2018]])</f>
        <v>853117</v>
      </c>
      <c r="AX354">
        <f>IF(ISBLANK(Tabla7[[#This Row],[15/02/2018]]),0,Tabla7[[#This Row],[15/02/2018]])</f>
        <v>862357</v>
      </c>
      <c r="AY354">
        <f>IF(ISBLANK(Tabla7[[#This Row],[15/03/2018]]),0,Tabla7[[#This Row],[15/03/2018]])</f>
        <v>870864</v>
      </c>
      <c r="AZ354">
        <f>IF(ISBLANK(Tabla7[[#This Row],[15/04/2018]]),0,Tabla7[[#This Row],[15/04/2018]])</f>
        <v>879174</v>
      </c>
      <c r="BA354">
        <f>IF(ISBLANK(Tabla7[[#This Row],[15/05/2018]]),0,Tabla7[[#This Row],[15/05/2018]])</f>
        <v>887681</v>
      </c>
      <c r="BB354">
        <f>IF(ISBLANK(Tabla7[[#This Row],[15/06/2018]]),0,Tabla7[[#This Row],[15/06/2018]])</f>
        <v>896250</v>
      </c>
      <c r="BC354">
        <f>IF(ISBLANK(Tabla7[[#This Row],[15/07/2018]]),0,Tabla7[[#This Row],[15/07/2018]])</f>
        <v>905777</v>
      </c>
      <c r="BD354">
        <f>IF(ISBLANK(Tabla7[[#This Row],[15/08/2018]]),0,Tabla7[[#This Row],[15/08/2018]])</f>
        <v>915478</v>
      </c>
      <c r="BE354">
        <f>IF(ISBLANK(Tabla7[[#This Row],[15/09/2018]]),0,Tabla7[[#This Row],[15/09/2018]])</f>
        <v>925026</v>
      </c>
      <c r="BF354">
        <f>IF(ISBLANK(Tabla7[[#This Row],[15/10/2018]]),0,Tabla7[[#This Row],[15/10/2018]])</f>
        <v>933703</v>
      </c>
      <c r="BG354">
        <f>IF(ISBLANK(Tabla7[[#This Row],[15/11/2018]]),0,Tabla7[[#This Row],[15/11/2018]])</f>
        <v>943205</v>
      </c>
      <c r="BH354">
        <f>IF(ISBLANK(Tabla7[[#This Row],[15/12/2018]]),0,Tabla7[[#This Row],[15/12/2018]])</f>
        <v>952862</v>
      </c>
      <c r="BI354">
        <f>IF(ISBLANK(Tabla7[[#This Row],[28/12/2018]]),0,Tabla7[[#This Row],[28/12/2018]])</f>
        <v>0</v>
      </c>
      <c r="BN35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('2 PM4CE26391','V','VCT23','140','APV ACCESO SUR der','C.P.B.T. MARQUESINA','C.D. BAJA TENSIÓN','');</v>
      </c>
      <c r="BO354" t="s">
        <v>243</v>
      </c>
      <c r="BP354" s="632" t="str">
        <f>CONCATENATE("insert into lecturas values ","('",Tabla7[[#This Row],[CONTADOR]],"',STR_TO_DATE('",Tabla7[[#Headers],[31/12/2017]],"','%d/%m/%Y'),",AV354,"),","('",Tabla7[[#This Row],[CONTADOR]],"',STR_TO_DATE('",Tabla7[[#Headers],[15/01/2018]],"','%d/%m/%Y'),",AW354,"),","('",Tabla7[[#This Row],[CONTADOR]],"',STR_TO_DATE('",Tabla7[[#Headers],[15/02/2018]],"','%d/%m/%Y'),",AX354,"),","('",Tabla7[[#This Row],[CONTADOR]],"',STR_TO_DATE('",Tabla7[[#Headers],[15/03/2018]],"','%d/%m/%Y'),",AY354,"),","('",Tabla7[[#This Row],[CONTADOR]],"',STR_TO_DATE('",Tabla7[[#Headers],[15/04/2018]],"','%d/%m/%Y'),",AZ354,"),","('",Tabla7[[#This Row],[CONTADOR]],"',STR_TO_DATE('",Tabla7[[#Headers],[15/05/2018]],"','%d/%m/%Y'),",BA354,"),","('",Tabla7[[#This Row],[CONTADOR]],"',STR_TO_DATE('",Tabla7[[#Headers],[15/06/2018]],"','%d/%m/%Y'),",BB354,"),","('",Tabla7[[#This Row],[CONTADOR]],"',STR_TO_DATE('",Tabla7[[#Headers],[15/07/2018]],"','%d/%m/%Y'),",BC354,"),","('",Tabla7[[#This Row],[CONTADOR]],"',STR_TO_DATE('",Tabla7[[#Headers],[15/08/2018]],"','%d/%m/%Y'),",BD354,"),","('",Tabla7[[#This Row],[CONTADOR]],"',STR_TO_DATE('",Tabla7[[#Headers],[15/09/2018]],"','%d/%m/%Y'),",BE354,"),","('",Tabla7[[#This Row],[CONTADOR]],"',STR_TO_DATE('",Tabla7[[#Headers],[15/10/2018]],"','%d/%m/%Y'),",BF354,"),","('",Tabla7[[#This Row],[CONTADOR]],"',STR_TO_DATE('",Tabla7[[#Headers],[15/11/2018]],"','%d/%m/%Y'),",BG354,"),","('",Tabla7[[#This Row],[CONTADOR]],"',STR_TO_DATE('",Tabla7[[#Headers],[15/12/2018]],"','%d/%m/%Y'),",BH354,");")</f>
        <v>insert into lecturas values ('2 PM4CE26391',STR_TO_DATE('31/12/2017','%d/%m/%Y'),848395),('2 PM4CE26391',STR_TO_DATE('15/01/2018','%d/%m/%Y'),853117),('2 PM4CE26391',STR_TO_DATE('15/02/2018','%d/%m/%Y'),862357),('2 PM4CE26391',STR_TO_DATE('15/03/2018','%d/%m/%Y'),870864),('2 PM4CE26391',STR_TO_DATE('15/04/2018','%d/%m/%Y'),879174),('2 PM4CE26391',STR_TO_DATE('15/05/2018','%d/%m/%Y'),887681),('2 PM4CE26391',STR_TO_DATE('15/06/2018','%d/%m/%Y'),896250),('2 PM4CE26391',STR_TO_DATE('15/07/2018','%d/%m/%Y'),905777),('2 PM4CE26391',STR_TO_DATE('15/08/2018','%d/%m/%Y'),915478),('2 PM4CE26391',STR_TO_DATE('15/09/2018','%d/%m/%Y'),925026),('2 PM4CE26391',STR_TO_DATE('15/10/2018','%d/%m/%Y'),933703),('2 PM4CE26391',STR_TO_DATE('15/11/2018','%d/%m/%Y'),943205),('2 PM4CE26391',STR_TO_DATE('15/12/2018','%d/%m/%Y'),952862);</v>
      </c>
    </row>
    <row r="355" spans="1:68" ht="18" customHeight="1" x14ac:dyDescent="0.25">
      <c r="A355" s="241" t="s">
        <v>19</v>
      </c>
      <c r="B355" s="60">
        <v>476</v>
      </c>
      <c r="C355" s="342" t="s">
        <v>1263</v>
      </c>
      <c r="D355" s="60" t="s">
        <v>200</v>
      </c>
      <c r="E355" s="258">
        <v>39783</v>
      </c>
      <c r="F355" s="2" t="s">
        <v>216</v>
      </c>
      <c r="G355" s="2" t="s">
        <v>217</v>
      </c>
      <c r="H355" s="274"/>
      <c r="I355" s="2"/>
      <c r="J355" s="311">
        <v>137307</v>
      </c>
      <c r="K355" s="311">
        <v>137657</v>
      </c>
      <c r="L355" s="311">
        <v>138330</v>
      </c>
      <c r="M355" s="311">
        <v>139023</v>
      </c>
      <c r="N355" s="311">
        <v>139726</v>
      </c>
      <c r="O355" s="311">
        <v>140512</v>
      </c>
      <c r="P355" s="311">
        <v>141353</v>
      </c>
      <c r="Q355" s="307">
        <v>142438</v>
      </c>
      <c r="R355" s="307">
        <v>143442</v>
      </c>
      <c r="S355" s="311">
        <v>144479</v>
      </c>
      <c r="T355" s="311">
        <v>145364</v>
      </c>
      <c r="U355" s="531">
        <v>146215</v>
      </c>
      <c r="V355" s="531">
        <v>147016</v>
      </c>
      <c r="W355" s="2"/>
      <c r="X355" s="2"/>
      <c r="Y355" s="2">
        <f t="shared" si="120"/>
        <v>350</v>
      </c>
      <c r="Z355" s="2">
        <f t="shared" si="121"/>
        <v>673</v>
      </c>
      <c r="AA355" s="2">
        <f t="shared" si="130"/>
        <v>693</v>
      </c>
      <c r="AB355" s="2">
        <f t="shared" si="131"/>
        <v>703</v>
      </c>
      <c r="AC355" s="2">
        <f t="shared" si="122"/>
        <v>786</v>
      </c>
      <c r="AD355" s="2">
        <f t="shared" si="123"/>
        <v>841</v>
      </c>
      <c r="AE355" s="2">
        <f t="shared" si="124"/>
        <v>1085</v>
      </c>
      <c r="AF355" s="2">
        <f t="shared" si="125"/>
        <v>1004</v>
      </c>
      <c r="AG355" s="2">
        <f t="shared" si="126"/>
        <v>1037</v>
      </c>
      <c r="AH355" s="2">
        <f t="shared" si="127"/>
        <v>885</v>
      </c>
      <c r="AI355" s="2">
        <f t="shared" si="128"/>
        <v>851</v>
      </c>
      <c r="AJ355" s="2">
        <f t="shared" si="129"/>
        <v>801</v>
      </c>
      <c r="AK355" s="406">
        <v>1</v>
      </c>
      <c r="AL355" s="274">
        <f t="shared" ca="1" si="116"/>
        <v>139726</v>
      </c>
      <c r="AM355" s="311">
        <f t="shared" ca="1" si="117"/>
        <v>140512</v>
      </c>
      <c r="AN355" s="274">
        <f ca="1">IF(AND(Tabla7[[#This Row],[UltLec]]&lt;&gt;0,Tabla7[[#This Row],[PenLect]]&lt;&gt;0),(AM355-AL355)*Tabla7[[#This Row],[RT]],"N/A")</f>
        <v>786</v>
      </c>
      <c r="AO355" s="273" t="s">
        <v>862</v>
      </c>
      <c r="AP355" s="392" t="s">
        <v>1190</v>
      </c>
      <c r="AQ355" s="392" t="s">
        <v>1189</v>
      </c>
      <c r="AR355" s="407">
        <f t="shared" si="118"/>
        <v>0</v>
      </c>
      <c r="AT355" s="2">
        <f t="shared" ca="1" si="119"/>
        <v>1.1180654338549076</v>
      </c>
      <c r="AV355">
        <f>IF(ISBLANK(Tabla7[[#This Row],[31/12/2017]]),0,Tabla7[[#This Row],[31/12/2017]])</f>
        <v>137307</v>
      </c>
      <c r="AW355">
        <f>IF(ISBLANK(Tabla7[[#This Row],[15/01/2018]]),0,Tabla7[[#This Row],[15/01/2018]])</f>
        <v>137657</v>
      </c>
      <c r="AX355">
        <f>IF(ISBLANK(Tabla7[[#This Row],[15/02/2018]]),0,Tabla7[[#This Row],[15/02/2018]])</f>
        <v>138330</v>
      </c>
      <c r="AY355">
        <f>IF(ISBLANK(Tabla7[[#This Row],[15/03/2018]]),0,Tabla7[[#This Row],[15/03/2018]])</f>
        <v>139023</v>
      </c>
      <c r="AZ355">
        <f>IF(ISBLANK(Tabla7[[#This Row],[15/04/2018]]),0,Tabla7[[#This Row],[15/04/2018]])</f>
        <v>139726</v>
      </c>
      <c r="BA355">
        <f>IF(ISBLANK(Tabla7[[#This Row],[15/05/2018]]),0,Tabla7[[#This Row],[15/05/2018]])</f>
        <v>140512</v>
      </c>
      <c r="BB355">
        <f>IF(ISBLANK(Tabla7[[#This Row],[15/06/2018]]),0,Tabla7[[#This Row],[15/06/2018]])</f>
        <v>141353</v>
      </c>
      <c r="BC355">
        <f>IF(ISBLANK(Tabla7[[#This Row],[15/07/2018]]),0,Tabla7[[#This Row],[15/07/2018]])</f>
        <v>142438</v>
      </c>
      <c r="BD355">
        <f>IF(ISBLANK(Tabla7[[#This Row],[15/08/2018]]),0,Tabla7[[#This Row],[15/08/2018]])</f>
        <v>143442</v>
      </c>
      <c r="BE355">
        <f>IF(ISBLANK(Tabla7[[#This Row],[15/09/2018]]),0,Tabla7[[#This Row],[15/09/2018]])</f>
        <v>144479</v>
      </c>
      <c r="BF355">
        <f>IF(ISBLANK(Tabla7[[#This Row],[15/10/2018]]),0,Tabla7[[#This Row],[15/10/2018]])</f>
        <v>145364</v>
      </c>
      <c r="BG355">
        <f>IF(ISBLANK(Tabla7[[#This Row],[15/11/2018]]),0,Tabla7[[#This Row],[15/11/2018]])</f>
        <v>146215</v>
      </c>
      <c r="BH355">
        <f>IF(ISBLANK(Tabla7[[#This Row],[15/12/2018]]),0,Tabla7[[#This Row],[15/12/2018]])</f>
        <v>147016</v>
      </c>
      <c r="BI355">
        <f>IF(ISBLANK(Tabla7[[#This Row],[28/12/2018]]),0,Tabla7[[#This Row],[28/12/2018]])</f>
        <v>0</v>
      </c>
      <c r="BN35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('ADCQHCD956058700','V','VCT23','39783','CLUB PESCADORES NAZARET','PUERTO EMBARCACIONES MENORES','','');</v>
      </c>
      <c r="BO355" t="s">
        <v>243</v>
      </c>
      <c r="BP355" s="632" t="str">
        <f>CONCATENATE("insert into lecturas values ","('",Tabla7[[#This Row],[CONTADOR]],"',STR_TO_DATE('",Tabla7[[#Headers],[31/12/2017]],"','%d/%m/%Y'),",AV355,"),","('",Tabla7[[#This Row],[CONTADOR]],"',STR_TO_DATE('",Tabla7[[#Headers],[15/01/2018]],"','%d/%m/%Y'),",AW355,"),","('",Tabla7[[#This Row],[CONTADOR]],"',STR_TO_DATE('",Tabla7[[#Headers],[15/02/2018]],"','%d/%m/%Y'),",AX355,"),","('",Tabla7[[#This Row],[CONTADOR]],"',STR_TO_DATE('",Tabla7[[#Headers],[15/03/2018]],"','%d/%m/%Y'),",AY355,"),","('",Tabla7[[#This Row],[CONTADOR]],"',STR_TO_DATE('",Tabla7[[#Headers],[15/04/2018]],"','%d/%m/%Y'),",AZ355,"),","('",Tabla7[[#This Row],[CONTADOR]],"',STR_TO_DATE('",Tabla7[[#Headers],[15/05/2018]],"','%d/%m/%Y'),",BA355,"),","('",Tabla7[[#This Row],[CONTADOR]],"',STR_TO_DATE('",Tabla7[[#Headers],[15/06/2018]],"','%d/%m/%Y'),",BB355,"),","('",Tabla7[[#This Row],[CONTADOR]],"',STR_TO_DATE('",Tabla7[[#Headers],[15/07/2018]],"','%d/%m/%Y'),",BC355,"),","('",Tabla7[[#This Row],[CONTADOR]],"',STR_TO_DATE('",Tabla7[[#Headers],[15/08/2018]],"','%d/%m/%Y'),",BD355,"),","('",Tabla7[[#This Row],[CONTADOR]],"',STR_TO_DATE('",Tabla7[[#Headers],[15/09/2018]],"','%d/%m/%Y'),",BE355,"),","('",Tabla7[[#This Row],[CONTADOR]],"',STR_TO_DATE('",Tabla7[[#Headers],[15/10/2018]],"','%d/%m/%Y'),",BF355,"),","('",Tabla7[[#This Row],[CONTADOR]],"',STR_TO_DATE('",Tabla7[[#Headers],[15/11/2018]],"','%d/%m/%Y'),",BG355,"),","('",Tabla7[[#This Row],[CONTADOR]],"',STR_TO_DATE('",Tabla7[[#Headers],[15/12/2018]],"','%d/%m/%Y'),",BH355,");")</f>
        <v>insert into lecturas values ('ADCQHCD956058700',STR_TO_DATE('31/12/2017','%d/%m/%Y'),137307),('ADCQHCD956058700',STR_TO_DATE('15/01/2018','%d/%m/%Y'),137657),('ADCQHCD956058700',STR_TO_DATE('15/02/2018','%d/%m/%Y'),138330),('ADCQHCD956058700',STR_TO_DATE('15/03/2018','%d/%m/%Y'),139023),('ADCQHCD956058700',STR_TO_DATE('15/04/2018','%d/%m/%Y'),139726),('ADCQHCD956058700',STR_TO_DATE('15/05/2018','%d/%m/%Y'),140512),('ADCQHCD956058700',STR_TO_DATE('15/06/2018','%d/%m/%Y'),141353),('ADCQHCD956058700',STR_TO_DATE('15/07/2018','%d/%m/%Y'),142438),('ADCQHCD956058700',STR_TO_DATE('15/08/2018','%d/%m/%Y'),143442),('ADCQHCD956058700',STR_TO_DATE('15/09/2018','%d/%m/%Y'),144479),('ADCQHCD956058700',STR_TO_DATE('15/10/2018','%d/%m/%Y'),145364),('ADCQHCD956058700',STR_TO_DATE('15/11/2018','%d/%m/%Y'),146215),('ADCQHCD956058700',STR_TO_DATE('15/12/2018','%d/%m/%Y'),147016);</v>
      </c>
    </row>
    <row r="356" spans="1:68" ht="18" customHeight="1" x14ac:dyDescent="0.25">
      <c r="A356" s="241" t="s">
        <v>19</v>
      </c>
      <c r="B356" s="60">
        <v>1710</v>
      </c>
      <c r="C356" s="223" t="s">
        <v>1447</v>
      </c>
      <c r="D356" s="60" t="s">
        <v>200</v>
      </c>
      <c r="E356" s="258">
        <v>39662</v>
      </c>
      <c r="F356" s="2" t="s">
        <v>1448</v>
      </c>
      <c r="G356" s="2" t="s">
        <v>1376</v>
      </c>
      <c r="H356" s="2"/>
      <c r="I356" s="2" t="s">
        <v>1449</v>
      </c>
      <c r="J356" s="311"/>
      <c r="K356" s="311"/>
      <c r="L356" s="274"/>
      <c r="M356" s="311"/>
      <c r="N356" s="311"/>
      <c r="O356" s="311"/>
      <c r="P356" s="463"/>
      <c r="Q356" s="307"/>
      <c r="R356" s="307"/>
      <c r="S356" s="311"/>
      <c r="T356" s="311">
        <v>22</v>
      </c>
      <c r="U356" s="531">
        <v>22</v>
      </c>
      <c r="V356" s="531">
        <v>22</v>
      </c>
      <c r="W356" s="2"/>
      <c r="X356" s="2"/>
      <c r="Y356" s="2" t="str">
        <f t="shared" si="120"/>
        <v/>
      </c>
      <c r="Z356" s="2" t="str">
        <f t="shared" si="121"/>
        <v/>
      </c>
      <c r="AA356" s="2" t="str">
        <f>IF(OR(ISBLANK(#REF!),ISBLANK(L356)),"",IF(AND(#REF!&gt;=L356,#REF!-L356&lt;=#REF!),(#REF!-L356)*$AK356,"!!!!"))</f>
        <v/>
      </c>
      <c r="AB356" s="2" t="str">
        <f>IF(OR(ISBLANK(N356),ISBLANK(#REF!)),"",IF(AND(N356&gt;=#REF!,N356-#REF!&lt;=N356),(N356-#REF!)*$AK356,"!!!!"))</f>
        <v/>
      </c>
      <c r="AC356" s="2" t="str">
        <f t="shared" si="122"/>
        <v/>
      </c>
      <c r="AD356" s="2" t="str">
        <f t="shared" si="123"/>
        <v/>
      </c>
      <c r="AE356" s="2" t="str">
        <f t="shared" si="124"/>
        <v/>
      </c>
      <c r="AF356" s="2" t="str">
        <f t="shared" si="125"/>
        <v/>
      </c>
      <c r="AG356" s="2" t="str">
        <f t="shared" si="126"/>
        <v/>
      </c>
      <c r="AH356" s="271" t="str">
        <f t="shared" si="127"/>
        <v/>
      </c>
      <c r="AI356" s="2">
        <f t="shared" si="128"/>
        <v>0</v>
      </c>
      <c r="AJ356" s="2">
        <f t="shared" si="129"/>
        <v>0</v>
      </c>
      <c r="AK356" s="406">
        <v>1</v>
      </c>
      <c r="AL356" s="412">
        <f t="shared" ca="1" si="116"/>
        <v>0</v>
      </c>
      <c r="AM356" s="412">
        <f t="shared" ca="1" si="117"/>
        <v>0</v>
      </c>
      <c r="AN356" s="412" t="str">
        <f ca="1">IF(AND(Tabla7[[#This Row],[UltLec]]&lt;&gt;0,Tabla7[[#This Row],[PenLect]]&lt;&gt;0),(AM356-AL356)*Tabla7[[#This Row],[RT]],"N/A")</f>
        <v>N/A</v>
      </c>
      <c r="AO356" s="273" t="s">
        <v>862</v>
      </c>
      <c r="AP356" s="392" t="s">
        <v>1190</v>
      </c>
      <c r="AQ356" s="392" t="s">
        <v>1189</v>
      </c>
      <c r="AR356" s="407">
        <f t="shared" si="118"/>
        <v>0</v>
      </c>
      <c r="AT356" s="2" t="e">
        <f t="shared" ca="1" si="119"/>
        <v>#VALUE!</v>
      </c>
      <c r="AV356">
        <f>IF(ISBLANK(Tabla7[[#This Row],[31/12/2017]]),0,Tabla7[[#This Row],[31/12/2017]])</f>
        <v>0</v>
      </c>
      <c r="AW356">
        <f>IF(ISBLANK(Tabla7[[#This Row],[15/01/2018]]),0,Tabla7[[#This Row],[15/01/2018]])</f>
        <v>0</v>
      </c>
      <c r="AX356">
        <f>IF(ISBLANK(Tabla7[[#This Row],[15/02/2018]]),0,Tabla7[[#This Row],[15/02/2018]])</f>
        <v>0</v>
      </c>
      <c r="AY356">
        <f>IF(ISBLANK(Tabla7[[#This Row],[15/03/2018]]),0,Tabla7[[#This Row],[15/03/2018]])</f>
        <v>0</v>
      </c>
      <c r="AZ356">
        <f>IF(ISBLANK(Tabla7[[#This Row],[15/04/2018]]),0,Tabla7[[#This Row],[15/04/2018]])</f>
        <v>0</v>
      </c>
      <c r="BA356">
        <f>IF(ISBLANK(Tabla7[[#This Row],[15/05/2018]]),0,Tabla7[[#This Row],[15/05/2018]])</f>
        <v>0</v>
      </c>
      <c r="BB356">
        <f>IF(ISBLANK(Tabla7[[#This Row],[15/06/2018]]),0,Tabla7[[#This Row],[15/06/2018]])</f>
        <v>0</v>
      </c>
      <c r="BC356">
        <f>IF(ISBLANK(Tabla7[[#This Row],[15/07/2018]]),0,Tabla7[[#This Row],[15/07/2018]])</f>
        <v>0</v>
      </c>
      <c r="BD356">
        <f>IF(ISBLANK(Tabla7[[#This Row],[15/08/2018]]),0,Tabla7[[#This Row],[15/08/2018]])</f>
        <v>0</v>
      </c>
      <c r="BE356">
        <f>IF(ISBLANK(Tabla7[[#This Row],[15/09/2018]]),0,Tabla7[[#This Row],[15/09/2018]])</f>
        <v>0</v>
      </c>
      <c r="BF356">
        <f>IF(ISBLANK(Tabla7[[#This Row],[15/10/2018]]),0,Tabla7[[#This Row],[15/10/2018]])</f>
        <v>22</v>
      </c>
      <c r="BG356">
        <f>IF(ISBLANK(Tabla7[[#This Row],[15/11/2018]]),0,Tabla7[[#This Row],[15/11/2018]])</f>
        <v>22</v>
      </c>
      <c r="BH356">
        <f>IF(ISBLANK(Tabla7[[#This Row],[15/12/2018]]),0,Tabla7[[#This Row],[15/12/2018]])</f>
        <v>22</v>
      </c>
      <c r="BI356">
        <f>IF(ISBLANK(Tabla7[[#This Row],[28/12/2018]]),0,Tabla7[[#This Row],[28/12/2018]])</f>
        <v>0</v>
      </c>
      <c r="BN35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('CXPUGBI18043760081','V','VCT23','39662','COPITRANS, S.L.','NUEVA CENTRALIZACION','','FECHA ALTA 10/10/2018');</v>
      </c>
      <c r="BO356" t="s">
        <v>243</v>
      </c>
      <c r="BP356" s="632" t="str">
        <f>CONCATENATE("insert into lecturas values ","('",Tabla7[[#This Row],[CONTADOR]],"',STR_TO_DATE('",Tabla7[[#Headers],[31/12/2017]],"','%d/%m/%Y'),",AV356,"),","('",Tabla7[[#This Row],[CONTADOR]],"',STR_TO_DATE('",Tabla7[[#Headers],[15/01/2018]],"','%d/%m/%Y'),",AW356,"),","('",Tabla7[[#This Row],[CONTADOR]],"',STR_TO_DATE('",Tabla7[[#Headers],[15/02/2018]],"','%d/%m/%Y'),",AX356,"),","('",Tabla7[[#This Row],[CONTADOR]],"',STR_TO_DATE('",Tabla7[[#Headers],[15/03/2018]],"','%d/%m/%Y'),",AY356,"),","('",Tabla7[[#This Row],[CONTADOR]],"',STR_TO_DATE('",Tabla7[[#Headers],[15/04/2018]],"','%d/%m/%Y'),",AZ356,"),","('",Tabla7[[#This Row],[CONTADOR]],"',STR_TO_DATE('",Tabla7[[#Headers],[15/05/2018]],"','%d/%m/%Y'),",BA356,"),","('",Tabla7[[#This Row],[CONTADOR]],"',STR_TO_DATE('",Tabla7[[#Headers],[15/06/2018]],"','%d/%m/%Y'),",BB356,"),","('",Tabla7[[#This Row],[CONTADOR]],"',STR_TO_DATE('",Tabla7[[#Headers],[15/07/2018]],"','%d/%m/%Y'),",BC356,"),","('",Tabla7[[#This Row],[CONTADOR]],"',STR_TO_DATE('",Tabla7[[#Headers],[15/08/2018]],"','%d/%m/%Y'),",BD356,"),","('",Tabla7[[#This Row],[CONTADOR]],"',STR_TO_DATE('",Tabla7[[#Headers],[15/09/2018]],"','%d/%m/%Y'),",BE356,"),","('",Tabla7[[#This Row],[CONTADOR]],"',STR_TO_DATE('",Tabla7[[#Headers],[15/10/2018]],"','%d/%m/%Y'),",BF356,"),","('",Tabla7[[#This Row],[CONTADOR]],"',STR_TO_DATE('",Tabla7[[#Headers],[15/11/2018]],"','%d/%m/%Y'),",BG356,"),","('",Tabla7[[#This Row],[CONTADOR]],"',STR_TO_DATE('",Tabla7[[#Headers],[15/12/2018]],"','%d/%m/%Y'),",BH356,");")</f>
        <v>insert into lecturas values ('CXPUGBI18043760081',STR_TO_DATE('31/12/2017','%d/%m/%Y'),0),('CXPUGBI18043760081',STR_TO_DATE('15/01/2018','%d/%m/%Y'),0),('CXPUGBI18043760081',STR_TO_DATE('15/02/2018','%d/%m/%Y'),0),('CXPUGBI18043760081',STR_TO_DATE('15/03/2018','%d/%m/%Y'),0),('CXPUGBI18043760081',STR_TO_DATE('15/04/2018','%d/%m/%Y'),0),('CXPUGBI18043760081',STR_TO_DATE('15/05/2018','%d/%m/%Y'),0),('CXPUGBI18043760081',STR_TO_DATE('15/06/2018','%d/%m/%Y'),0),('CXPUGBI18043760081',STR_TO_DATE('15/07/2018','%d/%m/%Y'),0),('CXPUGBI18043760081',STR_TO_DATE('15/08/2018','%d/%m/%Y'),0),('CXPUGBI18043760081',STR_TO_DATE('15/09/2018','%d/%m/%Y'),0),('CXPUGBI18043760081',STR_TO_DATE('15/10/2018','%d/%m/%Y'),22),('CXPUGBI18043760081',STR_TO_DATE('15/11/2018','%d/%m/%Y'),22),('CXPUGBI18043760081',STR_TO_DATE('15/12/2018','%d/%m/%Y'),22);</v>
      </c>
    </row>
    <row r="357" spans="1:68" ht="18" customHeight="1" x14ac:dyDescent="0.25">
      <c r="A357" s="241" t="s">
        <v>19</v>
      </c>
      <c r="B357" s="60">
        <v>1433</v>
      </c>
      <c r="C357" s="342" t="s">
        <v>1299</v>
      </c>
      <c r="D357" s="60" t="s">
        <v>200</v>
      </c>
      <c r="E357" s="258">
        <v>39372</v>
      </c>
      <c r="F357" s="2" t="s">
        <v>749</v>
      </c>
      <c r="G357" s="2" t="s">
        <v>985</v>
      </c>
      <c r="H357" s="2" t="s">
        <v>913</v>
      </c>
      <c r="I357" s="2" t="s">
        <v>912</v>
      </c>
      <c r="J357" s="311">
        <v>3135</v>
      </c>
      <c r="K357" s="311">
        <v>3332</v>
      </c>
      <c r="L357" s="2">
        <v>3751</v>
      </c>
      <c r="M357" s="311">
        <v>4140</v>
      </c>
      <c r="N357" s="311">
        <v>4422</v>
      </c>
      <c r="O357" s="311">
        <v>4708</v>
      </c>
      <c r="P357" s="311">
        <v>5112</v>
      </c>
      <c r="Q357" s="275">
        <v>5864</v>
      </c>
      <c r="R357" s="275">
        <v>6880</v>
      </c>
      <c r="S357" s="311">
        <v>7508</v>
      </c>
      <c r="T357" s="311">
        <v>7926</v>
      </c>
      <c r="U357" s="531">
        <v>8234</v>
      </c>
      <c r="V357" s="531">
        <v>8595</v>
      </c>
      <c r="W357" s="274"/>
      <c r="X357" s="2"/>
      <c r="Y357" s="2">
        <f t="shared" si="120"/>
        <v>197</v>
      </c>
      <c r="Z357" s="2">
        <f t="shared" si="121"/>
        <v>419</v>
      </c>
      <c r="AA357" s="2">
        <f t="shared" ref="AA357:AB361" si="132">IF(OR(ISBLANK(M357),ISBLANK(L357)),"",IF(AND(M357&gt;=L357,M357-L357&lt;=M357),(M357-L357)*$AK357,"!!!!"))</f>
        <v>389</v>
      </c>
      <c r="AB357" s="2">
        <f t="shared" si="132"/>
        <v>282</v>
      </c>
      <c r="AC357" s="2">
        <f t="shared" si="122"/>
        <v>286</v>
      </c>
      <c r="AD357" s="2">
        <f t="shared" si="123"/>
        <v>404</v>
      </c>
      <c r="AE357" s="2">
        <f t="shared" si="124"/>
        <v>752</v>
      </c>
      <c r="AF357" s="2">
        <f t="shared" si="125"/>
        <v>1016</v>
      </c>
      <c r="AG357" s="2">
        <f t="shared" si="126"/>
        <v>628</v>
      </c>
      <c r="AH357" s="2">
        <f t="shared" si="127"/>
        <v>418</v>
      </c>
      <c r="AI357" s="2">
        <f t="shared" si="128"/>
        <v>308</v>
      </c>
      <c r="AJ357" s="2">
        <f t="shared" si="129"/>
        <v>361</v>
      </c>
      <c r="AK357" s="406">
        <v>1</v>
      </c>
      <c r="AL357" s="274">
        <f t="shared" ca="1" si="116"/>
        <v>4422</v>
      </c>
      <c r="AM357" s="311">
        <f t="shared" ca="1" si="117"/>
        <v>4708</v>
      </c>
      <c r="AN357" s="274">
        <f ca="1">IF(AND(Tabla7[[#This Row],[UltLec]]&lt;&gt;0,Tabla7[[#This Row],[PenLect]]&lt;&gt;0),(AM357-AL357)*Tabla7[[#This Row],[RT]],"N/A")</f>
        <v>286</v>
      </c>
      <c r="AO357" s="273" t="s">
        <v>862</v>
      </c>
      <c r="AP357" s="392" t="s">
        <v>1190</v>
      </c>
      <c r="AQ357" s="392" t="s">
        <v>1189</v>
      </c>
      <c r="AR357" s="407">
        <f t="shared" si="118"/>
        <v>0</v>
      </c>
      <c r="AT357" s="2">
        <f t="shared" ca="1" si="119"/>
        <v>1.0141843971631206</v>
      </c>
      <c r="AV357">
        <f>IF(ISBLANK(Tabla7[[#This Row],[31/12/2017]]),0,Tabla7[[#This Row],[31/12/2017]])</f>
        <v>3135</v>
      </c>
      <c r="AW357">
        <f>IF(ISBLANK(Tabla7[[#This Row],[15/01/2018]]),0,Tabla7[[#This Row],[15/01/2018]])</f>
        <v>3332</v>
      </c>
      <c r="AX357">
        <f>IF(ISBLANK(Tabla7[[#This Row],[15/02/2018]]),0,Tabla7[[#This Row],[15/02/2018]])</f>
        <v>3751</v>
      </c>
      <c r="AY357">
        <f>IF(ISBLANK(Tabla7[[#This Row],[15/03/2018]]),0,Tabla7[[#This Row],[15/03/2018]])</f>
        <v>4140</v>
      </c>
      <c r="AZ357">
        <f>IF(ISBLANK(Tabla7[[#This Row],[15/04/2018]]),0,Tabla7[[#This Row],[15/04/2018]])</f>
        <v>4422</v>
      </c>
      <c r="BA357">
        <f>IF(ISBLANK(Tabla7[[#This Row],[15/05/2018]]),0,Tabla7[[#This Row],[15/05/2018]])</f>
        <v>4708</v>
      </c>
      <c r="BB357">
        <f>IF(ISBLANK(Tabla7[[#This Row],[15/06/2018]]),0,Tabla7[[#This Row],[15/06/2018]])</f>
        <v>5112</v>
      </c>
      <c r="BC357">
        <f>IF(ISBLANK(Tabla7[[#This Row],[15/07/2018]]),0,Tabla7[[#This Row],[15/07/2018]])</f>
        <v>5864</v>
      </c>
      <c r="BD357">
        <f>IF(ISBLANK(Tabla7[[#This Row],[15/08/2018]]),0,Tabla7[[#This Row],[15/08/2018]])</f>
        <v>6880</v>
      </c>
      <c r="BE357">
        <f>IF(ISBLANK(Tabla7[[#This Row],[15/09/2018]]),0,Tabla7[[#This Row],[15/09/2018]])</f>
        <v>7508</v>
      </c>
      <c r="BF357">
        <f>IF(ISBLANK(Tabla7[[#This Row],[15/10/2018]]),0,Tabla7[[#This Row],[15/10/2018]])</f>
        <v>7926</v>
      </c>
      <c r="BG357">
        <f>IF(ISBLANK(Tabla7[[#This Row],[15/11/2018]]),0,Tabla7[[#This Row],[15/11/2018]])</f>
        <v>8234</v>
      </c>
      <c r="BH357">
        <f>IF(ISBLANK(Tabla7[[#This Row],[15/12/2018]]),0,Tabla7[[#This Row],[15/12/2018]])</f>
        <v>8595</v>
      </c>
      <c r="BI357">
        <f>IF(ISBLANK(Tabla7[[#This Row],[28/12/2018]]),0,Tabla7[[#This Row],[28/12/2018]])</f>
        <v>0</v>
      </c>
      <c r="BN35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('CXRUGBI15051354409','V','VCT23','39372','ASOCIACIÓN  E.L.T.C.O. BASCULA','EN CENTRALIZACION (4)','Bascula','SIN NOTIFICACIÓN DE PETICIÓN Antes 39372');</v>
      </c>
      <c r="BO357" t="s">
        <v>243</v>
      </c>
      <c r="BP357" s="632" t="str">
        <f>CONCATENATE("insert into lecturas values ","('",Tabla7[[#This Row],[CONTADOR]],"',STR_TO_DATE('",Tabla7[[#Headers],[31/12/2017]],"','%d/%m/%Y'),",AV357,"),","('",Tabla7[[#This Row],[CONTADOR]],"',STR_TO_DATE('",Tabla7[[#Headers],[15/01/2018]],"','%d/%m/%Y'),",AW357,"),","('",Tabla7[[#This Row],[CONTADOR]],"',STR_TO_DATE('",Tabla7[[#Headers],[15/02/2018]],"','%d/%m/%Y'),",AX357,"),","('",Tabla7[[#This Row],[CONTADOR]],"',STR_TO_DATE('",Tabla7[[#Headers],[15/03/2018]],"','%d/%m/%Y'),",AY357,"),","('",Tabla7[[#This Row],[CONTADOR]],"',STR_TO_DATE('",Tabla7[[#Headers],[15/04/2018]],"','%d/%m/%Y'),",AZ357,"),","('",Tabla7[[#This Row],[CONTADOR]],"',STR_TO_DATE('",Tabla7[[#Headers],[15/05/2018]],"','%d/%m/%Y'),",BA357,"),","('",Tabla7[[#This Row],[CONTADOR]],"',STR_TO_DATE('",Tabla7[[#Headers],[15/06/2018]],"','%d/%m/%Y'),",BB357,"),","('",Tabla7[[#This Row],[CONTADOR]],"',STR_TO_DATE('",Tabla7[[#Headers],[15/07/2018]],"','%d/%m/%Y'),",BC357,"),","('",Tabla7[[#This Row],[CONTADOR]],"',STR_TO_DATE('",Tabla7[[#Headers],[15/08/2018]],"','%d/%m/%Y'),",BD357,"),","('",Tabla7[[#This Row],[CONTADOR]],"',STR_TO_DATE('",Tabla7[[#Headers],[15/09/2018]],"','%d/%m/%Y'),",BE357,"),","('",Tabla7[[#This Row],[CONTADOR]],"',STR_TO_DATE('",Tabla7[[#Headers],[15/10/2018]],"','%d/%m/%Y'),",BF357,"),","('",Tabla7[[#This Row],[CONTADOR]],"',STR_TO_DATE('",Tabla7[[#Headers],[15/11/2018]],"','%d/%m/%Y'),",BG357,"),","('",Tabla7[[#This Row],[CONTADOR]],"',STR_TO_DATE('",Tabla7[[#Headers],[15/12/2018]],"','%d/%m/%Y'),",BH357,");")</f>
        <v>insert into lecturas values ('CXRUGBI15051354409',STR_TO_DATE('31/12/2017','%d/%m/%Y'),3135),('CXRUGBI15051354409',STR_TO_DATE('15/01/2018','%d/%m/%Y'),3332),('CXRUGBI15051354409',STR_TO_DATE('15/02/2018','%d/%m/%Y'),3751),('CXRUGBI15051354409',STR_TO_DATE('15/03/2018','%d/%m/%Y'),4140),('CXRUGBI15051354409',STR_TO_DATE('15/04/2018','%d/%m/%Y'),4422),('CXRUGBI15051354409',STR_TO_DATE('15/05/2018','%d/%m/%Y'),4708),('CXRUGBI15051354409',STR_TO_DATE('15/06/2018','%d/%m/%Y'),5112),('CXRUGBI15051354409',STR_TO_DATE('15/07/2018','%d/%m/%Y'),5864),('CXRUGBI15051354409',STR_TO_DATE('15/08/2018','%d/%m/%Y'),6880),('CXRUGBI15051354409',STR_TO_DATE('15/09/2018','%d/%m/%Y'),7508),('CXRUGBI15051354409',STR_TO_DATE('15/10/2018','%d/%m/%Y'),7926),('CXRUGBI15051354409',STR_TO_DATE('15/11/2018','%d/%m/%Y'),8234),('CXRUGBI15051354409',STR_TO_DATE('15/12/2018','%d/%m/%Y'),8595);</v>
      </c>
    </row>
    <row r="358" spans="1:68" ht="18" customHeight="1" x14ac:dyDescent="0.25">
      <c r="A358" s="241" t="s">
        <v>19</v>
      </c>
      <c r="B358" s="60"/>
      <c r="C358" s="342" t="s">
        <v>877</v>
      </c>
      <c r="D358" s="60" t="s">
        <v>200</v>
      </c>
      <c r="E358" s="258">
        <v>39477</v>
      </c>
      <c r="F358" s="2" t="s">
        <v>210</v>
      </c>
      <c r="G358" s="2" t="s">
        <v>982</v>
      </c>
      <c r="H358" s="2"/>
      <c r="I358" s="2" t="s">
        <v>914</v>
      </c>
      <c r="J358" s="311">
        <v>14235</v>
      </c>
      <c r="K358" s="311">
        <v>14616</v>
      </c>
      <c r="L358" s="2">
        <v>15577</v>
      </c>
      <c r="M358" s="311">
        <v>16091</v>
      </c>
      <c r="N358" s="311">
        <v>16369</v>
      </c>
      <c r="O358" s="311">
        <v>16870</v>
      </c>
      <c r="P358" s="311">
        <v>17549</v>
      </c>
      <c r="Q358" s="275">
        <v>19606</v>
      </c>
      <c r="R358" s="307">
        <v>22126</v>
      </c>
      <c r="S358" s="311">
        <v>24420</v>
      </c>
      <c r="T358" s="311">
        <v>25431</v>
      </c>
      <c r="U358" s="353">
        <v>26278</v>
      </c>
      <c r="V358" s="531">
        <v>27204</v>
      </c>
      <c r="W358" s="2"/>
      <c r="X358" s="2"/>
      <c r="Y358" s="2">
        <f t="shared" si="120"/>
        <v>381</v>
      </c>
      <c r="Z358" s="2">
        <f t="shared" si="121"/>
        <v>961</v>
      </c>
      <c r="AA358" s="2">
        <f t="shared" si="132"/>
        <v>514</v>
      </c>
      <c r="AB358" s="2">
        <f t="shared" si="132"/>
        <v>278</v>
      </c>
      <c r="AC358" s="2">
        <f t="shared" si="122"/>
        <v>501</v>
      </c>
      <c r="AD358" s="2">
        <f t="shared" si="123"/>
        <v>679</v>
      </c>
      <c r="AE358" s="2">
        <f t="shared" si="124"/>
        <v>2057</v>
      </c>
      <c r="AF358" s="2">
        <f t="shared" si="125"/>
        <v>2520</v>
      </c>
      <c r="AG358" s="2">
        <f t="shared" si="126"/>
        <v>2294</v>
      </c>
      <c r="AH358" s="2">
        <f t="shared" si="127"/>
        <v>1011</v>
      </c>
      <c r="AI358" s="2">
        <f t="shared" si="128"/>
        <v>847</v>
      </c>
      <c r="AJ358" s="2">
        <f t="shared" si="129"/>
        <v>926</v>
      </c>
      <c r="AK358" s="406">
        <v>1</v>
      </c>
      <c r="AL358" s="412">
        <f t="shared" ca="1" si="116"/>
        <v>16369</v>
      </c>
      <c r="AM358" s="311">
        <f t="shared" ca="1" si="117"/>
        <v>16870</v>
      </c>
      <c r="AN358" s="274">
        <f ca="1">IF(AND(Tabla7[[#This Row],[UltLec]]&lt;&gt;0,Tabla7[[#This Row],[PenLect]]&lt;&gt;0),(AM358-AL358)*Tabla7[[#This Row],[RT]],"N/A")</f>
        <v>501</v>
      </c>
      <c r="AO358" s="273" t="s">
        <v>862</v>
      </c>
      <c r="AP358" s="392" t="s">
        <v>1190</v>
      </c>
      <c r="AQ358" s="392" t="s">
        <v>1189</v>
      </c>
      <c r="AR358" s="407">
        <f t="shared" si="118"/>
        <v>0</v>
      </c>
      <c r="AT358" s="2">
        <f t="shared" ca="1" si="119"/>
        <v>1.8021582733812949</v>
      </c>
      <c r="AV358">
        <f>IF(ISBLANK(Tabla7[[#This Row],[31/12/2017]]),0,Tabla7[[#This Row],[31/12/2017]])</f>
        <v>14235</v>
      </c>
      <c r="AW358">
        <f>IF(ISBLANK(Tabla7[[#This Row],[15/01/2018]]),0,Tabla7[[#This Row],[15/01/2018]])</f>
        <v>14616</v>
      </c>
      <c r="AX358">
        <f>IF(ISBLANK(Tabla7[[#This Row],[15/02/2018]]),0,Tabla7[[#This Row],[15/02/2018]])</f>
        <v>15577</v>
      </c>
      <c r="AY358">
        <f>IF(ISBLANK(Tabla7[[#This Row],[15/03/2018]]),0,Tabla7[[#This Row],[15/03/2018]])</f>
        <v>16091</v>
      </c>
      <c r="AZ358">
        <f>IF(ISBLANK(Tabla7[[#This Row],[15/04/2018]]),0,Tabla7[[#This Row],[15/04/2018]])</f>
        <v>16369</v>
      </c>
      <c r="BA358">
        <f>IF(ISBLANK(Tabla7[[#This Row],[15/05/2018]]),0,Tabla7[[#This Row],[15/05/2018]])</f>
        <v>16870</v>
      </c>
      <c r="BB358">
        <f>IF(ISBLANK(Tabla7[[#This Row],[15/06/2018]]),0,Tabla7[[#This Row],[15/06/2018]])</f>
        <v>17549</v>
      </c>
      <c r="BC358">
        <f>IF(ISBLANK(Tabla7[[#This Row],[15/07/2018]]),0,Tabla7[[#This Row],[15/07/2018]])</f>
        <v>19606</v>
      </c>
      <c r="BD358">
        <f>IF(ISBLANK(Tabla7[[#This Row],[15/08/2018]]),0,Tabla7[[#This Row],[15/08/2018]])</f>
        <v>22126</v>
      </c>
      <c r="BE358">
        <f>IF(ISBLANK(Tabla7[[#This Row],[15/09/2018]]),0,Tabla7[[#This Row],[15/09/2018]])</f>
        <v>24420</v>
      </c>
      <c r="BF358">
        <f>IF(ISBLANK(Tabla7[[#This Row],[15/10/2018]]),0,Tabla7[[#This Row],[15/10/2018]])</f>
        <v>25431</v>
      </c>
      <c r="BG358">
        <f>IF(ISBLANK(Tabla7[[#This Row],[15/11/2018]]),0,Tabla7[[#This Row],[15/11/2018]])</f>
        <v>26278</v>
      </c>
      <c r="BH358">
        <f>IF(ISBLANK(Tabla7[[#This Row],[15/12/2018]]),0,Tabla7[[#This Row],[15/12/2018]])</f>
        <v>27204</v>
      </c>
      <c r="BI358">
        <f>IF(ISBLANK(Tabla7[[#This Row],[28/12/2018]]),0,Tabla7[[#This Row],[28/12/2018]])</f>
        <v>0</v>
      </c>
      <c r="BN35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('CXRUGBI17038221141','V','VCT23','39477','CRUZ ROJA ESPAÑOLA','EN CENTRALIZACION (3)','','Alta 1/05/2017');</v>
      </c>
      <c r="BO358" t="s">
        <v>243</v>
      </c>
      <c r="BP358" s="632" t="str">
        <f>CONCATENATE("insert into lecturas values ","('",Tabla7[[#This Row],[CONTADOR]],"',STR_TO_DATE('",Tabla7[[#Headers],[31/12/2017]],"','%d/%m/%Y'),",AV358,"),","('",Tabla7[[#This Row],[CONTADOR]],"',STR_TO_DATE('",Tabla7[[#Headers],[15/01/2018]],"','%d/%m/%Y'),",AW358,"),","('",Tabla7[[#This Row],[CONTADOR]],"',STR_TO_DATE('",Tabla7[[#Headers],[15/02/2018]],"','%d/%m/%Y'),",AX358,"),","('",Tabla7[[#This Row],[CONTADOR]],"',STR_TO_DATE('",Tabla7[[#Headers],[15/03/2018]],"','%d/%m/%Y'),",AY358,"),","('",Tabla7[[#This Row],[CONTADOR]],"',STR_TO_DATE('",Tabla7[[#Headers],[15/04/2018]],"','%d/%m/%Y'),",AZ358,"),","('",Tabla7[[#This Row],[CONTADOR]],"',STR_TO_DATE('",Tabla7[[#Headers],[15/05/2018]],"','%d/%m/%Y'),",BA358,"),","('",Tabla7[[#This Row],[CONTADOR]],"',STR_TO_DATE('",Tabla7[[#Headers],[15/06/2018]],"','%d/%m/%Y'),",BB358,"),","('",Tabla7[[#This Row],[CONTADOR]],"',STR_TO_DATE('",Tabla7[[#Headers],[15/07/2018]],"','%d/%m/%Y'),",BC358,"),","('",Tabla7[[#This Row],[CONTADOR]],"',STR_TO_DATE('",Tabla7[[#Headers],[15/08/2018]],"','%d/%m/%Y'),",BD358,"),","('",Tabla7[[#This Row],[CONTADOR]],"',STR_TO_DATE('",Tabla7[[#Headers],[15/09/2018]],"','%d/%m/%Y'),",BE358,"),","('",Tabla7[[#This Row],[CONTADOR]],"',STR_TO_DATE('",Tabla7[[#Headers],[15/10/2018]],"','%d/%m/%Y'),",BF358,"),","('",Tabla7[[#This Row],[CONTADOR]],"',STR_TO_DATE('",Tabla7[[#Headers],[15/11/2018]],"','%d/%m/%Y'),",BG358,"),","('",Tabla7[[#This Row],[CONTADOR]],"',STR_TO_DATE('",Tabla7[[#Headers],[15/12/2018]],"','%d/%m/%Y'),",BH358,");")</f>
        <v>insert into lecturas values ('CXRUGBI17038221141',STR_TO_DATE('31/12/2017','%d/%m/%Y'),14235),('CXRUGBI17038221141',STR_TO_DATE('15/01/2018','%d/%m/%Y'),14616),('CXRUGBI17038221141',STR_TO_DATE('15/02/2018','%d/%m/%Y'),15577),('CXRUGBI17038221141',STR_TO_DATE('15/03/2018','%d/%m/%Y'),16091),('CXRUGBI17038221141',STR_TO_DATE('15/04/2018','%d/%m/%Y'),16369),('CXRUGBI17038221141',STR_TO_DATE('15/05/2018','%d/%m/%Y'),16870),('CXRUGBI17038221141',STR_TO_DATE('15/06/2018','%d/%m/%Y'),17549),('CXRUGBI17038221141',STR_TO_DATE('15/07/2018','%d/%m/%Y'),19606),('CXRUGBI17038221141',STR_TO_DATE('15/08/2018','%d/%m/%Y'),22126),('CXRUGBI17038221141',STR_TO_DATE('15/09/2018','%d/%m/%Y'),24420),('CXRUGBI17038221141',STR_TO_DATE('15/10/2018','%d/%m/%Y'),25431),('CXRUGBI17038221141',STR_TO_DATE('15/11/2018','%d/%m/%Y'),26278),('CXRUGBI17038221141',STR_TO_DATE('15/12/2018','%d/%m/%Y'),27204);</v>
      </c>
    </row>
    <row r="359" spans="1:68" ht="18" customHeight="1" x14ac:dyDescent="0.25">
      <c r="A359" s="372" t="s">
        <v>1196</v>
      </c>
      <c r="B359" s="60"/>
      <c r="C359" s="373" t="s">
        <v>877</v>
      </c>
      <c r="D359" s="374" t="s">
        <v>200</v>
      </c>
      <c r="E359" s="375">
        <v>39477</v>
      </c>
      <c r="F359" s="376" t="s">
        <v>210</v>
      </c>
      <c r="G359" s="376" t="s">
        <v>101</v>
      </c>
      <c r="H359" s="376"/>
      <c r="I359" s="376"/>
      <c r="J359" s="383"/>
      <c r="K359" s="383"/>
      <c r="L359" s="376"/>
      <c r="M359" s="376"/>
      <c r="N359" s="376"/>
      <c r="O359" s="376"/>
      <c r="P359" s="376"/>
      <c r="Q359" s="376"/>
      <c r="R359" s="376"/>
      <c r="S359" s="311"/>
      <c r="T359" s="311"/>
      <c r="U359" s="519"/>
      <c r="V359" s="519"/>
      <c r="W359" s="377"/>
      <c r="X359" s="376"/>
      <c r="Y359" s="376" t="str">
        <f t="shared" si="120"/>
        <v/>
      </c>
      <c r="Z359" s="376" t="str">
        <f t="shared" si="121"/>
        <v/>
      </c>
      <c r="AA359" s="376" t="str">
        <f t="shared" si="132"/>
        <v/>
      </c>
      <c r="AB359" s="376" t="str">
        <f t="shared" si="132"/>
        <v/>
      </c>
      <c r="AC359" s="376" t="str">
        <f t="shared" si="122"/>
        <v/>
      </c>
      <c r="AD359" s="376" t="str">
        <f t="shared" si="123"/>
        <v/>
      </c>
      <c r="AE359" s="376" t="str">
        <f t="shared" si="124"/>
        <v/>
      </c>
      <c r="AF359" s="376" t="str">
        <f t="shared" si="125"/>
        <v/>
      </c>
      <c r="AG359" s="376" t="str">
        <f t="shared" si="126"/>
        <v/>
      </c>
      <c r="AH359" s="376" t="str">
        <f t="shared" si="127"/>
        <v/>
      </c>
      <c r="AI359" s="376" t="str">
        <f t="shared" si="128"/>
        <v/>
      </c>
      <c r="AJ359" s="376" t="str">
        <f t="shared" si="129"/>
        <v/>
      </c>
      <c r="AK359" s="408">
        <v>1</v>
      </c>
      <c r="AL359" s="423">
        <f t="shared" ca="1" si="116"/>
        <v>0</v>
      </c>
      <c r="AM359" s="383">
        <f t="shared" ca="1" si="117"/>
        <v>0</v>
      </c>
      <c r="AN359" s="377" t="str">
        <f ca="1">IF(AND(Tabla7[[#This Row],[UltLec]]&lt;&gt;0,Tabla7[[#This Row],[PenLect]]&lt;&gt;0),(AM359-AL359)*Tabla7[[#This Row],[RT]],"N/A")</f>
        <v>N/A</v>
      </c>
      <c r="AO359" s="380" t="s">
        <v>1281</v>
      </c>
      <c r="AP359" s="433" t="s">
        <v>1190</v>
      </c>
      <c r="AQ359" s="433" t="s">
        <v>1189</v>
      </c>
      <c r="AR359" s="409">
        <f t="shared" si="118"/>
        <v>0</v>
      </c>
      <c r="AT359" s="2" t="e">
        <f t="shared" ca="1" si="119"/>
        <v>#VALUE!</v>
      </c>
      <c r="AV359">
        <f>IF(ISBLANK(Tabla7[[#This Row],[31/12/2017]]),0,Tabla7[[#This Row],[31/12/2017]])</f>
        <v>0</v>
      </c>
      <c r="AW359">
        <f>IF(ISBLANK(Tabla7[[#This Row],[15/01/2018]]),0,Tabla7[[#This Row],[15/01/2018]])</f>
        <v>0</v>
      </c>
      <c r="AX359">
        <f>IF(ISBLANK(Tabla7[[#This Row],[15/02/2018]]),0,Tabla7[[#This Row],[15/02/2018]])</f>
        <v>0</v>
      </c>
      <c r="AY359">
        <f>IF(ISBLANK(Tabla7[[#This Row],[15/03/2018]]),0,Tabla7[[#This Row],[15/03/2018]])</f>
        <v>0</v>
      </c>
      <c r="AZ359">
        <f>IF(ISBLANK(Tabla7[[#This Row],[15/04/2018]]),0,Tabla7[[#This Row],[15/04/2018]])</f>
        <v>0</v>
      </c>
      <c r="BA359">
        <f>IF(ISBLANK(Tabla7[[#This Row],[15/05/2018]]),0,Tabla7[[#This Row],[15/05/2018]])</f>
        <v>0</v>
      </c>
      <c r="BB359">
        <f>IF(ISBLANK(Tabla7[[#This Row],[15/06/2018]]),0,Tabla7[[#This Row],[15/06/2018]])</f>
        <v>0</v>
      </c>
      <c r="BC359">
        <f>IF(ISBLANK(Tabla7[[#This Row],[15/07/2018]]),0,Tabla7[[#This Row],[15/07/2018]])</f>
        <v>0</v>
      </c>
      <c r="BD359">
        <f>IF(ISBLANK(Tabla7[[#This Row],[15/08/2018]]),0,Tabla7[[#This Row],[15/08/2018]])</f>
        <v>0</v>
      </c>
      <c r="BE359">
        <f>IF(ISBLANK(Tabla7[[#This Row],[15/09/2018]]),0,Tabla7[[#This Row],[15/09/2018]])</f>
        <v>0</v>
      </c>
      <c r="BF359">
        <f>IF(ISBLANK(Tabla7[[#This Row],[15/10/2018]]),0,Tabla7[[#This Row],[15/10/2018]])</f>
        <v>0</v>
      </c>
      <c r="BG359">
        <f>IF(ISBLANK(Tabla7[[#This Row],[15/11/2018]]),0,Tabla7[[#This Row],[15/11/2018]])</f>
        <v>0</v>
      </c>
      <c r="BH359">
        <f>IF(ISBLANK(Tabla7[[#This Row],[15/12/2018]]),0,Tabla7[[#This Row],[15/12/2018]])</f>
        <v>0</v>
      </c>
      <c r="BI359">
        <f>IF(ISBLANK(Tabla7[[#This Row],[28/12/2018]]),0,Tabla7[[#This Row],[28/12/2018]])</f>
        <v>0</v>
      </c>
      <c r="BN35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('CXRUGBI17038221141','VBAJA','VCT23','39477','CRUZ ROJA ESPAÑOLA','EN CENTRALIZACION','','');</v>
      </c>
      <c r="BO359" t="s">
        <v>243</v>
      </c>
      <c r="BP359" s="632" t="str">
        <f>CONCATENATE("insert into lecturas values ","('",Tabla7[[#This Row],[CONTADOR]],"',STR_TO_DATE('",Tabla7[[#Headers],[31/12/2017]],"','%d/%m/%Y'),",AV359,"),","('",Tabla7[[#This Row],[CONTADOR]],"',STR_TO_DATE('",Tabla7[[#Headers],[15/01/2018]],"','%d/%m/%Y'),",AW359,"),","('",Tabla7[[#This Row],[CONTADOR]],"',STR_TO_DATE('",Tabla7[[#Headers],[15/02/2018]],"','%d/%m/%Y'),",AX359,"),","('",Tabla7[[#This Row],[CONTADOR]],"',STR_TO_DATE('",Tabla7[[#Headers],[15/03/2018]],"','%d/%m/%Y'),",AY359,"),","('",Tabla7[[#This Row],[CONTADOR]],"',STR_TO_DATE('",Tabla7[[#Headers],[15/04/2018]],"','%d/%m/%Y'),",AZ359,"),","('",Tabla7[[#This Row],[CONTADOR]],"',STR_TO_DATE('",Tabla7[[#Headers],[15/05/2018]],"','%d/%m/%Y'),",BA359,"),","('",Tabla7[[#This Row],[CONTADOR]],"',STR_TO_DATE('",Tabla7[[#Headers],[15/06/2018]],"','%d/%m/%Y'),",BB359,"),","('",Tabla7[[#This Row],[CONTADOR]],"',STR_TO_DATE('",Tabla7[[#Headers],[15/07/2018]],"','%d/%m/%Y'),",BC359,"),","('",Tabla7[[#This Row],[CONTADOR]],"',STR_TO_DATE('",Tabla7[[#Headers],[15/08/2018]],"','%d/%m/%Y'),",BD359,"),","('",Tabla7[[#This Row],[CONTADOR]],"',STR_TO_DATE('",Tabla7[[#Headers],[15/09/2018]],"','%d/%m/%Y'),",BE359,"),","('",Tabla7[[#This Row],[CONTADOR]],"',STR_TO_DATE('",Tabla7[[#Headers],[15/10/2018]],"','%d/%m/%Y'),",BF359,"),","('",Tabla7[[#This Row],[CONTADOR]],"',STR_TO_DATE('",Tabla7[[#Headers],[15/11/2018]],"','%d/%m/%Y'),",BG359,"),","('",Tabla7[[#This Row],[CONTADOR]],"',STR_TO_DATE('",Tabla7[[#Headers],[15/12/2018]],"','%d/%m/%Y'),",BH359,");")</f>
        <v>insert into lecturas values ('CXRUGBI17038221141',STR_TO_DATE('31/12/2017','%d/%m/%Y'),0),('CXRUGBI17038221141',STR_TO_DATE('15/01/2018','%d/%m/%Y'),0),('CXRUGBI17038221141',STR_TO_DATE('15/02/2018','%d/%m/%Y'),0),('CXRUGBI17038221141',STR_TO_DATE('15/03/2018','%d/%m/%Y'),0),('CXRUGBI17038221141',STR_TO_DATE('15/04/2018','%d/%m/%Y'),0),('CXRUGBI17038221141',STR_TO_DATE('15/05/2018','%d/%m/%Y'),0),('CXRUGBI17038221141',STR_TO_DATE('15/06/2018','%d/%m/%Y'),0),('CXRUGBI17038221141',STR_TO_DATE('15/07/2018','%d/%m/%Y'),0),('CXRUGBI17038221141',STR_TO_DATE('15/08/2018','%d/%m/%Y'),0),('CXRUGBI17038221141',STR_TO_DATE('15/09/2018','%d/%m/%Y'),0),('CXRUGBI17038221141',STR_TO_DATE('15/10/2018','%d/%m/%Y'),0),('CXRUGBI17038221141',STR_TO_DATE('15/11/2018','%d/%m/%Y'),0),('CXRUGBI17038221141',STR_TO_DATE('15/12/2018','%d/%m/%Y'),0);</v>
      </c>
    </row>
    <row r="360" spans="1:68" ht="18" customHeight="1" x14ac:dyDescent="0.25">
      <c r="A360" s="241" t="s">
        <v>19</v>
      </c>
      <c r="B360" s="60"/>
      <c r="C360" s="342" t="s">
        <v>1092</v>
      </c>
      <c r="D360" s="60" t="s">
        <v>200</v>
      </c>
      <c r="E360" s="258">
        <v>39308</v>
      </c>
      <c r="F360" s="2" t="s">
        <v>110</v>
      </c>
      <c r="G360" s="2" t="s">
        <v>1345</v>
      </c>
      <c r="H360" s="2"/>
      <c r="I360" s="2" t="s">
        <v>1095</v>
      </c>
      <c r="J360" s="311">
        <v>0</v>
      </c>
      <c r="K360" s="311">
        <v>5</v>
      </c>
      <c r="L360" s="2">
        <v>984</v>
      </c>
      <c r="M360" s="311">
        <v>2350</v>
      </c>
      <c r="N360" s="311">
        <v>3352</v>
      </c>
      <c r="O360" s="311">
        <v>4392</v>
      </c>
      <c r="P360" s="311">
        <v>5530</v>
      </c>
      <c r="Q360" s="275">
        <v>7236</v>
      </c>
      <c r="R360" s="275">
        <v>8948</v>
      </c>
      <c r="S360" s="311">
        <v>10359</v>
      </c>
      <c r="T360" s="311">
        <v>11444</v>
      </c>
      <c r="U360" s="531">
        <v>12629</v>
      </c>
      <c r="V360" s="353">
        <v>13867</v>
      </c>
      <c r="W360" s="2"/>
      <c r="X360" s="2"/>
      <c r="Y360" s="2">
        <f t="shared" si="120"/>
        <v>5</v>
      </c>
      <c r="Z360" s="2">
        <f t="shared" si="121"/>
        <v>979</v>
      </c>
      <c r="AA360" s="2">
        <f t="shared" si="132"/>
        <v>1366</v>
      </c>
      <c r="AB360" s="2">
        <f t="shared" si="132"/>
        <v>1002</v>
      </c>
      <c r="AC360" s="2">
        <f t="shared" si="122"/>
        <v>1040</v>
      </c>
      <c r="AD360" s="2">
        <f t="shared" si="123"/>
        <v>1138</v>
      </c>
      <c r="AE360" s="2">
        <f t="shared" si="124"/>
        <v>1706</v>
      </c>
      <c r="AF360" s="2">
        <f t="shared" si="125"/>
        <v>1712</v>
      </c>
      <c r="AG360" s="2">
        <f t="shared" si="126"/>
        <v>1411</v>
      </c>
      <c r="AH360" s="2">
        <f t="shared" si="127"/>
        <v>1085</v>
      </c>
      <c r="AI360" s="2">
        <f t="shared" si="128"/>
        <v>1185</v>
      </c>
      <c r="AJ360" s="2">
        <f t="shared" si="129"/>
        <v>1238</v>
      </c>
      <c r="AK360" s="406">
        <v>1</v>
      </c>
      <c r="AL360" s="412">
        <f t="shared" ca="1" si="116"/>
        <v>3352</v>
      </c>
      <c r="AM360" s="311">
        <f t="shared" ca="1" si="117"/>
        <v>4392</v>
      </c>
      <c r="AN360" s="412">
        <f ca="1">IF(AND(Tabla7[[#This Row],[UltLec]]&lt;&gt;0,Tabla7[[#This Row],[PenLect]]&lt;&gt;0),(AM360-AL360)*Tabla7[[#This Row],[RT]],"N/A")</f>
        <v>1040</v>
      </c>
      <c r="AO360" s="273" t="s">
        <v>862</v>
      </c>
      <c r="AP360" s="392" t="s">
        <v>1190</v>
      </c>
      <c r="AQ360" s="392" t="s">
        <v>1189</v>
      </c>
      <c r="AR360" s="407">
        <f t="shared" si="118"/>
        <v>0</v>
      </c>
      <c r="AT360" s="2">
        <f t="shared" ca="1" si="119"/>
        <v>1.0379241516966067</v>
      </c>
      <c r="AV360">
        <f>IF(ISBLANK(Tabla7[[#This Row],[31/12/2017]]),0,Tabla7[[#This Row],[31/12/2017]])</f>
        <v>0</v>
      </c>
      <c r="AW360">
        <f>IF(ISBLANK(Tabla7[[#This Row],[15/01/2018]]),0,Tabla7[[#This Row],[15/01/2018]])</f>
        <v>5</v>
      </c>
      <c r="AX360">
        <f>IF(ISBLANK(Tabla7[[#This Row],[15/02/2018]]),0,Tabla7[[#This Row],[15/02/2018]])</f>
        <v>984</v>
      </c>
      <c r="AY360">
        <f>IF(ISBLANK(Tabla7[[#This Row],[15/03/2018]]),0,Tabla7[[#This Row],[15/03/2018]])</f>
        <v>2350</v>
      </c>
      <c r="AZ360">
        <f>IF(ISBLANK(Tabla7[[#This Row],[15/04/2018]]),0,Tabla7[[#This Row],[15/04/2018]])</f>
        <v>3352</v>
      </c>
      <c r="BA360">
        <f>IF(ISBLANK(Tabla7[[#This Row],[15/05/2018]]),0,Tabla7[[#This Row],[15/05/2018]])</f>
        <v>4392</v>
      </c>
      <c r="BB360">
        <f>IF(ISBLANK(Tabla7[[#This Row],[15/06/2018]]),0,Tabla7[[#This Row],[15/06/2018]])</f>
        <v>5530</v>
      </c>
      <c r="BC360">
        <f>IF(ISBLANK(Tabla7[[#This Row],[15/07/2018]]),0,Tabla7[[#This Row],[15/07/2018]])</f>
        <v>7236</v>
      </c>
      <c r="BD360">
        <f>IF(ISBLANK(Tabla7[[#This Row],[15/08/2018]]),0,Tabla7[[#This Row],[15/08/2018]])</f>
        <v>8948</v>
      </c>
      <c r="BE360">
        <f>IF(ISBLANK(Tabla7[[#This Row],[15/09/2018]]),0,Tabla7[[#This Row],[15/09/2018]])</f>
        <v>10359</v>
      </c>
      <c r="BF360">
        <f>IF(ISBLANK(Tabla7[[#This Row],[15/10/2018]]),0,Tabla7[[#This Row],[15/10/2018]])</f>
        <v>11444</v>
      </c>
      <c r="BG360">
        <f>IF(ISBLANK(Tabla7[[#This Row],[15/11/2018]]),0,Tabla7[[#This Row],[15/11/2018]])</f>
        <v>12629</v>
      </c>
      <c r="BH360">
        <f>IF(ISBLANK(Tabla7[[#This Row],[15/12/2018]]),0,Tabla7[[#This Row],[15/12/2018]])</f>
        <v>13867</v>
      </c>
      <c r="BI360">
        <f>IF(ISBLANK(Tabla7[[#This Row],[28/12/2018]]),0,Tabla7[[#This Row],[28/12/2018]])</f>
        <v>0</v>
      </c>
      <c r="BN36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('CXRUGBI17040534446','V','VCT23','39308','TRANSPORTES REMEDIOS TORRES','NUEVA CENTRALIZACION (1)','','ALTA 25-8-17, INSTALACION 25-12-17');</v>
      </c>
      <c r="BO360" t="s">
        <v>243</v>
      </c>
      <c r="BP360" s="632" t="str">
        <f>CONCATENATE("insert into lecturas values ","('",Tabla7[[#This Row],[CONTADOR]],"',STR_TO_DATE('",Tabla7[[#Headers],[31/12/2017]],"','%d/%m/%Y'),",AV360,"),","('",Tabla7[[#This Row],[CONTADOR]],"',STR_TO_DATE('",Tabla7[[#Headers],[15/01/2018]],"','%d/%m/%Y'),",AW360,"),","('",Tabla7[[#This Row],[CONTADOR]],"',STR_TO_DATE('",Tabla7[[#Headers],[15/02/2018]],"','%d/%m/%Y'),",AX360,"),","('",Tabla7[[#This Row],[CONTADOR]],"',STR_TO_DATE('",Tabla7[[#Headers],[15/03/2018]],"','%d/%m/%Y'),",AY360,"),","('",Tabla7[[#This Row],[CONTADOR]],"',STR_TO_DATE('",Tabla7[[#Headers],[15/04/2018]],"','%d/%m/%Y'),",AZ360,"),","('",Tabla7[[#This Row],[CONTADOR]],"',STR_TO_DATE('",Tabla7[[#Headers],[15/05/2018]],"','%d/%m/%Y'),",BA360,"),","('",Tabla7[[#This Row],[CONTADOR]],"',STR_TO_DATE('",Tabla7[[#Headers],[15/06/2018]],"','%d/%m/%Y'),",BB360,"),","('",Tabla7[[#This Row],[CONTADOR]],"',STR_TO_DATE('",Tabla7[[#Headers],[15/07/2018]],"','%d/%m/%Y'),",BC360,"),","('",Tabla7[[#This Row],[CONTADOR]],"',STR_TO_DATE('",Tabla7[[#Headers],[15/08/2018]],"','%d/%m/%Y'),",BD360,"),","('",Tabla7[[#This Row],[CONTADOR]],"',STR_TO_DATE('",Tabla7[[#Headers],[15/09/2018]],"','%d/%m/%Y'),",BE360,"),","('",Tabla7[[#This Row],[CONTADOR]],"',STR_TO_DATE('",Tabla7[[#Headers],[15/10/2018]],"','%d/%m/%Y'),",BF360,"),","('",Tabla7[[#This Row],[CONTADOR]],"',STR_TO_DATE('",Tabla7[[#Headers],[15/11/2018]],"','%d/%m/%Y'),",BG360,"),","('",Tabla7[[#This Row],[CONTADOR]],"',STR_TO_DATE('",Tabla7[[#Headers],[15/12/2018]],"','%d/%m/%Y'),",BH360,");")</f>
        <v>insert into lecturas values ('CXRUGBI17040534446',STR_TO_DATE('31/12/2017','%d/%m/%Y'),0),('CXRUGBI17040534446',STR_TO_DATE('15/01/2018','%d/%m/%Y'),5),('CXRUGBI17040534446',STR_TO_DATE('15/02/2018','%d/%m/%Y'),984),('CXRUGBI17040534446',STR_TO_DATE('15/03/2018','%d/%m/%Y'),2350),('CXRUGBI17040534446',STR_TO_DATE('15/04/2018','%d/%m/%Y'),3352),('CXRUGBI17040534446',STR_TO_DATE('15/05/2018','%d/%m/%Y'),4392),('CXRUGBI17040534446',STR_TO_DATE('15/06/2018','%d/%m/%Y'),5530),('CXRUGBI17040534446',STR_TO_DATE('15/07/2018','%d/%m/%Y'),7236),('CXRUGBI17040534446',STR_TO_DATE('15/08/2018','%d/%m/%Y'),8948),('CXRUGBI17040534446',STR_TO_DATE('15/09/2018','%d/%m/%Y'),10359),('CXRUGBI17040534446',STR_TO_DATE('15/10/2018','%d/%m/%Y'),11444),('CXRUGBI17040534446',STR_TO_DATE('15/11/2018','%d/%m/%Y'),12629),('CXRUGBI17040534446',STR_TO_DATE('15/12/2018','%d/%m/%Y'),13867);</v>
      </c>
    </row>
    <row r="361" spans="1:68" ht="18.75" customHeight="1" x14ac:dyDescent="0.25">
      <c r="A361" s="241" t="s">
        <v>19</v>
      </c>
      <c r="B361" s="60"/>
      <c r="C361" s="342" t="s">
        <v>1094</v>
      </c>
      <c r="D361" s="60" t="s">
        <v>200</v>
      </c>
      <c r="E361" s="258">
        <v>39587</v>
      </c>
      <c r="F361" s="2" t="s">
        <v>1093</v>
      </c>
      <c r="G361" s="2" t="s">
        <v>1346</v>
      </c>
      <c r="H361" s="2"/>
      <c r="I361" s="2" t="s">
        <v>1095</v>
      </c>
      <c r="J361" s="311">
        <v>0</v>
      </c>
      <c r="K361" s="311">
        <v>97</v>
      </c>
      <c r="L361" s="2">
        <v>197</v>
      </c>
      <c r="M361" s="311">
        <v>506</v>
      </c>
      <c r="N361" s="311">
        <v>1411</v>
      </c>
      <c r="O361" s="311">
        <v>3707</v>
      </c>
      <c r="P361" s="311">
        <v>6391</v>
      </c>
      <c r="Q361" s="307">
        <v>9413</v>
      </c>
      <c r="R361" s="275">
        <v>12193</v>
      </c>
      <c r="S361" s="311">
        <v>14767</v>
      </c>
      <c r="T361" s="311">
        <v>17003</v>
      </c>
      <c r="U361" s="531">
        <v>19496</v>
      </c>
      <c r="V361" s="353">
        <v>22476</v>
      </c>
      <c r="W361" s="2"/>
      <c r="X361" s="2"/>
      <c r="Y361" s="2">
        <f t="shared" si="120"/>
        <v>97</v>
      </c>
      <c r="Z361" s="2">
        <f t="shared" si="121"/>
        <v>100</v>
      </c>
      <c r="AA361" s="2">
        <f t="shared" si="132"/>
        <v>309</v>
      </c>
      <c r="AB361" s="2">
        <f t="shared" si="132"/>
        <v>905</v>
      </c>
      <c r="AC361" s="2">
        <f t="shared" si="122"/>
        <v>2296</v>
      </c>
      <c r="AD361" s="2">
        <f t="shared" si="123"/>
        <v>2684</v>
      </c>
      <c r="AE361" s="2">
        <f t="shared" si="124"/>
        <v>3022</v>
      </c>
      <c r="AF361" s="2">
        <f t="shared" si="125"/>
        <v>2780</v>
      </c>
      <c r="AG361" s="2">
        <f t="shared" si="126"/>
        <v>2574</v>
      </c>
      <c r="AH361" s="2">
        <f t="shared" si="127"/>
        <v>2236</v>
      </c>
      <c r="AI361" s="2">
        <f t="shared" si="128"/>
        <v>2493</v>
      </c>
      <c r="AJ361" s="2">
        <f t="shared" si="129"/>
        <v>2980</v>
      </c>
      <c r="AK361" s="406">
        <v>1</v>
      </c>
      <c r="AL361" s="412">
        <f t="shared" ca="1" si="116"/>
        <v>1411</v>
      </c>
      <c r="AM361" s="311">
        <f t="shared" ca="1" si="117"/>
        <v>3707</v>
      </c>
      <c r="AN361" s="412">
        <f ca="1">IF(AND(Tabla7[[#This Row],[UltLec]]&lt;&gt;0,Tabla7[[#This Row],[PenLect]]&lt;&gt;0),(AM361-AL361)*Tabla7[[#This Row],[RT]],"N/A")</f>
        <v>2296</v>
      </c>
      <c r="AO361" s="273" t="s">
        <v>862</v>
      </c>
      <c r="AP361" s="392" t="s">
        <v>1190</v>
      </c>
      <c r="AQ361" s="392" t="s">
        <v>1189</v>
      </c>
      <c r="AR361" s="407">
        <f t="shared" si="118"/>
        <v>0</v>
      </c>
      <c r="AT361" s="2">
        <f t="shared" ca="1" si="119"/>
        <v>2.5370165745856355</v>
      </c>
      <c r="AV361">
        <f>IF(ISBLANK(Tabla7[[#This Row],[31/12/2017]]),0,Tabla7[[#This Row],[31/12/2017]])</f>
        <v>0</v>
      </c>
      <c r="AW361">
        <f>IF(ISBLANK(Tabla7[[#This Row],[15/01/2018]]),0,Tabla7[[#This Row],[15/01/2018]])</f>
        <v>97</v>
      </c>
      <c r="AX361">
        <f>IF(ISBLANK(Tabla7[[#This Row],[15/02/2018]]),0,Tabla7[[#This Row],[15/02/2018]])</f>
        <v>197</v>
      </c>
      <c r="AY361">
        <f>IF(ISBLANK(Tabla7[[#This Row],[15/03/2018]]),0,Tabla7[[#This Row],[15/03/2018]])</f>
        <v>506</v>
      </c>
      <c r="AZ361">
        <f>IF(ISBLANK(Tabla7[[#This Row],[15/04/2018]]),0,Tabla7[[#This Row],[15/04/2018]])</f>
        <v>1411</v>
      </c>
      <c r="BA361">
        <f>IF(ISBLANK(Tabla7[[#This Row],[15/05/2018]]),0,Tabla7[[#This Row],[15/05/2018]])</f>
        <v>3707</v>
      </c>
      <c r="BB361">
        <f>IF(ISBLANK(Tabla7[[#This Row],[15/06/2018]]),0,Tabla7[[#This Row],[15/06/2018]])</f>
        <v>6391</v>
      </c>
      <c r="BC361">
        <f>IF(ISBLANK(Tabla7[[#This Row],[15/07/2018]]),0,Tabla7[[#This Row],[15/07/2018]])</f>
        <v>9413</v>
      </c>
      <c r="BD361">
        <f>IF(ISBLANK(Tabla7[[#This Row],[15/08/2018]]),0,Tabla7[[#This Row],[15/08/2018]])</f>
        <v>12193</v>
      </c>
      <c r="BE361">
        <f>IF(ISBLANK(Tabla7[[#This Row],[15/09/2018]]),0,Tabla7[[#This Row],[15/09/2018]])</f>
        <v>14767</v>
      </c>
      <c r="BF361">
        <f>IF(ISBLANK(Tabla7[[#This Row],[15/10/2018]]),0,Tabla7[[#This Row],[15/10/2018]])</f>
        <v>17003</v>
      </c>
      <c r="BG361">
        <f>IF(ISBLANK(Tabla7[[#This Row],[15/11/2018]]),0,Tabla7[[#This Row],[15/11/2018]])</f>
        <v>19496</v>
      </c>
      <c r="BH361">
        <f>IF(ISBLANK(Tabla7[[#This Row],[15/12/2018]]),0,Tabla7[[#This Row],[15/12/2018]])</f>
        <v>22476</v>
      </c>
      <c r="BI361">
        <f>IF(ISBLANK(Tabla7[[#This Row],[28/12/2018]]),0,Tabla7[[#This Row],[28/12/2018]])</f>
        <v>0</v>
      </c>
      <c r="BN36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('CXRUGBI17040534448','V','VCT23','39587','BAR CABALLITO DE MAR','NUEVA CENTRALIZACION (4)','','ALTA 25-8-17, INSTALACION 25-12-17');</v>
      </c>
      <c r="BO361" t="s">
        <v>243</v>
      </c>
      <c r="BP361" s="632" t="str">
        <f>CONCATENATE("insert into lecturas values ","('",Tabla7[[#This Row],[CONTADOR]],"',STR_TO_DATE('",Tabla7[[#Headers],[31/12/2017]],"','%d/%m/%Y'),",AV361,"),","('",Tabla7[[#This Row],[CONTADOR]],"',STR_TO_DATE('",Tabla7[[#Headers],[15/01/2018]],"','%d/%m/%Y'),",AW361,"),","('",Tabla7[[#This Row],[CONTADOR]],"',STR_TO_DATE('",Tabla7[[#Headers],[15/02/2018]],"','%d/%m/%Y'),",AX361,"),","('",Tabla7[[#This Row],[CONTADOR]],"',STR_TO_DATE('",Tabla7[[#Headers],[15/03/2018]],"','%d/%m/%Y'),",AY361,"),","('",Tabla7[[#This Row],[CONTADOR]],"',STR_TO_DATE('",Tabla7[[#Headers],[15/04/2018]],"','%d/%m/%Y'),",AZ361,"),","('",Tabla7[[#This Row],[CONTADOR]],"',STR_TO_DATE('",Tabla7[[#Headers],[15/05/2018]],"','%d/%m/%Y'),",BA361,"),","('",Tabla7[[#This Row],[CONTADOR]],"',STR_TO_DATE('",Tabla7[[#Headers],[15/06/2018]],"','%d/%m/%Y'),",BB361,"),","('",Tabla7[[#This Row],[CONTADOR]],"',STR_TO_DATE('",Tabla7[[#Headers],[15/07/2018]],"','%d/%m/%Y'),",BC361,"),","('",Tabla7[[#This Row],[CONTADOR]],"',STR_TO_DATE('",Tabla7[[#Headers],[15/08/2018]],"','%d/%m/%Y'),",BD361,"),","('",Tabla7[[#This Row],[CONTADOR]],"',STR_TO_DATE('",Tabla7[[#Headers],[15/09/2018]],"','%d/%m/%Y'),",BE361,"),","('",Tabla7[[#This Row],[CONTADOR]],"',STR_TO_DATE('",Tabla7[[#Headers],[15/10/2018]],"','%d/%m/%Y'),",BF361,"),","('",Tabla7[[#This Row],[CONTADOR]],"',STR_TO_DATE('",Tabla7[[#Headers],[15/11/2018]],"','%d/%m/%Y'),",BG361,"),","('",Tabla7[[#This Row],[CONTADOR]],"',STR_TO_DATE('",Tabla7[[#Headers],[15/12/2018]],"','%d/%m/%Y'),",BH361,");")</f>
        <v>insert into lecturas values ('CXRUGBI17040534448',STR_TO_DATE('31/12/2017','%d/%m/%Y'),0),('CXRUGBI17040534448',STR_TO_DATE('15/01/2018','%d/%m/%Y'),97),('CXRUGBI17040534448',STR_TO_DATE('15/02/2018','%d/%m/%Y'),197),('CXRUGBI17040534448',STR_TO_DATE('15/03/2018','%d/%m/%Y'),506),('CXRUGBI17040534448',STR_TO_DATE('15/04/2018','%d/%m/%Y'),1411),('CXRUGBI17040534448',STR_TO_DATE('15/05/2018','%d/%m/%Y'),3707),('CXRUGBI17040534448',STR_TO_DATE('15/06/2018','%d/%m/%Y'),6391),('CXRUGBI17040534448',STR_TO_DATE('15/07/2018','%d/%m/%Y'),9413),('CXRUGBI17040534448',STR_TO_DATE('15/08/2018','%d/%m/%Y'),12193),('CXRUGBI17040534448',STR_TO_DATE('15/09/2018','%d/%m/%Y'),14767),('CXRUGBI17040534448',STR_TO_DATE('15/10/2018','%d/%m/%Y'),17003),('CXRUGBI17040534448',STR_TO_DATE('15/11/2018','%d/%m/%Y'),19496),('CXRUGBI17040534448',STR_TO_DATE('15/12/2018','%d/%m/%Y'),22476);</v>
      </c>
    </row>
    <row r="362" spans="1:68" ht="18.75" customHeight="1" x14ac:dyDescent="0.25">
      <c r="A362" s="241" t="s">
        <v>19</v>
      </c>
      <c r="B362" s="60"/>
      <c r="C362" s="342" t="s">
        <v>1259</v>
      </c>
      <c r="D362" s="60" t="s">
        <v>200</v>
      </c>
      <c r="E362" s="258">
        <v>39313</v>
      </c>
      <c r="F362" s="2" t="s">
        <v>1260</v>
      </c>
      <c r="G362" s="2" t="s">
        <v>1347</v>
      </c>
      <c r="H362" s="2"/>
      <c r="I362" s="2" t="s">
        <v>1261</v>
      </c>
      <c r="J362" s="311"/>
      <c r="K362" s="311"/>
      <c r="L362" s="2"/>
      <c r="M362" s="311">
        <v>5</v>
      </c>
      <c r="N362" s="311">
        <v>213</v>
      </c>
      <c r="O362" s="311">
        <v>976</v>
      </c>
      <c r="P362" s="311">
        <v>2045</v>
      </c>
      <c r="Q362" s="275">
        <v>4154</v>
      </c>
      <c r="R362" s="275">
        <v>6366</v>
      </c>
      <c r="S362" s="311">
        <v>8603</v>
      </c>
      <c r="T362" s="311">
        <v>10585</v>
      </c>
      <c r="U362" s="531">
        <v>12167</v>
      </c>
      <c r="V362" s="353">
        <v>13836</v>
      </c>
      <c r="W362" s="274"/>
      <c r="X362" s="2"/>
      <c r="Y362" s="2" t="str">
        <f t="shared" si="120"/>
        <v/>
      </c>
      <c r="Z362" s="2" t="str">
        <f t="shared" si="121"/>
        <v/>
      </c>
      <c r="AA362" s="2" t="str">
        <f>IF(OR(ISBLANK(#REF!),ISBLANK(L362)),"",IF(AND(#REF!&gt;=L362,#REF!-L362&lt;=#REF!),(#REF!-L362)*$AK362,"!!!!"))</f>
        <v/>
      </c>
      <c r="AB362" s="2">
        <f t="shared" ref="AB362:AB393" si="133">IF(OR(ISBLANK(N362),ISBLANK(M362)),"",IF(AND(N362&gt;=M362,N362-M362&lt;=N362),(N362-M362)*$AK362,"!!!!"))</f>
        <v>208</v>
      </c>
      <c r="AC362" s="2">
        <f t="shared" si="122"/>
        <v>763</v>
      </c>
      <c r="AD362" s="2">
        <f t="shared" si="123"/>
        <v>1069</v>
      </c>
      <c r="AE362" s="2">
        <f t="shared" si="124"/>
        <v>2109</v>
      </c>
      <c r="AF362" s="2">
        <f t="shared" si="125"/>
        <v>2212</v>
      </c>
      <c r="AG362" s="2">
        <f t="shared" si="126"/>
        <v>2237</v>
      </c>
      <c r="AH362" s="271">
        <f t="shared" si="127"/>
        <v>1982</v>
      </c>
      <c r="AI362" s="2">
        <f t="shared" si="128"/>
        <v>1582</v>
      </c>
      <c r="AJ362" s="2">
        <f t="shared" si="129"/>
        <v>1669</v>
      </c>
      <c r="AK362" s="406">
        <v>1</v>
      </c>
      <c r="AL362" s="412">
        <f t="shared" ca="1" si="116"/>
        <v>213</v>
      </c>
      <c r="AM362" s="311">
        <f t="shared" ca="1" si="117"/>
        <v>976</v>
      </c>
      <c r="AN362" s="412">
        <f ca="1">IF(AND(Tabla7[[#This Row],[UltLec]]&lt;&gt;0,Tabla7[[#This Row],[PenLect]]&lt;&gt;0),(AM362-AL362)*Tabla7[[#This Row],[RT]],"N/A")</f>
        <v>763</v>
      </c>
      <c r="AO362" s="273" t="s">
        <v>862</v>
      </c>
      <c r="AP362" s="441" t="s">
        <v>1190</v>
      </c>
      <c r="AQ362" s="441" t="s">
        <v>1189</v>
      </c>
      <c r="AR362" s="407">
        <f t="shared" si="118"/>
        <v>0</v>
      </c>
      <c r="AT362" s="2">
        <f t="shared" ca="1" si="119"/>
        <v>3.6682692307692308</v>
      </c>
      <c r="AV362">
        <f>IF(ISBLANK(Tabla7[[#This Row],[31/12/2017]]),0,Tabla7[[#This Row],[31/12/2017]])</f>
        <v>0</v>
      </c>
      <c r="AW362">
        <f>IF(ISBLANK(Tabla7[[#This Row],[15/01/2018]]),0,Tabla7[[#This Row],[15/01/2018]])</f>
        <v>0</v>
      </c>
      <c r="AX362">
        <f>IF(ISBLANK(Tabla7[[#This Row],[15/02/2018]]),0,Tabla7[[#This Row],[15/02/2018]])</f>
        <v>0</v>
      </c>
      <c r="AY362">
        <f>IF(ISBLANK(Tabla7[[#This Row],[15/03/2018]]),0,Tabla7[[#This Row],[15/03/2018]])</f>
        <v>5</v>
      </c>
      <c r="AZ362">
        <f>IF(ISBLANK(Tabla7[[#This Row],[15/04/2018]]),0,Tabla7[[#This Row],[15/04/2018]])</f>
        <v>213</v>
      </c>
      <c r="BA362">
        <f>IF(ISBLANK(Tabla7[[#This Row],[15/05/2018]]),0,Tabla7[[#This Row],[15/05/2018]])</f>
        <v>976</v>
      </c>
      <c r="BB362">
        <f>IF(ISBLANK(Tabla7[[#This Row],[15/06/2018]]),0,Tabla7[[#This Row],[15/06/2018]])</f>
        <v>2045</v>
      </c>
      <c r="BC362">
        <f>IF(ISBLANK(Tabla7[[#This Row],[15/07/2018]]),0,Tabla7[[#This Row],[15/07/2018]])</f>
        <v>4154</v>
      </c>
      <c r="BD362">
        <f>IF(ISBLANK(Tabla7[[#This Row],[15/08/2018]]),0,Tabla7[[#This Row],[15/08/2018]])</f>
        <v>6366</v>
      </c>
      <c r="BE362">
        <f>IF(ISBLANK(Tabla7[[#This Row],[15/09/2018]]),0,Tabla7[[#This Row],[15/09/2018]])</f>
        <v>8603</v>
      </c>
      <c r="BF362">
        <f>IF(ISBLANK(Tabla7[[#This Row],[15/10/2018]]),0,Tabla7[[#This Row],[15/10/2018]])</f>
        <v>10585</v>
      </c>
      <c r="BG362">
        <f>IF(ISBLANK(Tabla7[[#This Row],[15/11/2018]]),0,Tabla7[[#This Row],[15/11/2018]])</f>
        <v>12167</v>
      </c>
      <c r="BH362">
        <f>IF(ISBLANK(Tabla7[[#This Row],[15/12/2018]]),0,Tabla7[[#This Row],[15/12/2018]])</f>
        <v>13836</v>
      </c>
      <c r="BI362">
        <f>IF(ISBLANK(Tabla7[[#This Row],[28/12/2018]]),0,Tabla7[[#This Row],[28/12/2018]])</f>
        <v>0</v>
      </c>
      <c r="BN36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('CXRUGBI17040534454','V','VCT23','39313','TRANSCONT ','NUEVA CENTRALIZACION (3)','','Alta 4/4/18');</v>
      </c>
      <c r="BO362" t="s">
        <v>243</v>
      </c>
      <c r="BP362" s="632" t="str">
        <f>CONCATENATE("insert into lecturas values ","('",Tabla7[[#This Row],[CONTADOR]],"',STR_TO_DATE('",Tabla7[[#Headers],[31/12/2017]],"','%d/%m/%Y'),",AV362,"),","('",Tabla7[[#This Row],[CONTADOR]],"',STR_TO_DATE('",Tabla7[[#Headers],[15/01/2018]],"','%d/%m/%Y'),",AW362,"),","('",Tabla7[[#This Row],[CONTADOR]],"',STR_TO_DATE('",Tabla7[[#Headers],[15/02/2018]],"','%d/%m/%Y'),",AX362,"),","('",Tabla7[[#This Row],[CONTADOR]],"',STR_TO_DATE('",Tabla7[[#Headers],[15/03/2018]],"','%d/%m/%Y'),",AY362,"),","('",Tabla7[[#This Row],[CONTADOR]],"',STR_TO_DATE('",Tabla7[[#Headers],[15/04/2018]],"','%d/%m/%Y'),",AZ362,"),","('",Tabla7[[#This Row],[CONTADOR]],"',STR_TO_DATE('",Tabla7[[#Headers],[15/05/2018]],"','%d/%m/%Y'),",BA362,"),","('",Tabla7[[#This Row],[CONTADOR]],"',STR_TO_DATE('",Tabla7[[#Headers],[15/06/2018]],"','%d/%m/%Y'),",BB362,"),","('",Tabla7[[#This Row],[CONTADOR]],"',STR_TO_DATE('",Tabla7[[#Headers],[15/07/2018]],"','%d/%m/%Y'),",BC362,"),","('",Tabla7[[#This Row],[CONTADOR]],"',STR_TO_DATE('",Tabla7[[#Headers],[15/08/2018]],"','%d/%m/%Y'),",BD362,"),","('",Tabla7[[#This Row],[CONTADOR]],"',STR_TO_DATE('",Tabla7[[#Headers],[15/09/2018]],"','%d/%m/%Y'),",BE362,"),","('",Tabla7[[#This Row],[CONTADOR]],"',STR_TO_DATE('",Tabla7[[#Headers],[15/10/2018]],"','%d/%m/%Y'),",BF362,"),","('",Tabla7[[#This Row],[CONTADOR]],"',STR_TO_DATE('",Tabla7[[#Headers],[15/11/2018]],"','%d/%m/%Y'),",BG362,"),","('",Tabla7[[#This Row],[CONTADOR]],"',STR_TO_DATE('",Tabla7[[#Headers],[15/12/2018]],"','%d/%m/%Y'),",BH362,");")</f>
        <v>insert into lecturas values ('CXRUGBI17040534454',STR_TO_DATE('31/12/2017','%d/%m/%Y'),0),('CXRUGBI17040534454',STR_TO_DATE('15/01/2018','%d/%m/%Y'),0),('CXRUGBI17040534454',STR_TO_DATE('15/02/2018','%d/%m/%Y'),0),('CXRUGBI17040534454',STR_TO_DATE('15/03/2018','%d/%m/%Y'),5),('CXRUGBI17040534454',STR_TO_DATE('15/04/2018','%d/%m/%Y'),213),('CXRUGBI17040534454',STR_TO_DATE('15/05/2018','%d/%m/%Y'),976),('CXRUGBI17040534454',STR_TO_DATE('15/06/2018','%d/%m/%Y'),2045),('CXRUGBI17040534454',STR_TO_DATE('15/07/2018','%d/%m/%Y'),4154),('CXRUGBI17040534454',STR_TO_DATE('15/08/2018','%d/%m/%Y'),6366),('CXRUGBI17040534454',STR_TO_DATE('15/09/2018','%d/%m/%Y'),8603),('CXRUGBI17040534454',STR_TO_DATE('15/10/2018','%d/%m/%Y'),10585),('CXRUGBI17040534454',STR_TO_DATE('15/11/2018','%d/%m/%Y'),12167),('CXRUGBI17040534454',STR_TO_DATE('15/12/2018','%d/%m/%Y'),13836);</v>
      </c>
    </row>
    <row r="363" spans="1:68" ht="18.75" customHeight="1" x14ac:dyDescent="0.25">
      <c r="A363" s="241" t="s">
        <v>19</v>
      </c>
      <c r="B363" s="60"/>
      <c r="C363" s="342" t="s">
        <v>1118</v>
      </c>
      <c r="D363" s="60" t="s">
        <v>200</v>
      </c>
      <c r="E363" s="258">
        <v>39578</v>
      </c>
      <c r="F363" s="2" t="s">
        <v>1117</v>
      </c>
      <c r="G363" s="2" t="s">
        <v>1348</v>
      </c>
      <c r="H363" s="2"/>
      <c r="I363" s="2" t="s">
        <v>1119</v>
      </c>
      <c r="J363" s="311"/>
      <c r="K363" s="311">
        <v>5</v>
      </c>
      <c r="L363" s="2">
        <v>10</v>
      </c>
      <c r="M363" s="311">
        <v>41</v>
      </c>
      <c r="N363" s="311">
        <v>53</v>
      </c>
      <c r="O363" s="311">
        <v>60</v>
      </c>
      <c r="P363" s="311">
        <v>915</v>
      </c>
      <c r="Q363" s="275">
        <v>2390</v>
      </c>
      <c r="R363" s="275">
        <v>4048</v>
      </c>
      <c r="S363" s="311">
        <v>5507</v>
      </c>
      <c r="T363" s="311">
        <v>6544</v>
      </c>
      <c r="U363" s="531">
        <v>7702</v>
      </c>
      <c r="V363" s="353">
        <v>8966</v>
      </c>
      <c r="W363" s="2"/>
      <c r="X363" s="2"/>
      <c r="Y363" s="2" t="str">
        <f t="shared" si="120"/>
        <v/>
      </c>
      <c r="Z363" s="2">
        <f t="shared" si="121"/>
        <v>5</v>
      </c>
      <c r="AA363" s="2">
        <f t="shared" ref="AA363:AA394" si="134">IF(OR(ISBLANK(M363),ISBLANK(L363)),"",IF(AND(M363&gt;=L363,M363-L363&lt;=M363),(M363-L363)*$AK363,"!!!!"))</f>
        <v>31</v>
      </c>
      <c r="AB363" s="2">
        <f t="shared" si="133"/>
        <v>12</v>
      </c>
      <c r="AC363" s="2">
        <f t="shared" si="122"/>
        <v>7</v>
      </c>
      <c r="AD363" s="2">
        <f t="shared" si="123"/>
        <v>855</v>
      </c>
      <c r="AE363" s="2">
        <f t="shared" si="124"/>
        <v>1475</v>
      </c>
      <c r="AF363" s="2">
        <f t="shared" si="125"/>
        <v>1658</v>
      </c>
      <c r="AG363" s="2">
        <f t="shared" si="126"/>
        <v>1459</v>
      </c>
      <c r="AH363" s="271">
        <f t="shared" si="127"/>
        <v>1037</v>
      </c>
      <c r="AI363" s="2">
        <f t="shared" si="128"/>
        <v>1158</v>
      </c>
      <c r="AJ363" s="2">
        <f t="shared" si="129"/>
        <v>1264</v>
      </c>
      <c r="AK363" s="406">
        <v>1</v>
      </c>
      <c r="AL363" s="412">
        <f t="shared" ca="1" si="116"/>
        <v>53</v>
      </c>
      <c r="AM363" s="311">
        <f t="shared" ca="1" si="117"/>
        <v>60</v>
      </c>
      <c r="AN363" s="412">
        <f ca="1">IF(AND(Tabla7[[#This Row],[UltLec]]&lt;&gt;0,Tabla7[[#This Row],[PenLect]]&lt;&gt;0),(AM363-AL363)*Tabla7[[#This Row],[RT]],"N/A")</f>
        <v>7</v>
      </c>
      <c r="AO363" s="273" t="s">
        <v>862</v>
      </c>
      <c r="AP363" s="392" t="s">
        <v>1190</v>
      </c>
      <c r="AQ363" s="392" t="s">
        <v>1189</v>
      </c>
      <c r="AR363" s="407">
        <f t="shared" si="118"/>
        <v>0</v>
      </c>
      <c r="AT363" s="2">
        <f t="shared" ca="1" si="119"/>
        <v>0.58333333333333337</v>
      </c>
      <c r="AV363">
        <f>IF(ISBLANK(Tabla7[[#This Row],[31/12/2017]]),0,Tabla7[[#This Row],[31/12/2017]])</f>
        <v>0</v>
      </c>
      <c r="AW363">
        <f>IF(ISBLANK(Tabla7[[#This Row],[15/01/2018]]),0,Tabla7[[#This Row],[15/01/2018]])</f>
        <v>5</v>
      </c>
      <c r="AX363">
        <f>IF(ISBLANK(Tabla7[[#This Row],[15/02/2018]]),0,Tabla7[[#This Row],[15/02/2018]])</f>
        <v>10</v>
      </c>
      <c r="AY363">
        <f>IF(ISBLANK(Tabla7[[#This Row],[15/03/2018]]),0,Tabla7[[#This Row],[15/03/2018]])</f>
        <v>41</v>
      </c>
      <c r="AZ363">
        <f>IF(ISBLANK(Tabla7[[#This Row],[15/04/2018]]),0,Tabla7[[#This Row],[15/04/2018]])</f>
        <v>53</v>
      </c>
      <c r="BA363">
        <f>IF(ISBLANK(Tabla7[[#This Row],[15/05/2018]]),0,Tabla7[[#This Row],[15/05/2018]])</f>
        <v>60</v>
      </c>
      <c r="BB363">
        <f>IF(ISBLANK(Tabla7[[#This Row],[15/06/2018]]),0,Tabla7[[#This Row],[15/06/2018]])</f>
        <v>915</v>
      </c>
      <c r="BC363">
        <f>IF(ISBLANK(Tabla7[[#This Row],[15/07/2018]]),0,Tabla7[[#This Row],[15/07/2018]])</f>
        <v>2390</v>
      </c>
      <c r="BD363">
        <f>IF(ISBLANK(Tabla7[[#This Row],[15/08/2018]]),0,Tabla7[[#This Row],[15/08/2018]])</f>
        <v>4048</v>
      </c>
      <c r="BE363">
        <f>IF(ISBLANK(Tabla7[[#This Row],[15/09/2018]]),0,Tabla7[[#This Row],[15/09/2018]])</f>
        <v>5507</v>
      </c>
      <c r="BF363">
        <f>IF(ISBLANK(Tabla7[[#This Row],[15/10/2018]]),0,Tabla7[[#This Row],[15/10/2018]])</f>
        <v>6544</v>
      </c>
      <c r="BG363">
        <f>IF(ISBLANK(Tabla7[[#This Row],[15/11/2018]]),0,Tabla7[[#This Row],[15/11/2018]])</f>
        <v>7702</v>
      </c>
      <c r="BH363">
        <f>IF(ISBLANK(Tabla7[[#This Row],[15/12/2018]]),0,Tabla7[[#This Row],[15/12/2018]])</f>
        <v>8966</v>
      </c>
      <c r="BI363">
        <f>IF(ISBLANK(Tabla7[[#This Row],[28/12/2018]]),0,Tabla7[[#This Row],[28/12/2018]])</f>
        <v>0</v>
      </c>
      <c r="BN36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('CXRUGBI17040534455','V','VCT23','39578','CHEMA BALLESTER','NUEVA CENTRALIZACION (2)','','ALTA 8-2-2018');</v>
      </c>
      <c r="BO363" t="s">
        <v>243</v>
      </c>
      <c r="BP363" s="632" t="str">
        <f>CONCATENATE("insert into lecturas values ","('",Tabla7[[#This Row],[CONTADOR]],"',STR_TO_DATE('",Tabla7[[#Headers],[31/12/2017]],"','%d/%m/%Y'),",AV363,"),","('",Tabla7[[#This Row],[CONTADOR]],"',STR_TO_DATE('",Tabla7[[#Headers],[15/01/2018]],"','%d/%m/%Y'),",AW363,"),","('",Tabla7[[#This Row],[CONTADOR]],"',STR_TO_DATE('",Tabla7[[#Headers],[15/02/2018]],"','%d/%m/%Y'),",AX363,"),","('",Tabla7[[#This Row],[CONTADOR]],"',STR_TO_DATE('",Tabla7[[#Headers],[15/03/2018]],"','%d/%m/%Y'),",AY363,"),","('",Tabla7[[#This Row],[CONTADOR]],"',STR_TO_DATE('",Tabla7[[#Headers],[15/04/2018]],"','%d/%m/%Y'),",AZ363,"),","('",Tabla7[[#This Row],[CONTADOR]],"',STR_TO_DATE('",Tabla7[[#Headers],[15/05/2018]],"','%d/%m/%Y'),",BA363,"),","('",Tabla7[[#This Row],[CONTADOR]],"',STR_TO_DATE('",Tabla7[[#Headers],[15/06/2018]],"','%d/%m/%Y'),",BB363,"),","('",Tabla7[[#This Row],[CONTADOR]],"',STR_TO_DATE('",Tabla7[[#Headers],[15/07/2018]],"','%d/%m/%Y'),",BC363,"),","('",Tabla7[[#This Row],[CONTADOR]],"',STR_TO_DATE('",Tabla7[[#Headers],[15/08/2018]],"','%d/%m/%Y'),",BD363,"),","('",Tabla7[[#This Row],[CONTADOR]],"',STR_TO_DATE('",Tabla7[[#Headers],[15/09/2018]],"','%d/%m/%Y'),",BE363,"),","('",Tabla7[[#This Row],[CONTADOR]],"',STR_TO_DATE('",Tabla7[[#Headers],[15/10/2018]],"','%d/%m/%Y'),",BF363,"),","('",Tabla7[[#This Row],[CONTADOR]],"',STR_TO_DATE('",Tabla7[[#Headers],[15/11/2018]],"','%d/%m/%Y'),",BG363,"),","('",Tabla7[[#This Row],[CONTADOR]],"',STR_TO_DATE('",Tabla7[[#Headers],[15/12/2018]],"','%d/%m/%Y'),",BH363,");")</f>
        <v>insert into lecturas values ('CXRUGBI17040534455',STR_TO_DATE('31/12/2017','%d/%m/%Y'),0),('CXRUGBI17040534455',STR_TO_DATE('15/01/2018','%d/%m/%Y'),5),('CXRUGBI17040534455',STR_TO_DATE('15/02/2018','%d/%m/%Y'),10),('CXRUGBI17040534455',STR_TO_DATE('15/03/2018','%d/%m/%Y'),41),('CXRUGBI17040534455',STR_TO_DATE('15/04/2018','%d/%m/%Y'),53),('CXRUGBI17040534455',STR_TO_DATE('15/05/2018','%d/%m/%Y'),60),('CXRUGBI17040534455',STR_TO_DATE('15/06/2018','%d/%m/%Y'),915),('CXRUGBI17040534455',STR_TO_DATE('15/07/2018','%d/%m/%Y'),2390),('CXRUGBI17040534455',STR_TO_DATE('15/08/2018','%d/%m/%Y'),4048),('CXRUGBI17040534455',STR_TO_DATE('15/09/2018','%d/%m/%Y'),5507),('CXRUGBI17040534455',STR_TO_DATE('15/10/2018','%d/%m/%Y'),6544),('CXRUGBI17040534455',STR_TO_DATE('15/11/2018','%d/%m/%Y'),7702),('CXRUGBI17040534455',STR_TO_DATE('15/12/2018','%d/%m/%Y'),8966);</v>
      </c>
    </row>
    <row r="364" spans="1:68" ht="18.75" customHeight="1" x14ac:dyDescent="0.25">
      <c r="A364" s="241" t="s">
        <v>19</v>
      </c>
      <c r="B364" s="60">
        <v>1449</v>
      </c>
      <c r="C364" s="342" t="s">
        <v>748</v>
      </c>
      <c r="D364" s="60" t="s">
        <v>200</v>
      </c>
      <c r="E364" s="258">
        <v>39931</v>
      </c>
      <c r="F364" s="2" t="s">
        <v>208</v>
      </c>
      <c r="G364" s="2" t="s">
        <v>983</v>
      </c>
      <c r="H364" s="274" t="s">
        <v>861</v>
      </c>
      <c r="I364" s="2" t="s">
        <v>911</v>
      </c>
      <c r="J364" s="311">
        <v>3994</v>
      </c>
      <c r="K364" s="311">
        <v>4166</v>
      </c>
      <c r="L364" s="2">
        <v>4547</v>
      </c>
      <c r="M364" s="311">
        <v>5000</v>
      </c>
      <c r="N364" s="311">
        <v>5420</v>
      </c>
      <c r="O364" s="311">
        <v>5861</v>
      </c>
      <c r="P364" s="311">
        <v>6283</v>
      </c>
      <c r="Q364" s="2">
        <v>6825</v>
      </c>
      <c r="R364" s="274">
        <v>7469</v>
      </c>
      <c r="S364" s="311">
        <v>8065</v>
      </c>
      <c r="T364" s="311">
        <v>8601</v>
      </c>
      <c r="U364" s="311">
        <v>9072</v>
      </c>
      <c r="V364" s="353">
        <v>9550</v>
      </c>
      <c r="W364" s="2"/>
      <c r="X364" s="2"/>
      <c r="Y364" s="2">
        <f t="shared" si="120"/>
        <v>172</v>
      </c>
      <c r="Z364" s="2">
        <f t="shared" si="121"/>
        <v>381</v>
      </c>
      <c r="AA364" s="2">
        <f t="shared" si="134"/>
        <v>453</v>
      </c>
      <c r="AB364" s="2">
        <f t="shared" si="133"/>
        <v>420</v>
      </c>
      <c r="AC364" s="2">
        <f t="shared" si="122"/>
        <v>441</v>
      </c>
      <c r="AD364" s="2">
        <f t="shared" si="123"/>
        <v>422</v>
      </c>
      <c r="AE364" s="2">
        <f t="shared" si="124"/>
        <v>542</v>
      </c>
      <c r="AF364" s="2">
        <f t="shared" si="125"/>
        <v>644</v>
      </c>
      <c r="AG364" s="2">
        <f t="shared" si="126"/>
        <v>596</v>
      </c>
      <c r="AH364" s="2">
        <f t="shared" si="127"/>
        <v>536</v>
      </c>
      <c r="AI364" s="2">
        <f t="shared" si="128"/>
        <v>471</v>
      </c>
      <c r="AJ364" s="2">
        <f t="shared" si="129"/>
        <v>478</v>
      </c>
      <c r="AK364" s="406">
        <v>1</v>
      </c>
      <c r="AL364" s="274">
        <f t="shared" ca="1" si="116"/>
        <v>5420</v>
      </c>
      <c r="AM364" s="311">
        <f t="shared" ca="1" si="117"/>
        <v>5861</v>
      </c>
      <c r="AN364" s="274">
        <f ca="1">IF(AND(Tabla7[[#This Row],[UltLec]]&lt;&gt;0,Tabla7[[#This Row],[PenLect]]&lt;&gt;0),(AM364-AL364)*Tabla7[[#This Row],[RT]],"N/A")</f>
        <v>441</v>
      </c>
      <c r="AO364" s="273" t="s">
        <v>862</v>
      </c>
      <c r="AP364" s="392" t="s">
        <v>1190</v>
      </c>
      <c r="AQ364" s="392" t="s">
        <v>1189</v>
      </c>
      <c r="AR364" s="407">
        <f t="shared" si="118"/>
        <v>0</v>
      </c>
      <c r="AT364" s="2">
        <f t="shared" ca="1" si="119"/>
        <v>1.05</v>
      </c>
      <c r="AV364">
        <f>IF(ISBLANK(Tabla7[[#This Row],[31/12/2017]]),0,Tabla7[[#This Row],[31/12/2017]])</f>
        <v>3994</v>
      </c>
      <c r="AW364">
        <f>IF(ISBLANK(Tabla7[[#This Row],[15/01/2018]]),0,Tabla7[[#This Row],[15/01/2018]])</f>
        <v>4166</v>
      </c>
      <c r="AX364">
        <f>IF(ISBLANK(Tabla7[[#This Row],[15/02/2018]]),0,Tabla7[[#This Row],[15/02/2018]])</f>
        <v>4547</v>
      </c>
      <c r="AY364">
        <f>IF(ISBLANK(Tabla7[[#This Row],[15/03/2018]]),0,Tabla7[[#This Row],[15/03/2018]])</f>
        <v>5000</v>
      </c>
      <c r="AZ364">
        <f>IF(ISBLANK(Tabla7[[#This Row],[15/04/2018]]),0,Tabla7[[#This Row],[15/04/2018]])</f>
        <v>5420</v>
      </c>
      <c r="BA364">
        <f>IF(ISBLANK(Tabla7[[#This Row],[15/05/2018]]),0,Tabla7[[#This Row],[15/05/2018]])</f>
        <v>5861</v>
      </c>
      <c r="BB364">
        <f>IF(ISBLANK(Tabla7[[#This Row],[15/06/2018]]),0,Tabla7[[#This Row],[15/06/2018]])</f>
        <v>6283</v>
      </c>
      <c r="BC364">
        <f>IF(ISBLANK(Tabla7[[#This Row],[15/07/2018]]),0,Tabla7[[#This Row],[15/07/2018]])</f>
        <v>6825</v>
      </c>
      <c r="BD364">
        <f>IF(ISBLANK(Tabla7[[#This Row],[15/08/2018]]),0,Tabla7[[#This Row],[15/08/2018]])</f>
        <v>7469</v>
      </c>
      <c r="BE364">
        <f>IF(ISBLANK(Tabla7[[#This Row],[15/09/2018]]),0,Tabla7[[#This Row],[15/09/2018]])</f>
        <v>8065</v>
      </c>
      <c r="BF364">
        <f>IF(ISBLANK(Tabla7[[#This Row],[15/10/2018]]),0,Tabla7[[#This Row],[15/10/2018]])</f>
        <v>8601</v>
      </c>
      <c r="BG364">
        <f>IF(ISBLANK(Tabla7[[#This Row],[15/11/2018]]),0,Tabla7[[#This Row],[15/11/2018]])</f>
        <v>9072</v>
      </c>
      <c r="BH364">
        <f>IF(ISBLANK(Tabla7[[#This Row],[15/12/2018]]),0,Tabla7[[#This Row],[15/12/2018]])</f>
        <v>9550</v>
      </c>
      <c r="BI364">
        <f>IF(ISBLANK(Tabla7[[#This Row],[28/12/2018]]),0,Tabla7[[#This Row],[28/12/2018]])</f>
        <v>0</v>
      </c>
      <c r="BN36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('LG37968902','V','VCT23','39931','SERVIPORT MARITIMA SL','EN CENTRALIZACION (2)','Maquinas expendedoras','FECHA DE ALTA (13/12/2016) Antes 39369');</v>
      </c>
      <c r="BO364" t="s">
        <v>243</v>
      </c>
      <c r="BP364" s="632" t="str">
        <f>CONCATENATE("insert into lecturas values ","('",Tabla7[[#This Row],[CONTADOR]],"',STR_TO_DATE('",Tabla7[[#Headers],[31/12/2017]],"','%d/%m/%Y'),",AV364,"),","('",Tabla7[[#This Row],[CONTADOR]],"',STR_TO_DATE('",Tabla7[[#Headers],[15/01/2018]],"','%d/%m/%Y'),",AW364,"),","('",Tabla7[[#This Row],[CONTADOR]],"',STR_TO_DATE('",Tabla7[[#Headers],[15/02/2018]],"','%d/%m/%Y'),",AX364,"),","('",Tabla7[[#This Row],[CONTADOR]],"',STR_TO_DATE('",Tabla7[[#Headers],[15/03/2018]],"','%d/%m/%Y'),",AY364,"),","('",Tabla7[[#This Row],[CONTADOR]],"',STR_TO_DATE('",Tabla7[[#Headers],[15/04/2018]],"','%d/%m/%Y'),",AZ364,"),","('",Tabla7[[#This Row],[CONTADOR]],"',STR_TO_DATE('",Tabla7[[#Headers],[15/05/2018]],"','%d/%m/%Y'),",BA364,"),","('",Tabla7[[#This Row],[CONTADOR]],"',STR_TO_DATE('",Tabla7[[#Headers],[15/06/2018]],"','%d/%m/%Y'),",BB364,"),","('",Tabla7[[#This Row],[CONTADOR]],"',STR_TO_DATE('",Tabla7[[#Headers],[15/07/2018]],"','%d/%m/%Y'),",BC364,"),","('",Tabla7[[#This Row],[CONTADOR]],"',STR_TO_DATE('",Tabla7[[#Headers],[15/08/2018]],"','%d/%m/%Y'),",BD364,"),","('",Tabla7[[#This Row],[CONTADOR]],"',STR_TO_DATE('",Tabla7[[#Headers],[15/09/2018]],"','%d/%m/%Y'),",BE364,"),","('",Tabla7[[#This Row],[CONTADOR]],"',STR_TO_DATE('",Tabla7[[#Headers],[15/10/2018]],"','%d/%m/%Y'),",BF364,"),","('",Tabla7[[#This Row],[CONTADOR]],"',STR_TO_DATE('",Tabla7[[#Headers],[15/11/2018]],"','%d/%m/%Y'),",BG364,"),","('",Tabla7[[#This Row],[CONTADOR]],"',STR_TO_DATE('",Tabla7[[#Headers],[15/12/2018]],"','%d/%m/%Y'),",BH364,");")</f>
        <v>insert into lecturas values ('LG37968902',STR_TO_DATE('31/12/2017','%d/%m/%Y'),3994),('LG37968902',STR_TO_DATE('15/01/2018','%d/%m/%Y'),4166),('LG37968902',STR_TO_DATE('15/02/2018','%d/%m/%Y'),4547),('LG37968902',STR_TO_DATE('15/03/2018','%d/%m/%Y'),5000),('LG37968902',STR_TO_DATE('15/04/2018','%d/%m/%Y'),5420),('LG37968902',STR_TO_DATE('15/05/2018','%d/%m/%Y'),5861),('LG37968902',STR_TO_DATE('15/06/2018','%d/%m/%Y'),6283),('LG37968902',STR_TO_DATE('15/07/2018','%d/%m/%Y'),6825),('LG37968902',STR_TO_DATE('15/08/2018','%d/%m/%Y'),7469),('LG37968902',STR_TO_DATE('15/09/2018','%d/%m/%Y'),8065),('LG37968902',STR_TO_DATE('15/10/2018','%d/%m/%Y'),8601),('LG37968902',STR_TO_DATE('15/11/2018','%d/%m/%Y'),9072),('LG37968902',STR_TO_DATE('15/12/2018','%d/%m/%Y'),9550);</v>
      </c>
    </row>
    <row r="365" spans="1:68" ht="18.75" customHeight="1" x14ac:dyDescent="0.25">
      <c r="A365" s="372" t="s">
        <v>1196</v>
      </c>
      <c r="B365" s="315"/>
      <c r="C365" s="373" t="s">
        <v>1047</v>
      </c>
      <c r="D365" s="374" t="s">
        <v>200</v>
      </c>
      <c r="E365" s="375">
        <v>30000</v>
      </c>
      <c r="F365" s="376" t="s">
        <v>1048</v>
      </c>
      <c r="G365" s="376" t="s">
        <v>984</v>
      </c>
      <c r="H365" s="376"/>
      <c r="I365" s="376" t="s">
        <v>1055</v>
      </c>
      <c r="J365" s="383"/>
      <c r="K365" s="383"/>
      <c r="L365" s="376"/>
      <c r="M365" s="376"/>
      <c r="N365" s="376"/>
      <c r="O365" s="376"/>
      <c r="P365" s="376"/>
      <c r="Q365" s="376"/>
      <c r="R365" s="376"/>
      <c r="S365" s="311"/>
      <c r="T365" s="311"/>
      <c r="U365" s="519"/>
      <c r="V365" s="377"/>
      <c r="W365" s="376"/>
      <c r="X365" s="376"/>
      <c r="Y365" s="376" t="str">
        <f t="shared" si="120"/>
        <v/>
      </c>
      <c r="Z365" s="376" t="str">
        <f t="shared" si="121"/>
        <v/>
      </c>
      <c r="AA365" s="376" t="str">
        <f t="shared" si="134"/>
        <v/>
      </c>
      <c r="AB365" s="376" t="str">
        <f t="shared" si="133"/>
        <v/>
      </c>
      <c r="AC365" s="376" t="str">
        <f t="shared" si="122"/>
        <v/>
      </c>
      <c r="AD365" s="376" t="str">
        <f t="shared" si="123"/>
        <v/>
      </c>
      <c r="AE365" s="376" t="str">
        <f t="shared" si="124"/>
        <v/>
      </c>
      <c r="AF365" s="376" t="str">
        <f t="shared" si="125"/>
        <v/>
      </c>
      <c r="AG365" s="376" t="str">
        <f t="shared" si="126"/>
        <v/>
      </c>
      <c r="AH365" s="376" t="str">
        <f t="shared" si="127"/>
        <v/>
      </c>
      <c r="AI365" s="376" t="str">
        <f t="shared" si="128"/>
        <v/>
      </c>
      <c r="AJ365" s="376" t="str">
        <f t="shared" si="129"/>
        <v/>
      </c>
      <c r="AK365" s="408">
        <v>1</v>
      </c>
      <c r="AL365" s="423">
        <f t="shared" ca="1" si="116"/>
        <v>0</v>
      </c>
      <c r="AM365" s="383">
        <f t="shared" ca="1" si="117"/>
        <v>0</v>
      </c>
      <c r="AN365" s="377" t="str">
        <f ca="1">IF(AND(Tabla7[[#This Row],[UltLec]]&lt;&gt;0,Tabla7[[#This Row],[PenLect]]&lt;&gt;0),(AM365-AL365)*Tabla7[[#This Row],[RT]],"N/A")</f>
        <v>N/A</v>
      </c>
      <c r="AO365" s="380" t="s">
        <v>1281</v>
      </c>
      <c r="AP365" s="433" t="s">
        <v>1190</v>
      </c>
      <c r="AQ365" s="433" t="s">
        <v>1189</v>
      </c>
      <c r="AR365" s="409">
        <f t="shared" si="118"/>
        <v>0</v>
      </c>
      <c r="AT365" s="2" t="e">
        <f t="shared" ca="1" si="119"/>
        <v>#VALUE!</v>
      </c>
      <c r="AV365">
        <f>IF(ISBLANK(Tabla7[[#This Row],[31/12/2017]]),0,Tabla7[[#This Row],[31/12/2017]])</f>
        <v>0</v>
      </c>
      <c r="AW365">
        <f>IF(ISBLANK(Tabla7[[#This Row],[15/01/2018]]),0,Tabla7[[#This Row],[15/01/2018]])</f>
        <v>0</v>
      </c>
      <c r="AX365">
        <f>IF(ISBLANK(Tabla7[[#This Row],[15/02/2018]]),0,Tabla7[[#This Row],[15/02/2018]])</f>
        <v>0</v>
      </c>
      <c r="AY365">
        <f>IF(ISBLANK(Tabla7[[#This Row],[15/03/2018]]),0,Tabla7[[#This Row],[15/03/2018]])</f>
        <v>0</v>
      </c>
      <c r="AZ365">
        <f>IF(ISBLANK(Tabla7[[#This Row],[15/04/2018]]),0,Tabla7[[#This Row],[15/04/2018]])</f>
        <v>0</v>
      </c>
      <c r="BA365">
        <f>IF(ISBLANK(Tabla7[[#This Row],[15/05/2018]]),0,Tabla7[[#This Row],[15/05/2018]])</f>
        <v>0</v>
      </c>
      <c r="BB365">
        <f>IF(ISBLANK(Tabla7[[#This Row],[15/06/2018]]),0,Tabla7[[#This Row],[15/06/2018]])</f>
        <v>0</v>
      </c>
      <c r="BC365">
        <f>IF(ISBLANK(Tabla7[[#This Row],[15/07/2018]]),0,Tabla7[[#This Row],[15/07/2018]])</f>
        <v>0</v>
      </c>
      <c r="BD365">
        <f>IF(ISBLANK(Tabla7[[#This Row],[15/08/2018]]),0,Tabla7[[#This Row],[15/08/2018]])</f>
        <v>0</v>
      </c>
      <c r="BE365">
        <f>IF(ISBLANK(Tabla7[[#This Row],[15/09/2018]]),0,Tabla7[[#This Row],[15/09/2018]])</f>
        <v>0</v>
      </c>
      <c r="BF365">
        <f>IF(ISBLANK(Tabla7[[#This Row],[15/10/2018]]),0,Tabla7[[#This Row],[15/10/2018]])</f>
        <v>0</v>
      </c>
      <c r="BG365">
        <f>IF(ISBLANK(Tabla7[[#This Row],[15/11/2018]]),0,Tabla7[[#This Row],[15/11/2018]])</f>
        <v>0</v>
      </c>
      <c r="BH365">
        <f>IF(ISBLANK(Tabla7[[#This Row],[15/12/2018]]),0,Tabla7[[#This Row],[15/12/2018]])</f>
        <v>0</v>
      </c>
      <c r="BI365">
        <f>IF(ISBLANK(Tabla7[[#This Row],[28/12/2018]]),0,Tabla7[[#This Row],[28/12/2018]])</f>
        <v>0</v>
      </c>
      <c r="BN36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('LW00012544','VBAJA','VCT23','30000','CENTRO DE FORMACION NAUTICA','EN CENTRALIZACION (6)','','No esta el 15/10/2017');</v>
      </c>
      <c r="BO365" t="s">
        <v>243</v>
      </c>
      <c r="BP365" s="632" t="str">
        <f>CONCATENATE("insert into lecturas values ","('",Tabla7[[#This Row],[CONTADOR]],"',STR_TO_DATE('",Tabla7[[#Headers],[31/12/2017]],"','%d/%m/%Y'),",AV365,"),","('",Tabla7[[#This Row],[CONTADOR]],"',STR_TO_DATE('",Tabla7[[#Headers],[15/01/2018]],"','%d/%m/%Y'),",AW365,"),","('",Tabla7[[#This Row],[CONTADOR]],"',STR_TO_DATE('",Tabla7[[#Headers],[15/02/2018]],"','%d/%m/%Y'),",AX365,"),","('",Tabla7[[#This Row],[CONTADOR]],"',STR_TO_DATE('",Tabla7[[#Headers],[15/03/2018]],"','%d/%m/%Y'),",AY365,"),","('",Tabla7[[#This Row],[CONTADOR]],"',STR_TO_DATE('",Tabla7[[#Headers],[15/04/2018]],"','%d/%m/%Y'),",AZ365,"),","('",Tabla7[[#This Row],[CONTADOR]],"',STR_TO_DATE('",Tabla7[[#Headers],[15/05/2018]],"','%d/%m/%Y'),",BA365,"),","('",Tabla7[[#This Row],[CONTADOR]],"',STR_TO_DATE('",Tabla7[[#Headers],[15/06/2018]],"','%d/%m/%Y'),",BB365,"),","('",Tabla7[[#This Row],[CONTADOR]],"',STR_TO_DATE('",Tabla7[[#Headers],[15/07/2018]],"','%d/%m/%Y'),",BC365,"),","('",Tabla7[[#This Row],[CONTADOR]],"',STR_TO_DATE('",Tabla7[[#Headers],[15/08/2018]],"','%d/%m/%Y'),",BD365,"),","('",Tabla7[[#This Row],[CONTADOR]],"',STR_TO_DATE('",Tabla7[[#Headers],[15/09/2018]],"','%d/%m/%Y'),",BE365,"),","('",Tabla7[[#This Row],[CONTADOR]],"',STR_TO_DATE('",Tabla7[[#Headers],[15/10/2018]],"','%d/%m/%Y'),",BF365,"),","('",Tabla7[[#This Row],[CONTADOR]],"',STR_TO_DATE('",Tabla7[[#Headers],[15/11/2018]],"','%d/%m/%Y'),",BG365,"),","('",Tabla7[[#This Row],[CONTADOR]],"',STR_TO_DATE('",Tabla7[[#Headers],[15/12/2018]],"','%d/%m/%Y'),",BH365,");")</f>
        <v>insert into lecturas values ('LW00012544',STR_TO_DATE('31/12/2017','%d/%m/%Y'),0),('LW00012544',STR_TO_DATE('15/01/2018','%d/%m/%Y'),0),('LW00012544',STR_TO_DATE('15/02/2018','%d/%m/%Y'),0),('LW00012544',STR_TO_DATE('15/03/2018','%d/%m/%Y'),0),('LW00012544',STR_TO_DATE('15/04/2018','%d/%m/%Y'),0),('LW00012544',STR_TO_DATE('15/05/2018','%d/%m/%Y'),0),('LW00012544',STR_TO_DATE('15/06/2018','%d/%m/%Y'),0),('LW00012544',STR_TO_DATE('15/07/2018','%d/%m/%Y'),0),('LW00012544',STR_TO_DATE('15/08/2018','%d/%m/%Y'),0),('LW00012544',STR_TO_DATE('15/09/2018','%d/%m/%Y'),0),('LW00012544',STR_TO_DATE('15/10/2018','%d/%m/%Y'),0),('LW00012544',STR_TO_DATE('15/11/2018','%d/%m/%Y'),0),('LW00012544',STR_TO_DATE('15/12/2018','%d/%m/%Y'),0);</v>
      </c>
    </row>
    <row r="366" spans="1:68" ht="18.75" customHeight="1" x14ac:dyDescent="0.25">
      <c r="A366" s="241" t="s">
        <v>19</v>
      </c>
      <c r="B366" s="60"/>
      <c r="C366" s="342" t="s">
        <v>1047</v>
      </c>
      <c r="D366" s="60" t="s">
        <v>200</v>
      </c>
      <c r="E366" s="258">
        <v>39581</v>
      </c>
      <c r="F366" s="2" t="s">
        <v>1359</v>
      </c>
      <c r="G366" s="2" t="s">
        <v>1059</v>
      </c>
      <c r="H366" s="2"/>
      <c r="I366" s="2" t="s">
        <v>1194</v>
      </c>
      <c r="J366" s="311">
        <v>84197</v>
      </c>
      <c r="K366" s="311">
        <v>84197</v>
      </c>
      <c r="L366" s="2">
        <v>84197</v>
      </c>
      <c r="M366" s="311">
        <v>84197</v>
      </c>
      <c r="N366" s="311">
        <v>84197</v>
      </c>
      <c r="O366" s="311">
        <v>84197</v>
      </c>
      <c r="P366" s="311">
        <v>84197</v>
      </c>
      <c r="Q366" s="275">
        <v>84197</v>
      </c>
      <c r="R366" s="275">
        <v>84197</v>
      </c>
      <c r="S366" s="275">
        <v>84197</v>
      </c>
      <c r="T366" s="275">
        <v>84197</v>
      </c>
      <c r="U366" s="531">
        <v>84197</v>
      </c>
      <c r="V366" s="353">
        <v>84197</v>
      </c>
      <c r="W366" s="2"/>
      <c r="X366" s="2"/>
      <c r="Y366" s="2">
        <f t="shared" si="120"/>
        <v>0</v>
      </c>
      <c r="Z366" s="2">
        <f t="shared" si="121"/>
        <v>0</v>
      </c>
      <c r="AA366" s="2">
        <f t="shared" si="134"/>
        <v>0</v>
      </c>
      <c r="AB366" s="2">
        <f t="shared" si="133"/>
        <v>0</v>
      </c>
      <c r="AC366" s="2">
        <f t="shared" si="122"/>
        <v>0</v>
      </c>
      <c r="AD366" s="2">
        <f t="shared" si="123"/>
        <v>0</v>
      </c>
      <c r="AE366" s="2">
        <f t="shared" si="124"/>
        <v>0</v>
      </c>
      <c r="AF366" s="2">
        <f t="shared" si="125"/>
        <v>0</v>
      </c>
      <c r="AG366" s="2">
        <f t="shared" si="126"/>
        <v>0</v>
      </c>
      <c r="AH366" s="2">
        <f t="shared" si="127"/>
        <v>0</v>
      </c>
      <c r="AI366" s="2">
        <f t="shared" si="128"/>
        <v>0</v>
      </c>
      <c r="AJ366" s="2">
        <f t="shared" si="129"/>
        <v>0</v>
      </c>
      <c r="AK366" s="406">
        <v>1</v>
      </c>
      <c r="AL366" s="412">
        <f t="shared" ca="1" si="116"/>
        <v>84197</v>
      </c>
      <c r="AM366" s="311">
        <f t="shared" ca="1" si="117"/>
        <v>84197</v>
      </c>
      <c r="AN366" s="274">
        <f ca="1">IF(AND(Tabla7[[#This Row],[UltLec]]&lt;&gt;0,Tabla7[[#This Row],[PenLect]]&lt;&gt;0),(AM366-AL366)*Tabla7[[#This Row],[RT]],"N/A")</f>
        <v>0</v>
      </c>
      <c r="AO366" s="273" t="s">
        <v>862</v>
      </c>
      <c r="AP366" s="392" t="s">
        <v>1190</v>
      </c>
      <c r="AQ366" s="392" t="s">
        <v>1189</v>
      </c>
      <c r="AR366" s="407">
        <f t="shared" si="118"/>
        <v>0</v>
      </c>
      <c r="AT366" s="2" t="str">
        <f t="shared" ca="1" si="119"/>
        <v>0</v>
      </c>
      <c r="AV366">
        <f>IF(ISBLANK(Tabla7[[#This Row],[31/12/2017]]),0,Tabla7[[#This Row],[31/12/2017]])</f>
        <v>84197</v>
      </c>
      <c r="AW366">
        <f>IF(ISBLANK(Tabla7[[#This Row],[15/01/2018]]),0,Tabla7[[#This Row],[15/01/2018]])</f>
        <v>84197</v>
      </c>
      <c r="AX366">
        <f>IF(ISBLANK(Tabla7[[#This Row],[15/02/2018]]),0,Tabla7[[#This Row],[15/02/2018]])</f>
        <v>84197</v>
      </c>
      <c r="AY366">
        <f>IF(ISBLANK(Tabla7[[#This Row],[15/03/2018]]),0,Tabla7[[#This Row],[15/03/2018]])</f>
        <v>84197</v>
      </c>
      <c r="AZ366">
        <f>IF(ISBLANK(Tabla7[[#This Row],[15/04/2018]]),0,Tabla7[[#This Row],[15/04/2018]])</f>
        <v>84197</v>
      </c>
      <c r="BA366">
        <f>IF(ISBLANK(Tabla7[[#This Row],[15/05/2018]]),0,Tabla7[[#This Row],[15/05/2018]])</f>
        <v>84197</v>
      </c>
      <c r="BB366">
        <f>IF(ISBLANK(Tabla7[[#This Row],[15/06/2018]]),0,Tabla7[[#This Row],[15/06/2018]])</f>
        <v>84197</v>
      </c>
      <c r="BC366">
        <f>IF(ISBLANK(Tabla7[[#This Row],[15/07/2018]]),0,Tabla7[[#This Row],[15/07/2018]])</f>
        <v>84197</v>
      </c>
      <c r="BD366">
        <f>IF(ISBLANK(Tabla7[[#This Row],[15/08/2018]]),0,Tabla7[[#This Row],[15/08/2018]])</f>
        <v>84197</v>
      </c>
      <c r="BE366">
        <f>IF(ISBLANK(Tabla7[[#This Row],[15/09/2018]]),0,Tabla7[[#This Row],[15/09/2018]])</f>
        <v>84197</v>
      </c>
      <c r="BF366">
        <f>IF(ISBLANK(Tabla7[[#This Row],[15/10/2018]]),0,Tabla7[[#This Row],[15/10/2018]])</f>
        <v>84197</v>
      </c>
      <c r="BG366">
        <f>IF(ISBLANK(Tabla7[[#This Row],[15/11/2018]]),0,Tabla7[[#This Row],[15/11/2018]])</f>
        <v>84197</v>
      </c>
      <c r="BH366">
        <f>IF(ISBLANK(Tabla7[[#This Row],[15/12/2018]]),0,Tabla7[[#This Row],[15/12/2018]])</f>
        <v>84197</v>
      </c>
      <c r="BI366">
        <f>IF(ISBLANK(Tabla7[[#This Row],[28/12/2018]]),0,Tabla7[[#This Row],[28/12/2018]])</f>
        <v>0</v>
      </c>
      <c r="BN36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('LW00012544','V','VCT23','39581','ESCUELA DE FORMACION NAUTICA','HORNACINA FRENTE A VELAS LLUCH','','Fusibles quitados');</v>
      </c>
      <c r="BO366" t="s">
        <v>243</v>
      </c>
      <c r="BP366" s="632" t="str">
        <f>CONCATENATE("insert into lecturas values ","('",Tabla7[[#This Row],[CONTADOR]],"',STR_TO_DATE('",Tabla7[[#Headers],[31/12/2017]],"','%d/%m/%Y'),",AV366,"),","('",Tabla7[[#This Row],[CONTADOR]],"',STR_TO_DATE('",Tabla7[[#Headers],[15/01/2018]],"','%d/%m/%Y'),",AW366,"),","('",Tabla7[[#This Row],[CONTADOR]],"',STR_TO_DATE('",Tabla7[[#Headers],[15/02/2018]],"','%d/%m/%Y'),",AX366,"),","('",Tabla7[[#This Row],[CONTADOR]],"',STR_TO_DATE('",Tabla7[[#Headers],[15/03/2018]],"','%d/%m/%Y'),",AY366,"),","('",Tabla7[[#This Row],[CONTADOR]],"',STR_TO_DATE('",Tabla7[[#Headers],[15/04/2018]],"','%d/%m/%Y'),",AZ366,"),","('",Tabla7[[#This Row],[CONTADOR]],"',STR_TO_DATE('",Tabla7[[#Headers],[15/05/2018]],"','%d/%m/%Y'),",BA366,"),","('",Tabla7[[#This Row],[CONTADOR]],"',STR_TO_DATE('",Tabla7[[#Headers],[15/06/2018]],"','%d/%m/%Y'),",BB366,"),","('",Tabla7[[#This Row],[CONTADOR]],"',STR_TO_DATE('",Tabla7[[#Headers],[15/07/2018]],"','%d/%m/%Y'),",BC366,"),","('",Tabla7[[#This Row],[CONTADOR]],"',STR_TO_DATE('",Tabla7[[#Headers],[15/08/2018]],"','%d/%m/%Y'),",BD366,"),","('",Tabla7[[#This Row],[CONTADOR]],"',STR_TO_DATE('",Tabla7[[#Headers],[15/09/2018]],"','%d/%m/%Y'),",BE366,"),","('",Tabla7[[#This Row],[CONTADOR]],"',STR_TO_DATE('",Tabla7[[#Headers],[15/10/2018]],"','%d/%m/%Y'),",BF366,"),","('",Tabla7[[#This Row],[CONTADOR]],"',STR_TO_DATE('",Tabla7[[#Headers],[15/11/2018]],"','%d/%m/%Y'),",BG366,"),","('",Tabla7[[#This Row],[CONTADOR]],"',STR_TO_DATE('",Tabla7[[#Headers],[15/12/2018]],"','%d/%m/%Y'),",BH366,");")</f>
        <v>insert into lecturas values ('LW00012544',STR_TO_DATE('31/12/2017','%d/%m/%Y'),84197),('LW00012544',STR_TO_DATE('15/01/2018','%d/%m/%Y'),84197),('LW00012544',STR_TO_DATE('15/02/2018','%d/%m/%Y'),84197),('LW00012544',STR_TO_DATE('15/03/2018','%d/%m/%Y'),84197),('LW00012544',STR_TO_DATE('15/04/2018','%d/%m/%Y'),84197),('LW00012544',STR_TO_DATE('15/05/2018','%d/%m/%Y'),84197),('LW00012544',STR_TO_DATE('15/06/2018','%d/%m/%Y'),84197),('LW00012544',STR_TO_DATE('15/07/2018','%d/%m/%Y'),84197),('LW00012544',STR_TO_DATE('15/08/2018','%d/%m/%Y'),84197),('LW00012544',STR_TO_DATE('15/09/2018','%d/%m/%Y'),84197),('LW00012544',STR_TO_DATE('15/10/2018','%d/%m/%Y'),84197),('LW00012544',STR_TO_DATE('15/11/2018','%d/%m/%Y'),84197),('LW00012544',STR_TO_DATE('15/12/2018','%d/%m/%Y'),84197);</v>
      </c>
    </row>
    <row r="367" spans="1:68" ht="18.75" customHeight="1" x14ac:dyDescent="0.25">
      <c r="A367" s="241" t="s">
        <v>19</v>
      </c>
      <c r="B367" s="60">
        <v>36497</v>
      </c>
      <c r="C367" s="342" t="s">
        <v>201</v>
      </c>
      <c r="D367" s="60" t="s">
        <v>200</v>
      </c>
      <c r="E367" s="258">
        <v>39439</v>
      </c>
      <c r="F367" s="2" t="s">
        <v>1049</v>
      </c>
      <c r="G367" s="2" t="s">
        <v>202</v>
      </c>
      <c r="H367" s="2"/>
      <c r="I367" s="2"/>
      <c r="J367" s="311">
        <v>6683</v>
      </c>
      <c r="K367" s="311">
        <v>6704</v>
      </c>
      <c r="L367" s="2">
        <v>6745</v>
      </c>
      <c r="M367" s="311">
        <v>6783</v>
      </c>
      <c r="N367" s="311">
        <v>6823</v>
      </c>
      <c r="O367" s="311">
        <v>6864</v>
      </c>
      <c r="P367" s="311">
        <v>6907</v>
      </c>
      <c r="Q367" s="275">
        <v>6961</v>
      </c>
      <c r="R367" s="275">
        <v>7014</v>
      </c>
      <c r="S367" s="311">
        <v>7064</v>
      </c>
      <c r="T367" s="311">
        <v>7106</v>
      </c>
      <c r="U367" s="531">
        <v>7150</v>
      </c>
      <c r="V367" s="353">
        <v>7192</v>
      </c>
      <c r="W367" s="2"/>
      <c r="X367" s="2"/>
      <c r="Y367" s="2">
        <f t="shared" si="120"/>
        <v>21</v>
      </c>
      <c r="Z367" s="2">
        <f t="shared" si="121"/>
        <v>41</v>
      </c>
      <c r="AA367" s="2">
        <f t="shared" si="134"/>
        <v>38</v>
      </c>
      <c r="AB367" s="2">
        <f t="shared" si="133"/>
        <v>40</v>
      </c>
      <c r="AC367" s="2">
        <f t="shared" si="122"/>
        <v>41</v>
      </c>
      <c r="AD367" s="2">
        <f t="shared" si="123"/>
        <v>43</v>
      </c>
      <c r="AE367" s="2">
        <f t="shared" si="124"/>
        <v>54</v>
      </c>
      <c r="AF367" s="2">
        <f t="shared" si="125"/>
        <v>53</v>
      </c>
      <c r="AG367" s="2">
        <f t="shared" si="126"/>
        <v>50</v>
      </c>
      <c r="AH367" s="2">
        <f t="shared" si="127"/>
        <v>42</v>
      </c>
      <c r="AI367" s="2">
        <f t="shared" si="128"/>
        <v>44</v>
      </c>
      <c r="AJ367" s="2">
        <f t="shared" si="129"/>
        <v>42</v>
      </c>
      <c r="AK367" s="406">
        <v>1</v>
      </c>
      <c r="AL367" s="274">
        <f t="shared" ca="1" si="116"/>
        <v>6823</v>
      </c>
      <c r="AM367" s="311">
        <f t="shared" ca="1" si="117"/>
        <v>6864</v>
      </c>
      <c r="AN367" s="274">
        <f ca="1">IF(AND(Tabla7[[#This Row],[UltLec]]&lt;&gt;0,Tabla7[[#This Row],[PenLect]]&lt;&gt;0),(AM367-AL367)*Tabla7[[#This Row],[RT]],"N/A")</f>
        <v>41</v>
      </c>
      <c r="AO367" s="273" t="s">
        <v>862</v>
      </c>
      <c r="AP367" s="392" t="s">
        <v>1190</v>
      </c>
      <c r="AQ367" s="392" t="s">
        <v>1189</v>
      </c>
      <c r="AR367" s="407">
        <f t="shared" si="118"/>
        <v>0</v>
      </c>
      <c r="AT367" s="2">
        <f t="shared" ca="1" si="119"/>
        <v>1.0249999999999999</v>
      </c>
      <c r="AV367">
        <f>IF(ISBLANK(Tabla7[[#This Row],[31/12/2017]]),0,Tabla7[[#This Row],[31/12/2017]])</f>
        <v>6683</v>
      </c>
      <c r="AW367">
        <f>IF(ISBLANK(Tabla7[[#This Row],[15/01/2018]]),0,Tabla7[[#This Row],[15/01/2018]])</f>
        <v>6704</v>
      </c>
      <c r="AX367">
        <f>IF(ISBLANK(Tabla7[[#This Row],[15/02/2018]]),0,Tabla7[[#This Row],[15/02/2018]])</f>
        <v>6745</v>
      </c>
      <c r="AY367">
        <f>IF(ISBLANK(Tabla7[[#This Row],[15/03/2018]]),0,Tabla7[[#This Row],[15/03/2018]])</f>
        <v>6783</v>
      </c>
      <c r="AZ367">
        <f>IF(ISBLANK(Tabla7[[#This Row],[15/04/2018]]),0,Tabla7[[#This Row],[15/04/2018]])</f>
        <v>6823</v>
      </c>
      <c r="BA367">
        <f>IF(ISBLANK(Tabla7[[#This Row],[15/05/2018]]),0,Tabla7[[#This Row],[15/05/2018]])</f>
        <v>6864</v>
      </c>
      <c r="BB367">
        <f>IF(ISBLANK(Tabla7[[#This Row],[15/06/2018]]),0,Tabla7[[#This Row],[15/06/2018]])</f>
        <v>6907</v>
      </c>
      <c r="BC367">
        <f>IF(ISBLANK(Tabla7[[#This Row],[15/07/2018]]),0,Tabla7[[#This Row],[15/07/2018]])</f>
        <v>6961</v>
      </c>
      <c r="BD367">
        <f>IF(ISBLANK(Tabla7[[#This Row],[15/08/2018]]),0,Tabla7[[#This Row],[15/08/2018]])</f>
        <v>7014</v>
      </c>
      <c r="BE367">
        <f>IF(ISBLANK(Tabla7[[#This Row],[15/09/2018]]),0,Tabla7[[#This Row],[15/09/2018]])</f>
        <v>7064</v>
      </c>
      <c r="BF367">
        <f>IF(ISBLANK(Tabla7[[#This Row],[15/10/2018]]),0,Tabla7[[#This Row],[15/10/2018]])</f>
        <v>7106</v>
      </c>
      <c r="BG367">
        <f>IF(ISBLANK(Tabla7[[#This Row],[15/11/2018]]),0,Tabla7[[#This Row],[15/11/2018]])</f>
        <v>7150</v>
      </c>
      <c r="BH367">
        <f>IF(ISBLANK(Tabla7[[#This Row],[15/12/2018]]),0,Tabla7[[#This Row],[15/12/2018]])</f>
        <v>7192</v>
      </c>
      <c r="BI367">
        <f>IF(ISBLANK(Tabla7[[#This Row],[28/12/2018]]),0,Tabla7[[#This Row],[28/12/2018]])</f>
        <v>0</v>
      </c>
      <c r="BN36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('LW00042788','V','VCT23','39439',' EMPRESA MIXTA VALENCIANA DE AGUAS S.A','EN LA TORRE 2303','','');</v>
      </c>
      <c r="BO367" t="s">
        <v>243</v>
      </c>
      <c r="BP367" s="632" t="str">
        <f>CONCATENATE("insert into lecturas values ","('",Tabla7[[#This Row],[CONTADOR]],"',STR_TO_DATE('",Tabla7[[#Headers],[31/12/2017]],"','%d/%m/%Y'),",AV367,"),","('",Tabla7[[#This Row],[CONTADOR]],"',STR_TO_DATE('",Tabla7[[#Headers],[15/01/2018]],"','%d/%m/%Y'),",AW367,"),","('",Tabla7[[#This Row],[CONTADOR]],"',STR_TO_DATE('",Tabla7[[#Headers],[15/02/2018]],"','%d/%m/%Y'),",AX367,"),","('",Tabla7[[#This Row],[CONTADOR]],"',STR_TO_DATE('",Tabla7[[#Headers],[15/03/2018]],"','%d/%m/%Y'),",AY367,"),","('",Tabla7[[#This Row],[CONTADOR]],"',STR_TO_DATE('",Tabla7[[#Headers],[15/04/2018]],"','%d/%m/%Y'),",AZ367,"),","('",Tabla7[[#This Row],[CONTADOR]],"',STR_TO_DATE('",Tabla7[[#Headers],[15/05/2018]],"','%d/%m/%Y'),",BA367,"),","('",Tabla7[[#This Row],[CONTADOR]],"',STR_TO_DATE('",Tabla7[[#Headers],[15/06/2018]],"','%d/%m/%Y'),",BB367,"),","('",Tabla7[[#This Row],[CONTADOR]],"',STR_TO_DATE('",Tabla7[[#Headers],[15/07/2018]],"','%d/%m/%Y'),",BC367,"),","('",Tabla7[[#This Row],[CONTADOR]],"',STR_TO_DATE('",Tabla7[[#Headers],[15/08/2018]],"','%d/%m/%Y'),",BD367,"),","('",Tabla7[[#This Row],[CONTADOR]],"',STR_TO_DATE('",Tabla7[[#Headers],[15/09/2018]],"','%d/%m/%Y'),",BE367,"),","('",Tabla7[[#This Row],[CONTADOR]],"',STR_TO_DATE('",Tabla7[[#Headers],[15/10/2018]],"','%d/%m/%Y'),",BF367,"),","('",Tabla7[[#This Row],[CONTADOR]],"',STR_TO_DATE('",Tabla7[[#Headers],[15/11/2018]],"','%d/%m/%Y'),",BG367,"),","('",Tabla7[[#This Row],[CONTADOR]],"',STR_TO_DATE('",Tabla7[[#Headers],[15/12/2018]],"','%d/%m/%Y'),",BH367,");")</f>
        <v>insert into lecturas values ('LW00042788',STR_TO_DATE('31/12/2017','%d/%m/%Y'),6683),('LW00042788',STR_TO_DATE('15/01/2018','%d/%m/%Y'),6704),('LW00042788',STR_TO_DATE('15/02/2018','%d/%m/%Y'),6745),('LW00042788',STR_TO_DATE('15/03/2018','%d/%m/%Y'),6783),('LW00042788',STR_TO_DATE('15/04/2018','%d/%m/%Y'),6823),('LW00042788',STR_TO_DATE('15/05/2018','%d/%m/%Y'),6864),('LW00042788',STR_TO_DATE('15/06/2018','%d/%m/%Y'),6907),('LW00042788',STR_TO_DATE('15/07/2018','%d/%m/%Y'),6961),('LW00042788',STR_TO_DATE('15/08/2018','%d/%m/%Y'),7014),('LW00042788',STR_TO_DATE('15/09/2018','%d/%m/%Y'),7064),('LW00042788',STR_TO_DATE('15/10/2018','%d/%m/%Y'),7106),('LW00042788',STR_TO_DATE('15/11/2018','%d/%m/%Y'),7150),('LW00042788',STR_TO_DATE('15/12/2018','%d/%m/%Y'),7192);</v>
      </c>
    </row>
    <row r="368" spans="1:68" ht="18" customHeight="1" x14ac:dyDescent="0.25">
      <c r="A368" s="241" t="s">
        <v>19</v>
      </c>
      <c r="B368" s="60"/>
      <c r="C368" s="342" t="s">
        <v>213</v>
      </c>
      <c r="D368" s="60" t="s">
        <v>200</v>
      </c>
      <c r="E368" s="258">
        <v>39793</v>
      </c>
      <c r="F368" s="2" t="s">
        <v>214</v>
      </c>
      <c r="G368" s="2" t="s">
        <v>215</v>
      </c>
      <c r="H368" s="2"/>
      <c r="I368" s="2"/>
      <c r="J368" s="311">
        <v>60847</v>
      </c>
      <c r="K368" s="311">
        <v>61214</v>
      </c>
      <c r="L368" s="2">
        <v>61993</v>
      </c>
      <c r="M368" s="311">
        <v>62778</v>
      </c>
      <c r="N368" s="311">
        <v>63556</v>
      </c>
      <c r="O368" s="311">
        <v>64336</v>
      </c>
      <c r="P368" s="311">
        <v>65074</v>
      </c>
      <c r="Q368" s="275">
        <v>65902</v>
      </c>
      <c r="R368" s="275">
        <v>66705</v>
      </c>
      <c r="S368" s="311">
        <v>67563</v>
      </c>
      <c r="T368" s="311">
        <v>68315</v>
      </c>
      <c r="U368" s="531">
        <v>69186</v>
      </c>
      <c r="V368" s="353">
        <v>70100</v>
      </c>
      <c r="W368" s="2"/>
      <c r="X368" s="2"/>
      <c r="Y368" s="2">
        <f t="shared" si="120"/>
        <v>367</v>
      </c>
      <c r="Z368" s="2">
        <f t="shared" si="121"/>
        <v>779</v>
      </c>
      <c r="AA368" s="2">
        <f t="shared" si="134"/>
        <v>785</v>
      </c>
      <c r="AB368" s="2">
        <f t="shared" si="133"/>
        <v>778</v>
      </c>
      <c r="AC368" s="2">
        <f t="shared" si="122"/>
        <v>780</v>
      </c>
      <c r="AD368" s="2">
        <f t="shared" si="123"/>
        <v>738</v>
      </c>
      <c r="AE368" s="2">
        <f t="shared" si="124"/>
        <v>828</v>
      </c>
      <c r="AF368" s="2">
        <f t="shared" si="125"/>
        <v>803</v>
      </c>
      <c r="AG368" s="2">
        <f t="shared" si="126"/>
        <v>858</v>
      </c>
      <c r="AH368" s="2">
        <f t="shared" si="127"/>
        <v>752</v>
      </c>
      <c r="AI368" s="2">
        <f t="shared" si="128"/>
        <v>871</v>
      </c>
      <c r="AJ368" s="2">
        <f t="shared" si="129"/>
        <v>914</v>
      </c>
      <c r="AK368" s="406">
        <v>1</v>
      </c>
      <c r="AL368" s="274">
        <f t="shared" ca="1" si="116"/>
        <v>63556</v>
      </c>
      <c r="AM368" s="311">
        <f t="shared" ca="1" si="117"/>
        <v>64336</v>
      </c>
      <c r="AN368" s="274">
        <f ca="1">IF(AND(Tabla7[[#This Row],[UltLec]]&lt;&gt;0,Tabla7[[#This Row],[PenLect]]&lt;&gt;0),(AM368-AL368)*Tabla7[[#This Row],[RT]],"N/A")</f>
        <v>780</v>
      </c>
      <c r="AO368" s="273" t="s">
        <v>862</v>
      </c>
      <c r="AP368" s="392" t="s">
        <v>1190</v>
      </c>
      <c r="AQ368" s="392" t="s">
        <v>1189</v>
      </c>
      <c r="AR368" s="407">
        <f t="shared" si="118"/>
        <v>0</v>
      </c>
      <c r="AT368" s="2">
        <f t="shared" ca="1" si="119"/>
        <v>1.0025706940874035</v>
      </c>
      <c r="AV368">
        <f>IF(ISBLANK(Tabla7[[#This Row],[31/12/2017]]),0,Tabla7[[#This Row],[31/12/2017]])</f>
        <v>60847</v>
      </c>
      <c r="AW368">
        <f>IF(ISBLANK(Tabla7[[#This Row],[15/01/2018]]),0,Tabla7[[#This Row],[15/01/2018]])</f>
        <v>61214</v>
      </c>
      <c r="AX368">
        <f>IF(ISBLANK(Tabla7[[#This Row],[15/02/2018]]),0,Tabla7[[#This Row],[15/02/2018]])</f>
        <v>61993</v>
      </c>
      <c r="AY368">
        <f>IF(ISBLANK(Tabla7[[#This Row],[15/03/2018]]),0,Tabla7[[#This Row],[15/03/2018]])</f>
        <v>62778</v>
      </c>
      <c r="AZ368">
        <f>IF(ISBLANK(Tabla7[[#This Row],[15/04/2018]]),0,Tabla7[[#This Row],[15/04/2018]])</f>
        <v>63556</v>
      </c>
      <c r="BA368">
        <f>IF(ISBLANK(Tabla7[[#This Row],[15/05/2018]]),0,Tabla7[[#This Row],[15/05/2018]])</f>
        <v>64336</v>
      </c>
      <c r="BB368">
        <f>IF(ISBLANK(Tabla7[[#This Row],[15/06/2018]]),0,Tabla7[[#This Row],[15/06/2018]])</f>
        <v>65074</v>
      </c>
      <c r="BC368">
        <f>IF(ISBLANK(Tabla7[[#This Row],[15/07/2018]]),0,Tabla7[[#This Row],[15/07/2018]])</f>
        <v>65902</v>
      </c>
      <c r="BD368">
        <f>IF(ISBLANK(Tabla7[[#This Row],[15/08/2018]]),0,Tabla7[[#This Row],[15/08/2018]])</f>
        <v>66705</v>
      </c>
      <c r="BE368">
        <f>IF(ISBLANK(Tabla7[[#This Row],[15/09/2018]]),0,Tabla7[[#This Row],[15/09/2018]])</f>
        <v>67563</v>
      </c>
      <c r="BF368">
        <f>IF(ISBLANK(Tabla7[[#This Row],[15/10/2018]]),0,Tabla7[[#This Row],[15/10/2018]])</f>
        <v>68315</v>
      </c>
      <c r="BG368">
        <f>IF(ISBLANK(Tabla7[[#This Row],[15/11/2018]]),0,Tabla7[[#This Row],[15/11/2018]])</f>
        <v>69186</v>
      </c>
      <c r="BH368">
        <f>IF(ISBLANK(Tabla7[[#This Row],[15/12/2018]]),0,Tabla7[[#This Row],[15/12/2018]])</f>
        <v>70100</v>
      </c>
      <c r="BI368">
        <f>IF(ISBLANK(Tabla7[[#This Row],[28/12/2018]]),0,Tabla7[[#This Row],[28/12/2018]])</f>
        <v>0</v>
      </c>
      <c r="BN36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('LW00042835','V','VCT23','39793','EXCM. AYUNTAMIENTO DE VALENCIA','JUNTO AL RIO Y VELAS LLUCH','','');</v>
      </c>
      <c r="BO368" t="s">
        <v>243</v>
      </c>
      <c r="BP368" s="632" t="str">
        <f>CONCATENATE("insert into lecturas values ","('",Tabla7[[#This Row],[CONTADOR]],"',STR_TO_DATE('",Tabla7[[#Headers],[31/12/2017]],"','%d/%m/%Y'),",AV368,"),","('",Tabla7[[#This Row],[CONTADOR]],"',STR_TO_DATE('",Tabla7[[#Headers],[15/01/2018]],"','%d/%m/%Y'),",AW368,"),","('",Tabla7[[#This Row],[CONTADOR]],"',STR_TO_DATE('",Tabla7[[#Headers],[15/02/2018]],"','%d/%m/%Y'),",AX368,"),","('",Tabla7[[#This Row],[CONTADOR]],"',STR_TO_DATE('",Tabla7[[#Headers],[15/03/2018]],"','%d/%m/%Y'),",AY368,"),","('",Tabla7[[#This Row],[CONTADOR]],"',STR_TO_DATE('",Tabla7[[#Headers],[15/04/2018]],"','%d/%m/%Y'),",AZ368,"),","('",Tabla7[[#This Row],[CONTADOR]],"',STR_TO_DATE('",Tabla7[[#Headers],[15/05/2018]],"','%d/%m/%Y'),",BA368,"),","('",Tabla7[[#This Row],[CONTADOR]],"',STR_TO_DATE('",Tabla7[[#Headers],[15/06/2018]],"','%d/%m/%Y'),",BB368,"),","('",Tabla7[[#This Row],[CONTADOR]],"',STR_TO_DATE('",Tabla7[[#Headers],[15/07/2018]],"','%d/%m/%Y'),",BC368,"),","('",Tabla7[[#This Row],[CONTADOR]],"',STR_TO_DATE('",Tabla7[[#Headers],[15/08/2018]],"','%d/%m/%Y'),",BD368,"),","('",Tabla7[[#This Row],[CONTADOR]],"',STR_TO_DATE('",Tabla7[[#Headers],[15/09/2018]],"','%d/%m/%Y'),",BE368,"),","('",Tabla7[[#This Row],[CONTADOR]],"',STR_TO_DATE('",Tabla7[[#Headers],[15/10/2018]],"','%d/%m/%Y'),",BF368,"),","('",Tabla7[[#This Row],[CONTADOR]],"',STR_TO_DATE('",Tabla7[[#Headers],[15/11/2018]],"','%d/%m/%Y'),",BG368,"),","('",Tabla7[[#This Row],[CONTADOR]],"',STR_TO_DATE('",Tabla7[[#Headers],[15/12/2018]],"','%d/%m/%Y'),",BH368,");")</f>
        <v>insert into lecturas values ('LW00042835',STR_TO_DATE('31/12/2017','%d/%m/%Y'),60847),('LW00042835',STR_TO_DATE('15/01/2018','%d/%m/%Y'),61214),('LW00042835',STR_TO_DATE('15/02/2018','%d/%m/%Y'),61993),('LW00042835',STR_TO_DATE('15/03/2018','%d/%m/%Y'),62778),('LW00042835',STR_TO_DATE('15/04/2018','%d/%m/%Y'),63556),('LW00042835',STR_TO_DATE('15/05/2018','%d/%m/%Y'),64336),('LW00042835',STR_TO_DATE('15/06/2018','%d/%m/%Y'),65074),('LW00042835',STR_TO_DATE('15/07/2018','%d/%m/%Y'),65902),('LW00042835',STR_TO_DATE('15/08/2018','%d/%m/%Y'),66705),('LW00042835',STR_TO_DATE('15/09/2018','%d/%m/%Y'),67563),('LW00042835',STR_TO_DATE('15/10/2018','%d/%m/%Y'),68315),('LW00042835',STR_TO_DATE('15/11/2018','%d/%m/%Y'),69186),('LW00042835',STR_TO_DATE('15/12/2018','%d/%m/%Y'),70100);</v>
      </c>
    </row>
    <row r="369" spans="1:68" ht="18" customHeight="1" x14ac:dyDescent="0.25">
      <c r="A369" s="362" t="s">
        <v>739</v>
      </c>
      <c r="B369" s="60"/>
      <c r="C369" s="363" t="s">
        <v>206</v>
      </c>
      <c r="D369" s="364" t="s">
        <v>200</v>
      </c>
      <c r="E369" s="365">
        <v>150</v>
      </c>
      <c r="F369" s="367" t="s">
        <v>894</v>
      </c>
      <c r="G369" s="367" t="s">
        <v>101</v>
      </c>
      <c r="H369" s="367" t="s">
        <v>746</v>
      </c>
      <c r="I369" s="367"/>
      <c r="J369" s="368"/>
      <c r="K369" s="368"/>
      <c r="L369" s="366"/>
      <c r="M369" s="368"/>
      <c r="N369" s="368"/>
      <c r="O369" s="368"/>
      <c r="P369" s="368"/>
      <c r="Q369" s="367"/>
      <c r="R369" s="366"/>
      <c r="S369" s="367"/>
      <c r="T369" s="367"/>
      <c r="U369" s="614"/>
      <c r="V369" s="366"/>
      <c r="W369" s="366"/>
      <c r="X369" s="367"/>
      <c r="Y369" s="367" t="str">
        <f t="shared" si="120"/>
        <v/>
      </c>
      <c r="Z369" s="367" t="str">
        <f t="shared" si="121"/>
        <v/>
      </c>
      <c r="AA369" s="367" t="str">
        <f t="shared" si="134"/>
        <v/>
      </c>
      <c r="AB369" s="367" t="str">
        <f t="shared" si="133"/>
        <v/>
      </c>
      <c r="AC369" s="367" t="str">
        <f t="shared" si="122"/>
        <v/>
      </c>
      <c r="AD369" s="367" t="str">
        <f t="shared" si="123"/>
        <v/>
      </c>
      <c r="AE369" s="367" t="str">
        <f t="shared" si="124"/>
        <v/>
      </c>
      <c r="AF369" s="367" t="str">
        <f t="shared" si="125"/>
        <v/>
      </c>
      <c r="AG369" s="367" t="str">
        <f t="shared" si="126"/>
        <v/>
      </c>
      <c r="AH369" s="367" t="str">
        <f t="shared" si="127"/>
        <v/>
      </c>
      <c r="AI369" s="367" t="str">
        <f t="shared" si="128"/>
        <v/>
      </c>
      <c r="AJ369" s="367" t="str">
        <f t="shared" si="129"/>
        <v/>
      </c>
      <c r="AK369" s="414">
        <v>1</v>
      </c>
      <c r="AL369" s="366">
        <f t="shared" ca="1" si="116"/>
        <v>0</v>
      </c>
      <c r="AM369" s="368">
        <f t="shared" ca="1" si="117"/>
        <v>0</v>
      </c>
      <c r="AN369" s="366" t="str">
        <f ca="1">IF(AND(Tabla7[[#This Row],[UltLec]]&lt;&gt;0,Tabla7[[#This Row],[PenLect]]&lt;&gt;0),(AM369-AL369)*Tabla7[[#This Row],[RT]],"N/A")</f>
        <v>N/A</v>
      </c>
      <c r="AO369" s="370"/>
      <c r="AP369" s="392" t="s">
        <v>1190</v>
      </c>
      <c r="AQ369" s="392" t="s">
        <v>1189</v>
      </c>
      <c r="AR369" s="415">
        <f t="shared" si="118"/>
        <v>0</v>
      </c>
      <c r="AT369" s="2" t="e">
        <f t="shared" ca="1" si="119"/>
        <v>#VALUE!</v>
      </c>
      <c r="AV369">
        <f>IF(ISBLANK(Tabla7[[#This Row],[31/12/2017]]),0,Tabla7[[#This Row],[31/12/2017]])</f>
        <v>0</v>
      </c>
      <c r="AW369">
        <f>IF(ISBLANK(Tabla7[[#This Row],[15/01/2018]]),0,Tabla7[[#This Row],[15/01/2018]])</f>
        <v>0</v>
      </c>
      <c r="AX369">
        <f>IF(ISBLANK(Tabla7[[#This Row],[15/02/2018]]),0,Tabla7[[#This Row],[15/02/2018]])</f>
        <v>0</v>
      </c>
      <c r="AY369">
        <f>IF(ISBLANK(Tabla7[[#This Row],[15/03/2018]]),0,Tabla7[[#This Row],[15/03/2018]])</f>
        <v>0</v>
      </c>
      <c r="AZ369">
        <f>IF(ISBLANK(Tabla7[[#This Row],[15/04/2018]]),0,Tabla7[[#This Row],[15/04/2018]])</f>
        <v>0</v>
      </c>
      <c r="BA369">
        <f>IF(ISBLANK(Tabla7[[#This Row],[15/05/2018]]),0,Tabla7[[#This Row],[15/05/2018]])</f>
        <v>0</v>
      </c>
      <c r="BB369">
        <f>IF(ISBLANK(Tabla7[[#This Row],[15/06/2018]]),0,Tabla7[[#This Row],[15/06/2018]])</f>
        <v>0</v>
      </c>
      <c r="BC369">
        <f>IF(ISBLANK(Tabla7[[#This Row],[15/07/2018]]),0,Tabla7[[#This Row],[15/07/2018]])</f>
        <v>0</v>
      </c>
      <c r="BD369">
        <f>IF(ISBLANK(Tabla7[[#This Row],[15/08/2018]]),0,Tabla7[[#This Row],[15/08/2018]])</f>
        <v>0</v>
      </c>
      <c r="BE369">
        <f>IF(ISBLANK(Tabla7[[#This Row],[15/09/2018]]),0,Tabla7[[#This Row],[15/09/2018]])</f>
        <v>0</v>
      </c>
      <c r="BF369">
        <f>IF(ISBLANK(Tabla7[[#This Row],[15/10/2018]]),0,Tabla7[[#This Row],[15/10/2018]])</f>
        <v>0</v>
      </c>
      <c r="BG369">
        <f>IF(ISBLANK(Tabla7[[#This Row],[15/11/2018]]),0,Tabla7[[#This Row],[15/11/2018]])</f>
        <v>0</v>
      </c>
      <c r="BH369">
        <f>IF(ISBLANK(Tabla7[[#This Row],[15/12/2018]]),0,Tabla7[[#This Row],[15/12/2018]])</f>
        <v>0</v>
      </c>
      <c r="BI369">
        <f>IF(ISBLANK(Tabla7[[#This Row],[28/12/2018]]),0,Tabla7[[#This Row],[28/12/2018]])</f>
        <v>0</v>
      </c>
      <c r="BN36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('LW00043105','VREP','VCT23','150','APV EMBARCACIONES MENORES Y EXC AYUNTAMIENTO','EN CENTRALIZACION','EMBARCACIONES MENORES Y EXC AYUNTAMIENTO','');</v>
      </c>
      <c r="BO369" t="s">
        <v>243</v>
      </c>
      <c r="BP369" s="632" t="str">
        <f>CONCATENATE("insert into lecturas values ","('",Tabla7[[#This Row],[CONTADOR]],"',STR_TO_DATE('",Tabla7[[#Headers],[31/12/2017]],"','%d/%m/%Y'),",AV369,"),","('",Tabla7[[#This Row],[CONTADOR]],"',STR_TO_DATE('",Tabla7[[#Headers],[15/01/2018]],"','%d/%m/%Y'),",AW369,"),","('",Tabla7[[#This Row],[CONTADOR]],"',STR_TO_DATE('",Tabla7[[#Headers],[15/02/2018]],"','%d/%m/%Y'),",AX369,"),","('",Tabla7[[#This Row],[CONTADOR]],"',STR_TO_DATE('",Tabla7[[#Headers],[15/03/2018]],"','%d/%m/%Y'),",AY369,"),","('",Tabla7[[#This Row],[CONTADOR]],"',STR_TO_DATE('",Tabla7[[#Headers],[15/04/2018]],"','%d/%m/%Y'),",AZ369,"),","('",Tabla7[[#This Row],[CONTADOR]],"',STR_TO_DATE('",Tabla7[[#Headers],[15/05/2018]],"','%d/%m/%Y'),",BA369,"),","('",Tabla7[[#This Row],[CONTADOR]],"',STR_TO_DATE('",Tabla7[[#Headers],[15/06/2018]],"','%d/%m/%Y'),",BB369,"),","('",Tabla7[[#This Row],[CONTADOR]],"',STR_TO_DATE('",Tabla7[[#Headers],[15/07/2018]],"','%d/%m/%Y'),",BC369,"),","('",Tabla7[[#This Row],[CONTADOR]],"',STR_TO_DATE('",Tabla7[[#Headers],[15/08/2018]],"','%d/%m/%Y'),",BD369,"),","('",Tabla7[[#This Row],[CONTADOR]],"',STR_TO_DATE('",Tabla7[[#Headers],[15/09/2018]],"','%d/%m/%Y'),",BE369,"),","('",Tabla7[[#This Row],[CONTADOR]],"',STR_TO_DATE('",Tabla7[[#Headers],[15/10/2018]],"','%d/%m/%Y'),",BF369,"),","('",Tabla7[[#This Row],[CONTADOR]],"',STR_TO_DATE('",Tabla7[[#Headers],[15/11/2018]],"','%d/%m/%Y'),",BG369,"),","('",Tabla7[[#This Row],[CONTADOR]],"',STR_TO_DATE('",Tabla7[[#Headers],[15/12/2018]],"','%d/%m/%Y'),",BH369,");")</f>
        <v>insert into lecturas values ('LW00043105',STR_TO_DATE('31/12/2017','%d/%m/%Y'),0),('LW00043105',STR_TO_DATE('15/01/2018','%d/%m/%Y'),0),('LW00043105',STR_TO_DATE('15/02/2018','%d/%m/%Y'),0),('LW00043105',STR_TO_DATE('15/03/2018','%d/%m/%Y'),0),('LW00043105',STR_TO_DATE('15/04/2018','%d/%m/%Y'),0),('LW00043105',STR_TO_DATE('15/05/2018','%d/%m/%Y'),0),('LW00043105',STR_TO_DATE('15/06/2018','%d/%m/%Y'),0),('LW00043105',STR_TO_DATE('15/07/2018','%d/%m/%Y'),0),('LW00043105',STR_TO_DATE('15/08/2018','%d/%m/%Y'),0),('LW00043105',STR_TO_DATE('15/09/2018','%d/%m/%Y'),0),('LW00043105',STR_TO_DATE('15/10/2018','%d/%m/%Y'),0),('LW00043105',STR_TO_DATE('15/11/2018','%d/%m/%Y'),0),('LW00043105',STR_TO_DATE('15/12/2018','%d/%m/%Y'),0);</v>
      </c>
    </row>
    <row r="370" spans="1:68" ht="18" customHeight="1" x14ac:dyDescent="0.25">
      <c r="A370" s="241" t="s">
        <v>19</v>
      </c>
      <c r="B370" s="60">
        <v>1386</v>
      </c>
      <c r="C370" s="342" t="s">
        <v>207</v>
      </c>
      <c r="D370" s="60" t="s">
        <v>200</v>
      </c>
      <c r="E370" s="258">
        <v>39238</v>
      </c>
      <c r="F370" s="2" t="s">
        <v>208</v>
      </c>
      <c r="G370" s="2" t="s">
        <v>991</v>
      </c>
      <c r="H370" s="2"/>
      <c r="I370" s="2"/>
      <c r="J370" s="311">
        <v>154544</v>
      </c>
      <c r="K370" s="311">
        <v>155262</v>
      </c>
      <c r="L370" s="2">
        <v>156449</v>
      </c>
      <c r="M370" s="311">
        <v>157513</v>
      </c>
      <c r="N370" s="311">
        <v>158518</v>
      </c>
      <c r="O370" s="311">
        <v>159470</v>
      </c>
      <c r="P370" s="311">
        <v>160570</v>
      </c>
      <c r="Q370" s="275">
        <v>162197</v>
      </c>
      <c r="R370" s="275">
        <v>163836</v>
      </c>
      <c r="S370" s="311">
        <v>165433</v>
      </c>
      <c r="T370" s="311">
        <v>166626</v>
      </c>
      <c r="U370" s="531">
        <v>167765</v>
      </c>
      <c r="V370" s="531">
        <v>168967</v>
      </c>
      <c r="W370" s="2"/>
      <c r="X370" s="2"/>
      <c r="Y370" s="2">
        <f t="shared" si="120"/>
        <v>718</v>
      </c>
      <c r="Z370" s="2">
        <f t="shared" si="121"/>
        <v>1187</v>
      </c>
      <c r="AA370" s="2">
        <f t="shared" si="134"/>
        <v>1064</v>
      </c>
      <c r="AB370" s="2">
        <f t="shared" si="133"/>
        <v>1005</v>
      </c>
      <c r="AC370" s="2">
        <f t="shared" si="122"/>
        <v>952</v>
      </c>
      <c r="AD370" s="2">
        <f t="shared" si="123"/>
        <v>1100</v>
      </c>
      <c r="AE370" s="2">
        <f t="shared" si="124"/>
        <v>1627</v>
      </c>
      <c r="AF370" s="2">
        <f t="shared" si="125"/>
        <v>1639</v>
      </c>
      <c r="AG370" s="2">
        <f t="shared" si="126"/>
        <v>1597</v>
      </c>
      <c r="AH370" s="2">
        <f t="shared" si="127"/>
        <v>1193</v>
      </c>
      <c r="AI370" s="2">
        <f t="shared" si="128"/>
        <v>1139</v>
      </c>
      <c r="AJ370" s="2">
        <f t="shared" si="129"/>
        <v>1202</v>
      </c>
      <c r="AK370" s="406">
        <v>1</v>
      </c>
      <c r="AL370" s="274">
        <f t="shared" ca="1" si="116"/>
        <v>158518</v>
      </c>
      <c r="AM370" s="311">
        <f t="shared" ca="1" si="117"/>
        <v>159470</v>
      </c>
      <c r="AN370" s="274">
        <f ca="1">IF(AND(Tabla7[[#This Row],[UltLec]]&lt;&gt;0,Tabla7[[#This Row],[PenLect]]&lt;&gt;0),(AM370-AL370)*Tabla7[[#This Row],[RT]],"N/A")</f>
        <v>952</v>
      </c>
      <c r="AO370" s="273" t="s">
        <v>862</v>
      </c>
      <c r="AP370" s="392" t="s">
        <v>1190</v>
      </c>
      <c r="AQ370" s="392" t="s">
        <v>1189</v>
      </c>
      <c r="AR370" s="407">
        <f t="shared" si="118"/>
        <v>0</v>
      </c>
      <c r="AT370" s="2">
        <f t="shared" ca="1" si="119"/>
        <v>0.94726368159203977</v>
      </c>
      <c r="AV370">
        <f>IF(ISBLANK(Tabla7[[#This Row],[31/12/2017]]),0,Tabla7[[#This Row],[31/12/2017]])</f>
        <v>154544</v>
      </c>
      <c r="AW370">
        <f>IF(ISBLANK(Tabla7[[#This Row],[15/01/2018]]),0,Tabla7[[#This Row],[15/01/2018]])</f>
        <v>155262</v>
      </c>
      <c r="AX370">
        <f>IF(ISBLANK(Tabla7[[#This Row],[15/02/2018]]),0,Tabla7[[#This Row],[15/02/2018]])</f>
        <v>156449</v>
      </c>
      <c r="AY370">
        <f>IF(ISBLANK(Tabla7[[#This Row],[15/03/2018]]),0,Tabla7[[#This Row],[15/03/2018]])</f>
        <v>157513</v>
      </c>
      <c r="AZ370">
        <f>IF(ISBLANK(Tabla7[[#This Row],[15/04/2018]]),0,Tabla7[[#This Row],[15/04/2018]])</f>
        <v>158518</v>
      </c>
      <c r="BA370">
        <f>IF(ISBLANK(Tabla7[[#This Row],[15/05/2018]]),0,Tabla7[[#This Row],[15/05/2018]])</f>
        <v>159470</v>
      </c>
      <c r="BB370">
        <f>IF(ISBLANK(Tabla7[[#This Row],[15/06/2018]]),0,Tabla7[[#This Row],[15/06/2018]])</f>
        <v>160570</v>
      </c>
      <c r="BC370">
        <f>IF(ISBLANK(Tabla7[[#This Row],[15/07/2018]]),0,Tabla7[[#This Row],[15/07/2018]])</f>
        <v>162197</v>
      </c>
      <c r="BD370">
        <f>IF(ISBLANK(Tabla7[[#This Row],[15/08/2018]]),0,Tabla7[[#This Row],[15/08/2018]])</f>
        <v>163836</v>
      </c>
      <c r="BE370">
        <f>IF(ISBLANK(Tabla7[[#This Row],[15/09/2018]]),0,Tabla7[[#This Row],[15/09/2018]])</f>
        <v>165433</v>
      </c>
      <c r="BF370">
        <f>IF(ISBLANK(Tabla7[[#This Row],[15/10/2018]]),0,Tabla7[[#This Row],[15/10/2018]])</f>
        <v>166626</v>
      </c>
      <c r="BG370">
        <f>IF(ISBLANK(Tabla7[[#This Row],[15/11/2018]]),0,Tabla7[[#This Row],[15/11/2018]])</f>
        <v>167765</v>
      </c>
      <c r="BH370">
        <f>IF(ISBLANK(Tabla7[[#This Row],[15/12/2018]]),0,Tabla7[[#This Row],[15/12/2018]])</f>
        <v>168967</v>
      </c>
      <c r="BI370">
        <f>IF(ISBLANK(Tabla7[[#This Row],[28/12/2018]]),0,Tabla7[[#This Row],[28/12/2018]])</f>
        <v>0</v>
      </c>
      <c r="BN37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('LW00044314','V','VCT23','39238','SERVIPORT MARITIMA SL','EN CENTRALIZACION (5)','','');</v>
      </c>
      <c r="BO370" t="s">
        <v>243</v>
      </c>
      <c r="BP370" s="632" t="str">
        <f>CONCATENATE("insert into lecturas values ","('",Tabla7[[#This Row],[CONTADOR]],"',STR_TO_DATE('",Tabla7[[#Headers],[31/12/2017]],"','%d/%m/%Y'),",AV370,"),","('",Tabla7[[#This Row],[CONTADOR]],"',STR_TO_DATE('",Tabla7[[#Headers],[15/01/2018]],"','%d/%m/%Y'),",AW370,"),","('",Tabla7[[#This Row],[CONTADOR]],"',STR_TO_DATE('",Tabla7[[#Headers],[15/02/2018]],"','%d/%m/%Y'),",AX370,"),","('",Tabla7[[#This Row],[CONTADOR]],"',STR_TO_DATE('",Tabla7[[#Headers],[15/03/2018]],"','%d/%m/%Y'),",AY370,"),","('",Tabla7[[#This Row],[CONTADOR]],"',STR_TO_DATE('",Tabla7[[#Headers],[15/04/2018]],"','%d/%m/%Y'),",AZ370,"),","('",Tabla7[[#This Row],[CONTADOR]],"',STR_TO_DATE('",Tabla7[[#Headers],[15/05/2018]],"','%d/%m/%Y'),",BA370,"),","('",Tabla7[[#This Row],[CONTADOR]],"',STR_TO_DATE('",Tabla7[[#Headers],[15/06/2018]],"','%d/%m/%Y'),",BB370,"),","('",Tabla7[[#This Row],[CONTADOR]],"',STR_TO_DATE('",Tabla7[[#Headers],[15/07/2018]],"','%d/%m/%Y'),",BC370,"),","('",Tabla7[[#This Row],[CONTADOR]],"',STR_TO_DATE('",Tabla7[[#Headers],[15/08/2018]],"','%d/%m/%Y'),",BD370,"),","('",Tabla7[[#This Row],[CONTADOR]],"',STR_TO_DATE('",Tabla7[[#Headers],[15/09/2018]],"','%d/%m/%Y'),",BE370,"),","('",Tabla7[[#This Row],[CONTADOR]],"',STR_TO_DATE('",Tabla7[[#Headers],[15/10/2018]],"','%d/%m/%Y'),",BF370,"),","('",Tabla7[[#This Row],[CONTADOR]],"',STR_TO_DATE('",Tabla7[[#Headers],[15/11/2018]],"','%d/%m/%Y'),",BG370,"),","('",Tabla7[[#This Row],[CONTADOR]],"',STR_TO_DATE('",Tabla7[[#Headers],[15/12/2018]],"','%d/%m/%Y'),",BH370,");")</f>
        <v>insert into lecturas values ('LW00044314',STR_TO_DATE('31/12/2017','%d/%m/%Y'),154544),('LW00044314',STR_TO_DATE('15/01/2018','%d/%m/%Y'),155262),('LW00044314',STR_TO_DATE('15/02/2018','%d/%m/%Y'),156449),('LW00044314',STR_TO_DATE('15/03/2018','%d/%m/%Y'),157513),('LW00044314',STR_TO_DATE('15/04/2018','%d/%m/%Y'),158518),('LW00044314',STR_TO_DATE('15/05/2018','%d/%m/%Y'),159470),('LW00044314',STR_TO_DATE('15/06/2018','%d/%m/%Y'),160570),('LW00044314',STR_TO_DATE('15/07/2018','%d/%m/%Y'),162197),('LW00044314',STR_TO_DATE('15/08/2018','%d/%m/%Y'),163836),('LW00044314',STR_TO_DATE('15/09/2018','%d/%m/%Y'),165433),('LW00044314',STR_TO_DATE('15/10/2018','%d/%m/%Y'),166626),('LW00044314',STR_TO_DATE('15/11/2018','%d/%m/%Y'),167765),('LW00044314',STR_TO_DATE('15/12/2018','%d/%m/%Y'),168967);</v>
      </c>
    </row>
    <row r="371" spans="1:68" ht="18" customHeight="1" x14ac:dyDescent="0.25">
      <c r="A371" s="372" t="s">
        <v>1196</v>
      </c>
      <c r="B371" s="60"/>
      <c r="C371" s="373" t="s">
        <v>209</v>
      </c>
      <c r="D371" s="374" t="s">
        <v>200</v>
      </c>
      <c r="E371" s="375">
        <v>39402</v>
      </c>
      <c r="F371" s="376" t="s">
        <v>210</v>
      </c>
      <c r="G371" s="376" t="s">
        <v>211</v>
      </c>
      <c r="H371" s="376"/>
      <c r="I371" s="376" t="s">
        <v>212</v>
      </c>
      <c r="J371" s="383"/>
      <c r="K371" s="383"/>
      <c r="L371" s="376"/>
      <c r="M371" s="376"/>
      <c r="N371" s="376"/>
      <c r="O371" s="376"/>
      <c r="P371" s="376"/>
      <c r="Q371" s="377"/>
      <c r="R371" s="376"/>
      <c r="S371" s="311"/>
      <c r="T371" s="311"/>
      <c r="U371" s="519"/>
      <c r="V371" s="377"/>
      <c r="W371" s="376"/>
      <c r="X371" s="376"/>
      <c r="Y371" s="376" t="str">
        <f t="shared" si="120"/>
        <v/>
      </c>
      <c r="Z371" s="376" t="str">
        <f t="shared" si="121"/>
        <v/>
      </c>
      <c r="AA371" s="376" t="str">
        <f t="shared" si="134"/>
        <v/>
      </c>
      <c r="AB371" s="376" t="str">
        <f t="shared" si="133"/>
        <v/>
      </c>
      <c r="AC371" s="376" t="str">
        <f t="shared" si="122"/>
        <v/>
      </c>
      <c r="AD371" s="376" t="str">
        <f t="shared" si="123"/>
        <v/>
      </c>
      <c r="AE371" s="376" t="str">
        <f t="shared" si="124"/>
        <v/>
      </c>
      <c r="AF371" s="376" t="str">
        <f t="shared" si="125"/>
        <v/>
      </c>
      <c r="AG371" s="376" t="str">
        <f t="shared" si="126"/>
        <v/>
      </c>
      <c r="AH371" s="376" t="str">
        <f t="shared" si="127"/>
        <v/>
      </c>
      <c r="AI371" s="376" t="str">
        <f t="shared" si="128"/>
        <v/>
      </c>
      <c r="AJ371" s="376" t="str">
        <f t="shared" si="129"/>
        <v/>
      </c>
      <c r="AK371" s="408">
        <v>1</v>
      </c>
      <c r="AL371" s="377">
        <f t="shared" ca="1" si="116"/>
        <v>0</v>
      </c>
      <c r="AM371" s="383">
        <f t="shared" ca="1" si="117"/>
        <v>0</v>
      </c>
      <c r="AN371" s="377" t="str">
        <f ca="1">IF(AND(Tabla7[[#This Row],[UltLec]]&lt;&gt;0,Tabla7[[#This Row],[PenLect]]&lt;&gt;0),(AM371-AL371)*Tabla7[[#This Row],[RT]],"N/A")</f>
        <v>N/A</v>
      </c>
      <c r="AO371" s="380" t="s">
        <v>1281</v>
      </c>
      <c r="AP371" s="433" t="s">
        <v>1190</v>
      </c>
      <c r="AQ371" s="433" t="s">
        <v>1189</v>
      </c>
      <c r="AR371" s="409">
        <f t="shared" si="118"/>
        <v>0</v>
      </c>
      <c r="AT371" s="2" t="e">
        <f t="shared" ca="1" si="119"/>
        <v>#VALUE!</v>
      </c>
      <c r="AV371">
        <f>IF(ISBLANK(Tabla7[[#This Row],[31/12/2017]]),0,Tabla7[[#This Row],[31/12/2017]])</f>
        <v>0</v>
      </c>
      <c r="AW371">
        <f>IF(ISBLANK(Tabla7[[#This Row],[15/01/2018]]),0,Tabla7[[#This Row],[15/01/2018]])</f>
        <v>0</v>
      </c>
      <c r="AX371">
        <f>IF(ISBLANK(Tabla7[[#This Row],[15/02/2018]]),0,Tabla7[[#This Row],[15/02/2018]])</f>
        <v>0</v>
      </c>
      <c r="AY371">
        <f>IF(ISBLANK(Tabla7[[#This Row],[15/03/2018]]),0,Tabla7[[#This Row],[15/03/2018]])</f>
        <v>0</v>
      </c>
      <c r="AZ371">
        <f>IF(ISBLANK(Tabla7[[#This Row],[15/04/2018]]),0,Tabla7[[#This Row],[15/04/2018]])</f>
        <v>0</v>
      </c>
      <c r="BA371">
        <f>IF(ISBLANK(Tabla7[[#This Row],[15/05/2018]]),0,Tabla7[[#This Row],[15/05/2018]])</f>
        <v>0</v>
      </c>
      <c r="BB371">
        <f>IF(ISBLANK(Tabla7[[#This Row],[15/06/2018]]),0,Tabla7[[#This Row],[15/06/2018]])</f>
        <v>0</v>
      </c>
      <c r="BC371">
        <f>IF(ISBLANK(Tabla7[[#This Row],[15/07/2018]]),0,Tabla7[[#This Row],[15/07/2018]])</f>
        <v>0</v>
      </c>
      <c r="BD371">
        <f>IF(ISBLANK(Tabla7[[#This Row],[15/08/2018]]),0,Tabla7[[#This Row],[15/08/2018]])</f>
        <v>0</v>
      </c>
      <c r="BE371">
        <f>IF(ISBLANK(Tabla7[[#This Row],[15/09/2018]]),0,Tabla7[[#This Row],[15/09/2018]])</f>
        <v>0</v>
      </c>
      <c r="BF371">
        <f>IF(ISBLANK(Tabla7[[#This Row],[15/10/2018]]),0,Tabla7[[#This Row],[15/10/2018]])</f>
        <v>0</v>
      </c>
      <c r="BG371">
        <f>IF(ISBLANK(Tabla7[[#This Row],[15/11/2018]]),0,Tabla7[[#This Row],[15/11/2018]])</f>
        <v>0</v>
      </c>
      <c r="BH371">
        <f>IF(ISBLANK(Tabla7[[#This Row],[15/12/2018]]),0,Tabla7[[#This Row],[15/12/2018]])</f>
        <v>0</v>
      </c>
      <c r="BI371">
        <f>IF(ISBLANK(Tabla7[[#This Row],[28/12/2018]]),0,Tabla7[[#This Row],[28/12/2018]])</f>
        <v>0</v>
      </c>
      <c r="BN37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('LW00112662','VBAJA','VCT23','39402','CRUZ ROJA ESPAÑOLA','DENTRO CRUZ ROJA','','Resta a 39340');</v>
      </c>
      <c r="BO371" t="s">
        <v>243</v>
      </c>
      <c r="BP371" s="632" t="str">
        <f>CONCATENATE("insert into lecturas values ","('",Tabla7[[#This Row],[CONTADOR]],"',STR_TO_DATE('",Tabla7[[#Headers],[31/12/2017]],"','%d/%m/%Y'),",AV371,"),","('",Tabla7[[#This Row],[CONTADOR]],"',STR_TO_DATE('",Tabla7[[#Headers],[15/01/2018]],"','%d/%m/%Y'),",AW371,"),","('",Tabla7[[#This Row],[CONTADOR]],"',STR_TO_DATE('",Tabla7[[#Headers],[15/02/2018]],"','%d/%m/%Y'),",AX371,"),","('",Tabla7[[#This Row],[CONTADOR]],"',STR_TO_DATE('",Tabla7[[#Headers],[15/03/2018]],"','%d/%m/%Y'),",AY371,"),","('",Tabla7[[#This Row],[CONTADOR]],"',STR_TO_DATE('",Tabla7[[#Headers],[15/04/2018]],"','%d/%m/%Y'),",AZ371,"),","('",Tabla7[[#This Row],[CONTADOR]],"',STR_TO_DATE('",Tabla7[[#Headers],[15/05/2018]],"','%d/%m/%Y'),",BA371,"),","('",Tabla7[[#This Row],[CONTADOR]],"',STR_TO_DATE('",Tabla7[[#Headers],[15/06/2018]],"','%d/%m/%Y'),",BB371,"),","('",Tabla7[[#This Row],[CONTADOR]],"',STR_TO_DATE('",Tabla7[[#Headers],[15/07/2018]],"','%d/%m/%Y'),",BC371,"),","('",Tabla7[[#This Row],[CONTADOR]],"',STR_TO_DATE('",Tabla7[[#Headers],[15/08/2018]],"','%d/%m/%Y'),",BD371,"),","('",Tabla7[[#This Row],[CONTADOR]],"',STR_TO_DATE('",Tabla7[[#Headers],[15/09/2018]],"','%d/%m/%Y'),",BE371,"),","('",Tabla7[[#This Row],[CONTADOR]],"',STR_TO_DATE('",Tabla7[[#Headers],[15/10/2018]],"','%d/%m/%Y'),",BF371,"),","('",Tabla7[[#This Row],[CONTADOR]],"',STR_TO_DATE('",Tabla7[[#Headers],[15/11/2018]],"','%d/%m/%Y'),",BG371,"),","('",Tabla7[[#This Row],[CONTADOR]],"',STR_TO_DATE('",Tabla7[[#Headers],[15/12/2018]],"','%d/%m/%Y'),",BH371,");")</f>
        <v>insert into lecturas values ('LW00112662',STR_TO_DATE('31/12/2017','%d/%m/%Y'),0),('LW00112662',STR_TO_DATE('15/01/2018','%d/%m/%Y'),0),('LW00112662',STR_TO_DATE('15/02/2018','%d/%m/%Y'),0),('LW00112662',STR_TO_DATE('15/03/2018','%d/%m/%Y'),0),('LW00112662',STR_TO_DATE('15/04/2018','%d/%m/%Y'),0),('LW00112662',STR_TO_DATE('15/05/2018','%d/%m/%Y'),0),('LW00112662',STR_TO_DATE('15/06/2018','%d/%m/%Y'),0),('LW00112662',STR_TO_DATE('15/07/2018','%d/%m/%Y'),0),('LW00112662',STR_TO_DATE('15/08/2018','%d/%m/%Y'),0),('LW00112662',STR_TO_DATE('15/09/2018','%d/%m/%Y'),0),('LW00112662',STR_TO_DATE('15/10/2018','%d/%m/%Y'),0),('LW00112662',STR_TO_DATE('15/11/2018','%d/%m/%Y'),0),('LW00112662',STR_TO_DATE('15/12/2018','%d/%m/%Y'),0);</v>
      </c>
    </row>
    <row r="372" spans="1:68" ht="18" customHeight="1" x14ac:dyDescent="0.25">
      <c r="A372" s="241" t="s">
        <v>19</v>
      </c>
      <c r="B372" s="60"/>
      <c r="C372" s="342" t="s">
        <v>203</v>
      </c>
      <c r="D372" s="60" t="s">
        <v>200</v>
      </c>
      <c r="E372" s="258">
        <v>39340</v>
      </c>
      <c r="F372" s="2" t="s">
        <v>204</v>
      </c>
      <c r="G372" s="2" t="s">
        <v>990</v>
      </c>
      <c r="H372" s="2"/>
      <c r="I372" s="2" t="s">
        <v>205</v>
      </c>
      <c r="J372" s="311">
        <v>865824</v>
      </c>
      <c r="K372" s="311">
        <v>867693</v>
      </c>
      <c r="L372" s="2">
        <v>876330</v>
      </c>
      <c r="M372" s="311">
        <v>879116</v>
      </c>
      <c r="N372" s="311">
        <v>881764</v>
      </c>
      <c r="O372" s="311">
        <v>883489</v>
      </c>
      <c r="P372" s="311">
        <v>884949</v>
      </c>
      <c r="Q372" s="2">
        <v>886940</v>
      </c>
      <c r="R372" s="2">
        <v>888638</v>
      </c>
      <c r="S372" s="311">
        <v>891256</v>
      </c>
      <c r="T372" s="311">
        <v>892767</v>
      </c>
      <c r="U372" s="492">
        <v>895218</v>
      </c>
      <c r="V372" s="531">
        <v>898513</v>
      </c>
      <c r="W372" s="274"/>
      <c r="X372" s="2"/>
      <c r="Y372" s="2">
        <f t="shared" si="120"/>
        <v>1869</v>
      </c>
      <c r="Z372" s="2">
        <f t="shared" si="121"/>
        <v>8637</v>
      </c>
      <c r="AA372" s="2">
        <f t="shared" si="134"/>
        <v>2786</v>
      </c>
      <c r="AB372" s="2">
        <f t="shared" si="133"/>
        <v>2648</v>
      </c>
      <c r="AC372" s="2">
        <f t="shared" si="122"/>
        <v>1725</v>
      </c>
      <c r="AD372" s="2">
        <f t="shared" si="123"/>
        <v>1460</v>
      </c>
      <c r="AE372" s="2">
        <f t="shared" si="124"/>
        <v>1991</v>
      </c>
      <c r="AF372" s="2">
        <f t="shared" si="125"/>
        <v>1698</v>
      </c>
      <c r="AG372" s="2">
        <f t="shared" si="126"/>
        <v>2618</v>
      </c>
      <c r="AH372" s="2">
        <f t="shared" si="127"/>
        <v>1511</v>
      </c>
      <c r="AI372" s="2">
        <f t="shared" si="128"/>
        <v>2451</v>
      </c>
      <c r="AJ372" s="2">
        <f t="shared" si="129"/>
        <v>3295</v>
      </c>
      <c r="AK372" s="406">
        <v>1</v>
      </c>
      <c r="AL372" s="274">
        <f t="shared" ca="1" si="116"/>
        <v>881764</v>
      </c>
      <c r="AM372" s="311">
        <f t="shared" ca="1" si="117"/>
        <v>883489</v>
      </c>
      <c r="AN372" s="274">
        <f ca="1">IF(AND(Tabla7[[#This Row],[UltLec]]&lt;&gt;0,Tabla7[[#This Row],[PenLect]]&lt;&gt;0),(AM372-AL372)*Tabla7[[#This Row],[RT]],"N/A")</f>
        <v>1725</v>
      </c>
      <c r="AO372" s="273" t="s">
        <v>862</v>
      </c>
      <c r="AP372" s="392" t="s">
        <v>1190</v>
      </c>
      <c r="AQ372" s="392" t="s">
        <v>1189</v>
      </c>
      <c r="AR372" s="407">
        <f t="shared" si="118"/>
        <v>0</v>
      </c>
      <c r="AT372" s="2">
        <f t="shared" ca="1" si="119"/>
        <v>0.65143504531722052</v>
      </c>
      <c r="AV372">
        <f>IF(ISBLANK(Tabla7[[#This Row],[31/12/2017]]),0,Tabla7[[#This Row],[31/12/2017]])</f>
        <v>865824</v>
      </c>
      <c r="AW372">
        <f>IF(ISBLANK(Tabla7[[#This Row],[15/01/2018]]),0,Tabla7[[#This Row],[15/01/2018]])</f>
        <v>867693</v>
      </c>
      <c r="AX372">
        <f>IF(ISBLANK(Tabla7[[#This Row],[15/02/2018]]),0,Tabla7[[#This Row],[15/02/2018]])</f>
        <v>876330</v>
      </c>
      <c r="AY372">
        <f>IF(ISBLANK(Tabla7[[#This Row],[15/03/2018]]),0,Tabla7[[#This Row],[15/03/2018]])</f>
        <v>879116</v>
      </c>
      <c r="AZ372">
        <f>IF(ISBLANK(Tabla7[[#This Row],[15/04/2018]]),0,Tabla7[[#This Row],[15/04/2018]])</f>
        <v>881764</v>
      </c>
      <c r="BA372">
        <f>IF(ISBLANK(Tabla7[[#This Row],[15/05/2018]]),0,Tabla7[[#This Row],[15/05/2018]])</f>
        <v>883489</v>
      </c>
      <c r="BB372">
        <f>IF(ISBLANK(Tabla7[[#This Row],[15/06/2018]]),0,Tabla7[[#This Row],[15/06/2018]])</f>
        <v>884949</v>
      </c>
      <c r="BC372">
        <f>IF(ISBLANK(Tabla7[[#This Row],[15/07/2018]]),0,Tabla7[[#This Row],[15/07/2018]])</f>
        <v>886940</v>
      </c>
      <c r="BD372">
        <f>IF(ISBLANK(Tabla7[[#This Row],[15/08/2018]]),0,Tabla7[[#This Row],[15/08/2018]])</f>
        <v>888638</v>
      </c>
      <c r="BE372">
        <f>IF(ISBLANK(Tabla7[[#This Row],[15/09/2018]]),0,Tabla7[[#This Row],[15/09/2018]])</f>
        <v>891256</v>
      </c>
      <c r="BF372">
        <f>IF(ISBLANK(Tabla7[[#This Row],[15/10/2018]]),0,Tabla7[[#This Row],[15/10/2018]])</f>
        <v>892767</v>
      </c>
      <c r="BG372">
        <f>IF(ISBLANK(Tabla7[[#This Row],[15/11/2018]]),0,Tabla7[[#This Row],[15/11/2018]])</f>
        <v>895218</v>
      </c>
      <c r="BH372">
        <f>IF(ISBLANK(Tabla7[[#This Row],[15/12/2018]]),0,Tabla7[[#This Row],[15/12/2018]])</f>
        <v>898513</v>
      </c>
      <c r="BI372">
        <f>IF(ISBLANK(Tabla7[[#This Row],[28/12/2018]]),0,Tabla7[[#This Row],[28/12/2018]])</f>
        <v>0</v>
      </c>
      <c r="BN37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('LW00181025','V','VCT23','39340','CONSTRUCCIONES Y VARADEROS SL','EN CENTRALIZACION (1)','','(kWh - Ref 39402)');</v>
      </c>
      <c r="BO372" t="s">
        <v>243</v>
      </c>
      <c r="BP372" s="632" t="str">
        <f>CONCATENATE("insert into lecturas values ","('",Tabla7[[#This Row],[CONTADOR]],"',STR_TO_DATE('",Tabla7[[#Headers],[31/12/2017]],"','%d/%m/%Y'),",AV372,"),","('",Tabla7[[#This Row],[CONTADOR]],"',STR_TO_DATE('",Tabla7[[#Headers],[15/01/2018]],"','%d/%m/%Y'),",AW372,"),","('",Tabla7[[#This Row],[CONTADOR]],"',STR_TO_DATE('",Tabla7[[#Headers],[15/02/2018]],"','%d/%m/%Y'),",AX372,"),","('",Tabla7[[#This Row],[CONTADOR]],"',STR_TO_DATE('",Tabla7[[#Headers],[15/03/2018]],"','%d/%m/%Y'),",AY372,"),","('",Tabla7[[#This Row],[CONTADOR]],"',STR_TO_DATE('",Tabla7[[#Headers],[15/04/2018]],"','%d/%m/%Y'),",AZ372,"),","('",Tabla7[[#This Row],[CONTADOR]],"',STR_TO_DATE('",Tabla7[[#Headers],[15/05/2018]],"','%d/%m/%Y'),",BA372,"),","('",Tabla7[[#This Row],[CONTADOR]],"',STR_TO_DATE('",Tabla7[[#Headers],[15/06/2018]],"','%d/%m/%Y'),",BB372,"),","('",Tabla7[[#This Row],[CONTADOR]],"',STR_TO_DATE('",Tabla7[[#Headers],[15/07/2018]],"','%d/%m/%Y'),",BC372,"),","('",Tabla7[[#This Row],[CONTADOR]],"',STR_TO_DATE('",Tabla7[[#Headers],[15/08/2018]],"','%d/%m/%Y'),",BD372,"),","('",Tabla7[[#This Row],[CONTADOR]],"',STR_TO_DATE('",Tabla7[[#Headers],[15/09/2018]],"','%d/%m/%Y'),",BE372,"),","('",Tabla7[[#This Row],[CONTADOR]],"',STR_TO_DATE('",Tabla7[[#Headers],[15/10/2018]],"','%d/%m/%Y'),",BF372,"),","('",Tabla7[[#This Row],[CONTADOR]],"',STR_TO_DATE('",Tabla7[[#Headers],[15/11/2018]],"','%d/%m/%Y'),",BG372,"),","('",Tabla7[[#This Row],[CONTADOR]],"',STR_TO_DATE('",Tabla7[[#Headers],[15/12/2018]],"','%d/%m/%Y'),",BH372,");")</f>
        <v>insert into lecturas values ('LW00181025',STR_TO_DATE('31/12/2017','%d/%m/%Y'),865824),('LW00181025',STR_TO_DATE('15/01/2018','%d/%m/%Y'),867693),('LW00181025',STR_TO_DATE('15/02/2018','%d/%m/%Y'),876330),('LW00181025',STR_TO_DATE('15/03/2018','%d/%m/%Y'),879116),('LW00181025',STR_TO_DATE('15/04/2018','%d/%m/%Y'),881764),('LW00181025',STR_TO_DATE('15/05/2018','%d/%m/%Y'),883489),('LW00181025',STR_TO_DATE('15/06/2018','%d/%m/%Y'),884949),('LW00181025',STR_TO_DATE('15/07/2018','%d/%m/%Y'),886940),('LW00181025',STR_TO_DATE('15/08/2018','%d/%m/%Y'),888638),('LW00181025',STR_TO_DATE('15/09/2018','%d/%m/%Y'),891256),('LW00181025',STR_TO_DATE('15/10/2018','%d/%m/%Y'),892767),('LW00181025',STR_TO_DATE('15/11/2018','%d/%m/%Y'),895218),('LW00181025',STR_TO_DATE('15/12/2018','%d/%m/%Y'),898513);</v>
      </c>
    </row>
    <row r="373" spans="1:68" ht="18" customHeight="1" x14ac:dyDescent="0.25">
      <c r="A373" s="241" t="s">
        <v>19</v>
      </c>
      <c r="B373" s="60"/>
      <c r="C373" s="342" t="s">
        <v>1240</v>
      </c>
      <c r="D373" s="60" t="s">
        <v>200</v>
      </c>
      <c r="E373" s="258">
        <v>131</v>
      </c>
      <c r="F373" s="2" t="s">
        <v>455</v>
      </c>
      <c r="G373" s="2" t="s">
        <v>47</v>
      </c>
      <c r="H373" s="2"/>
      <c r="I373" s="2"/>
      <c r="J373" s="311">
        <v>760982</v>
      </c>
      <c r="K373" s="311">
        <v>765081</v>
      </c>
      <c r="L373" s="311">
        <v>772681</v>
      </c>
      <c r="M373" s="311">
        <v>778927</v>
      </c>
      <c r="N373" s="311">
        <v>784917</v>
      </c>
      <c r="O373" s="311">
        <v>790745</v>
      </c>
      <c r="P373" s="311">
        <v>795800</v>
      </c>
      <c r="Q373" s="504">
        <v>800813</v>
      </c>
      <c r="R373" s="264">
        <v>805787</v>
      </c>
      <c r="S373" s="311">
        <v>812601</v>
      </c>
      <c r="T373" s="311">
        <v>819209</v>
      </c>
      <c r="U373" s="531">
        <v>827591</v>
      </c>
      <c r="V373" s="531">
        <v>836385</v>
      </c>
      <c r="W373" s="2"/>
      <c r="X373" s="2"/>
      <c r="Y373" s="2">
        <f t="shared" si="120"/>
        <v>4099</v>
      </c>
      <c r="Z373" s="2">
        <f t="shared" si="121"/>
        <v>7600</v>
      </c>
      <c r="AA373" s="2">
        <f t="shared" si="134"/>
        <v>6246</v>
      </c>
      <c r="AB373" s="2">
        <f t="shared" si="133"/>
        <v>5990</v>
      </c>
      <c r="AC373" s="2">
        <f t="shared" si="122"/>
        <v>5828</v>
      </c>
      <c r="AD373" s="2">
        <f t="shared" si="123"/>
        <v>5055</v>
      </c>
      <c r="AE373" s="2">
        <f t="shared" si="124"/>
        <v>5013</v>
      </c>
      <c r="AF373" s="2">
        <f t="shared" si="125"/>
        <v>4974</v>
      </c>
      <c r="AG373" s="2">
        <f t="shared" si="126"/>
        <v>6814</v>
      </c>
      <c r="AH373" s="2">
        <f t="shared" si="127"/>
        <v>6608</v>
      </c>
      <c r="AI373" s="2">
        <f t="shared" si="128"/>
        <v>8382</v>
      </c>
      <c r="AJ373" s="2">
        <f t="shared" si="129"/>
        <v>8794</v>
      </c>
      <c r="AK373" s="406">
        <v>1</v>
      </c>
      <c r="AL373" s="274">
        <f t="shared" ca="1" si="116"/>
        <v>784917</v>
      </c>
      <c r="AM373" s="311">
        <f t="shared" ca="1" si="117"/>
        <v>790745</v>
      </c>
      <c r="AN373" s="274">
        <f ca="1">IF(AND(Tabla7[[#This Row],[UltLec]]&lt;&gt;0,Tabla7[[#This Row],[PenLect]]&lt;&gt;0),(AM373-AL373)*Tabla7[[#This Row],[RT]],"N/A")</f>
        <v>5828</v>
      </c>
      <c r="AO373" s="403" t="s">
        <v>862</v>
      </c>
      <c r="AP373" s="392" t="s">
        <v>1191</v>
      </c>
      <c r="AQ373" s="392" t="s">
        <v>818</v>
      </c>
      <c r="AR373" s="407">
        <f t="shared" si="118"/>
        <v>0</v>
      </c>
      <c r="AT373" s="2">
        <f t="shared" ca="1" si="119"/>
        <v>0.97295492487479129</v>
      </c>
      <c r="AV373">
        <f>IF(ISBLANK(Tabla7[[#This Row],[31/12/2017]]),0,Tabla7[[#This Row],[31/12/2017]])</f>
        <v>760982</v>
      </c>
      <c r="AW373">
        <f>IF(ISBLANK(Tabla7[[#This Row],[15/01/2018]]),0,Tabla7[[#This Row],[15/01/2018]])</f>
        <v>765081</v>
      </c>
      <c r="AX373">
        <f>IF(ISBLANK(Tabla7[[#This Row],[15/02/2018]]),0,Tabla7[[#This Row],[15/02/2018]])</f>
        <v>772681</v>
      </c>
      <c r="AY373">
        <f>IF(ISBLANK(Tabla7[[#This Row],[15/03/2018]]),0,Tabla7[[#This Row],[15/03/2018]])</f>
        <v>778927</v>
      </c>
      <c r="AZ373">
        <f>IF(ISBLANK(Tabla7[[#This Row],[15/04/2018]]),0,Tabla7[[#This Row],[15/04/2018]])</f>
        <v>784917</v>
      </c>
      <c r="BA373">
        <f>IF(ISBLANK(Tabla7[[#This Row],[15/05/2018]]),0,Tabla7[[#This Row],[15/05/2018]])</f>
        <v>790745</v>
      </c>
      <c r="BB373">
        <f>IF(ISBLANK(Tabla7[[#This Row],[15/06/2018]]),0,Tabla7[[#This Row],[15/06/2018]])</f>
        <v>795800</v>
      </c>
      <c r="BC373">
        <f>IF(ISBLANK(Tabla7[[#This Row],[15/07/2018]]),0,Tabla7[[#This Row],[15/07/2018]])</f>
        <v>800813</v>
      </c>
      <c r="BD373">
        <f>IF(ISBLANK(Tabla7[[#This Row],[15/08/2018]]),0,Tabla7[[#This Row],[15/08/2018]])</f>
        <v>805787</v>
      </c>
      <c r="BE373">
        <f>IF(ISBLANK(Tabla7[[#This Row],[15/09/2018]]),0,Tabla7[[#This Row],[15/09/2018]])</f>
        <v>812601</v>
      </c>
      <c r="BF373">
        <f>IF(ISBLANK(Tabla7[[#This Row],[15/10/2018]]),0,Tabla7[[#This Row],[15/10/2018]])</f>
        <v>819209</v>
      </c>
      <c r="BG373">
        <f>IF(ISBLANK(Tabla7[[#This Row],[15/11/2018]]),0,Tabla7[[#This Row],[15/11/2018]])</f>
        <v>827591</v>
      </c>
      <c r="BH373">
        <f>IF(ISBLANK(Tabla7[[#This Row],[15/12/2018]]),0,Tabla7[[#This Row],[15/12/2018]])</f>
        <v>836385</v>
      </c>
      <c r="BI373">
        <f>IF(ISBLANK(Tabla7[[#This Row],[28/12/2018]]),0,Tabla7[[#This Row],[28/12/2018]])</f>
        <v>0</v>
      </c>
      <c r="BN37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('PM4935817C','V','VCT23','131','APV ALUMBRADO VIALES','INTERIOR CT','','');</v>
      </c>
      <c r="BO373" t="s">
        <v>243</v>
      </c>
      <c r="BP373" s="632" t="str">
        <f>CONCATENATE("insert into lecturas values ","('",Tabla7[[#This Row],[CONTADOR]],"',STR_TO_DATE('",Tabla7[[#Headers],[31/12/2017]],"','%d/%m/%Y'),",AV373,"),","('",Tabla7[[#This Row],[CONTADOR]],"',STR_TO_DATE('",Tabla7[[#Headers],[15/01/2018]],"','%d/%m/%Y'),",AW373,"),","('",Tabla7[[#This Row],[CONTADOR]],"',STR_TO_DATE('",Tabla7[[#Headers],[15/02/2018]],"','%d/%m/%Y'),",AX373,"),","('",Tabla7[[#This Row],[CONTADOR]],"',STR_TO_DATE('",Tabla7[[#Headers],[15/03/2018]],"','%d/%m/%Y'),",AY373,"),","('",Tabla7[[#This Row],[CONTADOR]],"',STR_TO_DATE('",Tabla7[[#Headers],[15/04/2018]],"','%d/%m/%Y'),",AZ373,"),","('",Tabla7[[#This Row],[CONTADOR]],"',STR_TO_DATE('",Tabla7[[#Headers],[15/05/2018]],"','%d/%m/%Y'),",BA373,"),","('",Tabla7[[#This Row],[CONTADOR]],"',STR_TO_DATE('",Tabla7[[#Headers],[15/06/2018]],"','%d/%m/%Y'),",BB373,"),","('",Tabla7[[#This Row],[CONTADOR]],"',STR_TO_DATE('",Tabla7[[#Headers],[15/07/2018]],"','%d/%m/%Y'),",BC373,"),","('",Tabla7[[#This Row],[CONTADOR]],"',STR_TO_DATE('",Tabla7[[#Headers],[15/08/2018]],"','%d/%m/%Y'),",BD373,"),","('",Tabla7[[#This Row],[CONTADOR]],"',STR_TO_DATE('",Tabla7[[#Headers],[15/09/2018]],"','%d/%m/%Y'),",BE373,"),","('",Tabla7[[#This Row],[CONTADOR]],"',STR_TO_DATE('",Tabla7[[#Headers],[15/10/2018]],"','%d/%m/%Y'),",BF373,"),","('",Tabla7[[#This Row],[CONTADOR]],"',STR_TO_DATE('",Tabla7[[#Headers],[15/11/2018]],"','%d/%m/%Y'),",BG373,"),","('",Tabla7[[#This Row],[CONTADOR]],"',STR_TO_DATE('",Tabla7[[#Headers],[15/12/2018]],"','%d/%m/%Y'),",BH373,");")</f>
        <v>insert into lecturas values ('PM4935817C',STR_TO_DATE('31/12/2017','%d/%m/%Y'),760982),('PM4935817C',STR_TO_DATE('15/01/2018','%d/%m/%Y'),765081),('PM4935817C',STR_TO_DATE('15/02/2018','%d/%m/%Y'),772681),('PM4935817C',STR_TO_DATE('15/03/2018','%d/%m/%Y'),778927),('PM4935817C',STR_TO_DATE('15/04/2018','%d/%m/%Y'),784917),('PM4935817C',STR_TO_DATE('15/05/2018','%d/%m/%Y'),790745),('PM4935817C',STR_TO_DATE('15/06/2018','%d/%m/%Y'),795800),('PM4935817C',STR_TO_DATE('15/07/2018','%d/%m/%Y'),800813),('PM4935817C',STR_TO_DATE('15/08/2018','%d/%m/%Y'),805787),('PM4935817C',STR_TO_DATE('15/09/2018','%d/%m/%Y'),812601),('PM4935817C',STR_TO_DATE('15/10/2018','%d/%m/%Y'),819209),('PM4935817C',STR_TO_DATE('15/11/2018','%d/%m/%Y'),827591),('PM4935817C',STR_TO_DATE('15/12/2018','%d/%m/%Y'),836385);</v>
      </c>
    </row>
    <row r="374" spans="1:68" ht="18" customHeight="1" x14ac:dyDescent="0.25">
      <c r="A374" s="241" t="s">
        <v>19</v>
      </c>
      <c r="B374" s="60"/>
      <c r="C374" s="342" t="s">
        <v>218</v>
      </c>
      <c r="D374" s="60" t="s">
        <v>200</v>
      </c>
      <c r="E374" s="258">
        <v>150</v>
      </c>
      <c r="F374" s="2" t="s">
        <v>895</v>
      </c>
      <c r="G374" s="2" t="s">
        <v>219</v>
      </c>
      <c r="H374" s="2" t="s">
        <v>220</v>
      </c>
      <c r="I374" s="2"/>
      <c r="J374" s="311">
        <v>17811</v>
      </c>
      <c r="K374" s="311">
        <v>17929</v>
      </c>
      <c r="L374" s="2">
        <v>18162</v>
      </c>
      <c r="M374" s="311">
        <v>18376</v>
      </c>
      <c r="N374" s="311">
        <v>18569</v>
      </c>
      <c r="O374" s="311">
        <v>18756</v>
      </c>
      <c r="P374" s="311">
        <v>18875</v>
      </c>
      <c r="Q374" s="275">
        <v>19206</v>
      </c>
      <c r="R374" s="307">
        <v>19430</v>
      </c>
      <c r="S374" s="311">
        <v>19684</v>
      </c>
      <c r="T374" s="311">
        <v>19903</v>
      </c>
      <c r="U374" s="531">
        <v>20121</v>
      </c>
      <c r="V374" s="531">
        <v>20247</v>
      </c>
      <c r="W374" s="2"/>
      <c r="X374" s="2"/>
      <c r="Y374" s="2">
        <f t="shared" si="120"/>
        <v>118</v>
      </c>
      <c r="Z374" s="2">
        <f t="shared" si="121"/>
        <v>233</v>
      </c>
      <c r="AA374" s="2">
        <f t="shared" si="134"/>
        <v>214</v>
      </c>
      <c r="AB374" s="2">
        <f t="shared" si="133"/>
        <v>193</v>
      </c>
      <c r="AC374" s="2">
        <f t="shared" si="122"/>
        <v>187</v>
      </c>
      <c r="AD374" s="2">
        <f t="shared" si="123"/>
        <v>119</v>
      </c>
      <c r="AE374" s="2">
        <f t="shared" si="124"/>
        <v>331</v>
      </c>
      <c r="AF374" s="2">
        <f t="shared" si="125"/>
        <v>224</v>
      </c>
      <c r="AG374" s="2">
        <f t="shared" si="126"/>
        <v>254</v>
      </c>
      <c r="AH374" s="2">
        <f t="shared" si="127"/>
        <v>219</v>
      </c>
      <c r="AI374" s="2">
        <f t="shared" si="128"/>
        <v>218</v>
      </c>
      <c r="AJ374" s="2">
        <f t="shared" si="129"/>
        <v>126</v>
      </c>
      <c r="AK374" s="406">
        <v>1</v>
      </c>
      <c r="AL374" s="274">
        <f t="shared" ca="1" si="116"/>
        <v>18569</v>
      </c>
      <c r="AM374" s="311">
        <f t="shared" ca="1" si="117"/>
        <v>18756</v>
      </c>
      <c r="AN374" s="274">
        <f ca="1">IF(AND(Tabla7[[#This Row],[UltLec]]&lt;&gt;0,Tabla7[[#This Row],[PenLect]]&lt;&gt;0),(AM374-AL374)*Tabla7[[#This Row],[RT]],"N/A")</f>
        <v>187</v>
      </c>
      <c r="AO374" s="403" t="s">
        <v>862</v>
      </c>
      <c r="AP374" s="392" t="s">
        <v>1190</v>
      </c>
      <c r="AQ374" s="392" t="s">
        <v>1189</v>
      </c>
      <c r="AR374" s="407">
        <f t="shared" si="118"/>
        <v>0</v>
      </c>
      <c r="AT374" s="2">
        <f t="shared" ca="1" si="119"/>
        <v>0.9689119170984456</v>
      </c>
      <c r="AV374">
        <f>IF(ISBLANK(Tabla7[[#This Row],[31/12/2017]]),0,Tabla7[[#This Row],[31/12/2017]])</f>
        <v>17811</v>
      </c>
      <c r="AW374">
        <f>IF(ISBLANK(Tabla7[[#This Row],[15/01/2018]]),0,Tabla7[[#This Row],[15/01/2018]])</f>
        <v>17929</v>
      </c>
      <c r="AX374">
        <f>IF(ISBLANK(Tabla7[[#This Row],[15/02/2018]]),0,Tabla7[[#This Row],[15/02/2018]])</f>
        <v>18162</v>
      </c>
      <c r="AY374">
        <f>IF(ISBLANK(Tabla7[[#This Row],[15/03/2018]]),0,Tabla7[[#This Row],[15/03/2018]])</f>
        <v>18376</v>
      </c>
      <c r="AZ374">
        <f>IF(ISBLANK(Tabla7[[#This Row],[15/04/2018]]),0,Tabla7[[#This Row],[15/04/2018]])</f>
        <v>18569</v>
      </c>
      <c r="BA374">
        <f>IF(ISBLANK(Tabla7[[#This Row],[15/05/2018]]),0,Tabla7[[#This Row],[15/05/2018]])</f>
        <v>18756</v>
      </c>
      <c r="BB374">
        <f>IF(ISBLANK(Tabla7[[#This Row],[15/06/2018]]),0,Tabla7[[#This Row],[15/06/2018]])</f>
        <v>18875</v>
      </c>
      <c r="BC374">
        <f>IF(ISBLANK(Tabla7[[#This Row],[15/07/2018]]),0,Tabla7[[#This Row],[15/07/2018]])</f>
        <v>19206</v>
      </c>
      <c r="BD374">
        <f>IF(ISBLANK(Tabla7[[#This Row],[15/08/2018]]),0,Tabla7[[#This Row],[15/08/2018]])</f>
        <v>19430</v>
      </c>
      <c r="BE374">
        <f>IF(ISBLANK(Tabla7[[#This Row],[15/09/2018]]),0,Tabla7[[#This Row],[15/09/2018]])</f>
        <v>19684</v>
      </c>
      <c r="BF374">
        <f>IF(ISBLANK(Tabla7[[#This Row],[15/10/2018]]),0,Tabla7[[#This Row],[15/10/2018]])</f>
        <v>19903</v>
      </c>
      <c r="BG374">
        <f>IF(ISBLANK(Tabla7[[#This Row],[15/11/2018]]),0,Tabla7[[#This Row],[15/11/2018]])</f>
        <v>20121</v>
      </c>
      <c r="BH374">
        <f>IF(ISBLANK(Tabla7[[#This Row],[15/12/2018]]),0,Tabla7[[#This Row],[15/12/2018]])</f>
        <v>20247</v>
      </c>
      <c r="BI374">
        <f>IF(ISBLANK(Tabla7[[#This Row],[28/12/2018]]),0,Tabla7[[#This Row],[28/12/2018]])</f>
        <v>0</v>
      </c>
      <c r="BN37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('SQFER03033011075','V','VCT23','150','APV GUARDIA CIVIL SCANER','EN RECINTO SCANER','GUARDIA CIVIL CAMBIO CONT EN JULIO 2015','');</v>
      </c>
      <c r="BO374" t="s">
        <v>243</v>
      </c>
      <c r="BP374" s="632" t="str">
        <f>CONCATENATE("insert into lecturas values ","('",Tabla7[[#This Row],[CONTADOR]],"',STR_TO_DATE('",Tabla7[[#Headers],[31/12/2017]],"','%d/%m/%Y'),",AV374,"),","('",Tabla7[[#This Row],[CONTADOR]],"',STR_TO_DATE('",Tabla7[[#Headers],[15/01/2018]],"','%d/%m/%Y'),",AW374,"),","('",Tabla7[[#This Row],[CONTADOR]],"',STR_TO_DATE('",Tabla7[[#Headers],[15/02/2018]],"','%d/%m/%Y'),",AX374,"),","('",Tabla7[[#This Row],[CONTADOR]],"',STR_TO_DATE('",Tabla7[[#Headers],[15/03/2018]],"','%d/%m/%Y'),",AY374,"),","('",Tabla7[[#This Row],[CONTADOR]],"',STR_TO_DATE('",Tabla7[[#Headers],[15/04/2018]],"','%d/%m/%Y'),",AZ374,"),","('",Tabla7[[#This Row],[CONTADOR]],"',STR_TO_DATE('",Tabla7[[#Headers],[15/05/2018]],"','%d/%m/%Y'),",BA374,"),","('",Tabla7[[#This Row],[CONTADOR]],"',STR_TO_DATE('",Tabla7[[#Headers],[15/06/2018]],"','%d/%m/%Y'),",BB374,"),","('",Tabla7[[#This Row],[CONTADOR]],"',STR_TO_DATE('",Tabla7[[#Headers],[15/07/2018]],"','%d/%m/%Y'),",BC374,"),","('",Tabla7[[#This Row],[CONTADOR]],"',STR_TO_DATE('",Tabla7[[#Headers],[15/08/2018]],"','%d/%m/%Y'),",BD374,"),","('",Tabla7[[#This Row],[CONTADOR]],"',STR_TO_DATE('",Tabla7[[#Headers],[15/09/2018]],"','%d/%m/%Y'),",BE374,"),","('",Tabla7[[#This Row],[CONTADOR]],"',STR_TO_DATE('",Tabla7[[#Headers],[15/10/2018]],"','%d/%m/%Y'),",BF374,"),","('",Tabla7[[#This Row],[CONTADOR]],"',STR_TO_DATE('",Tabla7[[#Headers],[15/11/2018]],"','%d/%m/%Y'),",BG374,"),","('",Tabla7[[#This Row],[CONTADOR]],"',STR_TO_DATE('",Tabla7[[#Headers],[15/12/2018]],"','%d/%m/%Y'),",BH374,");")</f>
        <v>insert into lecturas values ('SQFER03033011075',STR_TO_DATE('31/12/2017','%d/%m/%Y'),17811),('SQFER03033011075',STR_TO_DATE('15/01/2018','%d/%m/%Y'),17929),('SQFER03033011075',STR_TO_DATE('15/02/2018','%d/%m/%Y'),18162),('SQFER03033011075',STR_TO_DATE('15/03/2018','%d/%m/%Y'),18376),('SQFER03033011075',STR_TO_DATE('15/04/2018','%d/%m/%Y'),18569),('SQFER03033011075',STR_TO_DATE('15/05/2018','%d/%m/%Y'),18756),('SQFER03033011075',STR_TO_DATE('15/06/2018','%d/%m/%Y'),18875),('SQFER03033011075',STR_TO_DATE('15/07/2018','%d/%m/%Y'),19206),('SQFER03033011075',STR_TO_DATE('15/08/2018','%d/%m/%Y'),19430),('SQFER03033011075',STR_TO_DATE('15/09/2018','%d/%m/%Y'),19684),('SQFER03033011075',STR_TO_DATE('15/10/2018','%d/%m/%Y'),19903),('SQFER03033011075',STR_TO_DATE('15/11/2018','%d/%m/%Y'),20121),('SQFER03033011075',STR_TO_DATE('15/12/2018','%d/%m/%Y'),20247);</v>
      </c>
    </row>
    <row r="375" spans="1:68" ht="18" customHeight="1" x14ac:dyDescent="0.25">
      <c r="A375" s="372" t="s">
        <v>1196</v>
      </c>
      <c r="B375" s="60"/>
      <c r="C375" s="373" t="s">
        <v>1056</v>
      </c>
      <c r="D375" s="374" t="s">
        <v>200</v>
      </c>
      <c r="E375" s="375"/>
      <c r="F375" s="376"/>
      <c r="G375" s="376"/>
      <c r="H375" s="376" t="s">
        <v>1465</v>
      </c>
      <c r="I375" s="376" t="s">
        <v>1057</v>
      </c>
      <c r="J375" s="383"/>
      <c r="K375" s="383"/>
      <c r="L375" s="383"/>
      <c r="M375" s="383"/>
      <c r="N375" s="383"/>
      <c r="O375" s="383"/>
      <c r="P375" s="383"/>
      <c r="Q375" s="383"/>
      <c r="R375" s="383"/>
      <c r="S375" s="383"/>
      <c r="T375" s="383"/>
      <c r="U375" s="383"/>
      <c r="V375" s="383"/>
      <c r="W375" s="383"/>
      <c r="X375" s="383"/>
      <c r="Y375" s="376" t="str">
        <f t="shared" si="120"/>
        <v/>
      </c>
      <c r="Z375" s="376" t="str">
        <f t="shared" si="121"/>
        <v/>
      </c>
      <c r="AA375" s="376" t="str">
        <f t="shared" si="134"/>
        <v/>
      </c>
      <c r="AB375" s="376" t="str">
        <f t="shared" si="133"/>
        <v/>
      </c>
      <c r="AC375" s="376" t="str">
        <f t="shared" si="122"/>
        <v/>
      </c>
      <c r="AD375" s="376" t="str">
        <f t="shared" si="123"/>
        <v/>
      </c>
      <c r="AE375" s="376" t="str">
        <f t="shared" si="124"/>
        <v/>
      </c>
      <c r="AF375" s="376" t="str">
        <f t="shared" si="125"/>
        <v/>
      </c>
      <c r="AG375" s="376" t="str">
        <f t="shared" si="126"/>
        <v/>
      </c>
      <c r="AH375" s="376" t="str">
        <f t="shared" si="127"/>
        <v/>
      </c>
      <c r="AI375" s="376" t="str">
        <f t="shared" si="128"/>
        <v/>
      </c>
      <c r="AJ375" s="376" t="str">
        <f t="shared" si="129"/>
        <v/>
      </c>
      <c r="AK375" s="408">
        <v>1</v>
      </c>
      <c r="AL375" s="377">
        <f t="shared" ca="1" si="116"/>
        <v>0</v>
      </c>
      <c r="AM375" s="383">
        <f t="shared" ca="1" si="117"/>
        <v>0</v>
      </c>
      <c r="AN375" s="377" t="str">
        <f ca="1">IF(AND(Tabla7[[#This Row],[UltLec]]&lt;&gt;0,Tabla7[[#This Row],[PenLect]]&lt;&gt;0),(AM375-AL375)*Tabla7[[#This Row],[RT]],"N/A")</f>
        <v>N/A</v>
      </c>
      <c r="AO375" s="380" t="s">
        <v>1281</v>
      </c>
      <c r="AP375" s="433" t="s">
        <v>1190</v>
      </c>
      <c r="AQ375" s="433" t="s">
        <v>1189</v>
      </c>
      <c r="AR375" s="409">
        <f t="shared" si="118"/>
        <v>0</v>
      </c>
      <c r="AT375" s="2" t="e">
        <f t="shared" ca="1" si="119"/>
        <v>#VALUE!</v>
      </c>
      <c r="AV375">
        <f>IF(ISBLANK(Tabla7[[#This Row],[31/12/2017]]),0,Tabla7[[#This Row],[31/12/2017]])</f>
        <v>0</v>
      </c>
      <c r="AW375">
        <f>IF(ISBLANK(Tabla7[[#This Row],[15/01/2018]]),0,Tabla7[[#This Row],[15/01/2018]])</f>
        <v>0</v>
      </c>
      <c r="AX375">
        <f>IF(ISBLANK(Tabla7[[#This Row],[15/02/2018]]),0,Tabla7[[#This Row],[15/02/2018]])</f>
        <v>0</v>
      </c>
      <c r="AY375">
        <f>IF(ISBLANK(Tabla7[[#This Row],[15/03/2018]]),0,Tabla7[[#This Row],[15/03/2018]])</f>
        <v>0</v>
      </c>
      <c r="AZ375">
        <f>IF(ISBLANK(Tabla7[[#This Row],[15/04/2018]]),0,Tabla7[[#This Row],[15/04/2018]])</f>
        <v>0</v>
      </c>
      <c r="BA375">
        <f>IF(ISBLANK(Tabla7[[#This Row],[15/05/2018]]),0,Tabla7[[#This Row],[15/05/2018]])</f>
        <v>0</v>
      </c>
      <c r="BB375">
        <f>IF(ISBLANK(Tabla7[[#This Row],[15/06/2018]]),0,Tabla7[[#This Row],[15/06/2018]])</f>
        <v>0</v>
      </c>
      <c r="BC375">
        <f>IF(ISBLANK(Tabla7[[#This Row],[15/07/2018]]),0,Tabla7[[#This Row],[15/07/2018]])</f>
        <v>0</v>
      </c>
      <c r="BD375">
        <f>IF(ISBLANK(Tabla7[[#This Row],[15/08/2018]]),0,Tabla7[[#This Row],[15/08/2018]])</f>
        <v>0</v>
      </c>
      <c r="BE375">
        <f>IF(ISBLANK(Tabla7[[#This Row],[15/09/2018]]),0,Tabla7[[#This Row],[15/09/2018]])</f>
        <v>0</v>
      </c>
      <c r="BF375">
        <f>IF(ISBLANK(Tabla7[[#This Row],[15/10/2018]]),0,Tabla7[[#This Row],[15/10/2018]])</f>
        <v>0</v>
      </c>
      <c r="BG375">
        <f>IF(ISBLANK(Tabla7[[#This Row],[15/11/2018]]),0,Tabla7[[#This Row],[15/11/2018]])</f>
        <v>0</v>
      </c>
      <c r="BH375">
        <f>IF(ISBLANK(Tabla7[[#This Row],[15/12/2018]]),0,Tabla7[[#This Row],[15/12/2018]])</f>
        <v>0</v>
      </c>
      <c r="BI375">
        <f>IF(ISBLANK(Tabla7[[#This Row],[28/12/2018]]),0,Tabla7[[#This Row],[28/12/2018]])</f>
        <v>0</v>
      </c>
      <c r="BN37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('ZNUQGAZ 17047641017','VBAJA','VCT23','','','','Instalado para una prueba de telemedida, no es propiedad de la APV','Nuevo el 15/10/2017. Sin conectar');</v>
      </c>
      <c r="BO375" t="s">
        <v>243</v>
      </c>
      <c r="BP375" s="632" t="str">
        <f>CONCATENATE("insert into lecturas values ","('",Tabla7[[#This Row],[CONTADOR]],"',STR_TO_DATE('",Tabla7[[#Headers],[31/12/2017]],"','%d/%m/%Y'),",AV375,"),","('",Tabla7[[#This Row],[CONTADOR]],"',STR_TO_DATE('",Tabla7[[#Headers],[15/01/2018]],"','%d/%m/%Y'),",AW375,"),","('",Tabla7[[#This Row],[CONTADOR]],"',STR_TO_DATE('",Tabla7[[#Headers],[15/02/2018]],"','%d/%m/%Y'),",AX375,"),","('",Tabla7[[#This Row],[CONTADOR]],"',STR_TO_DATE('",Tabla7[[#Headers],[15/03/2018]],"','%d/%m/%Y'),",AY375,"),","('",Tabla7[[#This Row],[CONTADOR]],"',STR_TO_DATE('",Tabla7[[#Headers],[15/04/2018]],"','%d/%m/%Y'),",AZ375,"),","('",Tabla7[[#This Row],[CONTADOR]],"',STR_TO_DATE('",Tabla7[[#Headers],[15/05/2018]],"','%d/%m/%Y'),",BA375,"),","('",Tabla7[[#This Row],[CONTADOR]],"',STR_TO_DATE('",Tabla7[[#Headers],[15/06/2018]],"','%d/%m/%Y'),",BB375,"),","('",Tabla7[[#This Row],[CONTADOR]],"',STR_TO_DATE('",Tabla7[[#Headers],[15/07/2018]],"','%d/%m/%Y'),",BC375,"),","('",Tabla7[[#This Row],[CONTADOR]],"',STR_TO_DATE('",Tabla7[[#Headers],[15/08/2018]],"','%d/%m/%Y'),",BD375,"),","('",Tabla7[[#This Row],[CONTADOR]],"',STR_TO_DATE('",Tabla7[[#Headers],[15/09/2018]],"','%d/%m/%Y'),",BE375,"),","('",Tabla7[[#This Row],[CONTADOR]],"',STR_TO_DATE('",Tabla7[[#Headers],[15/10/2018]],"','%d/%m/%Y'),",BF375,"),","('",Tabla7[[#This Row],[CONTADOR]],"',STR_TO_DATE('",Tabla7[[#Headers],[15/11/2018]],"','%d/%m/%Y'),",BG375,"),","('",Tabla7[[#This Row],[CONTADOR]],"',STR_TO_DATE('",Tabla7[[#Headers],[15/12/2018]],"','%d/%m/%Y'),",BH375,");")</f>
        <v>insert into lecturas values ('ZNUQGAZ 17047641017',STR_TO_DATE('31/12/2017','%d/%m/%Y'),0),('ZNUQGAZ 17047641017',STR_TO_DATE('15/01/2018','%d/%m/%Y'),0),('ZNUQGAZ 17047641017',STR_TO_DATE('15/02/2018','%d/%m/%Y'),0),('ZNUQGAZ 17047641017',STR_TO_DATE('15/03/2018','%d/%m/%Y'),0),('ZNUQGAZ 17047641017',STR_TO_DATE('15/04/2018','%d/%m/%Y'),0),('ZNUQGAZ 17047641017',STR_TO_DATE('15/05/2018','%d/%m/%Y'),0),('ZNUQGAZ 17047641017',STR_TO_DATE('15/06/2018','%d/%m/%Y'),0),('ZNUQGAZ 17047641017',STR_TO_DATE('15/07/2018','%d/%m/%Y'),0),('ZNUQGAZ 17047641017',STR_TO_DATE('15/08/2018','%d/%m/%Y'),0),('ZNUQGAZ 17047641017',STR_TO_DATE('15/09/2018','%d/%m/%Y'),0),('ZNUQGAZ 17047641017',STR_TO_DATE('15/10/2018','%d/%m/%Y'),0),('ZNUQGAZ 17047641017',STR_TO_DATE('15/11/2018','%d/%m/%Y'),0),('ZNUQGAZ 17047641017',STR_TO_DATE('15/12/2018','%d/%m/%Y'),0);</v>
      </c>
    </row>
    <row r="376" spans="1:68" ht="18" customHeight="1" x14ac:dyDescent="0.25">
      <c r="A376" s="241" t="s">
        <v>19</v>
      </c>
      <c r="B376" s="60">
        <v>271</v>
      </c>
      <c r="C376" s="342" t="s">
        <v>223</v>
      </c>
      <c r="D376" s="60" t="s">
        <v>221</v>
      </c>
      <c r="E376" s="258">
        <v>39132</v>
      </c>
      <c r="F376" s="2" t="s">
        <v>224</v>
      </c>
      <c r="G376" s="2" t="s">
        <v>1138</v>
      </c>
      <c r="H376" s="2"/>
      <c r="I376" s="2"/>
      <c r="J376" s="311">
        <v>444436</v>
      </c>
      <c r="K376" s="311">
        <v>447233</v>
      </c>
      <c r="L376" s="311">
        <v>452543</v>
      </c>
      <c r="M376" s="311">
        <v>457435</v>
      </c>
      <c r="N376" s="311">
        <v>462483</v>
      </c>
      <c r="O376" s="311">
        <v>467341</v>
      </c>
      <c r="P376" s="311">
        <v>472162</v>
      </c>
      <c r="Q376" s="2">
        <v>477444</v>
      </c>
      <c r="R376" s="2">
        <v>482668</v>
      </c>
      <c r="S376" s="311">
        <v>488026</v>
      </c>
      <c r="T376" s="311">
        <v>492701</v>
      </c>
      <c r="U376" s="492">
        <v>498049</v>
      </c>
      <c r="V376" s="531">
        <v>503450</v>
      </c>
      <c r="W376" s="2"/>
      <c r="X376" s="2"/>
      <c r="Y376" s="2">
        <f t="shared" si="120"/>
        <v>2797</v>
      </c>
      <c r="Z376" s="2">
        <f t="shared" si="121"/>
        <v>5310</v>
      </c>
      <c r="AA376" s="2">
        <f t="shared" si="134"/>
        <v>4892</v>
      </c>
      <c r="AB376" s="2">
        <f t="shared" si="133"/>
        <v>5048</v>
      </c>
      <c r="AC376" s="2">
        <f t="shared" si="122"/>
        <v>4858</v>
      </c>
      <c r="AD376" s="2">
        <f t="shared" si="123"/>
        <v>4821</v>
      </c>
      <c r="AE376" s="2">
        <f t="shared" si="124"/>
        <v>5282</v>
      </c>
      <c r="AF376" s="2">
        <f t="shared" si="125"/>
        <v>5224</v>
      </c>
      <c r="AG376" s="2">
        <f t="shared" si="126"/>
        <v>5358</v>
      </c>
      <c r="AH376" s="2">
        <f t="shared" si="127"/>
        <v>4675</v>
      </c>
      <c r="AI376" s="2">
        <f t="shared" si="128"/>
        <v>5348</v>
      </c>
      <c r="AJ376" s="2">
        <f t="shared" si="129"/>
        <v>5401</v>
      </c>
      <c r="AK376" s="406">
        <v>1</v>
      </c>
      <c r="AL376" s="274">
        <f t="shared" ca="1" si="116"/>
        <v>462483</v>
      </c>
      <c r="AM376" s="311">
        <f t="shared" ca="1" si="117"/>
        <v>467341</v>
      </c>
      <c r="AN376" s="274">
        <f ca="1">IF(AND(Tabla7[[#This Row],[UltLec]]&lt;&gt;0,Tabla7[[#This Row],[PenLect]]&lt;&gt;0),(AM376-AL376)*Tabla7[[#This Row],[RT]],"N/A")</f>
        <v>4858</v>
      </c>
      <c r="AO376" s="273" t="s">
        <v>862</v>
      </c>
      <c r="AP376" s="392" t="s">
        <v>1190</v>
      </c>
      <c r="AQ376" s="392" t="s">
        <v>1189</v>
      </c>
      <c r="AR376" s="407">
        <f t="shared" si="118"/>
        <v>0</v>
      </c>
      <c r="AT376" s="2">
        <f t="shared" ca="1" si="119"/>
        <v>0.96236133122028522</v>
      </c>
      <c r="AV376">
        <f>IF(ISBLANK(Tabla7[[#This Row],[31/12/2017]]),0,Tabla7[[#This Row],[31/12/2017]])</f>
        <v>444436</v>
      </c>
      <c r="AW376">
        <f>IF(ISBLANK(Tabla7[[#This Row],[15/01/2018]]),0,Tabla7[[#This Row],[15/01/2018]])</f>
        <v>447233</v>
      </c>
      <c r="AX376">
        <f>IF(ISBLANK(Tabla7[[#This Row],[15/02/2018]]),0,Tabla7[[#This Row],[15/02/2018]])</f>
        <v>452543</v>
      </c>
      <c r="AY376">
        <f>IF(ISBLANK(Tabla7[[#This Row],[15/03/2018]]),0,Tabla7[[#This Row],[15/03/2018]])</f>
        <v>457435</v>
      </c>
      <c r="AZ376">
        <f>IF(ISBLANK(Tabla7[[#This Row],[15/04/2018]]),0,Tabla7[[#This Row],[15/04/2018]])</f>
        <v>462483</v>
      </c>
      <c r="BA376">
        <f>IF(ISBLANK(Tabla7[[#This Row],[15/05/2018]]),0,Tabla7[[#This Row],[15/05/2018]])</f>
        <v>467341</v>
      </c>
      <c r="BB376">
        <f>IF(ISBLANK(Tabla7[[#This Row],[15/06/2018]]),0,Tabla7[[#This Row],[15/06/2018]])</f>
        <v>472162</v>
      </c>
      <c r="BC376">
        <f>IF(ISBLANK(Tabla7[[#This Row],[15/07/2018]]),0,Tabla7[[#This Row],[15/07/2018]])</f>
        <v>477444</v>
      </c>
      <c r="BD376">
        <f>IF(ISBLANK(Tabla7[[#This Row],[15/08/2018]]),0,Tabla7[[#This Row],[15/08/2018]])</f>
        <v>482668</v>
      </c>
      <c r="BE376">
        <f>IF(ISBLANK(Tabla7[[#This Row],[15/09/2018]]),0,Tabla7[[#This Row],[15/09/2018]])</f>
        <v>488026</v>
      </c>
      <c r="BF376">
        <f>IF(ISBLANK(Tabla7[[#This Row],[15/10/2018]]),0,Tabla7[[#This Row],[15/10/2018]])</f>
        <v>492701</v>
      </c>
      <c r="BG376">
        <f>IF(ISBLANK(Tabla7[[#This Row],[15/11/2018]]),0,Tabla7[[#This Row],[15/11/2018]])</f>
        <v>498049</v>
      </c>
      <c r="BH376">
        <f>IF(ISBLANK(Tabla7[[#This Row],[15/12/2018]]),0,Tabla7[[#This Row],[15/12/2018]])</f>
        <v>503450</v>
      </c>
      <c r="BI376">
        <f>IF(ISBLANK(Tabla7[[#This Row],[28/12/2018]]),0,Tabla7[[#This Row],[28/12/2018]])</f>
        <v>0</v>
      </c>
      <c r="BN37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('LW00113164','V','VCT30','39132','VODAFONE ESPAÑA S.A.','EN CENTRALIZACIÓN (2)','','');</v>
      </c>
      <c r="BO376" t="s">
        <v>243</v>
      </c>
      <c r="BP376" s="632" t="str">
        <f>CONCATENATE("insert into lecturas values ","('",Tabla7[[#This Row],[CONTADOR]],"',STR_TO_DATE('",Tabla7[[#Headers],[31/12/2017]],"','%d/%m/%Y'),",AV376,"),","('",Tabla7[[#This Row],[CONTADOR]],"',STR_TO_DATE('",Tabla7[[#Headers],[15/01/2018]],"','%d/%m/%Y'),",AW376,"),","('",Tabla7[[#This Row],[CONTADOR]],"',STR_TO_DATE('",Tabla7[[#Headers],[15/02/2018]],"','%d/%m/%Y'),",AX376,"),","('",Tabla7[[#This Row],[CONTADOR]],"',STR_TO_DATE('",Tabla7[[#Headers],[15/03/2018]],"','%d/%m/%Y'),",AY376,"),","('",Tabla7[[#This Row],[CONTADOR]],"',STR_TO_DATE('",Tabla7[[#Headers],[15/04/2018]],"','%d/%m/%Y'),",AZ376,"),","('",Tabla7[[#This Row],[CONTADOR]],"',STR_TO_DATE('",Tabla7[[#Headers],[15/05/2018]],"','%d/%m/%Y'),",BA376,"),","('",Tabla7[[#This Row],[CONTADOR]],"',STR_TO_DATE('",Tabla7[[#Headers],[15/06/2018]],"','%d/%m/%Y'),",BB376,"),","('",Tabla7[[#This Row],[CONTADOR]],"',STR_TO_DATE('",Tabla7[[#Headers],[15/07/2018]],"','%d/%m/%Y'),",BC376,"),","('",Tabla7[[#This Row],[CONTADOR]],"',STR_TO_DATE('",Tabla7[[#Headers],[15/08/2018]],"','%d/%m/%Y'),",BD376,"),","('",Tabla7[[#This Row],[CONTADOR]],"',STR_TO_DATE('",Tabla7[[#Headers],[15/09/2018]],"','%d/%m/%Y'),",BE376,"),","('",Tabla7[[#This Row],[CONTADOR]],"',STR_TO_DATE('",Tabla7[[#Headers],[15/10/2018]],"','%d/%m/%Y'),",BF376,"),","('",Tabla7[[#This Row],[CONTADOR]],"',STR_TO_DATE('",Tabla7[[#Headers],[15/11/2018]],"','%d/%m/%Y'),",BG376,"),","('",Tabla7[[#This Row],[CONTADOR]],"',STR_TO_DATE('",Tabla7[[#Headers],[15/12/2018]],"','%d/%m/%Y'),",BH376,");")</f>
        <v>insert into lecturas values ('LW00113164',STR_TO_DATE('31/12/2017','%d/%m/%Y'),444436),('LW00113164',STR_TO_DATE('15/01/2018','%d/%m/%Y'),447233),('LW00113164',STR_TO_DATE('15/02/2018','%d/%m/%Y'),452543),('LW00113164',STR_TO_DATE('15/03/2018','%d/%m/%Y'),457435),('LW00113164',STR_TO_DATE('15/04/2018','%d/%m/%Y'),462483),('LW00113164',STR_TO_DATE('15/05/2018','%d/%m/%Y'),467341),('LW00113164',STR_TO_DATE('15/06/2018','%d/%m/%Y'),472162),('LW00113164',STR_TO_DATE('15/07/2018','%d/%m/%Y'),477444),('LW00113164',STR_TO_DATE('15/08/2018','%d/%m/%Y'),482668),('LW00113164',STR_TO_DATE('15/09/2018','%d/%m/%Y'),488026),('LW00113164',STR_TO_DATE('15/10/2018','%d/%m/%Y'),492701),('LW00113164',STR_TO_DATE('15/11/2018','%d/%m/%Y'),498049),('LW00113164',STR_TO_DATE('15/12/2018','%d/%m/%Y'),503450);</v>
      </c>
    </row>
    <row r="377" spans="1:68" ht="18" customHeight="1" x14ac:dyDescent="0.25">
      <c r="A377" s="360" t="s">
        <v>19</v>
      </c>
      <c r="B377" s="60">
        <v>671</v>
      </c>
      <c r="C377" s="342" t="s">
        <v>225</v>
      </c>
      <c r="D377" s="320" t="s">
        <v>221</v>
      </c>
      <c r="E377" s="268">
        <v>39036</v>
      </c>
      <c r="F377" s="265" t="s">
        <v>226</v>
      </c>
      <c r="G377" s="265" t="s">
        <v>1139</v>
      </c>
      <c r="H377" s="265" t="s">
        <v>227</v>
      </c>
      <c r="I377" s="265"/>
      <c r="J377" s="354">
        <v>1003020</v>
      </c>
      <c r="K377" s="354">
        <v>1005804</v>
      </c>
      <c r="L377" s="354">
        <v>1012894</v>
      </c>
      <c r="M377" s="354">
        <v>1018869</v>
      </c>
      <c r="N377" s="354">
        <v>1024754</v>
      </c>
      <c r="O377" s="354">
        <v>1034002</v>
      </c>
      <c r="P377" s="354">
        <v>1042559</v>
      </c>
      <c r="Q377" s="503">
        <v>1044632</v>
      </c>
      <c r="R377" s="503">
        <v>1045822</v>
      </c>
      <c r="S377" s="503">
        <v>1046101</v>
      </c>
      <c r="T377" s="503">
        <v>1046495</v>
      </c>
      <c r="U377" s="615">
        <v>1048962</v>
      </c>
      <c r="V377" s="615">
        <v>1053449</v>
      </c>
      <c r="W377" s="308"/>
      <c r="X377" s="265"/>
      <c r="Y377" s="2">
        <f t="shared" si="120"/>
        <v>2784</v>
      </c>
      <c r="Z377" s="2">
        <f t="shared" si="121"/>
        <v>7090</v>
      </c>
      <c r="AA377" s="2">
        <f t="shared" si="134"/>
        <v>5975</v>
      </c>
      <c r="AB377" s="2">
        <f t="shared" si="133"/>
        <v>5885</v>
      </c>
      <c r="AC377" s="2">
        <f t="shared" si="122"/>
        <v>9248</v>
      </c>
      <c r="AD377" s="2">
        <f t="shared" si="123"/>
        <v>8557</v>
      </c>
      <c r="AE377" s="2">
        <f t="shared" si="124"/>
        <v>2073</v>
      </c>
      <c r="AF377" s="2">
        <f t="shared" si="125"/>
        <v>1190</v>
      </c>
      <c r="AG377" s="2">
        <f t="shared" si="126"/>
        <v>279</v>
      </c>
      <c r="AH377" s="2">
        <f t="shared" si="127"/>
        <v>394</v>
      </c>
      <c r="AI377" s="2">
        <f t="shared" si="128"/>
        <v>2467</v>
      </c>
      <c r="AJ377" s="2">
        <f t="shared" si="129"/>
        <v>4487</v>
      </c>
      <c r="AK377" s="406">
        <v>1</v>
      </c>
      <c r="AL377" s="274">
        <f t="shared" ca="1" si="116"/>
        <v>1024754</v>
      </c>
      <c r="AM377" s="311">
        <f t="shared" ca="1" si="117"/>
        <v>1034002</v>
      </c>
      <c r="AN377" s="274">
        <f ca="1">IF(AND(Tabla7[[#This Row],[UltLec]]&lt;&gt;0,Tabla7[[#This Row],[PenLect]]&lt;&gt;0),(AM377-AL377)*Tabla7[[#This Row],[RT]],"N/A")</f>
        <v>9248</v>
      </c>
      <c r="AO377" s="273" t="s">
        <v>862</v>
      </c>
      <c r="AP377" s="392" t="s">
        <v>1190</v>
      </c>
      <c r="AQ377" s="392" t="s">
        <v>1189</v>
      </c>
      <c r="AR377" s="407">
        <f t="shared" si="118"/>
        <v>0</v>
      </c>
      <c r="AT377" s="2">
        <f t="shared" ca="1" si="119"/>
        <v>1.5714528462192014</v>
      </c>
      <c r="AV377">
        <f>IF(ISBLANK(Tabla7[[#This Row],[31/12/2017]]),0,Tabla7[[#This Row],[31/12/2017]])</f>
        <v>1003020</v>
      </c>
      <c r="AW377">
        <f>IF(ISBLANK(Tabla7[[#This Row],[15/01/2018]]),0,Tabla7[[#This Row],[15/01/2018]])</f>
        <v>1005804</v>
      </c>
      <c r="AX377">
        <f>IF(ISBLANK(Tabla7[[#This Row],[15/02/2018]]),0,Tabla7[[#This Row],[15/02/2018]])</f>
        <v>1012894</v>
      </c>
      <c r="AY377">
        <f>IF(ISBLANK(Tabla7[[#This Row],[15/03/2018]]),0,Tabla7[[#This Row],[15/03/2018]])</f>
        <v>1018869</v>
      </c>
      <c r="AZ377">
        <f>IF(ISBLANK(Tabla7[[#This Row],[15/04/2018]]),0,Tabla7[[#This Row],[15/04/2018]])</f>
        <v>1024754</v>
      </c>
      <c r="BA377">
        <f>IF(ISBLANK(Tabla7[[#This Row],[15/05/2018]]),0,Tabla7[[#This Row],[15/05/2018]])</f>
        <v>1034002</v>
      </c>
      <c r="BB377">
        <f>IF(ISBLANK(Tabla7[[#This Row],[15/06/2018]]),0,Tabla7[[#This Row],[15/06/2018]])</f>
        <v>1042559</v>
      </c>
      <c r="BC377">
        <f>IF(ISBLANK(Tabla7[[#This Row],[15/07/2018]]),0,Tabla7[[#This Row],[15/07/2018]])</f>
        <v>1044632</v>
      </c>
      <c r="BD377">
        <f>IF(ISBLANK(Tabla7[[#This Row],[15/08/2018]]),0,Tabla7[[#This Row],[15/08/2018]])</f>
        <v>1045822</v>
      </c>
      <c r="BE377">
        <f>IF(ISBLANK(Tabla7[[#This Row],[15/09/2018]]),0,Tabla7[[#This Row],[15/09/2018]])</f>
        <v>1046101</v>
      </c>
      <c r="BF377">
        <f>IF(ISBLANK(Tabla7[[#This Row],[15/10/2018]]),0,Tabla7[[#This Row],[15/10/2018]])</f>
        <v>1046495</v>
      </c>
      <c r="BG377">
        <f>IF(ISBLANK(Tabla7[[#This Row],[15/11/2018]]),0,Tabla7[[#This Row],[15/11/2018]])</f>
        <v>1048962</v>
      </c>
      <c r="BH377">
        <f>IF(ISBLANK(Tabla7[[#This Row],[15/12/2018]]),0,Tabla7[[#This Row],[15/12/2018]])</f>
        <v>1053449</v>
      </c>
      <c r="BI377">
        <f>IF(ISBLANK(Tabla7[[#This Row],[28/12/2018]]),0,Tabla7[[#This Row],[28/12/2018]])</f>
        <v>0</v>
      </c>
      <c r="BN37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('LW00181633','V','VCT30','39036','              REAL CLUB NAUTICO VCIA.','EN CENTRALIZACIÓN (1)','             ','');</v>
      </c>
      <c r="BO377" t="s">
        <v>243</v>
      </c>
      <c r="BP377" s="632" t="str">
        <f>CONCATENATE("insert into lecturas values ","('",Tabla7[[#This Row],[CONTADOR]],"',STR_TO_DATE('",Tabla7[[#Headers],[31/12/2017]],"','%d/%m/%Y'),",AV377,"),","('",Tabla7[[#This Row],[CONTADOR]],"',STR_TO_DATE('",Tabla7[[#Headers],[15/01/2018]],"','%d/%m/%Y'),",AW377,"),","('",Tabla7[[#This Row],[CONTADOR]],"',STR_TO_DATE('",Tabla7[[#Headers],[15/02/2018]],"','%d/%m/%Y'),",AX377,"),","('",Tabla7[[#This Row],[CONTADOR]],"',STR_TO_DATE('",Tabla7[[#Headers],[15/03/2018]],"','%d/%m/%Y'),",AY377,"),","('",Tabla7[[#This Row],[CONTADOR]],"',STR_TO_DATE('",Tabla7[[#Headers],[15/04/2018]],"','%d/%m/%Y'),",AZ377,"),","('",Tabla7[[#This Row],[CONTADOR]],"',STR_TO_DATE('",Tabla7[[#Headers],[15/05/2018]],"','%d/%m/%Y'),",BA377,"),","('",Tabla7[[#This Row],[CONTADOR]],"',STR_TO_DATE('",Tabla7[[#Headers],[15/06/2018]],"','%d/%m/%Y'),",BB377,"),","('",Tabla7[[#This Row],[CONTADOR]],"',STR_TO_DATE('",Tabla7[[#Headers],[15/07/2018]],"','%d/%m/%Y'),",BC377,"),","('",Tabla7[[#This Row],[CONTADOR]],"',STR_TO_DATE('",Tabla7[[#Headers],[15/08/2018]],"','%d/%m/%Y'),",BD377,"),","('",Tabla7[[#This Row],[CONTADOR]],"',STR_TO_DATE('",Tabla7[[#Headers],[15/09/2018]],"','%d/%m/%Y'),",BE377,"),","('",Tabla7[[#This Row],[CONTADOR]],"',STR_TO_DATE('",Tabla7[[#Headers],[15/10/2018]],"','%d/%m/%Y'),",BF377,"),","('",Tabla7[[#This Row],[CONTADOR]],"',STR_TO_DATE('",Tabla7[[#Headers],[15/11/2018]],"','%d/%m/%Y'),",BG377,"),","('",Tabla7[[#This Row],[CONTADOR]],"',STR_TO_DATE('",Tabla7[[#Headers],[15/12/2018]],"','%d/%m/%Y'),",BH377,");")</f>
        <v>insert into lecturas values ('LW00181633',STR_TO_DATE('31/12/2017','%d/%m/%Y'),1003020),('LW00181633',STR_TO_DATE('15/01/2018','%d/%m/%Y'),1005804),('LW00181633',STR_TO_DATE('15/02/2018','%d/%m/%Y'),1012894),('LW00181633',STR_TO_DATE('15/03/2018','%d/%m/%Y'),1018869),('LW00181633',STR_TO_DATE('15/04/2018','%d/%m/%Y'),1024754),('LW00181633',STR_TO_DATE('15/05/2018','%d/%m/%Y'),1034002),('LW00181633',STR_TO_DATE('15/06/2018','%d/%m/%Y'),1042559),('LW00181633',STR_TO_DATE('15/07/2018','%d/%m/%Y'),1044632),('LW00181633',STR_TO_DATE('15/08/2018','%d/%m/%Y'),1045822),('LW00181633',STR_TO_DATE('15/09/2018','%d/%m/%Y'),1046101),('LW00181633',STR_TO_DATE('15/10/2018','%d/%m/%Y'),1046495),('LW00181633',STR_TO_DATE('15/11/2018','%d/%m/%Y'),1048962),('LW00181633',STR_TO_DATE('15/12/2018','%d/%m/%Y'),1053449);</v>
      </c>
    </row>
    <row r="378" spans="1:68" ht="18" customHeight="1" x14ac:dyDescent="0.25">
      <c r="A378" s="241" t="s">
        <v>740</v>
      </c>
      <c r="B378" s="60"/>
      <c r="C378" s="342" t="s">
        <v>1319</v>
      </c>
      <c r="D378" s="60" t="s">
        <v>221</v>
      </c>
      <c r="E378" s="258">
        <v>1</v>
      </c>
      <c r="F378" s="274" t="s">
        <v>896</v>
      </c>
      <c r="G378" s="2" t="s">
        <v>293</v>
      </c>
      <c r="H378" s="2" t="s">
        <v>222</v>
      </c>
      <c r="I378" s="2"/>
      <c r="J378" s="311">
        <v>827928</v>
      </c>
      <c r="K378" s="311">
        <v>835615</v>
      </c>
      <c r="L378" s="311">
        <v>853576</v>
      </c>
      <c r="M378" s="311">
        <v>869972</v>
      </c>
      <c r="N378" s="311">
        <v>886252</v>
      </c>
      <c r="O378" s="311">
        <v>905000</v>
      </c>
      <c r="P378" s="311">
        <v>923283</v>
      </c>
      <c r="Q378" s="275">
        <v>934954</v>
      </c>
      <c r="R378" s="275">
        <v>945684</v>
      </c>
      <c r="S378" s="311">
        <v>956128</v>
      </c>
      <c r="T378" s="311">
        <v>965938</v>
      </c>
      <c r="U378" s="531">
        <v>980156</v>
      </c>
      <c r="V378" s="531"/>
      <c r="W378" s="2"/>
      <c r="X378" s="2"/>
      <c r="Y378" s="2">
        <f t="shared" ref="Y378:Y409" si="135">IF(OR(ISBLANK(K378),ISBLANK(J378)),"",IF(AND(K378&gt;=J378,K378-J378&lt;=K378),(K378-J378)*$AK378,"!!!!"))</f>
        <v>7687</v>
      </c>
      <c r="Z378" s="2">
        <f t="shared" ref="Z378:Z409" si="136">IF(OR(ISBLANK(L378),ISBLANK(K378)),"",IF(AND(L378&gt;=K378,L378-K378&lt;=L378),(L378-K378)*$AK378,"!!!!"))</f>
        <v>17961</v>
      </c>
      <c r="AA378" s="2">
        <f t="shared" si="134"/>
        <v>16396</v>
      </c>
      <c r="AB378" s="2">
        <f t="shared" si="133"/>
        <v>16280</v>
      </c>
      <c r="AC378" s="2">
        <f t="shared" ref="AC378:AC409" si="137">IF(OR(ISBLANK(O378),ISBLANK(N378)),"",IF(AND(O378&gt;=N378,O378-N378&lt;=O378),(O378-N378)*$AK378,"!!!!"))</f>
        <v>18748</v>
      </c>
      <c r="AD378" s="2">
        <f t="shared" ref="AD378:AD409" si="138">IF(OR(ISBLANK(P378),ISBLANK(O378)),"",IF(AND(P378&gt;=O378,P378-O378&lt;=P378),(P378-O378)*$AK378,"!!!!"))</f>
        <v>18283</v>
      </c>
      <c r="AE378" s="2">
        <f t="shared" ref="AE378:AE409" si="139">IF(OR(ISBLANK(Q378),ISBLANK(P378)),"",IF(AND(Q378&gt;=P378,Q378-P378&lt;=Q378),(Q378-P378)*$AK378,"!!!!"))</f>
        <v>11671</v>
      </c>
      <c r="AF378" s="2">
        <f t="shared" ref="AF378:AF409" si="140">IF(OR(ISBLANK(R378),ISBLANK(Q378)),"",IF(AND(R378&gt;=Q378,R378-Q378&lt;=R378),(R378-Q378)*$AK378,"!!!!"))</f>
        <v>10730</v>
      </c>
      <c r="AG378" s="2">
        <f t="shared" ref="AG378:AG409" si="141">IF(OR(ISBLANK(S378),ISBLANK(R378)),"",IF(AND(S378&gt;=R378,S378-R378&lt;=S378),(S378-R378)*$AK378,"!!!!"))</f>
        <v>10444</v>
      </c>
      <c r="AH378" s="2">
        <f t="shared" ref="AH378:AH409" si="142">IF(OR(ISBLANK(T378),ISBLANK(S378)),"",IF(AND(T378&gt;=S378,T378-S378&lt;=T378),(T378-S378)*$AK378,"!!!!"))</f>
        <v>9810</v>
      </c>
      <c r="AI378" s="2">
        <f t="shared" ref="AI378:AI409" si="143">IF(OR(ISBLANK(U378),ISBLANK(T378)),"",IF(AND(U378&gt;=T378,U378-T378&lt;=U378),(U378-T378)*$AK378,"!!!!"))</f>
        <v>14218</v>
      </c>
      <c r="AJ378" s="2" t="str">
        <f t="shared" ref="AJ378:AJ409" si="144">IF(OR(ISBLANK(V378),ISBLANK(U378)),"",IF(AND(V378&gt;=U378,V378-U378&lt;=V378),(V378-U378)*$AK378,"!!!!"))</f>
        <v/>
      </c>
      <c r="AK378" s="406">
        <v>1</v>
      </c>
      <c r="AL378" s="274">
        <f t="shared" ca="1" si="116"/>
        <v>886252</v>
      </c>
      <c r="AM378" s="311">
        <f t="shared" ca="1" si="117"/>
        <v>905000</v>
      </c>
      <c r="AN378" s="274">
        <f ca="1">IF(AND(Tabla7[[#This Row],[UltLec]]&lt;&gt;0,Tabla7[[#This Row],[PenLect]]&lt;&gt;0),(AM378-AL378)*Tabla7[[#This Row],[RT]],"N/A")</f>
        <v>18748</v>
      </c>
      <c r="AO378" s="273" t="s">
        <v>862</v>
      </c>
      <c r="AP378" s="392" t="s">
        <v>1191</v>
      </c>
      <c r="AQ378" s="392" t="s">
        <v>818</v>
      </c>
      <c r="AR378" s="407">
        <f t="shared" si="118"/>
        <v>0</v>
      </c>
      <c r="AT378" s="2">
        <f t="shared" ca="1" si="119"/>
        <v>1.1515970515970515</v>
      </c>
      <c r="AV378">
        <f>IF(ISBLANK(Tabla7[[#This Row],[31/12/2017]]),0,Tabla7[[#This Row],[31/12/2017]])</f>
        <v>827928</v>
      </c>
      <c r="AW378">
        <f>IF(ISBLANK(Tabla7[[#This Row],[15/01/2018]]),0,Tabla7[[#This Row],[15/01/2018]])</f>
        <v>835615</v>
      </c>
      <c r="AX378">
        <f>IF(ISBLANK(Tabla7[[#This Row],[15/02/2018]]),0,Tabla7[[#This Row],[15/02/2018]])</f>
        <v>853576</v>
      </c>
      <c r="AY378">
        <f>IF(ISBLANK(Tabla7[[#This Row],[15/03/2018]]),0,Tabla7[[#This Row],[15/03/2018]])</f>
        <v>869972</v>
      </c>
      <c r="AZ378">
        <f>IF(ISBLANK(Tabla7[[#This Row],[15/04/2018]]),0,Tabla7[[#This Row],[15/04/2018]])</f>
        <v>886252</v>
      </c>
      <c r="BA378">
        <f>IF(ISBLANK(Tabla7[[#This Row],[15/05/2018]]),0,Tabla7[[#This Row],[15/05/2018]])</f>
        <v>905000</v>
      </c>
      <c r="BB378">
        <f>IF(ISBLANK(Tabla7[[#This Row],[15/06/2018]]),0,Tabla7[[#This Row],[15/06/2018]])</f>
        <v>923283</v>
      </c>
      <c r="BC378">
        <f>IF(ISBLANK(Tabla7[[#This Row],[15/07/2018]]),0,Tabla7[[#This Row],[15/07/2018]])</f>
        <v>934954</v>
      </c>
      <c r="BD378">
        <f>IF(ISBLANK(Tabla7[[#This Row],[15/08/2018]]),0,Tabla7[[#This Row],[15/08/2018]])</f>
        <v>945684</v>
      </c>
      <c r="BE378">
        <f>IF(ISBLANK(Tabla7[[#This Row],[15/09/2018]]),0,Tabla7[[#This Row],[15/09/2018]])</f>
        <v>956128</v>
      </c>
      <c r="BF378">
        <f>IF(ISBLANK(Tabla7[[#This Row],[15/10/2018]]),0,Tabla7[[#This Row],[15/10/2018]])</f>
        <v>965938</v>
      </c>
      <c r="BG378">
        <f>IF(ISBLANK(Tabla7[[#This Row],[15/11/2018]]),0,Tabla7[[#This Row],[15/11/2018]])</f>
        <v>980156</v>
      </c>
      <c r="BH378">
        <f>IF(ISBLANK(Tabla7[[#This Row],[15/12/2018]]),0,Tabla7[[#This Row],[15/12/2018]])</f>
        <v>0</v>
      </c>
      <c r="BI378">
        <f>IF(ISBLANK(Tabla7[[#This Row],[28/12/2018]]),0,Tabla7[[#This Row],[28/12/2018]])</f>
        <v>0</v>
      </c>
      <c r="BN37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('PM4E350F02','VTOT','VCT30','1','APV TOTALIZADOR','EN CENTRALIZACIÓN','GENERAL','');</v>
      </c>
      <c r="BO378" t="s">
        <v>243</v>
      </c>
      <c r="BP378" s="632" t="str">
        <f>CONCATENATE("insert into lecturas values ","('",Tabla7[[#This Row],[CONTADOR]],"',STR_TO_DATE('",Tabla7[[#Headers],[31/12/2017]],"','%d/%m/%Y'),",AV378,"),","('",Tabla7[[#This Row],[CONTADOR]],"',STR_TO_DATE('",Tabla7[[#Headers],[15/01/2018]],"','%d/%m/%Y'),",AW378,"),","('",Tabla7[[#This Row],[CONTADOR]],"',STR_TO_DATE('",Tabla7[[#Headers],[15/02/2018]],"','%d/%m/%Y'),",AX378,"),","('",Tabla7[[#This Row],[CONTADOR]],"',STR_TO_DATE('",Tabla7[[#Headers],[15/03/2018]],"','%d/%m/%Y'),",AY378,"),","('",Tabla7[[#This Row],[CONTADOR]],"',STR_TO_DATE('",Tabla7[[#Headers],[15/04/2018]],"','%d/%m/%Y'),",AZ378,"),","('",Tabla7[[#This Row],[CONTADOR]],"',STR_TO_DATE('",Tabla7[[#Headers],[15/05/2018]],"','%d/%m/%Y'),",BA378,"),","('",Tabla7[[#This Row],[CONTADOR]],"',STR_TO_DATE('",Tabla7[[#Headers],[15/06/2018]],"','%d/%m/%Y'),",BB378,"),","('",Tabla7[[#This Row],[CONTADOR]],"',STR_TO_DATE('",Tabla7[[#Headers],[15/07/2018]],"','%d/%m/%Y'),",BC378,"),","('",Tabla7[[#This Row],[CONTADOR]],"',STR_TO_DATE('",Tabla7[[#Headers],[15/08/2018]],"','%d/%m/%Y'),",BD378,"),","('",Tabla7[[#This Row],[CONTADOR]],"',STR_TO_DATE('",Tabla7[[#Headers],[15/09/2018]],"','%d/%m/%Y'),",BE378,"),","('",Tabla7[[#This Row],[CONTADOR]],"',STR_TO_DATE('",Tabla7[[#Headers],[15/10/2018]],"','%d/%m/%Y'),",BF378,"),","('",Tabla7[[#This Row],[CONTADOR]],"',STR_TO_DATE('",Tabla7[[#Headers],[15/11/2018]],"','%d/%m/%Y'),",BG378,"),","('",Tabla7[[#This Row],[CONTADOR]],"',STR_TO_DATE('",Tabla7[[#Headers],[15/12/2018]],"','%d/%m/%Y'),",BH378,");")</f>
        <v>insert into lecturas values ('PM4E350F02',STR_TO_DATE('31/12/2017','%d/%m/%Y'),827928),('PM4E350F02',STR_TO_DATE('15/01/2018','%d/%m/%Y'),835615),('PM4E350F02',STR_TO_DATE('15/02/2018','%d/%m/%Y'),853576),('PM4E350F02',STR_TO_DATE('15/03/2018','%d/%m/%Y'),869972),('PM4E350F02',STR_TO_DATE('15/04/2018','%d/%m/%Y'),886252),('PM4E350F02',STR_TO_DATE('15/05/2018','%d/%m/%Y'),905000),('PM4E350F02',STR_TO_DATE('15/06/2018','%d/%m/%Y'),923283),('PM4E350F02',STR_TO_DATE('15/07/2018','%d/%m/%Y'),934954),('PM4E350F02',STR_TO_DATE('15/08/2018','%d/%m/%Y'),945684),('PM4E350F02',STR_TO_DATE('15/09/2018','%d/%m/%Y'),956128),('PM4E350F02',STR_TO_DATE('15/10/2018','%d/%m/%Y'),965938),('PM4E350F02',STR_TO_DATE('15/11/2018','%d/%m/%Y'),980156),('PM4E350F02',STR_TO_DATE('15/12/2018','%d/%m/%Y'),0);</v>
      </c>
    </row>
    <row r="379" spans="1:68" ht="18" customHeight="1" x14ac:dyDescent="0.25">
      <c r="A379" s="241" t="s">
        <v>19</v>
      </c>
      <c r="B379" s="60"/>
      <c r="C379" s="342" t="s">
        <v>1318</v>
      </c>
      <c r="D379" s="60" t="s">
        <v>221</v>
      </c>
      <c r="E379" s="258">
        <v>131</v>
      </c>
      <c r="F379" s="2" t="s">
        <v>455</v>
      </c>
      <c r="G379" s="2" t="s">
        <v>293</v>
      </c>
      <c r="H379" s="2" t="s">
        <v>162</v>
      </c>
      <c r="I379" s="2"/>
      <c r="J379" s="311">
        <v>285911</v>
      </c>
      <c r="K379" s="311">
        <v>287897</v>
      </c>
      <c r="L379" s="311">
        <v>293218</v>
      </c>
      <c r="M379" s="311">
        <v>298532</v>
      </c>
      <c r="N379" s="311">
        <v>303652</v>
      </c>
      <c r="O379" s="311">
        <v>308000</v>
      </c>
      <c r="P379" s="311">
        <v>312796</v>
      </c>
      <c r="Q379" s="275">
        <v>316895</v>
      </c>
      <c r="R379" s="275">
        <v>320988</v>
      </c>
      <c r="S379" s="311">
        <v>325567</v>
      </c>
      <c r="T379" s="311">
        <v>330110</v>
      </c>
      <c r="U379" s="531">
        <v>336276</v>
      </c>
      <c r="V379" s="531">
        <v>343528</v>
      </c>
      <c r="W379" s="274"/>
      <c r="X379" s="2"/>
      <c r="Y379" s="2">
        <f t="shared" si="135"/>
        <v>1986</v>
      </c>
      <c r="Z379" s="2">
        <f t="shared" si="136"/>
        <v>5321</v>
      </c>
      <c r="AA379" s="2">
        <f t="shared" si="134"/>
        <v>5314</v>
      </c>
      <c r="AB379" s="2">
        <f t="shared" si="133"/>
        <v>5120</v>
      </c>
      <c r="AC379" s="2">
        <f t="shared" si="137"/>
        <v>4348</v>
      </c>
      <c r="AD379" s="2">
        <f t="shared" si="138"/>
        <v>4796</v>
      </c>
      <c r="AE379" s="2">
        <f t="shared" si="139"/>
        <v>4099</v>
      </c>
      <c r="AF379" s="2">
        <f t="shared" si="140"/>
        <v>4093</v>
      </c>
      <c r="AG379" s="2">
        <f t="shared" si="141"/>
        <v>4579</v>
      </c>
      <c r="AH379" s="2">
        <f t="shared" si="142"/>
        <v>4543</v>
      </c>
      <c r="AI379" s="2">
        <f t="shared" si="143"/>
        <v>6166</v>
      </c>
      <c r="AJ379" s="2">
        <f t="shared" si="144"/>
        <v>7252</v>
      </c>
      <c r="AK379" s="406">
        <v>1</v>
      </c>
      <c r="AL379" s="274">
        <f t="shared" ca="1" si="116"/>
        <v>303652</v>
      </c>
      <c r="AM379" s="311">
        <f t="shared" ca="1" si="117"/>
        <v>308000</v>
      </c>
      <c r="AN379" s="274">
        <f ca="1">IF(AND(Tabla7[[#This Row],[UltLec]]&lt;&gt;0,Tabla7[[#This Row],[PenLect]]&lt;&gt;0),(AM379-AL379)*Tabla7[[#This Row],[RT]],"N/A")</f>
        <v>4348</v>
      </c>
      <c r="AO379" s="273" t="s">
        <v>862</v>
      </c>
      <c r="AP379" s="392" t="s">
        <v>1191</v>
      </c>
      <c r="AQ379" s="392" t="s">
        <v>818</v>
      </c>
      <c r="AR379" s="407">
        <f t="shared" si="118"/>
        <v>0</v>
      </c>
      <c r="AT379" s="2">
        <f t="shared" ca="1" si="119"/>
        <v>0.84921875000000002</v>
      </c>
      <c r="AV379">
        <f>IF(ISBLANK(Tabla7[[#This Row],[31/12/2017]]),0,Tabla7[[#This Row],[31/12/2017]])</f>
        <v>285911</v>
      </c>
      <c r="AW379">
        <f>IF(ISBLANK(Tabla7[[#This Row],[15/01/2018]]),0,Tabla7[[#This Row],[15/01/2018]])</f>
        <v>287897</v>
      </c>
      <c r="AX379">
        <f>IF(ISBLANK(Tabla7[[#This Row],[15/02/2018]]),0,Tabla7[[#This Row],[15/02/2018]])</f>
        <v>293218</v>
      </c>
      <c r="AY379">
        <f>IF(ISBLANK(Tabla7[[#This Row],[15/03/2018]]),0,Tabla7[[#This Row],[15/03/2018]])</f>
        <v>298532</v>
      </c>
      <c r="AZ379">
        <f>IF(ISBLANK(Tabla7[[#This Row],[15/04/2018]]),0,Tabla7[[#This Row],[15/04/2018]])</f>
        <v>303652</v>
      </c>
      <c r="BA379">
        <f>IF(ISBLANK(Tabla7[[#This Row],[15/05/2018]]),0,Tabla7[[#This Row],[15/05/2018]])</f>
        <v>308000</v>
      </c>
      <c r="BB379">
        <f>IF(ISBLANK(Tabla7[[#This Row],[15/06/2018]]),0,Tabla7[[#This Row],[15/06/2018]])</f>
        <v>312796</v>
      </c>
      <c r="BC379">
        <f>IF(ISBLANK(Tabla7[[#This Row],[15/07/2018]]),0,Tabla7[[#This Row],[15/07/2018]])</f>
        <v>316895</v>
      </c>
      <c r="BD379">
        <f>IF(ISBLANK(Tabla7[[#This Row],[15/08/2018]]),0,Tabla7[[#This Row],[15/08/2018]])</f>
        <v>320988</v>
      </c>
      <c r="BE379">
        <f>IF(ISBLANK(Tabla7[[#This Row],[15/09/2018]]),0,Tabla7[[#This Row],[15/09/2018]])</f>
        <v>325567</v>
      </c>
      <c r="BF379">
        <f>IF(ISBLANK(Tabla7[[#This Row],[15/10/2018]]),0,Tabla7[[#This Row],[15/10/2018]])</f>
        <v>330110</v>
      </c>
      <c r="BG379">
        <f>IF(ISBLANK(Tabla7[[#This Row],[15/11/2018]]),0,Tabla7[[#This Row],[15/11/2018]])</f>
        <v>336276</v>
      </c>
      <c r="BH379">
        <f>IF(ISBLANK(Tabla7[[#This Row],[15/12/2018]]),0,Tabla7[[#This Row],[15/12/2018]])</f>
        <v>343528</v>
      </c>
      <c r="BI379">
        <f>IF(ISBLANK(Tabla7[[#This Row],[28/12/2018]]),0,Tabla7[[#This Row],[28/12/2018]])</f>
        <v>0</v>
      </c>
      <c r="BN37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('PM4E350F69','V','VCT30','131','APV ALUMBRADO VIALES','EN CENTRALIZACIÓN','ALUMBRADO VIALES','');</v>
      </c>
      <c r="BO379" t="s">
        <v>243</v>
      </c>
      <c r="BP379" s="632" t="str">
        <f>CONCATENATE("insert into lecturas values ","('",Tabla7[[#This Row],[CONTADOR]],"',STR_TO_DATE('",Tabla7[[#Headers],[31/12/2017]],"','%d/%m/%Y'),",AV379,"),","('",Tabla7[[#This Row],[CONTADOR]],"',STR_TO_DATE('",Tabla7[[#Headers],[15/01/2018]],"','%d/%m/%Y'),",AW379,"),","('",Tabla7[[#This Row],[CONTADOR]],"',STR_TO_DATE('",Tabla7[[#Headers],[15/02/2018]],"','%d/%m/%Y'),",AX379,"),","('",Tabla7[[#This Row],[CONTADOR]],"',STR_TO_DATE('",Tabla7[[#Headers],[15/03/2018]],"','%d/%m/%Y'),",AY379,"),","('",Tabla7[[#This Row],[CONTADOR]],"',STR_TO_DATE('",Tabla7[[#Headers],[15/04/2018]],"','%d/%m/%Y'),",AZ379,"),","('",Tabla7[[#This Row],[CONTADOR]],"',STR_TO_DATE('",Tabla7[[#Headers],[15/05/2018]],"','%d/%m/%Y'),",BA379,"),","('",Tabla7[[#This Row],[CONTADOR]],"',STR_TO_DATE('",Tabla7[[#Headers],[15/06/2018]],"','%d/%m/%Y'),",BB379,"),","('",Tabla7[[#This Row],[CONTADOR]],"',STR_TO_DATE('",Tabla7[[#Headers],[15/07/2018]],"','%d/%m/%Y'),",BC379,"),","('",Tabla7[[#This Row],[CONTADOR]],"',STR_TO_DATE('",Tabla7[[#Headers],[15/08/2018]],"','%d/%m/%Y'),",BD379,"),","('",Tabla7[[#This Row],[CONTADOR]],"',STR_TO_DATE('",Tabla7[[#Headers],[15/09/2018]],"','%d/%m/%Y'),",BE379,"),","('",Tabla7[[#This Row],[CONTADOR]],"',STR_TO_DATE('",Tabla7[[#Headers],[15/10/2018]],"','%d/%m/%Y'),",BF379,"),","('",Tabla7[[#This Row],[CONTADOR]],"',STR_TO_DATE('",Tabla7[[#Headers],[15/11/2018]],"','%d/%m/%Y'),",BG379,"),","('",Tabla7[[#This Row],[CONTADOR]],"',STR_TO_DATE('",Tabla7[[#Headers],[15/12/2018]],"','%d/%m/%Y'),",BH379,");")</f>
        <v>insert into lecturas values ('PM4E350F69',STR_TO_DATE('31/12/2017','%d/%m/%Y'),285911),('PM4E350F69',STR_TO_DATE('15/01/2018','%d/%m/%Y'),287897),('PM4E350F69',STR_TO_DATE('15/02/2018','%d/%m/%Y'),293218),('PM4E350F69',STR_TO_DATE('15/03/2018','%d/%m/%Y'),298532),('PM4E350F69',STR_TO_DATE('15/04/2018','%d/%m/%Y'),303652),('PM4E350F69',STR_TO_DATE('15/05/2018','%d/%m/%Y'),308000),('PM4E350F69',STR_TO_DATE('15/06/2018','%d/%m/%Y'),312796),('PM4E350F69',STR_TO_DATE('15/07/2018','%d/%m/%Y'),316895),('PM4E350F69',STR_TO_DATE('15/08/2018','%d/%m/%Y'),320988),('PM4E350F69',STR_TO_DATE('15/09/2018','%d/%m/%Y'),325567),('PM4E350F69',STR_TO_DATE('15/10/2018','%d/%m/%Y'),330110),('PM4E350F69',STR_TO_DATE('15/11/2018','%d/%m/%Y'),336276),('PM4E350F69',STR_TO_DATE('15/12/2018','%d/%m/%Y'),343528);</v>
      </c>
    </row>
    <row r="380" spans="1:68" ht="18" customHeight="1" x14ac:dyDescent="0.25">
      <c r="A380" s="241" t="s">
        <v>19</v>
      </c>
      <c r="B380" s="60">
        <v>838</v>
      </c>
      <c r="C380" s="342" t="s">
        <v>235</v>
      </c>
      <c r="D380" s="60" t="s">
        <v>228</v>
      </c>
      <c r="E380" s="258">
        <v>39381</v>
      </c>
      <c r="F380" s="2" t="s">
        <v>236</v>
      </c>
      <c r="G380" s="2" t="s">
        <v>231</v>
      </c>
      <c r="H380" s="2"/>
      <c r="I380" s="2"/>
      <c r="J380" s="311">
        <v>14872</v>
      </c>
      <c r="K380" s="311">
        <v>14958</v>
      </c>
      <c r="L380" s="2">
        <v>15135</v>
      </c>
      <c r="M380" s="311">
        <v>15280</v>
      </c>
      <c r="N380" s="311">
        <v>15385</v>
      </c>
      <c r="O380" s="311">
        <v>15526</v>
      </c>
      <c r="P380" s="311">
        <v>15724</v>
      </c>
      <c r="Q380" s="2">
        <v>16071</v>
      </c>
      <c r="R380" s="2">
        <v>16465</v>
      </c>
      <c r="S380" s="311">
        <v>16739</v>
      </c>
      <c r="T380" s="311">
        <v>16905</v>
      </c>
      <c r="U380" s="492">
        <v>17024</v>
      </c>
      <c r="V380" s="531">
        <v>17143</v>
      </c>
      <c r="W380" s="2"/>
      <c r="X380" s="2"/>
      <c r="Y380" s="2">
        <f t="shared" si="135"/>
        <v>86</v>
      </c>
      <c r="Z380" s="2">
        <f t="shared" si="136"/>
        <v>177</v>
      </c>
      <c r="AA380" s="2">
        <f t="shared" si="134"/>
        <v>145</v>
      </c>
      <c r="AB380" s="2">
        <f t="shared" si="133"/>
        <v>105</v>
      </c>
      <c r="AC380" s="2">
        <f t="shared" si="137"/>
        <v>141</v>
      </c>
      <c r="AD380" s="2">
        <f t="shared" si="138"/>
        <v>198</v>
      </c>
      <c r="AE380" s="2">
        <f t="shared" si="139"/>
        <v>347</v>
      </c>
      <c r="AF380" s="2">
        <f t="shared" si="140"/>
        <v>394</v>
      </c>
      <c r="AG380" s="2">
        <f t="shared" si="141"/>
        <v>274</v>
      </c>
      <c r="AH380" s="2">
        <f t="shared" si="142"/>
        <v>166</v>
      </c>
      <c r="AI380" s="2">
        <f t="shared" si="143"/>
        <v>119</v>
      </c>
      <c r="AJ380" s="2">
        <f t="shared" si="144"/>
        <v>119</v>
      </c>
      <c r="AK380" s="406">
        <v>1</v>
      </c>
      <c r="AL380" s="274">
        <f t="shared" ca="1" si="116"/>
        <v>15385</v>
      </c>
      <c r="AM380" s="311">
        <f t="shared" ca="1" si="117"/>
        <v>15526</v>
      </c>
      <c r="AN380" s="274">
        <f ca="1">IF(AND(Tabla7[[#This Row],[UltLec]]&lt;&gt;0,Tabla7[[#This Row],[PenLect]]&lt;&gt;0),(AM380-AL380)*Tabla7[[#This Row],[RT]],"N/A")</f>
        <v>141</v>
      </c>
      <c r="AO380" s="273" t="s">
        <v>862</v>
      </c>
      <c r="AP380" s="392" t="s">
        <v>1190</v>
      </c>
      <c r="AQ380" s="392" t="s">
        <v>1189</v>
      </c>
      <c r="AR380" s="407">
        <f t="shared" si="118"/>
        <v>0</v>
      </c>
      <c r="AT380" s="2">
        <f t="shared" ca="1" si="119"/>
        <v>1.3428571428571427</v>
      </c>
      <c r="AV380">
        <f>IF(ISBLANK(Tabla7[[#This Row],[31/12/2017]]),0,Tabla7[[#This Row],[31/12/2017]])</f>
        <v>14872</v>
      </c>
      <c r="AW380">
        <f>IF(ISBLANK(Tabla7[[#This Row],[15/01/2018]]),0,Tabla7[[#This Row],[15/01/2018]])</f>
        <v>14958</v>
      </c>
      <c r="AX380">
        <f>IF(ISBLANK(Tabla7[[#This Row],[15/02/2018]]),0,Tabla7[[#This Row],[15/02/2018]])</f>
        <v>15135</v>
      </c>
      <c r="AY380">
        <f>IF(ISBLANK(Tabla7[[#This Row],[15/03/2018]]),0,Tabla7[[#This Row],[15/03/2018]])</f>
        <v>15280</v>
      </c>
      <c r="AZ380">
        <f>IF(ISBLANK(Tabla7[[#This Row],[15/04/2018]]),0,Tabla7[[#This Row],[15/04/2018]])</f>
        <v>15385</v>
      </c>
      <c r="BA380">
        <f>IF(ISBLANK(Tabla7[[#This Row],[15/05/2018]]),0,Tabla7[[#This Row],[15/05/2018]])</f>
        <v>15526</v>
      </c>
      <c r="BB380">
        <f>IF(ISBLANK(Tabla7[[#This Row],[15/06/2018]]),0,Tabla7[[#This Row],[15/06/2018]])</f>
        <v>15724</v>
      </c>
      <c r="BC380">
        <f>IF(ISBLANK(Tabla7[[#This Row],[15/07/2018]]),0,Tabla7[[#This Row],[15/07/2018]])</f>
        <v>16071</v>
      </c>
      <c r="BD380">
        <f>IF(ISBLANK(Tabla7[[#This Row],[15/08/2018]]),0,Tabla7[[#This Row],[15/08/2018]])</f>
        <v>16465</v>
      </c>
      <c r="BE380">
        <f>IF(ISBLANK(Tabla7[[#This Row],[15/09/2018]]),0,Tabla7[[#This Row],[15/09/2018]])</f>
        <v>16739</v>
      </c>
      <c r="BF380">
        <f>IF(ISBLANK(Tabla7[[#This Row],[15/10/2018]]),0,Tabla7[[#This Row],[15/10/2018]])</f>
        <v>16905</v>
      </c>
      <c r="BG380">
        <f>IF(ISBLANK(Tabla7[[#This Row],[15/11/2018]]),0,Tabla7[[#This Row],[15/11/2018]])</f>
        <v>17024</v>
      </c>
      <c r="BH380">
        <f>IF(ISBLANK(Tabla7[[#This Row],[15/12/2018]]),0,Tabla7[[#This Row],[15/12/2018]])</f>
        <v>17143</v>
      </c>
      <c r="BI380">
        <f>IF(ISBLANK(Tabla7[[#This Row],[28/12/2018]]),0,Tabla7[[#This Row],[28/12/2018]])</f>
        <v>0</v>
      </c>
      <c r="BN38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('LW00012385','V','VCT31','39381','SICSA RAIL TRANSPORT S.A.','EXTERIOR CASETA','','');</v>
      </c>
      <c r="BO380" t="s">
        <v>243</v>
      </c>
      <c r="BP380" s="632" t="str">
        <f>CONCATENATE("insert into lecturas values ","('",Tabla7[[#This Row],[CONTADOR]],"',STR_TO_DATE('",Tabla7[[#Headers],[31/12/2017]],"','%d/%m/%Y'),",AV380,"),","('",Tabla7[[#This Row],[CONTADOR]],"',STR_TO_DATE('",Tabla7[[#Headers],[15/01/2018]],"','%d/%m/%Y'),",AW380,"),","('",Tabla7[[#This Row],[CONTADOR]],"',STR_TO_DATE('",Tabla7[[#Headers],[15/02/2018]],"','%d/%m/%Y'),",AX380,"),","('",Tabla7[[#This Row],[CONTADOR]],"',STR_TO_DATE('",Tabla7[[#Headers],[15/03/2018]],"','%d/%m/%Y'),",AY380,"),","('",Tabla7[[#This Row],[CONTADOR]],"',STR_TO_DATE('",Tabla7[[#Headers],[15/04/2018]],"','%d/%m/%Y'),",AZ380,"),","('",Tabla7[[#This Row],[CONTADOR]],"',STR_TO_DATE('",Tabla7[[#Headers],[15/05/2018]],"','%d/%m/%Y'),",BA380,"),","('",Tabla7[[#This Row],[CONTADOR]],"',STR_TO_DATE('",Tabla7[[#Headers],[15/06/2018]],"','%d/%m/%Y'),",BB380,"),","('",Tabla7[[#This Row],[CONTADOR]],"',STR_TO_DATE('",Tabla7[[#Headers],[15/07/2018]],"','%d/%m/%Y'),",BC380,"),","('",Tabla7[[#This Row],[CONTADOR]],"',STR_TO_DATE('",Tabla7[[#Headers],[15/08/2018]],"','%d/%m/%Y'),",BD380,"),","('",Tabla7[[#This Row],[CONTADOR]],"',STR_TO_DATE('",Tabla7[[#Headers],[15/09/2018]],"','%d/%m/%Y'),",BE380,"),","('",Tabla7[[#This Row],[CONTADOR]],"',STR_TO_DATE('",Tabla7[[#Headers],[15/10/2018]],"','%d/%m/%Y'),",BF380,"),","('",Tabla7[[#This Row],[CONTADOR]],"',STR_TO_DATE('",Tabla7[[#Headers],[15/11/2018]],"','%d/%m/%Y'),",BG380,"),","('",Tabla7[[#This Row],[CONTADOR]],"',STR_TO_DATE('",Tabla7[[#Headers],[15/12/2018]],"','%d/%m/%Y'),",BH380,");")</f>
        <v>insert into lecturas values ('LW00012385',STR_TO_DATE('31/12/2017','%d/%m/%Y'),14872),('LW00012385',STR_TO_DATE('15/01/2018','%d/%m/%Y'),14958),('LW00012385',STR_TO_DATE('15/02/2018','%d/%m/%Y'),15135),('LW00012385',STR_TO_DATE('15/03/2018','%d/%m/%Y'),15280),('LW00012385',STR_TO_DATE('15/04/2018','%d/%m/%Y'),15385),('LW00012385',STR_TO_DATE('15/05/2018','%d/%m/%Y'),15526),('LW00012385',STR_TO_DATE('15/06/2018','%d/%m/%Y'),15724),('LW00012385',STR_TO_DATE('15/07/2018','%d/%m/%Y'),16071),('LW00012385',STR_TO_DATE('15/08/2018','%d/%m/%Y'),16465),('LW00012385',STR_TO_DATE('15/09/2018','%d/%m/%Y'),16739),('LW00012385',STR_TO_DATE('15/10/2018','%d/%m/%Y'),16905),('LW00012385',STR_TO_DATE('15/11/2018','%d/%m/%Y'),17024),('LW00012385',STR_TO_DATE('15/12/2018','%d/%m/%Y'),17143);</v>
      </c>
    </row>
    <row r="381" spans="1:68" ht="18" customHeight="1" x14ac:dyDescent="0.25">
      <c r="A381" s="241" t="s">
        <v>19</v>
      </c>
      <c r="B381" s="60"/>
      <c r="C381" s="342" t="s">
        <v>237</v>
      </c>
      <c r="D381" s="60" t="s">
        <v>228</v>
      </c>
      <c r="E381" s="258">
        <v>140</v>
      </c>
      <c r="F381" s="274" t="s">
        <v>893</v>
      </c>
      <c r="G381" s="274" t="s">
        <v>231</v>
      </c>
      <c r="H381" s="274" t="s">
        <v>238</v>
      </c>
      <c r="I381" s="274"/>
      <c r="J381" s="311">
        <v>62979</v>
      </c>
      <c r="K381" s="311">
        <v>63312</v>
      </c>
      <c r="L381" s="274">
        <v>63917</v>
      </c>
      <c r="M381" s="311">
        <v>64492</v>
      </c>
      <c r="N381" s="311">
        <v>65092</v>
      </c>
      <c r="O381" s="311">
        <v>65738</v>
      </c>
      <c r="P381" s="311">
        <v>66543</v>
      </c>
      <c r="Q381" s="274">
        <v>67600</v>
      </c>
      <c r="R381" s="274">
        <v>68550</v>
      </c>
      <c r="S381" s="311">
        <v>69359</v>
      </c>
      <c r="T381" s="311">
        <v>69996</v>
      </c>
      <c r="U381" s="311">
        <v>70559</v>
      </c>
      <c r="V381" s="531">
        <v>71053</v>
      </c>
      <c r="W381" s="274"/>
      <c r="X381" s="274"/>
      <c r="Y381" s="274">
        <f t="shared" si="135"/>
        <v>333</v>
      </c>
      <c r="Z381" s="274">
        <f t="shared" si="136"/>
        <v>605</v>
      </c>
      <c r="AA381" s="274">
        <f t="shared" si="134"/>
        <v>575</v>
      </c>
      <c r="AB381" s="274">
        <f t="shared" si="133"/>
        <v>600</v>
      </c>
      <c r="AC381" s="274">
        <f t="shared" si="137"/>
        <v>646</v>
      </c>
      <c r="AD381" s="274">
        <f t="shared" si="138"/>
        <v>805</v>
      </c>
      <c r="AE381" s="274">
        <f t="shared" si="139"/>
        <v>1057</v>
      </c>
      <c r="AF381" s="274">
        <f t="shared" si="140"/>
        <v>950</v>
      </c>
      <c r="AG381" s="274">
        <f t="shared" si="141"/>
        <v>809</v>
      </c>
      <c r="AH381" s="274">
        <f t="shared" si="142"/>
        <v>637</v>
      </c>
      <c r="AI381" s="274">
        <f t="shared" si="143"/>
        <v>563</v>
      </c>
      <c r="AJ381" s="274">
        <f t="shared" si="144"/>
        <v>494</v>
      </c>
      <c r="AK381" s="406">
        <v>1</v>
      </c>
      <c r="AL381" s="274">
        <f t="shared" ca="1" si="116"/>
        <v>65092</v>
      </c>
      <c r="AM381" s="311">
        <f t="shared" ca="1" si="117"/>
        <v>65738</v>
      </c>
      <c r="AN381" s="274">
        <f ca="1">IF(AND(Tabla7[[#This Row],[UltLec]]&lt;&gt;0,Tabla7[[#This Row],[PenLect]]&lt;&gt;0),(AM381-AL381)*Tabla7[[#This Row],[RT]],"N/A")</f>
        <v>646</v>
      </c>
      <c r="AO381" s="273" t="s">
        <v>862</v>
      </c>
      <c r="AP381" s="392" t="s">
        <v>1190</v>
      </c>
      <c r="AQ381" s="392" t="s">
        <v>1189</v>
      </c>
      <c r="AR381" s="407">
        <f t="shared" si="118"/>
        <v>0</v>
      </c>
      <c r="AT381" s="2">
        <f t="shared" ca="1" si="119"/>
        <v>1.0766666666666667</v>
      </c>
      <c r="AV381">
        <f>IF(ISBLANK(Tabla7[[#This Row],[31/12/2017]]),0,Tabla7[[#This Row],[31/12/2017]])</f>
        <v>62979</v>
      </c>
      <c r="AW381">
        <f>IF(ISBLANK(Tabla7[[#This Row],[15/01/2018]]),0,Tabla7[[#This Row],[15/01/2018]])</f>
        <v>63312</v>
      </c>
      <c r="AX381">
        <f>IF(ISBLANK(Tabla7[[#This Row],[15/02/2018]]),0,Tabla7[[#This Row],[15/02/2018]])</f>
        <v>63917</v>
      </c>
      <c r="AY381">
        <f>IF(ISBLANK(Tabla7[[#This Row],[15/03/2018]]),0,Tabla7[[#This Row],[15/03/2018]])</f>
        <v>64492</v>
      </c>
      <c r="AZ381">
        <f>IF(ISBLANK(Tabla7[[#This Row],[15/04/2018]]),0,Tabla7[[#This Row],[15/04/2018]])</f>
        <v>65092</v>
      </c>
      <c r="BA381">
        <f>IF(ISBLANK(Tabla7[[#This Row],[15/05/2018]]),0,Tabla7[[#This Row],[15/05/2018]])</f>
        <v>65738</v>
      </c>
      <c r="BB381">
        <f>IF(ISBLANK(Tabla7[[#This Row],[15/06/2018]]),0,Tabla7[[#This Row],[15/06/2018]])</f>
        <v>66543</v>
      </c>
      <c r="BC381">
        <f>IF(ISBLANK(Tabla7[[#This Row],[15/07/2018]]),0,Tabla7[[#This Row],[15/07/2018]])</f>
        <v>67600</v>
      </c>
      <c r="BD381">
        <f>IF(ISBLANK(Tabla7[[#This Row],[15/08/2018]]),0,Tabla7[[#This Row],[15/08/2018]])</f>
        <v>68550</v>
      </c>
      <c r="BE381">
        <f>IF(ISBLANK(Tabla7[[#This Row],[15/09/2018]]),0,Tabla7[[#This Row],[15/09/2018]])</f>
        <v>69359</v>
      </c>
      <c r="BF381">
        <f>IF(ISBLANK(Tabla7[[#This Row],[15/10/2018]]),0,Tabla7[[#This Row],[15/10/2018]])</f>
        <v>69996</v>
      </c>
      <c r="BG381">
        <f>IF(ISBLANK(Tabla7[[#This Row],[15/11/2018]]),0,Tabla7[[#This Row],[15/11/2018]])</f>
        <v>70559</v>
      </c>
      <c r="BH381">
        <f>IF(ISBLANK(Tabla7[[#This Row],[15/12/2018]]),0,Tabla7[[#This Row],[15/12/2018]])</f>
        <v>71053</v>
      </c>
      <c r="BI381">
        <f>IF(ISBLANK(Tabla7[[#This Row],[28/12/2018]]),0,Tabla7[[#This Row],[28/12/2018]])</f>
        <v>0</v>
      </c>
      <c r="BN38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('LW00012983','V','VCT31','140','APV RENFE (SALA RC) ','EXTERIOR CASETA','RENFE (SALA RC) ','');</v>
      </c>
      <c r="BO381" t="s">
        <v>243</v>
      </c>
      <c r="BP381" s="632" t="str">
        <f>CONCATENATE("insert into lecturas values ","('",Tabla7[[#This Row],[CONTADOR]],"',STR_TO_DATE('",Tabla7[[#Headers],[31/12/2017]],"','%d/%m/%Y'),",AV381,"),","('",Tabla7[[#This Row],[CONTADOR]],"',STR_TO_DATE('",Tabla7[[#Headers],[15/01/2018]],"','%d/%m/%Y'),",AW381,"),","('",Tabla7[[#This Row],[CONTADOR]],"',STR_TO_DATE('",Tabla7[[#Headers],[15/02/2018]],"','%d/%m/%Y'),",AX381,"),","('",Tabla7[[#This Row],[CONTADOR]],"',STR_TO_DATE('",Tabla7[[#Headers],[15/03/2018]],"','%d/%m/%Y'),",AY381,"),","('",Tabla7[[#This Row],[CONTADOR]],"',STR_TO_DATE('",Tabla7[[#Headers],[15/04/2018]],"','%d/%m/%Y'),",AZ381,"),","('",Tabla7[[#This Row],[CONTADOR]],"',STR_TO_DATE('",Tabla7[[#Headers],[15/05/2018]],"','%d/%m/%Y'),",BA381,"),","('",Tabla7[[#This Row],[CONTADOR]],"',STR_TO_DATE('",Tabla7[[#Headers],[15/06/2018]],"','%d/%m/%Y'),",BB381,"),","('",Tabla7[[#This Row],[CONTADOR]],"',STR_TO_DATE('",Tabla7[[#Headers],[15/07/2018]],"','%d/%m/%Y'),",BC381,"),","('",Tabla7[[#This Row],[CONTADOR]],"',STR_TO_DATE('",Tabla7[[#Headers],[15/08/2018]],"','%d/%m/%Y'),",BD381,"),","('",Tabla7[[#This Row],[CONTADOR]],"',STR_TO_DATE('",Tabla7[[#Headers],[15/09/2018]],"','%d/%m/%Y'),",BE381,"),","('",Tabla7[[#This Row],[CONTADOR]],"',STR_TO_DATE('",Tabla7[[#Headers],[15/10/2018]],"','%d/%m/%Y'),",BF381,"),","('",Tabla7[[#This Row],[CONTADOR]],"',STR_TO_DATE('",Tabla7[[#Headers],[15/11/2018]],"','%d/%m/%Y'),",BG381,"),","('",Tabla7[[#This Row],[CONTADOR]],"',STR_TO_DATE('",Tabla7[[#Headers],[15/12/2018]],"','%d/%m/%Y'),",BH381,");")</f>
        <v>insert into lecturas values ('LW00012983',STR_TO_DATE('31/12/2017','%d/%m/%Y'),62979),('LW00012983',STR_TO_DATE('15/01/2018','%d/%m/%Y'),63312),('LW00012983',STR_TO_DATE('15/02/2018','%d/%m/%Y'),63917),('LW00012983',STR_TO_DATE('15/03/2018','%d/%m/%Y'),64492),('LW00012983',STR_TO_DATE('15/04/2018','%d/%m/%Y'),65092),('LW00012983',STR_TO_DATE('15/05/2018','%d/%m/%Y'),65738),('LW00012983',STR_TO_DATE('15/06/2018','%d/%m/%Y'),66543),('LW00012983',STR_TO_DATE('15/07/2018','%d/%m/%Y'),67600),('LW00012983',STR_TO_DATE('15/08/2018','%d/%m/%Y'),68550),('LW00012983',STR_TO_DATE('15/09/2018','%d/%m/%Y'),69359),('LW00012983',STR_TO_DATE('15/10/2018','%d/%m/%Y'),69996),('LW00012983',STR_TO_DATE('15/11/2018','%d/%m/%Y'),70559),('LW00012983',STR_TO_DATE('15/12/2018','%d/%m/%Y'),71053);</v>
      </c>
    </row>
    <row r="382" spans="1:68" ht="18" customHeight="1" x14ac:dyDescent="0.25">
      <c r="A382" s="241" t="s">
        <v>19</v>
      </c>
      <c r="B382" s="60">
        <v>715</v>
      </c>
      <c r="C382" s="342" t="s">
        <v>229</v>
      </c>
      <c r="D382" s="60" t="s">
        <v>228</v>
      </c>
      <c r="E382" s="258">
        <v>39291</v>
      </c>
      <c r="F382" s="2" t="s">
        <v>230</v>
      </c>
      <c r="G382" s="2" t="s">
        <v>231</v>
      </c>
      <c r="H382" s="2" t="s">
        <v>232</v>
      </c>
      <c r="I382" s="2"/>
      <c r="J382" s="2">
        <v>45070</v>
      </c>
      <c r="K382" s="274">
        <v>45311</v>
      </c>
      <c r="L382" s="2">
        <v>45886</v>
      </c>
      <c r="M382" s="311">
        <v>46361</v>
      </c>
      <c r="N382" s="311">
        <v>46760</v>
      </c>
      <c r="O382" s="311">
        <v>47098</v>
      </c>
      <c r="P382" s="311">
        <v>47557</v>
      </c>
      <c r="Q382" s="2">
        <v>48246</v>
      </c>
      <c r="R382" s="2">
        <v>48495</v>
      </c>
      <c r="S382" s="311">
        <v>49600</v>
      </c>
      <c r="T382" s="311">
        <v>50224</v>
      </c>
      <c r="U382" s="492">
        <v>50809</v>
      </c>
      <c r="V382" s="531">
        <v>51406</v>
      </c>
      <c r="W382" s="2"/>
      <c r="X382" s="2"/>
      <c r="Y382" s="2">
        <f t="shared" si="135"/>
        <v>241</v>
      </c>
      <c r="Z382" s="2">
        <f t="shared" si="136"/>
        <v>575</v>
      </c>
      <c r="AA382" s="2">
        <f t="shared" si="134"/>
        <v>475</v>
      </c>
      <c r="AB382" s="2">
        <f t="shared" si="133"/>
        <v>399</v>
      </c>
      <c r="AC382" s="2">
        <f t="shared" si="137"/>
        <v>338</v>
      </c>
      <c r="AD382" s="2">
        <f t="shared" si="138"/>
        <v>459</v>
      </c>
      <c r="AE382" s="2">
        <f t="shared" si="139"/>
        <v>689</v>
      </c>
      <c r="AF382" s="2">
        <f t="shared" si="140"/>
        <v>249</v>
      </c>
      <c r="AG382" s="2">
        <f t="shared" si="141"/>
        <v>1105</v>
      </c>
      <c r="AH382" s="2">
        <f t="shared" si="142"/>
        <v>624</v>
      </c>
      <c r="AI382" s="2">
        <f t="shared" si="143"/>
        <v>585</v>
      </c>
      <c r="AJ382" s="2">
        <f t="shared" si="144"/>
        <v>597</v>
      </c>
      <c r="AK382" s="406">
        <v>1</v>
      </c>
      <c r="AL382" s="274">
        <f t="shared" ca="1" si="116"/>
        <v>46760</v>
      </c>
      <c r="AM382" s="311">
        <f t="shared" ca="1" si="117"/>
        <v>47098</v>
      </c>
      <c r="AN382" s="274">
        <f ca="1">IF(AND(Tabla7[[#This Row],[UltLec]]&lt;&gt;0,Tabla7[[#This Row],[PenLect]]&lt;&gt;0),(AM382-AL382)*Tabla7[[#This Row],[RT]],"N/A")</f>
        <v>338</v>
      </c>
      <c r="AO382" s="273" t="s">
        <v>862</v>
      </c>
      <c r="AP382" s="392" t="s">
        <v>1190</v>
      </c>
      <c r="AQ382" s="392" t="s">
        <v>1193</v>
      </c>
      <c r="AR382" s="407">
        <f t="shared" si="118"/>
        <v>0</v>
      </c>
      <c r="AT382" s="2">
        <f t="shared" ca="1" si="119"/>
        <v>0.84711779448621549</v>
      </c>
      <c r="AV382">
        <f>IF(ISBLANK(Tabla7[[#This Row],[31/12/2017]]),0,Tabla7[[#This Row],[31/12/2017]])</f>
        <v>45070</v>
      </c>
      <c r="AW382">
        <f>IF(ISBLANK(Tabla7[[#This Row],[15/01/2018]]),0,Tabla7[[#This Row],[15/01/2018]])</f>
        <v>45311</v>
      </c>
      <c r="AX382">
        <f>IF(ISBLANK(Tabla7[[#This Row],[15/02/2018]]),0,Tabla7[[#This Row],[15/02/2018]])</f>
        <v>45886</v>
      </c>
      <c r="AY382">
        <f>IF(ISBLANK(Tabla7[[#This Row],[15/03/2018]]),0,Tabla7[[#This Row],[15/03/2018]])</f>
        <v>46361</v>
      </c>
      <c r="AZ382">
        <f>IF(ISBLANK(Tabla7[[#This Row],[15/04/2018]]),0,Tabla7[[#This Row],[15/04/2018]])</f>
        <v>46760</v>
      </c>
      <c r="BA382">
        <f>IF(ISBLANK(Tabla7[[#This Row],[15/05/2018]]),0,Tabla7[[#This Row],[15/05/2018]])</f>
        <v>47098</v>
      </c>
      <c r="BB382">
        <f>IF(ISBLANK(Tabla7[[#This Row],[15/06/2018]]),0,Tabla7[[#This Row],[15/06/2018]])</f>
        <v>47557</v>
      </c>
      <c r="BC382">
        <f>IF(ISBLANK(Tabla7[[#This Row],[15/07/2018]]),0,Tabla7[[#This Row],[15/07/2018]])</f>
        <v>48246</v>
      </c>
      <c r="BD382">
        <f>IF(ISBLANK(Tabla7[[#This Row],[15/08/2018]]),0,Tabla7[[#This Row],[15/08/2018]])</f>
        <v>48495</v>
      </c>
      <c r="BE382">
        <f>IF(ISBLANK(Tabla7[[#This Row],[15/09/2018]]),0,Tabla7[[#This Row],[15/09/2018]])</f>
        <v>49600</v>
      </c>
      <c r="BF382">
        <f>IF(ISBLANK(Tabla7[[#This Row],[15/10/2018]]),0,Tabla7[[#This Row],[15/10/2018]])</f>
        <v>50224</v>
      </c>
      <c r="BG382">
        <f>IF(ISBLANK(Tabla7[[#This Row],[15/11/2018]]),0,Tabla7[[#This Row],[15/11/2018]])</f>
        <v>50809</v>
      </c>
      <c r="BH382">
        <f>IF(ISBLANK(Tabla7[[#This Row],[15/12/2018]]),0,Tabla7[[#This Row],[15/12/2018]])</f>
        <v>51406</v>
      </c>
      <c r="BI382">
        <f>IF(ISBLANK(Tabla7[[#This Row],[28/12/2018]]),0,Tabla7[[#This Row],[28/12/2018]])</f>
        <v>0</v>
      </c>
      <c r="BN38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('LW00013607','V','VCT31','39291','RENFE OPERADORA','EXTERIOR CASETA','ADIF','');</v>
      </c>
      <c r="BO382" t="s">
        <v>243</v>
      </c>
      <c r="BP382" s="632" t="str">
        <f>CONCATENATE("insert into lecturas values ","('",Tabla7[[#This Row],[CONTADOR]],"',STR_TO_DATE('",Tabla7[[#Headers],[31/12/2017]],"','%d/%m/%Y'),",AV382,"),","('",Tabla7[[#This Row],[CONTADOR]],"',STR_TO_DATE('",Tabla7[[#Headers],[15/01/2018]],"','%d/%m/%Y'),",AW382,"),","('",Tabla7[[#This Row],[CONTADOR]],"',STR_TO_DATE('",Tabla7[[#Headers],[15/02/2018]],"','%d/%m/%Y'),",AX382,"),","('",Tabla7[[#This Row],[CONTADOR]],"',STR_TO_DATE('",Tabla7[[#Headers],[15/03/2018]],"','%d/%m/%Y'),",AY382,"),","('",Tabla7[[#This Row],[CONTADOR]],"',STR_TO_DATE('",Tabla7[[#Headers],[15/04/2018]],"','%d/%m/%Y'),",AZ382,"),","('",Tabla7[[#This Row],[CONTADOR]],"',STR_TO_DATE('",Tabla7[[#Headers],[15/05/2018]],"','%d/%m/%Y'),",BA382,"),","('",Tabla7[[#This Row],[CONTADOR]],"',STR_TO_DATE('",Tabla7[[#Headers],[15/06/2018]],"','%d/%m/%Y'),",BB382,"),","('",Tabla7[[#This Row],[CONTADOR]],"',STR_TO_DATE('",Tabla7[[#Headers],[15/07/2018]],"','%d/%m/%Y'),",BC382,"),","('",Tabla7[[#This Row],[CONTADOR]],"',STR_TO_DATE('",Tabla7[[#Headers],[15/08/2018]],"','%d/%m/%Y'),",BD382,"),","('",Tabla7[[#This Row],[CONTADOR]],"',STR_TO_DATE('",Tabla7[[#Headers],[15/09/2018]],"','%d/%m/%Y'),",BE382,"),","('",Tabla7[[#This Row],[CONTADOR]],"',STR_TO_DATE('",Tabla7[[#Headers],[15/10/2018]],"','%d/%m/%Y'),",BF382,"),","('",Tabla7[[#This Row],[CONTADOR]],"',STR_TO_DATE('",Tabla7[[#Headers],[15/11/2018]],"','%d/%m/%Y'),",BG382,"),","('",Tabla7[[#This Row],[CONTADOR]],"',STR_TO_DATE('",Tabla7[[#Headers],[15/12/2018]],"','%d/%m/%Y'),",BH382,");")</f>
        <v>insert into lecturas values ('LW00013607',STR_TO_DATE('31/12/2017','%d/%m/%Y'),45070),('LW00013607',STR_TO_DATE('15/01/2018','%d/%m/%Y'),45311),('LW00013607',STR_TO_DATE('15/02/2018','%d/%m/%Y'),45886),('LW00013607',STR_TO_DATE('15/03/2018','%d/%m/%Y'),46361),('LW00013607',STR_TO_DATE('15/04/2018','%d/%m/%Y'),46760),('LW00013607',STR_TO_DATE('15/05/2018','%d/%m/%Y'),47098),('LW00013607',STR_TO_DATE('15/06/2018','%d/%m/%Y'),47557),('LW00013607',STR_TO_DATE('15/07/2018','%d/%m/%Y'),48246),('LW00013607',STR_TO_DATE('15/08/2018','%d/%m/%Y'),48495),('LW00013607',STR_TO_DATE('15/09/2018','%d/%m/%Y'),49600),('LW00013607',STR_TO_DATE('15/10/2018','%d/%m/%Y'),50224),('LW00013607',STR_TO_DATE('15/11/2018','%d/%m/%Y'),50809),('LW00013607',STR_TO_DATE('15/12/2018','%d/%m/%Y'),51406);</v>
      </c>
    </row>
    <row r="383" spans="1:68" ht="18" customHeight="1" x14ac:dyDescent="0.25">
      <c r="A383" s="241" t="s">
        <v>19</v>
      </c>
      <c r="B383" s="60"/>
      <c r="C383" s="342" t="s">
        <v>233</v>
      </c>
      <c r="D383" s="60" t="s">
        <v>228</v>
      </c>
      <c r="E383" s="258">
        <v>140</v>
      </c>
      <c r="F383" s="274" t="s">
        <v>900</v>
      </c>
      <c r="G383" s="274" t="s">
        <v>234</v>
      </c>
      <c r="H383" s="2"/>
      <c r="I383" s="2"/>
      <c r="J383" s="2">
        <v>508040</v>
      </c>
      <c r="K383" s="274">
        <v>511424</v>
      </c>
      <c r="L383" s="2">
        <v>518438</v>
      </c>
      <c r="M383" s="311">
        <v>524371</v>
      </c>
      <c r="N383" s="311">
        <v>528342</v>
      </c>
      <c r="O383" s="311">
        <v>531522</v>
      </c>
      <c r="P383" s="311">
        <v>535426</v>
      </c>
      <c r="Q383" s="2">
        <v>541306</v>
      </c>
      <c r="R383" s="274">
        <v>548319</v>
      </c>
      <c r="S383" s="311">
        <v>554939</v>
      </c>
      <c r="T383" s="311">
        <v>559733</v>
      </c>
      <c r="U383" s="492">
        <v>564357</v>
      </c>
      <c r="V383" s="531">
        <v>569798</v>
      </c>
      <c r="W383" s="2"/>
      <c r="X383" s="2"/>
      <c r="Y383" s="2">
        <f t="shared" si="135"/>
        <v>3384</v>
      </c>
      <c r="Z383" s="2">
        <f t="shared" si="136"/>
        <v>7014</v>
      </c>
      <c r="AA383" s="2">
        <f t="shared" si="134"/>
        <v>5933</v>
      </c>
      <c r="AB383" s="2">
        <f t="shared" si="133"/>
        <v>3971</v>
      </c>
      <c r="AC383" s="2">
        <f t="shared" si="137"/>
        <v>3180</v>
      </c>
      <c r="AD383" s="2">
        <f t="shared" si="138"/>
        <v>3904</v>
      </c>
      <c r="AE383" s="2">
        <f t="shared" si="139"/>
        <v>5880</v>
      </c>
      <c r="AF383" s="2">
        <f t="shared" si="140"/>
        <v>7013</v>
      </c>
      <c r="AG383" s="2">
        <f t="shared" si="141"/>
        <v>6620</v>
      </c>
      <c r="AH383" s="2">
        <f t="shared" si="142"/>
        <v>4794</v>
      </c>
      <c r="AI383" s="2">
        <f t="shared" si="143"/>
        <v>4624</v>
      </c>
      <c r="AJ383" s="2">
        <f t="shared" si="144"/>
        <v>5441</v>
      </c>
      <c r="AK383" s="406">
        <v>1</v>
      </c>
      <c r="AL383" s="274">
        <f t="shared" ca="1" si="116"/>
        <v>528342</v>
      </c>
      <c r="AM383" s="311">
        <f t="shared" ca="1" si="117"/>
        <v>531522</v>
      </c>
      <c r="AN383" s="274">
        <f ca="1">IF(AND(Tabla7[[#This Row],[UltLec]]&lt;&gt;0,Tabla7[[#This Row],[PenLect]]&lt;&gt;0),(AM383-AL383)*Tabla7[[#This Row],[RT]],"N/A")</f>
        <v>3180</v>
      </c>
      <c r="AO383" s="273" t="s">
        <v>862</v>
      </c>
      <c r="AP383" s="392" t="s">
        <v>1190</v>
      </c>
      <c r="AQ383" s="392" t="s">
        <v>1189</v>
      </c>
      <c r="AR383" s="407">
        <f t="shared" si="118"/>
        <v>0</v>
      </c>
      <c r="AT383" s="2">
        <f t="shared" ca="1" si="119"/>
        <v>0.80080584235708885</v>
      </c>
      <c r="AV383">
        <f>IF(ISBLANK(Tabla7[[#This Row],[31/12/2017]]),0,Tabla7[[#This Row],[31/12/2017]])</f>
        <v>508040</v>
      </c>
      <c r="AW383">
        <f>IF(ISBLANK(Tabla7[[#This Row],[15/01/2018]]),0,Tabla7[[#This Row],[15/01/2018]])</f>
        <v>511424</v>
      </c>
      <c r="AX383">
        <f>IF(ISBLANK(Tabla7[[#This Row],[15/02/2018]]),0,Tabla7[[#This Row],[15/02/2018]])</f>
        <v>518438</v>
      </c>
      <c r="AY383">
        <f>IF(ISBLANK(Tabla7[[#This Row],[15/03/2018]]),0,Tabla7[[#This Row],[15/03/2018]])</f>
        <v>524371</v>
      </c>
      <c r="AZ383">
        <f>IF(ISBLANK(Tabla7[[#This Row],[15/04/2018]]),0,Tabla7[[#This Row],[15/04/2018]])</f>
        <v>528342</v>
      </c>
      <c r="BA383">
        <f>IF(ISBLANK(Tabla7[[#This Row],[15/05/2018]]),0,Tabla7[[#This Row],[15/05/2018]])</f>
        <v>531522</v>
      </c>
      <c r="BB383">
        <f>IF(ISBLANK(Tabla7[[#This Row],[15/06/2018]]),0,Tabla7[[#This Row],[15/06/2018]])</f>
        <v>535426</v>
      </c>
      <c r="BC383">
        <f>IF(ISBLANK(Tabla7[[#This Row],[15/07/2018]]),0,Tabla7[[#This Row],[15/07/2018]])</f>
        <v>541306</v>
      </c>
      <c r="BD383">
        <f>IF(ISBLANK(Tabla7[[#This Row],[15/08/2018]]),0,Tabla7[[#This Row],[15/08/2018]])</f>
        <v>548319</v>
      </c>
      <c r="BE383">
        <f>IF(ISBLANK(Tabla7[[#This Row],[15/09/2018]]),0,Tabla7[[#This Row],[15/09/2018]])</f>
        <v>554939</v>
      </c>
      <c r="BF383">
        <f>IF(ISBLANK(Tabla7[[#This Row],[15/10/2018]]),0,Tabla7[[#This Row],[15/10/2018]])</f>
        <v>559733</v>
      </c>
      <c r="BG383">
        <f>IF(ISBLANK(Tabla7[[#This Row],[15/11/2018]]),0,Tabla7[[#This Row],[15/11/2018]])</f>
        <v>564357</v>
      </c>
      <c r="BH383">
        <f>IF(ISBLANK(Tabla7[[#This Row],[15/12/2018]]),0,Tabla7[[#This Row],[15/12/2018]])</f>
        <v>569798</v>
      </c>
      <c r="BI383">
        <f>IF(ISBLANK(Tabla7[[#This Row],[28/12/2018]]),0,Tabla7[[#This Row],[28/12/2018]])</f>
        <v>0</v>
      </c>
      <c r="BN38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('LW00181156','V','VCT31','140','APV EDIFICIO GUARDIA CIVIL','JUNTO CONTADOR MT','','');</v>
      </c>
      <c r="BO383" t="s">
        <v>243</v>
      </c>
      <c r="BP383" s="632" t="str">
        <f>CONCATENATE("insert into lecturas values ","('",Tabla7[[#This Row],[CONTADOR]],"',STR_TO_DATE('",Tabla7[[#Headers],[31/12/2017]],"','%d/%m/%Y'),",AV383,"),","('",Tabla7[[#This Row],[CONTADOR]],"',STR_TO_DATE('",Tabla7[[#Headers],[15/01/2018]],"','%d/%m/%Y'),",AW383,"),","('",Tabla7[[#This Row],[CONTADOR]],"',STR_TO_DATE('",Tabla7[[#Headers],[15/02/2018]],"','%d/%m/%Y'),",AX383,"),","('",Tabla7[[#This Row],[CONTADOR]],"',STR_TO_DATE('",Tabla7[[#Headers],[15/03/2018]],"','%d/%m/%Y'),",AY383,"),","('",Tabla7[[#This Row],[CONTADOR]],"',STR_TO_DATE('",Tabla7[[#Headers],[15/04/2018]],"','%d/%m/%Y'),",AZ383,"),","('",Tabla7[[#This Row],[CONTADOR]],"',STR_TO_DATE('",Tabla7[[#Headers],[15/05/2018]],"','%d/%m/%Y'),",BA383,"),","('",Tabla7[[#This Row],[CONTADOR]],"',STR_TO_DATE('",Tabla7[[#Headers],[15/06/2018]],"','%d/%m/%Y'),",BB383,"),","('",Tabla7[[#This Row],[CONTADOR]],"',STR_TO_DATE('",Tabla7[[#Headers],[15/07/2018]],"','%d/%m/%Y'),",BC383,"),","('",Tabla7[[#This Row],[CONTADOR]],"',STR_TO_DATE('",Tabla7[[#Headers],[15/08/2018]],"','%d/%m/%Y'),",BD383,"),","('",Tabla7[[#This Row],[CONTADOR]],"',STR_TO_DATE('",Tabla7[[#Headers],[15/09/2018]],"','%d/%m/%Y'),",BE383,"),","('",Tabla7[[#This Row],[CONTADOR]],"',STR_TO_DATE('",Tabla7[[#Headers],[15/10/2018]],"','%d/%m/%Y'),",BF383,"),","('",Tabla7[[#This Row],[CONTADOR]],"',STR_TO_DATE('",Tabla7[[#Headers],[15/11/2018]],"','%d/%m/%Y'),",BG383,"),","('",Tabla7[[#This Row],[CONTADOR]],"',STR_TO_DATE('",Tabla7[[#Headers],[15/12/2018]],"','%d/%m/%Y'),",BH383,");")</f>
        <v>insert into lecturas values ('LW00181156',STR_TO_DATE('31/12/2017','%d/%m/%Y'),508040),('LW00181156',STR_TO_DATE('15/01/2018','%d/%m/%Y'),511424),('LW00181156',STR_TO_DATE('15/02/2018','%d/%m/%Y'),518438),('LW00181156',STR_TO_DATE('15/03/2018','%d/%m/%Y'),524371),('LW00181156',STR_TO_DATE('15/04/2018','%d/%m/%Y'),528342),('LW00181156',STR_TO_DATE('15/05/2018','%d/%m/%Y'),531522),('LW00181156',STR_TO_DATE('15/06/2018','%d/%m/%Y'),535426),('LW00181156',STR_TO_DATE('15/07/2018','%d/%m/%Y'),541306),('LW00181156',STR_TO_DATE('15/08/2018','%d/%m/%Y'),548319),('LW00181156',STR_TO_DATE('15/09/2018','%d/%m/%Y'),554939),('LW00181156',STR_TO_DATE('15/10/2018','%d/%m/%Y'),559733),('LW00181156',STR_TO_DATE('15/11/2018','%d/%m/%Y'),564357),('LW00181156',STR_TO_DATE('15/12/2018','%d/%m/%Y'),569798);</v>
      </c>
    </row>
    <row r="384" spans="1:68" ht="18" customHeight="1" x14ac:dyDescent="0.25">
      <c r="A384" s="241" t="s">
        <v>19</v>
      </c>
      <c r="B384" s="60"/>
      <c r="C384" s="342" t="s">
        <v>818</v>
      </c>
      <c r="D384" s="60" t="s">
        <v>228</v>
      </c>
      <c r="E384" s="258">
        <v>142</v>
      </c>
      <c r="F384" s="2" t="s">
        <v>822</v>
      </c>
      <c r="G384" s="274" t="s">
        <v>1344</v>
      </c>
      <c r="H384" s="2" t="s">
        <v>820</v>
      </c>
      <c r="I384" s="2" t="s">
        <v>821</v>
      </c>
      <c r="J384" s="311">
        <v>3019</v>
      </c>
      <c r="K384" s="311">
        <v>3069</v>
      </c>
      <c r="L384" s="492">
        <v>3118</v>
      </c>
      <c r="M384" s="311">
        <v>3169</v>
      </c>
      <c r="N384" s="311">
        <v>3217</v>
      </c>
      <c r="O384" s="311">
        <v>3263</v>
      </c>
      <c r="P384" s="311">
        <v>3315</v>
      </c>
      <c r="Q384" s="2">
        <v>3361</v>
      </c>
      <c r="R384" s="274">
        <v>3413</v>
      </c>
      <c r="S384" s="311">
        <v>3467</v>
      </c>
      <c r="T384" s="311">
        <v>3517</v>
      </c>
      <c r="U384" s="311">
        <v>3579</v>
      </c>
      <c r="V384" s="531">
        <v>3639</v>
      </c>
      <c r="W384" s="2"/>
      <c r="X384" s="2"/>
      <c r="Y384" s="2">
        <f t="shared" si="135"/>
        <v>50</v>
      </c>
      <c r="Z384" s="2">
        <f t="shared" si="136"/>
        <v>49</v>
      </c>
      <c r="AA384" s="2">
        <f t="shared" si="134"/>
        <v>51</v>
      </c>
      <c r="AB384" s="2">
        <f t="shared" si="133"/>
        <v>48</v>
      </c>
      <c r="AC384" s="2">
        <f t="shared" si="137"/>
        <v>46</v>
      </c>
      <c r="AD384" s="2">
        <f t="shared" si="138"/>
        <v>52</v>
      </c>
      <c r="AE384" s="2">
        <f t="shared" si="139"/>
        <v>46</v>
      </c>
      <c r="AF384" s="2">
        <f t="shared" si="140"/>
        <v>52</v>
      </c>
      <c r="AG384" s="2">
        <f t="shared" si="141"/>
        <v>54</v>
      </c>
      <c r="AH384" s="2">
        <f t="shared" si="142"/>
        <v>50</v>
      </c>
      <c r="AI384" s="2">
        <f t="shared" si="143"/>
        <v>62</v>
      </c>
      <c r="AJ384" s="2">
        <f t="shared" si="144"/>
        <v>60</v>
      </c>
      <c r="AK384" s="406">
        <v>1</v>
      </c>
      <c r="AL384" s="274">
        <f t="shared" ca="1" si="116"/>
        <v>3217</v>
      </c>
      <c r="AM384" s="311">
        <f t="shared" ca="1" si="117"/>
        <v>3263</v>
      </c>
      <c r="AN384" s="274">
        <f ca="1">IF(AND(Tabla7[[#This Row],[UltLec]]&lt;&gt;0,Tabla7[[#This Row],[PenLect]]&lt;&gt;0),(AM384-AL384)*Tabla7[[#This Row],[RT]],"N/A")</f>
        <v>46</v>
      </c>
      <c r="AO384" s="273" t="s">
        <v>862</v>
      </c>
      <c r="AP384" s="392" t="s">
        <v>1191</v>
      </c>
      <c r="AQ384" s="392" t="s">
        <v>818</v>
      </c>
      <c r="AR384" s="407">
        <f t="shared" si="118"/>
        <v>0</v>
      </c>
      <c r="AT384" s="2">
        <f t="shared" ca="1" si="119"/>
        <v>0.95833333333333337</v>
      </c>
      <c r="AV384">
        <f>IF(ISBLANK(Tabla7[[#This Row],[31/12/2017]]),0,Tabla7[[#This Row],[31/12/2017]])</f>
        <v>3019</v>
      </c>
      <c r="AW384">
        <f>IF(ISBLANK(Tabla7[[#This Row],[15/01/2018]]),0,Tabla7[[#This Row],[15/01/2018]])</f>
        <v>3069</v>
      </c>
      <c r="AX384">
        <f>IF(ISBLANK(Tabla7[[#This Row],[15/02/2018]]),0,Tabla7[[#This Row],[15/02/2018]])</f>
        <v>3118</v>
      </c>
      <c r="AY384">
        <f>IF(ISBLANK(Tabla7[[#This Row],[15/03/2018]]),0,Tabla7[[#This Row],[15/03/2018]])</f>
        <v>3169</v>
      </c>
      <c r="AZ384">
        <f>IF(ISBLANK(Tabla7[[#This Row],[15/04/2018]]),0,Tabla7[[#This Row],[15/04/2018]])</f>
        <v>3217</v>
      </c>
      <c r="BA384">
        <f>IF(ISBLANK(Tabla7[[#This Row],[15/05/2018]]),0,Tabla7[[#This Row],[15/05/2018]])</f>
        <v>3263</v>
      </c>
      <c r="BB384">
        <f>IF(ISBLANK(Tabla7[[#This Row],[15/06/2018]]),0,Tabla7[[#This Row],[15/06/2018]])</f>
        <v>3315</v>
      </c>
      <c r="BC384">
        <f>IF(ISBLANK(Tabla7[[#This Row],[15/07/2018]]),0,Tabla7[[#This Row],[15/07/2018]])</f>
        <v>3361</v>
      </c>
      <c r="BD384">
        <f>IF(ISBLANK(Tabla7[[#This Row],[15/08/2018]]),0,Tabla7[[#This Row],[15/08/2018]])</f>
        <v>3413</v>
      </c>
      <c r="BE384">
        <f>IF(ISBLANK(Tabla7[[#This Row],[15/09/2018]]),0,Tabla7[[#This Row],[15/09/2018]])</f>
        <v>3467</v>
      </c>
      <c r="BF384">
        <f>IF(ISBLANK(Tabla7[[#This Row],[15/10/2018]]),0,Tabla7[[#This Row],[15/10/2018]])</f>
        <v>3517</v>
      </c>
      <c r="BG384">
        <f>IF(ISBLANK(Tabla7[[#This Row],[15/11/2018]]),0,Tabla7[[#This Row],[15/11/2018]])</f>
        <v>3579</v>
      </c>
      <c r="BH384">
        <f>IF(ISBLANK(Tabla7[[#This Row],[15/12/2018]]),0,Tabla7[[#This Row],[15/12/2018]])</f>
        <v>3639</v>
      </c>
      <c r="BI384">
        <f>IF(ISBLANK(Tabla7[[#This Row],[28/12/2018]]),0,Tabla7[[#This Row],[28/12/2018]])</f>
        <v>0</v>
      </c>
      <c r="BN38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('PM','V','VCT31','142','APV ESTACION REBOMBEO SUR','HORNACINA ACCESO A NOATUM','ESTACION BOMBEO AGUAS RESIDUALES SUR','DESDE EL 5/4/17');</v>
      </c>
      <c r="BO384" t="s">
        <v>243</v>
      </c>
      <c r="BP384" s="632" t="str">
        <f>CONCATENATE("insert into lecturas values ","('",Tabla7[[#This Row],[CONTADOR]],"',STR_TO_DATE('",Tabla7[[#Headers],[31/12/2017]],"','%d/%m/%Y'),",AV384,"),","('",Tabla7[[#This Row],[CONTADOR]],"',STR_TO_DATE('",Tabla7[[#Headers],[15/01/2018]],"','%d/%m/%Y'),",AW384,"),","('",Tabla7[[#This Row],[CONTADOR]],"',STR_TO_DATE('",Tabla7[[#Headers],[15/02/2018]],"','%d/%m/%Y'),",AX384,"),","('",Tabla7[[#This Row],[CONTADOR]],"',STR_TO_DATE('",Tabla7[[#Headers],[15/03/2018]],"','%d/%m/%Y'),",AY384,"),","('",Tabla7[[#This Row],[CONTADOR]],"',STR_TO_DATE('",Tabla7[[#Headers],[15/04/2018]],"','%d/%m/%Y'),",AZ384,"),","('",Tabla7[[#This Row],[CONTADOR]],"',STR_TO_DATE('",Tabla7[[#Headers],[15/05/2018]],"','%d/%m/%Y'),",BA384,"),","('",Tabla7[[#This Row],[CONTADOR]],"',STR_TO_DATE('",Tabla7[[#Headers],[15/06/2018]],"','%d/%m/%Y'),",BB384,"),","('",Tabla7[[#This Row],[CONTADOR]],"',STR_TO_DATE('",Tabla7[[#Headers],[15/07/2018]],"','%d/%m/%Y'),",BC384,"),","('",Tabla7[[#This Row],[CONTADOR]],"',STR_TO_DATE('",Tabla7[[#Headers],[15/08/2018]],"','%d/%m/%Y'),",BD384,"),","('",Tabla7[[#This Row],[CONTADOR]],"',STR_TO_DATE('",Tabla7[[#Headers],[15/09/2018]],"','%d/%m/%Y'),",BE384,"),","('",Tabla7[[#This Row],[CONTADOR]],"',STR_TO_DATE('",Tabla7[[#Headers],[15/10/2018]],"','%d/%m/%Y'),",BF384,"),","('",Tabla7[[#This Row],[CONTADOR]],"',STR_TO_DATE('",Tabla7[[#Headers],[15/11/2018]],"','%d/%m/%Y'),",BG384,"),","('",Tabla7[[#This Row],[CONTADOR]],"',STR_TO_DATE('",Tabla7[[#Headers],[15/12/2018]],"','%d/%m/%Y'),",BH384,");")</f>
        <v>insert into lecturas values ('PM',STR_TO_DATE('31/12/2017','%d/%m/%Y'),3019),('PM',STR_TO_DATE('15/01/2018','%d/%m/%Y'),3069),('PM',STR_TO_DATE('15/02/2018','%d/%m/%Y'),3118),('PM',STR_TO_DATE('15/03/2018','%d/%m/%Y'),3169),('PM',STR_TO_DATE('15/04/2018','%d/%m/%Y'),3217),('PM',STR_TO_DATE('15/05/2018','%d/%m/%Y'),3263),('PM',STR_TO_DATE('15/06/2018','%d/%m/%Y'),3315),('PM',STR_TO_DATE('15/07/2018','%d/%m/%Y'),3361),('PM',STR_TO_DATE('15/08/2018','%d/%m/%Y'),3413),('PM',STR_TO_DATE('15/09/2018','%d/%m/%Y'),3467),('PM',STR_TO_DATE('15/10/2018','%d/%m/%Y'),3517),('PM',STR_TO_DATE('15/11/2018','%d/%m/%Y'),3579),('PM',STR_TO_DATE('15/12/2018','%d/%m/%Y'),3639);</v>
      </c>
    </row>
    <row r="385" spans="1:68" ht="18" customHeight="1" x14ac:dyDescent="0.25">
      <c r="A385" s="241" t="s">
        <v>19</v>
      </c>
      <c r="B385" s="60"/>
      <c r="C385" s="342" t="s">
        <v>1321</v>
      </c>
      <c r="D385" s="60" t="s">
        <v>228</v>
      </c>
      <c r="E385" s="258">
        <v>131</v>
      </c>
      <c r="F385" s="2" t="s">
        <v>455</v>
      </c>
      <c r="G385" s="2" t="s">
        <v>47</v>
      </c>
      <c r="H385" s="2"/>
      <c r="I385" s="2"/>
      <c r="J385" s="2">
        <v>179810</v>
      </c>
      <c r="K385" s="274">
        <v>181116</v>
      </c>
      <c r="L385" s="311">
        <v>183542</v>
      </c>
      <c r="M385" s="311">
        <v>185631</v>
      </c>
      <c r="N385" s="311">
        <v>187634</v>
      </c>
      <c r="O385" s="311">
        <v>189000</v>
      </c>
      <c r="P385" s="311">
        <v>190832</v>
      </c>
      <c r="Q385" s="2">
        <v>192414</v>
      </c>
      <c r="R385" s="2">
        <v>194622</v>
      </c>
      <c r="S385" s="311">
        <v>197219</v>
      </c>
      <c r="T385" s="311">
        <v>199406</v>
      </c>
      <c r="U385" s="492">
        <v>201647</v>
      </c>
      <c r="V385" s="531">
        <v>205063</v>
      </c>
      <c r="W385" s="2"/>
      <c r="X385" s="2"/>
      <c r="Y385" s="2">
        <f t="shared" si="135"/>
        <v>1306</v>
      </c>
      <c r="Z385" s="2">
        <f t="shared" si="136"/>
        <v>2426</v>
      </c>
      <c r="AA385" s="2">
        <f t="shared" si="134"/>
        <v>2089</v>
      </c>
      <c r="AB385" s="2">
        <f t="shared" si="133"/>
        <v>2003</v>
      </c>
      <c r="AC385" s="2">
        <f t="shared" si="137"/>
        <v>1366</v>
      </c>
      <c r="AD385" s="2">
        <f t="shared" si="138"/>
        <v>1832</v>
      </c>
      <c r="AE385" s="2">
        <f t="shared" si="139"/>
        <v>1582</v>
      </c>
      <c r="AF385" s="2">
        <f t="shared" si="140"/>
        <v>2208</v>
      </c>
      <c r="AG385" s="2">
        <f t="shared" si="141"/>
        <v>2597</v>
      </c>
      <c r="AH385" s="2">
        <f t="shared" si="142"/>
        <v>2187</v>
      </c>
      <c r="AI385" s="2">
        <f t="shared" si="143"/>
        <v>2241</v>
      </c>
      <c r="AJ385" s="2">
        <f t="shared" si="144"/>
        <v>3416</v>
      </c>
      <c r="AK385" s="406">
        <v>1</v>
      </c>
      <c r="AL385" s="274">
        <f t="shared" ca="1" si="116"/>
        <v>187634</v>
      </c>
      <c r="AM385" s="311">
        <f t="shared" ca="1" si="117"/>
        <v>189000</v>
      </c>
      <c r="AN385" s="274">
        <f ca="1">IF(AND(Tabla7[[#This Row],[UltLec]]&lt;&gt;0,Tabla7[[#This Row],[PenLect]]&lt;&gt;0),(AM385-AL385)*Tabla7[[#This Row],[RT]],"N/A")</f>
        <v>1366</v>
      </c>
      <c r="AO385" s="273" t="s">
        <v>862</v>
      </c>
      <c r="AP385" s="392" t="s">
        <v>1191</v>
      </c>
      <c r="AQ385" s="392" t="s">
        <v>818</v>
      </c>
      <c r="AR385" s="407">
        <f t="shared" si="118"/>
        <v>0</v>
      </c>
      <c r="AT385" s="2">
        <f t="shared" ca="1" si="119"/>
        <v>0.68197703444832747</v>
      </c>
      <c r="AV385">
        <f>IF(ISBLANK(Tabla7[[#This Row],[31/12/2017]]),0,Tabla7[[#This Row],[31/12/2017]])</f>
        <v>179810</v>
      </c>
      <c r="AW385">
        <f>IF(ISBLANK(Tabla7[[#This Row],[15/01/2018]]),0,Tabla7[[#This Row],[15/01/2018]])</f>
        <v>181116</v>
      </c>
      <c r="AX385">
        <f>IF(ISBLANK(Tabla7[[#This Row],[15/02/2018]]),0,Tabla7[[#This Row],[15/02/2018]])</f>
        <v>183542</v>
      </c>
      <c r="AY385">
        <f>IF(ISBLANK(Tabla7[[#This Row],[15/03/2018]]),0,Tabla7[[#This Row],[15/03/2018]])</f>
        <v>185631</v>
      </c>
      <c r="AZ385">
        <f>IF(ISBLANK(Tabla7[[#This Row],[15/04/2018]]),0,Tabla7[[#This Row],[15/04/2018]])</f>
        <v>187634</v>
      </c>
      <c r="BA385">
        <f>IF(ISBLANK(Tabla7[[#This Row],[15/05/2018]]),0,Tabla7[[#This Row],[15/05/2018]])</f>
        <v>189000</v>
      </c>
      <c r="BB385">
        <f>IF(ISBLANK(Tabla7[[#This Row],[15/06/2018]]),0,Tabla7[[#This Row],[15/06/2018]])</f>
        <v>190832</v>
      </c>
      <c r="BC385">
        <f>IF(ISBLANK(Tabla7[[#This Row],[15/07/2018]]),0,Tabla7[[#This Row],[15/07/2018]])</f>
        <v>192414</v>
      </c>
      <c r="BD385">
        <f>IF(ISBLANK(Tabla7[[#This Row],[15/08/2018]]),0,Tabla7[[#This Row],[15/08/2018]])</f>
        <v>194622</v>
      </c>
      <c r="BE385">
        <f>IF(ISBLANK(Tabla7[[#This Row],[15/09/2018]]),0,Tabla7[[#This Row],[15/09/2018]])</f>
        <v>197219</v>
      </c>
      <c r="BF385">
        <f>IF(ISBLANK(Tabla7[[#This Row],[15/10/2018]]),0,Tabla7[[#This Row],[15/10/2018]])</f>
        <v>199406</v>
      </c>
      <c r="BG385">
        <f>IF(ISBLANK(Tabla7[[#This Row],[15/11/2018]]),0,Tabla7[[#This Row],[15/11/2018]])</f>
        <v>201647</v>
      </c>
      <c r="BH385">
        <f>IF(ISBLANK(Tabla7[[#This Row],[15/12/2018]]),0,Tabla7[[#This Row],[15/12/2018]])</f>
        <v>205063</v>
      </c>
      <c r="BI385">
        <f>IF(ISBLANK(Tabla7[[#This Row],[28/12/2018]]),0,Tabla7[[#This Row],[28/12/2018]])</f>
        <v>0</v>
      </c>
      <c r="BN38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('PM4B61FB08','V','VCT31','131','APV ALUMBRADO VIALES','INTERIOR CT','','');</v>
      </c>
      <c r="BO385" t="s">
        <v>243</v>
      </c>
      <c r="BP385" s="632" t="str">
        <f>CONCATENATE("insert into lecturas values ","('",Tabla7[[#This Row],[CONTADOR]],"',STR_TO_DATE('",Tabla7[[#Headers],[31/12/2017]],"','%d/%m/%Y'),",AV385,"),","('",Tabla7[[#This Row],[CONTADOR]],"',STR_TO_DATE('",Tabla7[[#Headers],[15/01/2018]],"','%d/%m/%Y'),",AW385,"),","('",Tabla7[[#This Row],[CONTADOR]],"',STR_TO_DATE('",Tabla7[[#Headers],[15/02/2018]],"','%d/%m/%Y'),",AX385,"),","('",Tabla7[[#This Row],[CONTADOR]],"',STR_TO_DATE('",Tabla7[[#Headers],[15/03/2018]],"','%d/%m/%Y'),",AY385,"),","('",Tabla7[[#This Row],[CONTADOR]],"',STR_TO_DATE('",Tabla7[[#Headers],[15/04/2018]],"','%d/%m/%Y'),",AZ385,"),","('",Tabla7[[#This Row],[CONTADOR]],"',STR_TO_DATE('",Tabla7[[#Headers],[15/05/2018]],"','%d/%m/%Y'),",BA385,"),","('",Tabla7[[#This Row],[CONTADOR]],"',STR_TO_DATE('",Tabla7[[#Headers],[15/06/2018]],"','%d/%m/%Y'),",BB385,"),","('",Tabla7[[#This Row],[CONTADOR]],"',STR_TO_DATE('",Tabla7[[#Headers],[15/07/2018]],"','%d/%m/%Y'),",BC385,"),","('",Tabla7[[#This Row],[CONTADOR]],"',STR_TO_DATE('",Tabla7[[#Headers],[15/08/2018]],"','%d/%m/%Y'),",BD385,"),","('",Tabla7[[#This Row],[CONTADOR]],"',STR_TO_DATE('",Tabla7[[#Headers],[15/09/2018]],"','%d/%m/%Y'),",BE385,"),","('",Tabla7[[#This Row],[CONTADOR]],"',STR_TO_DATE('",Tabla7[[#Headers],[15/10/2018]],"','%d/%m/%Y'),",BF385,"),","('",Tabla7[[#This Row],[CONTADOR]],"',STR_TO_DATE('",Tabla7[[#Headers],[15/11/2018]],"','%d/%m/%Y'),",BG385,"),","('",Tabla7[[#This Row],[CONTADOR]],"',STR_TO_DATE('",Tabla7[[#Headers],[15/12/2018]],"','%d/%m/%Y'),",BH385,");")</f>
        <v>insert into lecturas values ('PM4B61FB08',STR_TO_DATE('31/12/2017','%d/%m/%Y'),179810),('PM4B61FB08',STR_TO_DATE('15/01/2018','%d/%m/%Y'),181116),('PM4B61FB08',STR_TO_DATE('15/02/2018','%d/%m/%Y'),183542),('PM4B61FB08',STR_TO_DATE('15/03/2018','%d/%m/%Y'),185631),('PM4B61FB08',STR_TO_DATE('15/04/2018','%d/%m/%Y'),187634),('PM4B61FB08',STR_TO_DATE('15/05/2018','%d/%m/%Y'),189000),('PM4B61FB08',STR_TO_DATE('15/06/2018','%d/%m/%Y'),190832),('PM4B61FB08',STR_TO_DATE('15/07/2018','%d/%m/%Y'),192414),('PM4B61FB08',STR_TO_DATE('15/08/2018','%d/%m/%Y'),194622),('PM4B61FB08',STR_TO_DATE('15/09/2018','%d/%m/%Y'),197219),('PM4B61FB08',STR_TO_DATE('15/10/2018','%d/%m/%Y'),199406),('PM4B61FB08',STR_TO_DATE('15/11/2018','%d/%m/%Y'),201647),('PM4B61FB08',STR_TO_DATE('15/12/2018','%d/%m/%Y'),205063);</v>
      </c>
    </row>
    <row r="386" spans="1:68" ht="18" customHeight="1" x14ac:dyDescent="0.25">
      <c r="A386" s="372" t="s">
        <v>1196</v>
      </c>
      <c r="B386" s="60"/>
      <c r="C386" s="373" t="s">
        <v>1349</v>
      </c>
      <c r="D386" s="373" t="s">
        <v>239</v>
      </c>
      <c r="E386" s="610">
        <v>131</v>
      </c>
      <c r="F386" s="373" t="s">
        <v>455</v>
      </c>
      <c r="G386" s="373" t="s">
        <v>47</v>
      </c>
      <c r="H386" s="373"/>
      <c r="I386" s="373"/>
      <c r="J386" s="373">
        <v>177515</v>
      </c>
      <c r="K386" s="373">
        <v>179926</v>
      </c>
      <c r="L386" s="373">
        <v>183841</v>
      </c>
      <c r="M386" s="373">
        <v>187157</v>
      </c>
      <c r="N386" s="373">
        <v>190743</v>
      </c>
      <c r="O386" s="373">
        <v>193000</v>
      </c>
      <c r="P386" s="373">
        <v>196195</v>
      </c>
      <c r="Q386" s="373">
        <v>198451</v>
      </c>
      <c r="R386" s="373">
        <v>198517</v>
      </c>
      <c r="S386" s="373">
        <v>198592</v>
      </c>
      <c r="T386" s="373">
        <v>198667</v>
      </c>
      <c r="U386" s="616"/>
      <c r="V386" s="373"/>
      <c r="W386" s="373"/>
      <c r="X386" s="373"/>
      <c r="Y386" s="373">
        <f t="shared" si="135"/>
        <v>2411</v>
      </c>
      <c r="Z386" s="373">
        <f t="shared" si="136"/>
        <v>3915</v>
      </c>
      <c r="AA386" s="373">
        <f t="shared" si="134"/>
        <v>3316</v>
      </c>
      <c r="AB386" s="373">
        <f t="shared" si="133"/>
        <v>3586</v>
      </c>
      <c r="AC386" s="373">
        <f t="shared" si="137"/>
        <v>2257</v>
      </c>
      <c r="AD386" s="373">
        <f t="shared" si="138"/>
        <v>3195</v>
      </c>
      <c r="AE386" s="373">
        <f t="shared" si="139"/>
        <v>2256</v>
      </c>
      <c r="AF386" s="373">
        <f t="shared" si="140"/>
        <v>66</v>
      </c>
      <c r="AG386" s="373">
        <f t="shared" si="141"/>
        <v>75</v>
      </c>
      <c r="AH386" s="373">
        <f t="shared" si="142"/>
        <v>75</v>
      </c>
      <c r="AI386" s="373" t="str">
        <f t="shared" si="143"/>
        <v/>
      </c>
      <c r="AJ386" s="373" t="str">
        <f t="shared" si="144"/>
        <v/>
      </c>
      <c r="AK386" s="408">
        <v>1</v>
      </c>
      <c r="AL386" s="373">
        <f t="shared" ca="1" si="116"/>
        <v>190743</v>
      </c>
      <c r="AM386" s="383">
        <f t="shared" ca="1" si="117"/>
        <v>193000</v>
      </c>
      <c r="AN386" s="373">
        <f ca="1">IF(AND(Tabla7[[#This Row],[UltLec]]&lt;&gt;0,Tabla7[[#This Row],[PenLect]]&lt;&gt;0),(AM386-AL386)*Tabla7[[#This Row],[RT]],"N/A")</f>
        <v>2257</v>
      </c>
      <c r="AO386" s="373" t="s">
        <v>1281</v>
      </c>
      <c r="AP386" s="373" t="s">
        <v>1191</v>
      </c>
      <c r="AQ386" s="373" t="s">
        <v>818</v>
      </c>
      <c r="AR386" s="409">
        <f t="shared" si="118"/>
        <v>0</v>
      </c>
      <c r="AT386" s="2">
        <f t="shared" ca="1" si="119"/>
        <v>0.62939208031232574</v>
      </c>
      <c r="AV386">
        <f>IF(ISBLANK(Tabla7[[#This Row],[31/12/2017]]),0,Tabla7[[#This Row],[31/12/2017]])</f>
        <v>177515</v>
      </c>
      <c r="AW386">
        <f>IF(ISBLANK(Tabla7[[#This Row],[15/01/2018]]),0,Tabla7[[#This Row],[15/01/2018]])</f>
        <v>179926</v>
      </c>
      <c r="AX386">
        <f>IF(ISBLANK(Tabla7[[#This Row],[15/02/2018]]),0,Tabla7[[#This Row],[15/02/2018]])</f>
        <v>183841</v>
      </c>
      <c r="AY386">
        <f>IF(ISBLANK(Tabla7[[#This Row],[15/03/2018]]),0,Tabla7[[#This Row],[15/03/2018]])</f>
        <v>187157</v>
      </c>
      <c r="AZ386">
        <f>IF(ISBLANK(Tabla7[[#This Row],[15/04/2018]]),0,Tabla7[[#This Row],[15/04/2018]])</f>
        <v>190743</v>
      </c>
      <c r="BA386">
        <f>IF(ISBLANK(Tabla7[[#This Row],[15/05/2018]]),0,Tabla7[[#This Row],[15/05/2018]])</f>
        <v>193000</v>
      </c>
      <c r="BB386">
        <f>IF(ISBLANK(Tabla7[[#This Row],[15/06/2018]]),0,Tabla7[[#This Row],[15/06/2018]])</f>
        <v>196195</v>
      </c>
      <c r="BC386">
        <f>IF(ISBLANK(Tabla7[[#This Row],[15/07/2018]]),0,Tabla7[[#This Row],[15/07/2018]])</f>
        <v>198451</v>
      </c>
      <c r="BD386">
        <f>IF(ISBLANK(Tabla7[[#This Row],[15/08/2018]]),0,Tabla7[[#This Row],[15/08/2018]])</f>
        <v>198517</v>
      </c>
      <c r="BE386">
        <f>IF(ISBLANK(Tabla7[[#This Row],[15/09/2018]]),0,Tabla7[[#This Row],[15/09/2018]])</f>
        <v>198592</v>
      </c>
      <c r="BF386">
        <f>IF(ISBLANK(Tabla7[[#This Row],[15/10/2018]]),0,Tabla7[[#This Row],[15/10/2018]])</f>
        <v>198667</v>
      </c>
      <c r="BG386">
        <f>IF(ISBLANK(Tabla7[[#This Row],[15/11/2018]]),0,Tabla7[[#This Row],[15/11/2018]])</f>
        <v>0</v>
      </c>
      <c r="BH386">
        <f>IF(ISBLANK(Tabla7[[#This Row],[15/12/2018]]),0,Tabla7[[#This Row],[15/12/2018]])</f>
        <v>0</v>
      </c>
      <c r="BI386">
        <f>IF(ISBLANK(Tabla7[[#This Row],[28/12/2018]]),0,Tabla7[[#This Row],[28/12/2018]])</f>
        <v>0</v>
      </c>
      <c r="BN38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('PM466994BD','VBAJA','VCT32','131','APV ALUMBRADO VIALES','INTERIOR CT','','');</v>
      </c>
      <c r="BO386" t="s">
        <v>243</v>
      </c>
      <c r="BP386" s="632" t="str">
        <f>CONCATENATE("insert into lecturas values ","('",Tabla7[[#This Row],[CONTADOR]],"',STR_TO_DATE('",Tabla7[[#Headers],[31/12/2017]],"','%d/%m/%Y'),",AV386,"),","('",Tabla7[[#This Row],[CONTADOR]],"',STR_TO_DATE('",Tabla7[[#Headers],[15/01/2018]],"','%d/%m/%Y'),",AW386,"),","('",Tabla7[[#This Row],[CONTADOR]],"',STR_TO_DATE('",Tabla7[[#Headers],[15/02/2018]],"','%d/%m/%Y'),",AX386,"),","('",Tabla7[[#This Row],[CONTADOR]],"',STR_TO_DATE('",Tabla7[[#Headers],[15/03/2018]],"','%d/%m/%Y'),",AY386,"),","('",Tabla7[[#This Row],[CONTADOR]],"',STR_TO_DATE('",Tabla7[[#Headers],[15/04/2018]],"','%d/%m/%Y'),",AZ386,"),","('",Tabla7[[#This Row],[CONTADOR]],"',STR_TO_DATE('",Tabla7[[#Headers],[15/05/2018]],"','%d/%m/%Y'),",BA386,"),","('",Tabla7[[#This Row],[CONTADOR]],"',STR_TO_DATE('",Tabla7[[#Headers],[15/06/2018]],"','%d/%m/%Y'),",BB386,"),","('",Tabla7[[#This Row],[CONTADOR]],"',STR_TO_DATE('",Tabla7[[#Headers],[15/07/2018]],"','%d/%m/%Y'),",BC386,"),","('",Tabla7[[#This Row],[CONTADOR]],"',STR_TO_DATE('",Tabla7[[#Headers],[15/08/2018]],"','%d/%m/%Y'),",BD386,"),","('",Tabla7[[#This Row],[CONTADOR]],"',STR_TO_DATE('",Tabla7[[#Headers],[15/09/2018]],"','%d/%m/%Y'),",BE386,"),","('",Tabla7[[#This Row],[CONTADOR]],"',STR_TO_DATE('",Tabla7[[#Headers],[15/10/2018]],"','%d/%m/%Y'),",BF386,"),","('",Tabla7[[#This Row],[CONTADOR]],"',STR_TO_DATE('",Tabla7[[#Headers],[15/11/2018]],"','%d/%m/%Y'),",BG386,"),","('",Tabla7[[#This Row],[CONTADOR]],"',STR_TO_DATE('",Tabla7[[#Headers],[15/12/2018]],"','%d/%m/%Y'),",BH386,");")</f>
        <v>insert into lecturas values ('PM466994BD',STR_TO_DATE('31/12/2017','%d/%m/%Y'),177515),('PM466994BD',STR_TO_DATE('15/01/2018','%d/%m/%Y'),179926),('PM466994BD',STR_TO_DATE('15/02/2018','%d/%m/%Y'),183841),('PM466994BD',STR_TO_DATE('15/03/2018','%d/%m/%Y'),187157),('PM466994BD',STR_TO_DATE('15/04/2018','%d/%m/%Y'),190743),('PM466994BD',STR_TO_DATE('15/05/2018','%d/%m/%Y'),193000),('PM466994BD',STR_TO_DATE('15/06/2018','%d/%m/%Y'),196195),('PM466994BD',STR_TO_DATE('15/07/2018','%d/%m/%Y'),198451),('PM466994BD',STR_TO_DATE('15/08/2018','%d/%m/%Y'),198517),('PM466994BD',STR_TO_DATE('15/09/2018','%d/%m/%Y'),198592),('PM466994BD',STR_TO_DATE('15/10/2018','%d/%m/%Y'),198667),('PM466994BD',STR_TO_DATE('15/11/2018','%d/%m/%Y'),0),('PM466994BD',STR_TO_DATE('15/12/2018','%d/%m/%Y'),0);</v>
      </c>
    </row>
    <row r="387" spans="1:68" ht="18" customHeight="1" x14ac:dyDescent="0.25">
      <c r="A387" s="241" t="s">
        <v>19</v>
      </c>
      <c r="B387" s="60">
        <v>1356</v>
      </c>
      <c r="C387" s="342" t="s">
        <v>1302</v>
      </c>
      <c r="D387" s="60" t="s">
        <v>240</v>
      </c>
      <c r="E387" s="258">
        <v>39010</v>
      </c>
      <c r="F387" s="2" t="s">
        <v>452</v>
      </c>
      <c r="G387" s="2" t="s">
        <v>63</v>
      </c>
      <c r="H387" s="274" t="s">
        <v>453</v>
      </c>
      <c r="I387" s="2" t="s">
        <v>445</v>
      </c>
      <c r="J387" s="2">
        <v>3063</v>
      </c>
      <c r="K387" s="274">
        <v>3063</v>
      </c>
      <c r="L387" s="311">
        <v>3063</v>
      </c>
      <c r="M387" s="311">
        <v>3174</v>
      </c>
      <c r="N387" s="311">
        <v>3397</v>
      </c>
      <c r="O387" s="311">
        <v>3621</v>
      </c>
      <c r="P387" s="311">
        <v>3839</v>
      </c>
      <c r="Q387" s="2">
        <v>4181</v>
      </c>
      <c r="R387" s="2">
        <v>4508</v>
      </c>
      <c r="S387" s="311">
        <v>4840</v>
      </c>
      <c r="T387" s="311">
        <v>5087</v>
      </c>
      <c r="U387" s="492">
        <v>5319</v>
      </c>
      <c r="V387" s="492">
        <v>5501</v>
      </c>
      <c r="W387" s="2"/>
      <c r="X387" s="2"/>
      <c r="Y387" s="2">
        <f t="shared" si="135"/>
        <v>0</v>
      </c>
      <c r="Z387" s="2">
        <f t="shared" si="136"/>
        <v>0</v>
      </c>
      <c r="AA387" s="2">
        <f t="shared" si="134"/>
        <v>111</v>
      </c>
      <c r="AB387" s="2">
        <f t="shared" si="133"/>
        <v>223</v>
      </c>
      <c r="AC387" s="2">
        <f t="shared" si="137"/>
        <v>224</v>
      </c>
      <c r="AD387" s="2">
        <f t="shared" si="138"/>
        <v>218</v>
      </c>
      <c r="AE387" s="2">
        <f t="shared" si="139"/>
        <v>342</v>
      </c>
      <c r="AF387" s="2">
        <f t="shared" si="140"/>
        <v>327</v>
      </c>
      <c r="AG387" s="2">
        <f t="shared" si="141"/>
        <v>332</v>
      </c>
      <c r="AH387" s="2">
        <f t="shared" si="142"/>
        <v>247</v>
      </c>
      <c r="AI387" s="2">
        <f t="shared" si="143"/>
        <v>232</v>
      </c>
      <c r="AJ387" s="2">
        <f t="shared" si="144"/>
        <v>182</v>
      </c>
      <c r="AK387" s="406">
        <v>1</v>
      </c>
      <c r="AL387" s="274">
        <f t="shared" ref="AL387:AL450" ca="1" si="145">IF(DAY(TODAY())&lt;16,INDEX(J387:X387,1,MONTH(TODAY())-1),INDEX(J387:X387,1,MONTH(TODAY())))</f>
        <v>3397</v>
      </c>
      <c r="AM387" s="311">
        <f t="shared" ref="AM387:AM450" ca="1" si="146">IF(DAY(TODAY())&lt;16,INDEX(J387:X387,1,MONTH(TODAY())),INDEX(J387:X387,1,MONTH(TODAY())+1))</f>
        <v>3621</v>
      </c>
      <c r="AN387" s="274">
        <f ca="1">IF(AND(Tabla7[[#This Row],[UltLec]]&lt;&gt;0,Tabla7[[#This Row],[PenLect]]&lt;&gt;0),(AM387-AL387)*Tabla7[[#This Row],[RT]],"N/A")</f>
        <v>224</v>
      </c>
      <c r="AO387" s="273" t="s">
        <v>862</v>
      </c>
      <c r="AP387" s="392" t="s">
        <v>1190</v>
      </c>
      <c r="AQ387" s="392" t="s">
        <v>1189</v>
      </c>
      <c r="AR387" s="407">
        <f t="shared" ref="AR387:AR450" si="147">COUNTIF(Y387:AJ387,"!!!!")</f>
        <v>0</v>
      </c>
      <c r="AT387" s="2">
        <f t="shared" ca="1" si="119"/>
        <v>1.0044843049327354</v>
      </c>
      <c r="AV387">
        <f>IF(ISBLANK(Tabla7[[#This Row],[31/12/2017]]),0,Tabla7[[#This Row],[31/12/2017]])</f>
        <v>3063</v>
      </c>
      <c r="AW387">
        <f>IF(ISBLANK(Tabla7[[#This Row],[15/01/2018]]),0,Tabla7[[#This Row],[15/01/2018]])</f>
        <v>3063</v>
      </c>
      <c r="AX387">
        <f>IF(ISBLANK(Tabla7[[#This Row],[15/02/2018]]),0,Tabla7[[#This Row],[15/02/2018]])</f>
        <v>3063</v>
      </c>
      <c r="AY387">
        <f>IF(ISBLANK(Tabla7[[#This Row],[15/03/2018]]),0,Tabla7[[#This Row],[15/03/2018]])</f>
        <v>3174</v>
      </c>
      <c r="AZ387">
        <f>IF(ISBLANK(Tabla7[[#This Row],[15/04/2018]]),0,Tabla7[[#This Row],[15/04/2018]])</f>
        <v>3397</v>
      </c>
      <c r="BA387">
        <f>IF(ISBLANK(Tabla7[[#This Row],[15/05/2018]]),0,Tabla7[[#This Row],[15/05/2018]])</f>
        <v>3621</v>
      </c>
      <c r="BB387">
        <f>IF(ISBLANK(Tabla7[[#This Row],[15/06/2018]]),0,Tabla7[[#This Row],[15/06/2018]])</f>
        <v>3839</v>
      </c>
      <c r="BC387">
        <f>IF(ISBLANK(Tabla7[[#This Row],[15/07/2018]]),0,Tabla7[[#This Row],[15/07/2018]])</f>
        <v>4181</v>
      </c>
      <c r="BD387">
        <f>IF(ISBLANK(Tabla7[[#This Row],[15/08/2018]]),0,Tabla7[[#This Row],[15/08/2018]])</f>
        <v>4508</v>
      </c>
      <c r="BE387">
        <f>IF(ISBLANK(Tabla7[[#This Row],[15/09/2018]]),0,Tabla7[[#This Row],[15/09/2018]])</f>
        <v>4840</v>
      </c>
      <c r="BF387">
        <f>IF(ISBLANK(Tabla7[[#This Row],[15/10/2018]]),0,Tabla7[[#This Row],[15/10/2018]])</f>
        <v>5087</v>
      </c>
      <c r="BG387">
        <f>IF(ISBLANK(Tabla7[[#This Row],[15/11/2018]]),0,Tabla7[[#This Row],[15/11/2018]])</f>
        <v>5319</v>
      </c>
      <c r="BH387">
        <f>IF(ISBLANK(Tabla7[[#This Row],[15/12/2018]]),0,Tabla7[[#This Row],[15/12/2018]])</f>
        <v>5501</v>
      </c>
      <c r="BI387">
        <f>IF(ISBLANK(Tabla7[[#This Row],[28/12/2018]]),0,Tabla7[[#This Row],[28/12/2018]])</f>
        <v>0</v>
      </c>
      <c r="BN38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('CXRUGBI15051354408','V','VCT41','39010','FEDE. PESCA COMUNIDAD VALENCIANA','EN CT','CAMBIO DE CONTADOR','ALTA NUEVA EN PROCESO');</v>
      </c>
      <c r="BO387" t="s">
        <v>243</v>
      </c>
      <c r="BP387" s="632" t="str">
        <f>CONCATENATE("insert into lecturas values ","('",Tabla7[[#This Row],[CONTADOR]],"',STR_TO_DATE('",Tabla7[[#Headers],[31/12/2017]],"','%d/%m/%Y'),",AV387,"),","('",Tabla7[[#This Row],[CONTADOR]],"',STR_TO_DATE('",Tabla7[[#Headers],[15/01/2018]],"','%d/%m/%Y'),",AW387,"),","('",Tabla7[[#This Row],[CONTADOR]],"',STR_TO_DATE('",Tabla7[[#Headers],[15/02/2018]],"','%d/%m/%Y'),",AX387,"),","('",Tabla7[[#This Row],[CONTADOR]],"',STR_TO_DATE('",Tabla7[[#Headers],[15/03/2018]],"','%d/%m/%Y'),",AY387,"),","('",Tabla7[[#This Row],[CONTADOR]],"',STR_TO_DATE('",Tabla7[[#Headers],[15/04/2018]],"','%d/%m/%Y'),",AZ387,"),","('",Tabla7[[#This Row],[CONTADOR]],"',STR_TO_DATE('",Tabla7[[#Headers],[15/05/2018]],"','%d/%m/%Y'),",BA387,"),","('",Tabla7[[#This Row],[CONTADOR]],"',STR_TO_DATE('",Tabla7[[#Headers],[15/06/2018]],"','%d/%m/%Y'),",BB387,"),","('",Tabla7[[#This Row],[CONTADOR]],"',STR_TO_DATE('",Tabla7[[#Headers],[15/07/2018]],"','%d/%m/%Y'),",BC387,"),","('",Tabla7[[#This Row],[CONTADOR]],"',STR_TO_DATE('",Tabla7[[#Headers],[15/08/2018]],"','%d/%m/%Y'),",BD387,"),","('",Tabla7[[#This Row],[CONTADOR]],"',STR_TO_DATE('",Tabla7[[#Headers],[15/09/2018]],"','%d/%m/%Y'),",BE387,"),","('",Tabla7[[#This Row],[CONTADOR]],"',STR_TO_DATE('",Tabla7[[#Headers],[15/10/2018]],"','%d/%m/%Y'),",BF387,"),","('",Tabla7[[#This Row],[CONTADOR]],"',STR_TO_DATE('",Tabla7[[#Headers],[15/11/2018]],"','%d/%m/%Y'),",BG387,"),","('",Tabla7[[#This Row],[CONTADOR]],"',STR_TO_DATE('",Tabla7[[#Headers],[15/12/2018]],"','%d/%m/%Y'),",BH387,");")</f>
        <v>insert into lecturas values ('CXRUGBI15051354408',STR_TO_DATE('31/12/2017','%d/%m/%Y'),3063),('CXRUGBI15051354408',STR_TO_DATE('15/01/2018','%d/%m/%Y'),3063),('CXRUGBI15051354408',STR_TO_DATE('15/02/2018','%d/%m/%Y'),3063),('CXRUGBI15051354408',STR_TO_DATE('15/03/2018','%d/%m/%Y'),3174),('CXRUGBI15051354408',STR_TO_DATE('15/04/2018','%d/%m/%Y'),3397),('CXRUGBI15051354408',STR_TO_DATE('15/05/2018','%d/%m/%Y'),3621),('CXRUGBI15051354408',STR_TO_DATE('15/06/2018','%d/%m/%Y'),3839),('CXRUGBI15051354408',STR_TO_DATE('15/07/2018','%d/%m/%Y'),4181),('CXRUGBI15051354408',STR_TO_DATE('15/08/2018','%d/%m/%Y'),4508),('CXRUGBI15051354408',STR_TO_DATE('15/09/2018','%d/%m/%Y'),4840),('CXRUGBI15051354408',STR_TO_DATE('15/10/2018','%d/%m/%Y'),5087),('CXRUGBI15051354408',STR_TO_DATE('15/11/2018','%d/%m/%Y'),5319),('CXRUGBI15051354408',STR_TO_DATE('15/12/2018','%d/%m/%Y'),5501);</v>
      </c>
    </row>
    <row r="388" spans="1:68" ht="18" customHeight="1" x14ac:dyDescent="0.25">
      <c r="A388" s="241" t="s">
        <v>19</v>
      </c>
      <c r="B388" s="60"/>
      <c r="C388" s="342" t="s">
        <v>241</v>
      </c>
      <c r="D388" s="60" t="s">
        <v>240</v>
      </c>
      <c r="E388" s="258">
        <v>39361</v>
      </c>
      <c r="F388" s="2" t="s">
        <v>242</v>
      </c>
      <c r="G388" s="2" t="s">
        <v>38</v>
      </c>
      <c r="H388" s="2" t="s">
        <v>243</v>
      </c>
      <c r="I388" s="2"/>
      <c r="J388" s="2">
        <v>53279</v>
      </c>
      <c r="K388" s="2">
        <v>53466</v>
      </c>
      <c r="L388" s="2">
        <v>53971</v>
      </c>
      <c r="M388" s="311">
        <v>54335</v>
      </c>
      <c r="N388" s="311">
        <v>54577</v>
      </c>
      <c r="O388" s="311">
        <v>54735</v>
      </c>
      <c r="P388" s="311">
        <v>54969</v>
      </c>
      <c r="Q388" s="2">
        <v>55583</v>
      </c>
      <c r="R388" s="2">
        <v>56309</v>
      </c>
      <c r="S388" s="311">
        <v>56901</v>
      </c>
      <c r="T388" s="311">
        <v>57359</v>
      </c>
      <c r="U388" s="492">
        <v>57679</v>
      </c>
      <c r="V388" s="492">
        <v>57995</v>
      </c>
      <c r="W388" s="2"/>
      <c r="X388" s="2"/>
      <c r="Y388" s="2">
        <f t="shared" si="135"/>
        <v>187</v>
      </c>
      <c r="Z388" s="2">
        <f t="shared" si="136"/>
        <v>505</v>
      </c>
      <c r="AA388" s="2">
        <f t="shared" si="134"/>
        <v>364</v>
      </c>
      <c r="AB388" s="2">
        <f t="shared" si="133"/>
        <v>242</v>
      </c>
      <c r="AC388" s="2">
        <f t="shared" si="137"/>
        <v>158</v>
      </c>
      <c r="AD388" s="2">
        <f t="shared" si="138"/>
        <v>234</v>
      </c>
      <c r="AE388" s="2">
        <f t="shared" si="139"/>
        <v>614</v>
      </c>
      <c r="AF388" s="2">
        <f t="shared" si="140"/>
        <v>726</v>
      </c>
      <c r="AG388" s="2">
        <f t="shared" si="141"/>
        <v>592</v>
      </c>
      <c r="AH388" s="2">
        <f t="shared" si="142"/>
        <v>458</v>
      </c>
      <c r="AI388" s="2">
        <f t="shared" si="143"/>
        <v>320</v>
      </c>
      <c r="AJ388" s="2">
        <f t="shared" si="144"/>
        <v>316</v>
      </c>
      <c r="AK388" s="406">
        <v>1</v>
      </c>
      <c r="AL388" s="274">
        <f t="shared" ca="1" si="145"/>
        <v>54577</v>
      </c>
      <c r="AM388" s="311">
        <f t="shared" ca="1" si="146"/>
        <v>54735</v>
      </c>
      <c r="AN388" s="274">
        <f ca="1">IF(AND(Tabla7[[#This Row],[UltLec]]&lt;&gt;0,Tabla7[[#This Row],[PenLect]]&lt;&gt;0),(AM388-AL388)*Tabla7[[#This Row],[RT]],"N/A")</f>
        <v>158</v>
      </c>
      <c r="AO388" s="273" t="s">
        <v>862</v>
      </c>
      <c r="AP388" s="392" t="s">
        <v>1190</v>
      </c>
      <c r="AQ388" s="392" t="s">
        <v>1189</v>
      </c>
      <c r="AR388" s="407">
        <f t="shared" si="147"/>
        <v>0</v>
      </c>
      <c r="AT388" s="2">
        <f t="shared" ca="1" si="119"/>
        <v>0.65289256198347112</v>
      </c>
      <c r="AV388">
        <f>IF(ISBLANK(Tabla7[[#This Row],[31/12/2017]]),0,Tabla7[[#This Row],[31/12/2017]])</f>
        <v>53279</v>
      </c>
      <c r="AW388">
        <f>IF(ISBLANK(Tabla7[[#This Row],[15/01/2018]]),0,Tabla7[[#This Row],[15/01/2018]])</f>
        <v>53466</v>
      </c>
      <c r="AX388">
        <f>IF(ISBLANK(Tabla7[[#This Row],[15/02/2018]]),0,Tabla7[[#This Row],[15/02/2018]])</f>
        <v>53971</v>
      </c>
      <c r="AY388">
        <f>IF(ISBLANK(Tabla7[[#This Row],[15/03/2018]]),0,Tabla7[[#This Row],[15/03/2018]])</f>
        <v>54335</v>
      </c>
      <c r="AZ388">
        <f>IF(ISBLANK(Tabla7[[#This Row],[15/04/2018]]),0,Tabla7[[#This Row],[15/04/2018]])</f>
        <v>54577</v>
      </c>
      <c r="BA388">
        <f>IF(ISBLANK(Tabla7[[#This Row],[15/05/2018]]),0,Tabla7[[#This Row],[15/05/2018]])</f>
        <v>54735</v>
      </c>
      <c r="BB388">
        <f>IF(ISBLANK(Tabla7[[#This Row],[15/06/2018]]),0,Tabla7[[#This Row],[15/06/2018]])</f>
        <v>54969</v>
      </c>
      <c r="BC388">
        <f>IF(ISBLANK(Tabla7[[#This Row],[15/07/2018]]),0,Tabla7[[#This Row],[15/07/2018]])</f>
        <v>55583</v>
      </c>
      <c r="BD388">
        <f>IF(ISBLANK(Tabla7[[#This Row],[15/08/2018]]),0,Tabla7[[#This Row],[15/08/2018]])</f>
        <v>56309</v>
      </c>
      <c r="BE388">
        <f>IF(ISBLANK(Tabla7[[#This Row],[15/09/2018]]),0,Tabla7[[#This Row],[15/09/2018]])</f>
        <v>56901</v>
      </c>
      <c r="BF388">
        <f>IF(ISBLANK(Tabla7[[#This Row],[15/10/2018]]),0,Tabla7[[#This Row],[15/10/2018]])</f>
        <v>57359</v>
      </c>
      <c r="BG388">
        <f>IF(ISBLANK(Tabla7[[#This Row],[15/11/2018]]),0,Tabla7[[#This Row],[15/11/2018]])</f>
        <v>57679</v>
      </c>
      <c r="BH388">
        <f>IF(ISBLANK(Tabla7[[#This Row],[15/12/2018]]),0,Tabla7[[#This Row],[15/12/2018]])</f>
        <v>57995</v>
      </c>
      <c r="BI388">
        <f>IF(ISBLANK(Tabla7[[#This Row],[28/12/2018]]),0,Tabla7[[#This Row],[28/12/2018]])</f>
        <v>0</v>
      </c>
      <c r="BN38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('LW00013859','V','VCT41','39361','FORD ESPAÑA','EN CT.',' ','');</v>
      </c>
      <c r="BO388" t="s">
        <v>243</v>
      </c>
      <c r="BP388" s="632" t="str">
        <f>CONCATENATE("insert into lecturas values ","('",Tabla7[[#This Row],[CONTADOR]],"',STR_TO_DATE('",Tabla7[[#Headers],[31/12/2017]],"','%d/%m/%Y'),",AV388,"),","('",Tabla7[[#This Row],[CONTADOR]],"',STR_TO_DATE('",Tabla7[[#Headers],[15/01/2018]],"','%d/%m/%Y'),",AW388,"),","('",Tabla7[[#This Row],[CONTADOR]],"',STR_TO_DATE('",Tabla7[[#Headers],[15/02/2018]],"','%d/%m/%Y'),",AX388,"),","('",Tabla7[[#This Row],[CONTADOR]],"',STR_TO_DATE('",Tabla7[[#Headers],[15/03/2018]],"','%d/%m/%Y'),",AY388,"),","('",Tabla7[[#This Row],[CONTADOR]],"',STR_TO_DATE('",Tabla7[[#Headers],[15/04/2018]],"','%d/%m/%Y'),",AZ388,"),","('",Tabla7[[#This Row],[CONTADOR]],"',STR_TO_DATE('",Tabla7[[#Headers],[15/05/2018]],"','%d/%m/%Y'),",BA388,"),","('",Tabla7[[#This Row],[CONTADOR]],"',STR_TO_DATE('",Tabla7[[#Headers],[15/06/2018]],"','%d/%m/%Y'),",BB388,"),","('",Tabla7[[#This Row],[CONTADOR]],"',STR_TO_DATE('",Tabla7[[#Headers],[15/07/2018]],"','%d/%m/%Y'),",BC388,"),","('",Tabla7[[#This Row],[CONTADOR]],"',STR_TO_DATE('",Tabla7[[#Headers],[15/08/2018]],"','%d/%m/%Y'),",BD388,"),","('",Tabla7[[#This Row],[CONTADOR]],"',STR_TO_DATE('",Tabla7[[#Headers],[15/09/2018]],"','%d/%m/%Y'),",BE388,"),","('",Tabla7[[#This Row],[CONTADOR]],"',STR_TO_DATE('",Tabla7[[#Headers],[15/10/2018]],"','%d/%m/%Y'),",BF388,"),","('",Tabla7[[#This Row],[CONTADOR]],"',STR_TO_DATE('",Tabla7[[#Headers],[15/11/2018]],"','%d/%m/%Y'),",BG388,"),","('",Tabla7[[#This Row],[CONTADOR]],"',STR_TO_DATE('",Tabla7[[#Headers],[15/12/2018]],"','%d/%m/%Y'),",BH388,");")</f>
        <v>insert into lecturas values ('LW00013859',STR_TO_DATE('31/12/2017','%d/%m/%Y'),53279),('LW00013859',STR_TO_DATE('15/01/2018','%d/%m/%Y'),53466),('LW00013859',STR_TO_DATE('15/02/2018','%d/%m/%Y'),53971),('LW00013859',STR_TO_DATE('15/03/2018','%d/%m/%Y'),54335),('LW00013859',STR_TO_DATE('15/04/2018','%d/%m/%Y'),54577),('LW00013859',STR_TO_DATE('15/05/2018','%d/%m/%Y'),54735),('LW00013859',STR_TO_DATE('15/06/2018','%d/%m/%Y'),54969),('LW00013859',STR_TO_DATE('15/07/2018','%d/%m/%Y'),55583),('LW00013859',STR_TO_DATE('15/08/2018','%d/%m/%Y'),56309),('LW00013859',STR_TO_DATE('15/09/2018','%d/%m/%Y'),56901),('LW00013859',STR_TO_DATE('15/10/2018','%d/%m/%Y'),57359),('LW00013859',STR_TO_DATE('15/11/2018','%d/%m/%Y'),57679),('LW00013859',STR_TO_DATE('15/12/2018','%d/%m/%Y'),57995);</v>
      </c>
    </row>
    <row r="389" spans="1:68" ht="18" customHeight="1" x14ac:dyDescent="0.25">
      <c r="A389" s="241" t="s">
        <v>19</v>
      </c>
      <c r="B389" s="60"/>
      <c r="C389" s="342">
        <v>71300126545</v>
      </c>
      <c r="D389" s="60" t="s">
        <v>244</v>
      </c>
      <c r="E389" s="258">
        <v>39314</v>
      </c>
      <c r="F389" s="2" t="s">
        <v>250</v>
      </c>
      <c r="G389" s="2" t="s">
        <v>765</v>
      </c>
      <c r="H389" s="274" t="s">
        <v>252</v>
      </c>
      <c r="I389" s="2"/>
      <c r="J389" s="274">
        <v>124884</v>
      </c>
      <c r="K389" s="2">
        <v>125680</v>
      </c>
      <c r="L389" s="311">
        <v>126438</v>
      </c>
      <c r="M389" s="311">
        <v>128584</v>
      </c>
      <c r="N389" s="311">
        <v>130937</v>
      </c>
      <c r="O389" s="311">
        <v>131824</v>
      </c>
      <c r="P389" s="311">
        <v>132591</v>
      </c>
      <c r="Q389" s="2">
        <v>133354</v>
      </c>
      <c r="R389" s="274">
        <v>134421</v>
      </c>
      <c r="S389" s="311">
        <v>137141</v>
      </c>
      <c r="T389" s="311">
        <v>138262</v>
      </c>
      <c r="U389" s="492">
        <v>138396</v>
      </c>
      <c r="V389" s="492">
        <v>138396</v>
      </c>
      <c r="W389" s="274"/>
      <c r="X389" s="2"/>
      <c r="Y389" s="2">
        <f t="shared" si="135"/>
        <v>796</v>
      </c>
      <c r="Z389" s="2">
        <f t="shared" si="136"/>
        <v>758</v>
      </c>
      <c r="AA389" s="2">
        <f t="shared" si="134"/>
        <v>2146</v>
      </c>
      <c r="AB389" s="2">
        <f t="shared" si="133"/>
        <v>2353</v>
      </c>
      <c r="AC389" s="2">
        <f t="shared" si="137"/>
        <v>887</v>
      </c>
      <c r="AD389" s="2">
        <f t="shared" si="138"/>
        <v>767</v>
      </c>
      <c r="AE389" s="2">
        <f t="shared" si="139"/>
        <v>763</v>
      </c>
      <c r="AF389" s="2">
        <f t="shared" si="140"/>
        <v>1067</v>
      </c>
      <c r="AG389" s="2">
        <f t="shared" si="141"/>
        <v>2720</v>
      </c>
      <c r="AH389" s="2">
        <f t="shared" si="142"/>
        <v>1121</v>
      </c>
      <c r="AI389" s="2">
        <f t="shared" si="143"/>
        <v>134</v>
      </c>
      <c r="AJ389" s="2">
        <f t="shared" si="144"/>
        <v>0</v>
      </c>
      <c r="AK389" s="406">
        <v>1</v>
      </c>
      <c r="AL389" s="274">
        <f t="shared" ca="1" si="145"/>
        <v>130937</v>
      </c>
      <c r="AM389" s="311">
        <f t="shared" ca="1" si="146"/>
        <v>131824</v>
      </c>
      <c r="AN389" s="274">
        <f ca="1">IF(AND(Tabla7[[#This Row],[UltLec]]&lt;&gt;0,Tabla7[[#This Row],[PenLect]]&lt;&gt;0),(AM389-AL389)*Tabla7[[#This Row],[RT]],"N/A")</f>
        <v>887</v>
      </c>
      <c r="AO389" s="273" t="s">
        <v>862</v>
      </c>
      <c r="AP389" s="392" t="s">
        <v>1190</v>
      </c>
      <c r="AQ389" s="392" t="s">
        <v>1189</v>
      </c>
      <c r="AR389" s="407">
        <f t="shared" si="147"/>
        <v>0</v>
      </c>
      <c r="AT389" s="2">
        <f t="shared" ref="AT389:AT452" ca="1" si="148">IF(IF(DAY(TODAY())&gt;15,INDEX($Y389:$AJ389,1,MONTH(TODAY())-1),INDEX($Y389:$AJ389,1,MONTH(TODAY())-2))=0,"0",IF(DAY(TODAY())&gt;15,INDEX($Y389:$AJ389,1,MONTH(TODAY())),INDEX($Y389:$AJ389,1,MONTH(TODAY())-1))/IF(DAY(TODAY())&gt;15,INDEX($Y389:$AJ389,1,MONTH(TODAY())-1),INDEX($Y389:$AJ389,1,MONTH(TODAY())-2)))</f>
        <v>0.37696557586060347</v>
      </c>
      <c r="AV389">
        <f>IF(ISBLANK(Tabla7[[#This Row],[31/12/2017]]),0,Tabla7[[#This Row],[31/12/2017]])</f>
        <v>124884</v>
      </c>
      <c r="AW389">
        <f>IF(ISBLANK(Tabla7[[#This Row],[15/01/2018]]),0,Tabla7[[#This Row],[15/01/2018]])</f>
        <v>125680</v>
      </c>
      <c r="AX389">
        <f>IF(ISBLANK(Tabla7[[#This Row],[15/02/2018]]),0,Tabla7[[#This Row],[15/02/2018]])</f>
        <v>126438</v>
      </c>
      <c r="AY389">
        <f>IF(ISBLANK(Tabla7[[#This Row],[15/03/2018]]),0,Tabla7[[#This Row],[15/03/2018]])</f>
        <v>128584</v>
      </c>
      <c r="AZ389">
        <f>IF(ISBLANK(Tabla7[[#This Row],[15/04/2018]]),0,Tabla7[[#This Row],[15/04/2018]])</f>
        <v>130937</v>
      </c>
      <c r="BA389">
        <f>IF(ISBLANK(Tabla7[[#This Row],[15/05/2018]]),0,Tabla7[[#This Row],[15/05/2018]])</f>
        <v>131824</v>
      </c>
      <c r="BB389">
        <f>IF(ISBLANK(Tabla7[[#This Row],[15/06/2018]]),0,Tabla7[[#This Row],[15/06/2018]])</f>
        <v>132591</v>
      </c>
      <c r="BC389">
        <f>IF(ISBLANK(Tabla7[[#This Row],[15/07/2018]]),0,Tabla7[[#This Row],[15/07/2018]])</f>
        <v>133354</v>
      </c>
      <c r="BD389">
        <f>IF(ISBLANK(Tabla7[[#This Row],[15/08/2018]]),0,Tabla7[[#This Row],[15/08/2018]])</f>
        <v>134421</v>
      </c>
      <c r="BE389">
        <f>IF(ISBLANK(Tabla7[[#This Row],[15/09/2018]]),0,Tabla7[[#This Row],[15/09/2018]])</f>
        <v>137141</v>
      </c>
      <c r="BF389">
        <f>IF(ISBLANK(Tabla7[[#This Row],[15/10/2018]]),0,Tabla7[[#This Row],[15/10/2018]])</f>
        <v>138262</v>
      </c>
      <c r="BG389">
        <f>IF(ISBLANK(Tabla7[[#This Row],[15/11/2018]]),0,Tabla7[[#This Row],[15/11/2018]])</f>
        <v>138396</v>
      </c>
      <c r="BH389">
        <f>IF(ISBLANK(Tabla7[[#This Row],[15/12/2018]]),0,Tabla7[[#This Row],[15/12/2018]])</f>
        <v>138396</v>
      </c>
      <c r="BI389">
        <f>IF(ISBLANK(Tabla7[[#This Row],[28/12/2018]]),0,Tabla7[[#This Row],[28/12/2018]])</f>
        <v>0</v>
      </c>
      <c r="BN38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('71300126545','V','VCT42','39314','VALENCIA TERMINAL EUROPA','EN CT (5)','TORRE  4205','');</v>
      </c>
      <c r="BO389" t="s">
        <v>243</v>
      </c>
      <c r="BP389" s="632" t="str">
        <f>CONCATENATE("insert into lecturas values ","('",Tabla7[[#This Row],[CONTADOR]],"',STR_TO_DATE('",Tabla7[[#Headers],[31/12/2017]],"','%d/%m/%Y'),",AV389,"),","('",Tabla7[[#This Row],[CONTADOR]],"',STR_TO_DATE('",Tabla7[[#Headers],[15/01/2018]],"','%d/%m/%Y'),",AW389,"),","('",Tabla7[[#This Row],[CONTADOR]],"',STR_TO_DATE('",Tabla7[[#Headers],[15/02/2018]],"','%d/%m/%Y'),",AX389,"),","('",Tabla7[[#This Row],[CONTADOR]],"',STR_TO_DATE('",Tabla7[[#Headers],[15/03/2018]],"','%d/%m/%Y'),",AY389,"),","('",Tabla7[[#This Row],[CONTADOR]],"',STR_TO_DATE('",Tabla7[[#Headers],[15/04/2018]],"','%d/%m/%Y'),",AZ389,"),","('",Tabla7[[#This Row],[CONTADOR]],"',STR_TO_DATE('",Tabla7[[#Headers],[15/05/2018]],"','%d/%m/%Y'),",BA389,"),","('",Tabla7[[#This Row],[CONTADOR]],"',STR_TO_DATE('",Tabla7[[#Headers],[15/06/2018]],"','%d/%m/%Y'),",BB389,"),","('",Tabla7[[#This Row],[CONTADOR]],"',STR_TO_DATE('",Tabla7[[#Headers],[15/07/2018]],"','%d/%m/%Y'),",BC389,"),","('",Tabla7[[#This Row],[CONTADOR]],"',STR_TO_DATE('",Tabla7[[#Headers],[15/08/2018]],"','%d/%m/%Y'),",BD389,"),","('",Tabla7[[#This Row],[CONTADOR]],"',STR_TO_DATE('",Tabla7[[#Headers],[15/09/2018]],"','%d/%m/%Y'),",BE389,"),","('",Tabla7[[#This Row],[CONTADOR]],"',STR_TO_DATE('",Tabla7[[#Headers],[15/10/2018]],"','%d/%m/%Y'),",BF389,"),","('",Tabla7[[#This Row],[CONTADOR]],"',STR_TO_DATE('",Tabla7[[#Headers],[15/11/2018]],"','%d/%m/%Y'),",BG389,"),","('",Tabla7[[#This Row],[CONTADOR]],"',STR_TO_DATE('",Tabla7[[#Headers],[15/12/2018]],"','%d/%m/%Y'),",BH389,");")</f>
        <v>insert into lecturas values ('71300126545',STR_TO_DATE('31/12/2017','%d/%m/%Y'),124884),('71300126545',STR_TO_DATE('15/01/2018','%d/%m/%Y'),125680),('71300126545',STR_TO_DATE('15/02/2018','%d/%m/%Y'),126438),('71300126545',STR_TO_DATE('15/03/2018','%d/%m/%Y'),128584),('71300126545',STR_TO_DATE('15/04/2018','%d/%m/%Y'),130937),('71300126545',STR_TO_DATE('15/05/2018','%d/%m/%Y'),131824),('71300126545',STR_TO_DATE('15/06/2018','%d/%m/%Y'),132591),('71300126545',STR_TO_DATE('15/07/2018','%d/%m/%Y'),133354),('71300126545',STR_TO_DATE('15/08/2018','%d/%m/%Y'),134421),('71300126545',STR_TO_DATE('15/09/2018','%d/%m/%Y'),137141),('71300126545',STR_TO_DATE('15/10/2018','%d/%m/%Y'),138262),('71300126545',STR_TO_DATE('15/11/2018','%d/%m/%Y'),138396),('71300126545',STR_TO_DATE('15/12/2018','%d/%m/%Y'),138396);</v>
      </c>
    </row>
    <row r="390" spans="1:68" ht="18" customHeight="1" x14ac:dyDescent="0.25">
      <c r="A390" s="241" t="s">
        <v>19</v>
      </c>
      <c r="B390" s="60" t="s">
        <v>245</v>
      </c>
      <c r="C390" s="342">
        <v>71300126550</v>
      </c>
      <c r="D390" s="60" t="s">
        <v>244</v>
      </c>
      <c r="E390" s="258">
        <v>39028</v>
      </c>
      <c r="F390" s="274" t="s">
        <v>246</v>
      </c>
      <c r="G390" s="274" t="s">
        <v>766</v>
      </c>
      <c r="H390" s="274" t="s">
        <v>254</v>
      </c>
      <c r="I390" s="2"/>
      <c r="J390" s="2">
        <v>400788</v>
      </c>
      <c r="K390" s="274">
        <v>403064</v>
      </c>
      <c r="L390" s="311">
        <v>405597</v>
      </c>
      <c r="M390" s="311">
        <v>408286</v>
      </c>
      <c r="N390" s="311">
        <v>411049</v>
      </c>
      <c r="O390" s="311">
        <v>413492</v>
      </c>
      <c r="P390" s="311">
        <v>415633</v>
      </c>
      <c r="Q390" s="2">
        <v>417761</v>
      </c>
      <c r="R390" s="274">
        <v>419810</v>
      </c>
      <c r="S390" s="311">
        <v>422441</v>
      </c>
      <c r="T390" s="311">
        <v>424949</v>
      </c>
      <c r="U390" s="492">
        <v>428143</v>
      </c>
      <c r="V390" s="492">
        <v>431626</v>
      </c>
      <c r="W390" s="2"/>
      <c r="X390" s="2"/>
      <c r="Y390" s="2">
        <f t="shared" si="135"/>
        <v>2276</v>
      </c>
      <c r="Z390" s="2">
        <f t="shared" si="136"/>
        <v>2533</v>
      </c>
      <c r="AA390" s="2">
        <f t="shared" si="134"/>
        <v>2689</v>
      </c>
      <c r="AB390" s="2">
        <f t="shared" si="133"/>
        <v>2763</v>
      </c>
      <c r="AC390" s="2">
        <f t="shared" si="137"/>
        <v>2443</v>
      </c>
      <c r="AD390" s="2">
        <f t="shared" si="138"/>
        <v>2141</v>
      </c>
      <c r="AE390" s="2">
        <f t="shared" si="139"/>
        <v>2128</v>
      </c>
      <c r="AF390" s="2">
        <f t="shared" si="140"/>
        <v>2049</v>
      </c>
      <c r="AG390" s="2">
        <f t="shared" si="141"/>
        <v>2631</v>
      </c>
      <c r="AH390" s="2">
        <f t="shared" si="142"/>
        <v>2508</v>
      </c>
      <c r="AI390" s="2">
        <f t="shared" si="143"/>
        <v>3194</v>
      </c>
      <c r="AJ390" s="2">
        <f t="shared" si="144"/>
        <v>3483</v>
      </c>
      <c r="AK390" s="406">
        <v>1</v>
      </c>
      <c r="AL390" s="274">
        <f t="shared" ca="1" si="145"/>
        <v>411049</v>
      </c>
      <c r="AM390" s="311">
        <f t="shared" ca="1" si="146"/>
        <v>413492</v>
      </c>
      <c r="AN390" s="274">
        <f ca="1">IF(AND(Tabla7[[#This Row],[UltLec]]&lt;&gt;0,Tabla7[[#This Row],[PenLect]]&lt;&gt;0),(AM390-AL390)*Tabla7[[#This Row],[RT]],"N/A")</f>
        <v>2443</v>
      </c>
      <c r="AO390" s="273" t="s">
        <v>862</v>
      </c>
      <c r="AP390" s="392" t="s">
        <v>1190</v>
      </c>
      <c r="AQ390" s="392" t="s">
        <v>1189</v>
      </c>
      <c r="AR390" s="407">
        <f t="shared" si="147"/>
        <v>0</v>
      </c>
      <c r="AT390" s="2">
        <f t="shared" ca="1" si="148"/>
        <v>0.88418385812522615</v>
      </c>
      <c r="AV390">
        <f>IF(ISBLANK(Tabla7[[#This Row],[31/12/2017]]),0,Tabla7[[#This Row],[31/12/2017]])</f>
        <v>400788</v>
      </c>
      <c r="AW390">
        <f>IF(ISBLANK(Tabla7[[#This Row],[15/01/2018]]),0,Tabla7[[#This Row],[15/01/2018]])</f>
        <v>403064</v>
      </c>
      <c r="AX390">
        <f>IF(ISBLANK(Tabla7[[#This Row],[15/02/2018]]),0,Tabla7[[#This Row],[15/02/2018]])</f>
        <v>405597</v>
      </c>
      <c r="AY390">
        <f>IF(ISBLANK(Tabla7[[#This Row],[15/03/2018]]),0,Tabla7[[#This Row],[15/03/2018]])</f>
        <v>408286</v>
      </c>
      <c r="AZ390">
        <f>IF(ISBLANK(Tabla7[[#This Row],[15/04/2018]]),0,Tabla7[[#This Row],[15/04/2018]])</f>
        <v>411049</v>
      </c>
      <c r="BA390">
        <f>IF(ISBLANK(Tabla7[[#This Row],[15/05/2018]]),0,Tabla7[[#This Row],[15/05/2018]])</f>
        <v>413492</v>
      </c>
      <c r="BB390">
        <f>IF(ISBLANK(Tabla7[[#This Row],[15/06/2018]]),0,Tabla7[[#This Row],[15/06/2018]])</f>
        <v>415633</v>
      </c>
      <c r="BC390">
        <f>IF(ISBLANK(Tabla7[[#This Row],[15/07/2018]]),0,Tabla7[[#This Row],[15/07/2018]])</f>
        <v>417761</v>
      </c>
      <c r="BD390">
        <f>IF(ISBLANK(Tabla7[[#This Row],[15/08/2018]]),0,Tabla7[[#This Row],[15/08/2018]])</f>
        <v>419810</v>
      </c>
      <c r="BE390">
        <f>IF(ISBLANK(Tabla7[[#This Row],[15/09/2018]]),0,Tabla7[[#This Row],[15/09/2018]])</f>
        <v>422441</v>
      </c>
      <c r="BF390">
        <f>IF(ISBLANK(Tabla7[[#This Row],[15/10/2018]]),0,Tabla7[[#This Row],[15/10/2018]])</f>
        <v>424949</v>
      </c>
      <c r="BG390">
        <f>IF(ISBLANK(Tabla7[[#This Row],[15/11/2018]]),0,Tabla7[[#This Row],[15/11/2018]])</f>
        <v>428143</v>
      </c>
      <c r="BH390">
        <f>IF(ISBLANK(Tabla7[[#This Row],[15/12/2018]]),0,Tabla7[[#This Row],[15/12/2018]])</f>
        <v>431626</v>
      </c>
      <c r="BI390">
        <f>IF(ISBLANK(Tabla7[[#This Row],[28/12/2018]]),0,Tabla7[[#This Row],[28/12/2018]])</f>
        <v>0</v>
      </c>
      <c r="BN39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('71300126550','V','VCT42','39028','FORD ESPAÑA, S.L.','EN CT (7)','TORRE 4214','');</v>
      </c>
      <c r="BO390" t="s">
        <v>243</v>
      </c>
      <c r="BP390" s="632" t="str">
        <f>CONCATENATE("insert into lecturas values ","('",Tabla7[[#This Row],[CONTADOR]],"',STR_TO_DATE('",Tabla7[[#Headers],[31/12/2017]],"','%d/%m/%Y'),",AV390,"),","('",Tabla7[[#This Row],[CONTADOR]],"',STR_TO_DATE('",Tabla7[[#Headers],[15/01/2018]],"','%d/%m/%Y'),",AW390,"),","('",Tabla7[[#This Row],[CONTADOR]],"',STR_TO_DATE('",Tabla7[[#Headers],[15/02/2018]],"','%d/%m/%Y'),",AX390,"),","('",Tabla7[[#This Row],[CONTADOR]],"',STR_TO_DATE('",Tabla7[[#Headers],[15/03/2018]],"','%d/%m/%Y'),",AY390,"),","('",Tabla7[[#This Row],[CONTADOR]],"',STR_TO_DATE('",Tabla7[[#Headers],[15/04/2018]],"','%d/%m/%Y'),",AZ390,"),","('",Tabla7[[#This Row],[CONTADOR]],"',STR_TO_DATE('",Tabla7[[#Headers],[15/05/2018]],"','%d/%m/%Y'),",BA390,"),","('",Tabla7[[#This Row],[CONTADOR]],"',STR_TO_DATE('",Tabla7[[#Headers],[15/06/2018]],"','%d/%m/%Y'),",BB390,"),","('",Tabla7[[#This Row],[CONTADOR]],"',STR_TO_DATE('",Tabla7[[#Headers],[15/07/2018]],"','%d/%m/%Y'),",BC390,"),","('",Tabla7[[#This Row],[CONTADOR]],"',STR_TO_DATE('",Tabla7[[#Headers],[15/08/2018]],"','%d/%m/%Y'),",BD390,"),","('",Tabla7[[#This Row],[CONTADOR]],"',STR_TO_DATE('",Tabla7[[#Headers],[15/09/2018]],"','%d/%m/%Y'),",BE390,"),","('",Tabla7[[#This Row],[CONTADOR]],"',STR_TO_DATE('",Tabla7[[#Headers],[15/10/2018]],"','%d/%m/%Y'),",BF390,"),","('",Tabla7[[#This Row],[CONTADOR]],"',STR_TO_DATE('",Tabla7[[#Headers],[15/11/2018]],"','%d/%m/%Y'),",BG390,"),","('",Tabla7[[#This Row],[CONTADOR]],"',STR_TO_DATE('",Tabla7[[#Headers],[15/12/2018]],"','%d/%m/%Y'),",BH390,");")</f>
        <v>insert into lecturas values ('71300126550',STR_TO_DATE('31/12/2017','%d/%m/%Y'),400788),('71300126550',STR_TO_DATE('15/01/2018','%d/%m/%Y'),403064),('71300126550',STR_TO_DATE('15/02/2018','%d/%m/%Y'),405597),('71300126550',STR_TO_DATE('15/03/2018','%d/%m/%Y'),408286),('71300126550',STR_TO_DATE('15/04/2018','%d/%m/%Y'),411049),('71300126550',STR_TO_DATE('15/05/2018','%d/%m/%Y'),413492),('71300126550',STR_TO_DATE('15/06/2018','%d/%m/%Y'),415633),('71300126550',STR_TO_DATE('15/07/2018','%d/%m/%Y'),417761),('71300126550',STR_TO_DATE('15/08/2018','%d/%m/%Y'),419810),('71300126550',STR_TO_DATE('15/09/2018','%d/%m/%Y'),422441),('71300126550',STR_TO_DATE('15/10/2018','%d/%m/%Y'),424949),('71300126550',STR_TO_DATE('15/11/2018','%d/%m/%Y'),428143),('71300126550',STR_TO_DATE('15/12/2018','%d/%m/%Y'),431626);</v>
      </c>
    </row>
    <row r="391" spans="1:68" ht="18" customHeight="1" x14ac:dyDescent="0.25">
      <c r="A391" s="241" t="s">
        <v>19</v>
      </c>
      <c r="B391" s="60" t="s">
        <v>245</v>
      </c>
      <c r="C391" s="342">
        <v>71300126611</v>
      </c>
      <c r="D391" s="60" t="s">
        <v>244</v>
      </c>
      <c r="E391" s="258">
        <v>39038</v>
      </c>
      <c r="F391" s="274" t="s">
        <v>246</v>
      </c>
      <c r="G391" s="274" t="s">
        <v>767</v>
      </c>
      <c r="H391" s="274" t="s">
        <v>256</v>
      </c>
      <c r="I391" s="274"/>
      <c r="J391" s="274">
        <v>364694</v>
      </c>
      <c r="K391" s="274">
        <v>364804</v>
      </c>
      <c r="L391" s="311">
        <v>364808</v>
      </c>
      <c r="M391" s="311">
        <v>364808</v>
      </c>
      <c r="N391" s="311">
        <v>364808</v>
      </c>
      <c r="O391" s="311">
        <v>364808</v>
      </c>
      <c r="P391" s="311">
        <v>364808</v>
      </c>
      <c r="Q391" s="307">
        <v>364984</v>
      </c>
      <c r="R391" s="274">
        <v>365324</v>
      </c>
      <c r="S391" s="311">
        <v>365533</v>
      </c>
      <c r="T391" s="311">
        <v>365533</v>
      </c>
      <c r="U391" s="311">
        <v>366025</v>
      </c>
      <c r="V391" s="311">
        <v>366025</v>
      </c>
      <c r="W391" s="274"/>
      <c r="X391" s="274"/>
      <c r="Y391" s="274">
        <f t="shared" si="135"/>
        <v>110</v>
      </c>
      <c r="Z391" s="274">
        <f t="shared" si="136"/>
        <v>4</v>
      </c>
      <c r="AA391" s="274">
        <f t="shared" si="134"/>
        <v>0</v>
      </c>
      <c r="AB391" s="274">
        <f t="shared" si="133"/>
        <v>0</v>
      </c>
      <c r="AC391" s="274">
        <f t="shared" si="137"/>
        <v>0</v>
      </c>
      <c r="AD391" s="274">
        <f t="shared" si="138"/>
        <v>0</v>
      </c>
      <c r="AE391" s="274">
        <f t="shared" si="139"/>
        <v>176</v>
      </c>
      <c r="AF391" s="274">
        <f t="shared" si="140"/>
        <v>340</v>
      </c>
      <c r="AG391" s="274">
        <f t="shared" si="141"/>
        <v>209</v>
      </c>
      <c r="AH391" s="274">
        <f t="shared" si="142"/>
        <v>0</v>
      </c>
      <c r="AI391" s="274">
        <f t="shared" si="143"/>
        <v>492</v>
      </c>
      <c r="AJ391" s="274">
        <f t="shared" si="144"/>
        <v>0</v>
      </c>
      <c r="AK391" s="406">
        <v>1</v>
      </c>
      <c r="AL391" s="274">
        <f t="shared" ca="1" si="145"/>
        <v>364808</v>
      </c>
      <c r="AM391" s="311">
        <f t="shared" ca="1" si="146"/>
        <v>364808</v>
      </c>
      <c r="AN391" s="274">
        <f ca="1">IF(AND(Tabla7[[#This Row],[UltLec]]&lt;&gt;0,Tabla7[[#This Row],[PenLect]]&lt;&gt;0),(AM391-AL391)*Tabla7[[#This Row],[RT]],"N/A")</f>
        <v>0</v>
      </c>
      <c r="AO391" s="273" t="s">
        <v>862</v>
      </c>
      <c r="AP391" s="392" t="s">
        <v>1190</v>
      </c>
      <c r="AQ391" s="392" t="s">
        <v>1189</v>
      </c>
      <c r="AR391" s="407">
        <f t="shared" si="147"/>
        <v>0</v>
      </c>
      <c r="AT391" s="2" t="str">
        <f t="shared" ca="1" si="148"/>
        <v>0</v>
      </c>
      <c r="AV391">
        <f>IF(ISBLANK(Tabla7[[#This Row],[31/12/2017]]),0,Tabla7[[#This Row],[31/12/2017]])</f>
        <v>364694</v>
      </c>
      <c r="AW391">
        <f>IF(ISBLANK(Tabla7[[#This Row],[15/01/2018]]),0,Tabla7[[#This Row],[15/01/2018]])</f>
        <v>364804</v>
      </c>
      <c r="AX391">
        <f>IF(ISBLANK(Tabla7[[#This Row],[15/02/2018]]),0,Tabla7[[#This Row],[15/02/2018]])</f>
        <v>364808</v>
      </c>
      <c r="AY391">
        <f>IF(ISBLANK(Tabla7[[#This Row],[15/03/2018]]),0,Tabla7[[#This Row],[15/03/2018]])</f>
        <v>364808</v>
      </c>
      <c r="AZ391">
        <f>IF(ISBLANK(Tabla7[[#This Row],[15/04/2018]]),0,Tabla7[[#This Row],[15/04/2018]])</f>
        <v>364808</v>
      </c>
      <c r="BA391">
        <f>IF(ISBLANK(Tabla7[[#This Row],[15/05/2018]]),0,Tabla7[[#This Row],[15/05/2018]])</f>
        <v>364808</v>
      </c>
      <c r="BB391">
        <f>IF(ISBLANK(Tabla7[[#This Row],[15/06/2018]]),0,Tabla7[[#This Row],[15/06/2018]])</f>
        <v>364808</v>
      </c>
      <c r="BC391">
        <f>IF(ISBLANK(Tabla7[[#This Row],[15/07/2018]]),0,Tabla7[[#This Row],[15/07/2018]])</f>
        <v>364984</v>
      </c>
      <c r="BD391">
        <f>IF(ISBLANK(Tabla7[[#This Row],[15/08/2018]]),0,Tabla7[[#This Row],[15/08/2018]])</f>
        <v>365324</v>
      </c>
      <c r="BE391">
        <f>IF(ISBLANK(Tabla7[[#This Row],[15/09/2018]]),0,Tabla7[[#This Row],[15/09/2018]])</f>
        <v>365533</v>
      </c>
      <c r="BF391">
        <f>IF(ISBLANK(Tabla7[[#This Row],[15/10/2018]]),0,Tabla7[[#This Row],[15/10/2018]])</f>
        <v>365533</v>
      </c>
      <c r="BG391">
        <f>IF(ISBLANK(Tabla7[[#This Row],[15/11/2018]]),0,Tabla7[[#This Row],[15/11/2018]])</f>
        <v>366025</v>
      </c>
      <c r="BH391">
        <f>IF(ISBLANK(Tabla7[[#This Row],[15/12/2018]]),0,Tabla7[[#This Row],[15/12/2018]])</f>
        <v>366025</v>
      </c>
      <c r="BI391">
        <f>IF(ISBLANK(Tabla7[[#This Row],[28/12/2018]]),0,Tabla7[[#This Row],[28/12/2018]])</f>
        <v>0</v>
      </c>
      <c r="BN39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('71300126611','V','VCT42','39038','FORD ESPAÑA, S.L.','EN CT (9)','TORRE 4216','');</v>
      </c>
      <c r="BO391" t="s">
        <v>243</v>
      </c>
      <c r="BP391" s="632" t="str">
        <f>CONCATENATE("insert into lecturas values ","('",Tabla7[[#This Row],[CONTADOR]],"',STR_TO_DATE('",Tabla7[[#Headers],[31/12/2017]],"','%d/%m/%Y'),",AV391,"),","('",Tabla7[[#This Row],[CONTADOR]],"',STR_TO_DATE('",Tabla7[[#Headers],[15/01/2018]],"','%d/%m/%Y'),",AW391,"),","('",Tabla7[[#This Row],[CONTADOR]],"',STR_TO_DATE('",Tabla7[[#Headers],[15/02/2018]],"','%d/%m/%Y'),",AX391,"),","('",Tabla7[[#This Row],[CONTADOR]],"',STR_TO_DATE('",Tabla7[[#Headers],[15/03/2018]],"','%d/%m/%Y'),",AY391,"),","('",Tabla7[[#This Row],[CONTADOR]],"',STR_TO_DATE('",Tabla7[[#Headers],[15/04/2018]],"','%d/%m/%Y'),",AZ391,"),","('",Tabla7[[#This Row],[CONTADOR]],"',STR_TO_DATE('",Tabla7[[#Headers],[15/05/2018]],"','%d/%m/%Y'),",BA391,"),","('",Tabla7[[#This Row],[CONTADOR]],"',STR_TO_DATE('",Tabla7[[#Headers],[15/06/2018]],"','%d/%m/%Y'),",BB391,"),","('",Tabla7[[#This Row],[CONTADOR]],"',STR_TO_DATE('",Tabla7[[#Headers],[15/07/2018]],"','%d/%m/%Y'),",BC391,"),","('",Tabla7[[#This Row],[CONTADOR]],"',STR_TO_DATE('",Tabla7[[#Headers],[15/08/2018]],"','%d/%m/%Y'),",BD391,"),","('",Tabla7[[#This Row],[CONTADOR]],"',STR_TO_DATE('",Tabla7[[#Headers],[15/09/2018]],"','%d/%m/%Y'),",BE391,"),","('",Tabla7[[#This Row],[CONTADOR]],"',STR_TO_DATE('",Tabla7[[#Headers],[15/10/2018]],"','%d/%m/%Y'),",BF391,"),","('",Tabla7[[#This Row],[CONTADOR]],"',STR_TO_DATE('",Tabla7[[#Headers],[15/11/2018]],"','%d/%m/%Y'),",BG391,"),","('",Tabla7[[#This Row],[CONTADOR]],"',STR_TO_DATE('",Tabla7[[#Headers],[15/12/2018]],"','%d/%m/%Y'),",BH391,");")</f>
        <v>insert into lecturas values ('71300126611',STR_TO_DATE('31/12/2017','%d/%m/%Y'),364694),('71300126611',STR_TO_DATE('15/01/2018','%d/%m/%Y'),364804),('71300126611',STR_TO_DATE('15/02/2018','%d/%m/%Y'),364808),('71300126611',STR_TO_DATE('15/03/2018','%d/%m/%Y'),364808),('71300126611',STR_TO_DATE('15/04/2018','%d/%m/%Y'),364808),('71300126611',STR_TO_DATE('15/05/2018','%d/%m/%Y'),364808),('71300126611',STR_TO_DATE('15/06/2018','%d/%m/%Y'),364808),('71300126611',STR_TO_DATE('15/07/2018','%d/%m/%Y'),364984),('71300126611',STR_TO_DATE('15/08/2018','%d/%m/%Y'),365324),('71300126611',STR_TO_DATE('15/09/2018','%d/%m/%Y'),365533),('71300126611',STR_TO_DATE('15/10/2018','%d/%m/%Y'),365533),('71300126611',STR_TO_DATE('15/11/2018','%d/%m/%Y'),366025),('71300126611',STR_TO_DATE('15/12/2018','%d/%m/%Y'),366025);</v>
      </c>
    </row>
    <row r="392" spans="1:68" ht="18" customHeight="1" x14ac:dyDescent="0.25">
      <c r="A392" s="241" t="s">
        <v>19</v>
      </c>
      <c r="B392" s="60" t="s">
        <v>245</v>
      </c>
      <c r="C392" s="342">
        <v>71300126612</v>
      </c>
      <c r="D392" s="60" t="s">
        <v>244</v>
      </c>
      <c r="E392" s="258">
        <v>39139</v>
      </c>
      <c r="F392" s="274" t="s">
        <v>250</v>
      </c>
      <c r="G392" s="274" t="s">
        <v>768</v>
      </c>
      <c r="H392" s="2" t="s">
        <v>251</v>
      </c>
      <c r="I392" s="2"/>
      <c r="J392" s="2">
        <v>193943</v>
      </c>
      <c r="K392" s="274">
        <v>194282</v>
      </c>
      <c r="L392" s="311">
        <v>195196</v>
      </c>
      <c r="M392" s="311">
        <v>196191</v>
      </c>
      <c r="N392" s="311">
        <v>198076</v>
      </c>
      <c r="O392" s="311">
        <v>199835</v>
      </c>
      <c r="P392" s="311">
        <v>201372</v>
      </c>
      <c r="Q392" s="274">
        <v>202425</v>
      </c>
      <c r="R392" s="274">
        <v>203899</v>
      </c>
      <c r="S392" s="311">
        <v>205770</v>
      </c>
      <c r="T392" s="311">
        <v>207548</v>
      </c>
      <c r="U392" s="492">
        <v>209795</v>
      </c>
      <c r="V392" s="492">
        <v>212224</v>
      </c>
      <c r="W392" s="2"/>
      <c r="X392" s="2"/>
      <c r="Y392" s="2">
        <f t="shared" si="135"/>
        <v>339</v>
      </c>
      <c r="Z392" s="2">
        <f t="shared" si="136"/>
        <v>914</v>
      </c>
      <c r="AA392" s="2">
        <f t="shared" si="134"/>
        <v>995</v>
      </c>
      <c r="AB392" s="2">
        <f t="shared" si="133"/>
        <v>1885</v>
      </c>
      <c r="AC392" s="2">
        <f t="shared" si="137"/>
        <v>1759</v>
      </c>
      <c r="AD392" s="2">
        <f t="shared" si="138"/>
        <v>1537</v>
      </c>
      <c r="AE392" s="2">
        <f t="shared" si="139"/>
        <v>1053</v>
      </c>
      <c r="AF392" s="2">
        <f t="shared" si="140"/>
        <v>1474</v>
      </c>
      <c r="AG392" s="2">
        <f t="shared" si="141"/>
        <v>1871</v>
      </c>
      <c r="AH392" s="2">
        <f t="shared" si="142"/>
        <v>1778</v>
      </c>
      <c r="AI392" s="2">
        <f t="shared" si="143"/>
        <v>2247</v>
      </c>
      <c r="AJ392" s="2">
        <f t="shared" si="144"/>
        <v>2429</v>
      </c>
      <c r="AK392" s="406">
        <v>1</v>
      </c>
      <c r="AL392" s="274">
        <f t="shared" ca="1" si="145"/>
        <v>198076</v>
      </c>
      <c r="AM392" s="311">
        <f t="shared" ca="1" si="146"/>
        <v>199835</v>
      </c>
      <c r="AN392" s="274">
        <f ca="1">IF(AND(Tabla7[[#This Row],[UltLec]]&lt;&gt;0,Tabla7[[#This Row],[PenLect]]&lt;&gt;0),(AM392-AL392)*Tabla7[[#This Row],[RT]],"N/A")</f>
        <v>1759</v>
      </c>
      <c r="AO392" s="273" t="s">
        <v>862</v>
      </c>
      <c r="AP392" s="392" t="s">
        <v>1190</v>
      </c>
      <c r="AQ392" s="392" t="s">
        <v>1189</v>
      </c>
      <c r="AR392" s="407">
        <f t="shared" si="147"/>
        <v>0</v>
      </c>
      <c r="AT392" s="2">
        <f t="shared" ca="1" si="148"/>
        <v>0.93315649867374006</v>
      </c>
      <c r="AV392">
        <f>IF(ISBLANK(Tabla7[[#This Row],[31/12/2017]]),0,Tabla7[[#This Row],[31/12/2017]])</f>
        <v>193943</v>
      </c>
      <c r="AW392">
        <f>IF(ISBLANK(Tabla7[[#This Row],[15/01/2018]]),0,Tabla7[[#This Row],[15/01/2018]])</f>
        <v>194282</v>
      </c>
      <c r="AX392">
        <f>IF(ISBLANK(Tabla7[[#This Row],[15/02/2018]]),0,Tabla7[[#This Row],[15/02/2018]])</f>
        <v>195196</v>
      </c>
      <c r="AY392">
        <f>IF(ISBLANK(Tabla7[[#This Row],[15/03/2018]]),0,Tabla7[[#This Row],[15/03/2018]])</f>
        <v>196191</v>
      </c>
      <c r="AZ392">
        <f>IF(ISBLANK(Tabla7[[#This Row],[15/04/2018]]),0,Tabla7[[#This Row],[15/04/2018]])</f>
        <v>198076</v>
      </c>
      <c r="BA392">
        <f>IF(ISBLANK(Tabla7[[#This Row],[15/05/2018]]),0,Tabla7[[#This Row],[15/05/2018]])</f>
        <v>199835</v>
      </c>
      <c r="BB392">
        <f>IF(ISBLANK(Tabla7[[#This Row],[15/06/2018]]),0,Tabla7[[#This Row],[15/06/2018]])</f>
        <v>201372</v>
      </c>
      <c r="BC392">
        <f>IF(ISBLANK(Tabla7[[#This Row],[15/07/2018]]),0,Tabla7[[#This Row],[15/07/2018]])</f>
        <v>202425</v>
      </c>
      <c r="BD392">
        <f>IF(ISBLANK(Tabla7[[#This Row],[15/08/2018]]),0,Tabla7[[#This Row],[15/08/2018]])</f>
        <v>203899</v>
      </c>
      <c r="BE392">
        <f>IF(ISBLANK(Tabla7[[#This Row],[15/09/2018]]),0,Tabla7[[#This Row],[15/09/2018]])</f>
        <v>205770</v>
      </c>
      <c r="BF392">
        <f>IF(ISBLANK(Tabla7[[#This Row],[15/10/2018]]),0,Tabla7[[#This Row],[15/10/2018]])</f>
        <v>207548</v>
      </c>
      <c r="BG392">
        <f>IF(ISBLANK(Tabla7[[#This Row],[15/11/2018]]),0,Tabla7[[#This Row],[15/11/2018]])</f>
        <v>209795</v>
      </c>
      <c r="BH392">
        <f>IF(ISBLANK(Tabla7[[#This Row],[15/12/2018]]),0,Tabla7[[#This Row],[15/12/2018]])</f>
        <v>212224</v>
      </c>
      <c r="BI392">
        <f>IF(ISBLANK(Tabla7[[#This Row],[28/12/2018]]),0,Tabla7[[#This Row],[28/12/2018]])</f>
        <v>0</v>
      </c>
      <c r="BN39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('71300126612','V','VCT42','39139','VALENCIA TERMINAL EUROPA','EN CT (4)','TORRE 4204','');</v>
      </c>
      <c r="BO392" t="s">
        <v>243</v>
      </c>
      <c r="BP392" s="632" t="str">
        <f>CONCATENATE("insert into lecturas values ","('",Tabla7[[#This Row],[CONTADOR]],"',STR_TO_DATE('",Tabla7[[#Headers],[31/12/2017]],"','%d/%m/%Y'),",AV392,"),","('",Tabla7[[#This Row],[CONTADOR]],"',STR_TO_DATE('",Tabla7[[#Headers],[15/01/2018]],"','%d/%m/%Y'),",AW392,"),","('",Tabla7[[#This Row],[CONTADOR]],"',STR_TO_DATE('",Tabla7[[#Headers],[15/02/2018]],"','%d/%m/%Y'),",AX392,"),","('",Tabla7[[#This Row],[CONTADOR]],"',STR_TO_DATE('",Tabla7[[#Headers],[15/03/2018]],"','%d/%m/%Y'),",AY392,"),","('",Tabla7[[#This Row],[CONTADOR]],"',STR_TO_DATE('",Tabla7[[#Headers],[15/04/2018]],"','%d/%m/%Y'),",AZ392,"),","('",Tabla7[[#This Row],[CONTADOR]],"',STR_TO_DATE('",Tabla7[[#Headers],[15/05/2018]],"','%d/%m/%Y'),",BA392,"),","('",Tabla7[[#This Row],[CONTADOR]],"',STR_TO_DATE('",Tabla7[[#Headers],[15/06/2018]],"','%d/%m/%Y'),",BB392,"),","('",Tabla7[[#This Row],[CONTADOR]],"',STR_TO_DATE('",Tabla7[[#Headers],[15/07/2018]],"','%d/%m/%Y'),",BC392,"),","('",Tabla7[[#This Row],[CONTADOR]],"',STR_TO_DATE('",Tabla7[[#Headers],[15/08/2018]],"','%d/%m/%Y'),",BD392,"),","('",Tabla7[[#This Row],[CONTADOR]],"',STR_TO_DATE('",Tabla7[[#Headers],[15/09/2018]],"','%d/%m/%Y'),",BE392,"),","('",Tabla7[[#This Row],[CONTADOR]],"',STR_TO_DATE('",Tabla7[[#Headers],[15/10/2018]],"','%d/%m/%Y'),",BF392,"),","('",Tabla7[[#This Row],[CONTADOR]],"',STR_TO_DATE('",Tabla7[[#Headers],[15/11/2018]],"','%d/%m/%Y'),",BG392,"),","('",Tabla7[[#This Row],[CONTADOR]],"',STR_TO_DATE('",Tabla7[[#Headers],[15/12/2018]],"','%d/%m/%Y'),",BH392,");")</f>
        <v>insert into lecturas values ('71300126612',STR_TO_DATE('31/12/2017','%d/%m/%Y'),193943),('71300126612',STR_TO_DATE('15/01/2018','%d/%m/%Y'),194282),('71300126612',STR_TO_DATE('15/02/2018','%d/%m/%Y'),195196),('71300126612',STR_TO_DATE('15/03/2018','%d/%m/%Y'),196191),('71300126612',STR_TO_DATE('15/04/2018','%d/%m/%Y'),198076),('71300126612',STR_TO_DATE('15/05/2018','%d/%m/%Y'),199835),('71300126612',STR_TO_DATE('15/06/2018','%d/%m/%Y'),201372),('71300126612',STR_TO_DATE('15/07/2018','%d/%m/%Y'),202425),('71300126612',STR_TO_DATE('15/08/2018','%d/%m/%Y'),203899),('71300126612',STR_TO_DATE('15/09/2018','%d/%m/%Y'),205770),('71300126612',STR_TO_DATE('15/10/2018','%d/%m/%Y'),207548),('71300126612',STR_TO_DATE('15/11/2018','%d/%m/%Y'),209795),('71300126612',STR_TO_DATE('15/12/2018','%d/%m/%Y'),212224);</v>
      </c>
    </row>
    <row r="393" spans="1:68" ht="18" customHeight="1" x14ac:dyDescent="0.25">
      <c r="A393" s="241" t="s">
        <v>19</v>
      </c>
      <c r="B393" s="60" t="s">
        <v>245</v>
      </c>
      <c r="C393" s="342">
        <v>71300126614</v>
      </c>
      <c r="D393" s="60" t="s">
        <v>244</v>
      </c>
      <c r="E393" s="258">
        <v>39037</v>
      </c>
      <c r="F393" s="307" t="s">
        <v>246</v>
      </c>
      <c r="G393" s="307" t="s">
        <v>769</v>
      </c>
      <c r="H393" s="275" t="s">
        <v>255</v>
      </c>
      <c r="I393" s="275"/>
      <c r="J393" s="275">
        <v>378820</v>
      </c>
      <c r="K393" s="307">
        <v>380502</v>
      </c>
      <c r="L393" s="311">
        <v>382451</v>
      </c>
      <c r="M393" s="311">
        <v>384663</v>
      </c>
      <c r="N393" s="311">
        <v>386868</v>
      </c>
      <c r="O393" s="311">
        <v>388854</v>
      </c>
      <c r="P393" s="311">
        <v>390040</v>
      </c>
      <c r="Q393" s="275">
        <v>390162</v>
      </c>
      <c r="R393" s="307">
        <v>391990</v>
      </c>
      <c r="S393" s="311">
        <v>394307</v>
      </c>
      <c r="T393" s="311">
        <v>396453</v>
      </c>
      <c r="U393" s="353">
        <v>399146</v>
      </c>
      <c r="V393" s="492">
        <v>402033</v>
      </c>
      <c r="W393" s="275"/>
      <c r="X393" s="275"/>
      <c r="Y393" s="275">
        <f t="shared" si="135"/>
        <v>1682</v>
      </c>
      <c r="Z393" s="275">
        <f t="shared" si="136"/>
        <v>1949</v>
      </c>
      <c r="AA393" s="275">
        <f t="shared" si="134"/>
        <v>2212</v>
      </c>
      <c r="AB393" s="275">
        <f t="shared" si="133"/>
        <v>2205</v>
      </c>
      <c r="AC393" s="275">
        <f t="shared" si="137"/>
        <v>1986</v>
      </c>
      <c r="AD393" s="275">
        <f t="shared" si="138"/>
        <v>1186</v>
      </c>
      <c r="AE393" s="275">
        <f t="shared" si="139"/>
        <v>122</v>
      </c>
      <c r="AF393" s="275">
        <f t="shared" si="140"/>
        <v>1828</v>
      </c>
      <c r="AG393" s="275">
        <f t="shared" si="141"/>
        <v>2317</v>
      </c>
      <c r="AH393" s="275">
        <f t="shared" si="142"/>
        <v>2146</v>
      </c>
      <c r="AI393" s="275">
        <f t="shared" si="143"/>
        <v>2693</v>
      </c>
      <c r="AJ393" s="275">
        <f t="shared" si="144"/>
        <v>2887</v>
      </c>
      <c r="AK393" s="420">
        <v>1</v>
      </c>
      <c r="AL393" s="307">
        <f t="shared" ca="1" si="145"/>
        <v>386868</v>
      </c>
      <c r="AM393" s="353">
        <f t="shared" ca="1" si="146"/>
        <v>388854</v>
      </c>
      <c r="AN393" s="307">
        <f ca="1">IF(AND(Tabla7[[#This Row],[UltLec]]&lt;&gt;0,Tabla7[[#This Row],[PenLect]]&lt;&gt;0),(AM393-AL393)*Tabla7[[#This Row],[RT]],"N/A")</f>
        <v>1986</v>
      </c>
      <c r="AO393" s="273" t="s">
        <v>862</v>
      </c>
      <c r="AP393" s="392" t="s">
        <v>1190</v>
      </c>
      <c r="AQ393" s="392" t="s">
        <v>1189</v>
      </c>
      <c r="AR393" s="422">
        <f t="shared" si="147"/>
        <v>0</v>
      </c>
      <c r="AT393" s="2">
        <f t="shared" ca="1" si="148"/>
        <v>0.90068027210884349</v>
      </c>
      <c r="AV393">
        <f>IF(ISBLANK(Tabla7[[#This Row],[31/12/2017]]),0,Tabla7[[#This Row],[31/12/2017]])</f>
        <v>378820</v>
      </c>
      <c r="AW393">
        <f>IF(ISBLANK(Tabla7[[#This Row],[15/01/2018]]),0,Tabla7[[#This Row],[15/01/2018]])</f>
        <v>380502</v>
      </c>
      <c r="AX393">
        <f>IF(ISBLANK(Tabla7[[#This Row],[15/02/2018]]),0,Tabla7[[#This Row],[15/02/2018]])</f>
        <v>382451</v>
      </c>
      <c r="AY393">
        <f>IF(ISBLANK(Tabla7[[#This Row],[15/03/2018]]),0,Tabla7[[#This Row],[15/03/2018]])</f>
        <v>384663</v>
      </c>
      <c r="AZ393">
        <f>IF(ISBLANK(Tabla7[[#This Row],[15/04/2018]]),0,Tabla7[[#This Row],[15/04/2018]])</f>
        <v>386868</v>
      </c>
      <c r="BA393">
        <f>IF(ISBLANK(Tabla7[[#This Row],[15/05/2018]]),0,Tabla7[[#This Row],[15/05/2018]])</f>
        <v>388854</v>
      </c>
      <c r="BB393">
        <f>IF(ISBLANK(Tabla7[[#This Row],[15/06/2018]]),0,Tabla7[[#This Row],[15/06/2018]])</f>
        <v>390040</v>
      </c>
      <c r="BC393">
        <f>IF(ISBLANK(Tabla7[[#This Row],[15/07/2018]]),0,Tabla7[[#This Row],[15/07/2018]])</f>
        <v>390162</v>
      </c>
      <c r="BD393">
        <f>IF(ISBLANK(Tabla7[[#This Row],[15/08/2018]]),0,Tabla7[[#This Row],[15/08/2018]])</f>
        <v>391990</v>
      </c>
      <c r="BE393">
        <f>IF(ISBLANK(Tabla7[[#This Row],[15/09/2018]]),0,Tabla7[[#This Row],[15/09/2018]])</f>
        <v>394307</v>
      </c>
      <c r="BF393">
        <f>IF(ISBLANK(Tabla7[[#This Row],[15/10/2018]]),0,Tabla7[[#This Row],[15/10/2018]])</f>
        <v>396453</v>
      </c>
      <c r="BG393">
        <f>IF(ISBLANK(Tabla7[[#This Row],[15/11/2018]]),0,Tabla7[[#This Row],[15/11/2018]])</f>
        <v>399146</v>
      </c>
      <c r="BH393">
        <f>IF(ISBLANK(Tabla7[[#This Row],[15/12/2018]]),0,Tabla7[[#This Row],[15/12/2018]])</f>
        <v>402033</v>
      </c>
      <c r="BI393">
        <f>IF(ISBLANK(Tabla7[[#This Row],[28/12/2018]]),0,Tabla7[[#This Row],[28/12/2018]])</f>
        <v>0</v>
      </c>
      <c r="BN39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('71300126614','V','VCT42','39037','FORD ESPAÑA, S.L.','EN CT (8)','TORRE 4215','');</v>
      </c>
      <c r="BO393" t="s">
        <v>243</v>
      </c>
      <c r="BP393" s="632" t="str">
        <f>CONCATENATE("insert into lecturas values ","('",Tabla7[[#This Row],[CONTADOR]],"',STR_TO_DATE('",Tabla7[[#Headers],[31/12/2017]],"','%d/%m/%Y'),",AV393,"),","('",Tabla7[[#This Row],[CONTADOR]],"',STR_TO_DATE('",Tabla7[[#Headers],[15/01/2018]],"','%d/%m/%Y'),",AW393,"),","('",Tabla7[[#This Row],[CONTADOR]],"',STR_TO_DATE('",Tabla7[[#Headers],[15/02/2018]],"','%d/%m/%Y'),",AX393,"),","('",Tabla7[[#This Row],[CONTADOR]],"',STR_TO_DATE('",Tabla7[[#Headers],[15/03/2018]],"','%d/%m/%Y'),",AY393,"),","('",Tabla7[[#This Row],[CONTADOR]],"',STR_TO_DATE('",Tabla7[[#Headers],[15/04/2018]],"','%d/%m/%Y'),",AZ393,"),","('",Tabla7[[#This Row],[CONTADOR]],"',STR_TO_DATE('",Tabla7[[#Headers],[15/05/2018]],"','%d/%m/%Y'),",BA393,"),","('",Tabla7[[#This Row],[CONTADOR]],"',STR_TO_DATE('",Tabla7[[#Headers],[15/06/2018]],"','%d/%m/%Y'),",BB393,"),","('",Tabla7[[#This Row],[CONTADOR]],"',STR_TO_DATE('",Tabla7[[#Headers],[15/07/2018]],"','%d/%m/%Y'),",BC393,"),","('",Tabla7[[#This Row],[CONTADOR]],"',STR_TO_DATE('",Tabla7[[#Headers],[15/08/2018]],"','%d/%m/%Y'),",BD393,"),","('",Tabla7[[#This Row],[CONTADOR]],"',STR_TO_DATE('",Tabla7[[#Headers],[15/09/2018]],"','%d/%m/%Y'),",BE393,"),","('",Tabla7[[#This Row],[CONTADOR]],"',STR_TO_DATE('",Tabla7[[#Headers],[15/10/2018]],"','%d/%m/%Y'),",BF393,"),","('",Tabla7[[#This Row],[CONTADOR]],"',STR_TO_DATE('",Tabla7[[#Headers],[15/11/2018]],"','%d/%m/%Y'),",BG393,"),","('",Tabla7[[#This Row],[CONTADOR]],"',STR_TO_DATE('",Tabla7[[#Headers],[15/12/2018]],"','%d/%m/%Y'),",BH393,");")</f>
        <v>insert into lecturas values ('71300126614',STR_TO_DATE('31/12/2017','%d/%m/%Y'),378820),('71300126614',STR_TO_DATE('15/01/2018','%d/%m/%Y'),380502),('71300126614',STR_TO_DATE('15/02/2018','%d/%m/%Y'),382451),('71300126614',STR_TO_DATE('15/03/2018','%d/%m/%Y'),384663),('71300126614',STR_TO_DATE('15/04/2018','%d/%m/%Y'),386868),('71300126614',STR_TO_DATE('15/05/2018','%d/%m/%Y'),388854),('71300126614',STR_TO_DATE('15/06/2018','%d/%m/%Y'),390040),('71300126614',STR_TO_DATE('15/07/2018','%d/%m/%Y'),390162),('71300126614',STR_TO_DATE('15/08/2018','%d/%m/%Y'),391990),('71300126614',STR_TO_DATE('15/09/2018','%d/%m/%Y'),394307),('71300126614',STR_TO_DATE('15/10/2018','%d/%m/%Y'),396453),('71300126614',STR_TO_DATE('15/11/2018','%d/%m/%Y'),399146),('71300126614',STR_TO_DATE('15/12/2018','%d/%m/%Y'),402033);</v>
      </c>
    </row>
    <row r="394" spans="1:68" ht="18" customHeight="1" x14ac:dyDescent="0.25">
      <c r="A394" s="241" t="s">
        <v>19</v>
      </c>
      <c r="B394" s="60" t="s">
        <v>245</v>
      </c>
      <c r="C394" s="342">
        <v>71300126675</v>
      </c>
      <c r="D394" s="60" t="s">
        <v>244</v>
      </c>
      <c r="E394" s="258">
        <v>39024</v>
      </c>
      <c r="F394" s="274" t="s">
        <v>246</v>
      </c>
      <c r="G394" s="274" t="s">
        <v>770</v>
      </c>
      <c r="H394" s="274" t="s">
        <v>249</v>
      </c>
      <c r="I394" s="274"/>
      <c r="J394" s="274">
        <v>178063</v>
      </c>
      <c r="K394" s="274">
        <v>179137</v>
      </c>
      <c r="L394" s="311">
        <v>180991</v>
      </c>
      <c r="M394" s="311">
        <v>182454</v>
      </c>
      <c r="N394" s="311">
        <v>183892</v>
      </c>
      <c r="O394" s="311">
        <v>185160</v>
      </c>
      <c r="P394" s="311">
        <v>185967</v>
      </c>
      <c r="Q394" s="274">
        <v>186004</v>
      </c>
      <c r="R394" s="274">
        <v>186565</v>
      </c>
      <c r="S394" s="311">
        <v>187285</v>
      </c>
      <c r="T394" s="311">
        <v>187370</v>
      </c>
      <c r="U394" s="311">
        <v>188176</v>
      </c>
      <c r="V394" s="492">
        <v>189523</v>
      </c>
      <c r="W394" s="274"/>
      <c r="X394" s="274"/>
      <c r="Y394" s="274">
        <f t="shared" si="135"/>
        <v>1074</v>
      </c>
      <c r="Z394" s="274">
        <f t="shared" si="136"/>
        <v>1854</v>
      </c>
      <c r="AA394" s="274">
        <f t="shared" si="134"/>
        <v>1463</v>
      </c>
      <c r="AB394" s="274">
        <f t="shared" ref="AB394:AB425" si="149">IF(OR(ISBLANK(N394),ISBLANK(M394)),"",IF(AND(N394&gt;=M394,N394-M394&lt;=N394),(N394-M394)*$AK394,"!!!!"))</f>
        <v>1438</v>
      </c>
      <c r="AC394" s="274">
        <f t="shared" si="137"/>
        <v>1268</v>
      </c>
      <c r="AD394" s="274">
        <f t="shared" si="138"/>
        <v>807</v>
      </c>
      <c r="AE394" s="274">
        <f t="shared" si="139"/>
        <v>37</v>
      </c>
      <c r="AF394" s="274">
        <f t="shared" si="140"/>
        <v>561</v>
      </c>
      <c r="AG394" s="274">
        <f t="shared" si="141"/>
        <v>720</v>
      </c>
      <c r="AH394" s="274">
        <f t="shared" si="142"/>
        <v>85</v>
      </c>
      <c r="AI394" s="274">
        <f t="shared" si="143"/>
        <v>806</v>
      </c>
      <c r="AJ394" s="274">
        <f t="shared" si="144"/>
        <v>1347</v>
      </c>
      <c r="AK394" s="406">
        <v>1</v>
      </c>
      <c r="AL394" s="274">
        <f t="shared" ca="1" si="145"/>
        <v>183892</v>
      </c>
      <c r="AM394" s="311">
        <f t="shared" ca="1" si="146"/>
        <v>185160</v>
      </c>
      <c r="AN394" s="274">
        <f ca="1">IF(AND(Tabla7[[#This Row],[UltLec]]&lt;&gt;0,Tabla7[[#This Row],[PenLect]]&lt;&gt;0),(AM394-AL394)*Tabla7[[#This Row],[RT]],"N/A")</f>
        <v>1268</v>
      </c>
      <c r="AO394" s="273" t="s">
        <v>862</v>
      </c>
      <c r="AP394" s="392" t="s">
        <v>1190</v>
      </c>
      <c r="AQ394" s="392" t="s">
        <v>1189</v>
      </c>
      <c r="AR394" s="407">
        <f t="shared" si="147"/>
        <v>0</v>
      </c>
      <c r="AT394" s="2">
        <f t="shared" ca="1" si="148"/>
        <v>0.88178025034770513</v>
      </c>
      <c r="AV394">
        <f>IF(ISBLANK(Tabla7[[#This Row],[31/12/2017]]),0,Tabla7[[#This Row],[31/12/2017]])</f>
        <v>178063</v>
      </c>
      <c r="AW394">
        <f>IF(ISBLANK(Tabla7[[#This Row],[15/01/2018]]),0,Tabla7[[#This Row],[15/01/2018]])</f>
        <v>179137</v>
      </c>
      <c r="AX394">
        <f>IF(ISBLANK(Tabla7[[#This Row],[15/02/2018]]),0,Tabla7[[#This Row],[15/02/2018]])</f>
        <v>180991</v>
      </c>
      <c r="AY394">
        <f>IF(ISBLANK(Tabla7[[#This Row],[15/03/2018]]),0,Tabla7[[#This Row],[15/03/2018]])</f>
        <v>182454</v>
      </c>
      <c r="AZ394">
        <f>IF(ISBLANK(Tabla7[[#This Row],[15/04/2018]]),0,Tabla7[[#This Row],[15/04/2018]])</f>
        <v>183892</v>
      </c>
      <c r="BA394">
        <f>IF(ISBLANK(Tabla7[[#This Row],[15/05/2018]]),0,Tabla7[[#This Row],[15/05/2018]])</f>
        <v>185160</v>
      </c>
      <c r="BB394">
        <f>IF(ISBLANK(Tabla7[[#This Row],[15/06/2018]]),0,Tabla7[[#This Row],[15/06/2018]])</f>
        <v>185967</v>
      </c>
      <c r="BC394">
        <f>IF(ISBLANK(Tabla7[[#This Row],[15/07/2018]]),0,Tabla7[[#This Row],[15/07/2018]])</f>
        <v>186004</v>
      </c>
      <c r="BD394">
        <f>IF(ISBLANK(Tabla7[[#This Row],[15/08/2018]]),0,Tabla7[[#This Row],[15/08/2018]])</f>
        <v>186565</v>
      </c>
      <c r="BE394">
        <f>IF(ISBLANK(Tabla7[[#This Row],[15/09/2018]]),0,Tabla7[[#This Row],[15/09/2018]])</f>
        <v>187285</v>
      </c>
      <c r="BF394">
        <f>IF(ISBLANK(Tabla7[[#This Row],[15/10/2018]]),0,Tabla7[[#This Row],[15/10/2018]])</f>
        <v>187370</v>
      </c>
      <c r="BG394">
        <f>IF(ISBLANK(Tabla7[[#This Row],[15/11/2018]]),0,Tabla7[[#This Row],[15/11/2018]])</f>
        <v>188176</v>
      </c>
      <c r="BH394">
        <f>IF(ISBLANK(Tabla7[[#This Row],[15/12/2018]]),0,Tabla7[[#This Row],[15/12/2018]])</f>
        <v>189523</v>
      </c>
      <c r="BI394">
        <f>IF(ISBLANK(Tabla7[[#This Row],[28/12/2018]]),0,Tabla7[[#This Row],[28/12/2018]])</f>
        <v>0</v>
      </c>
      <c r="BN39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('71300126675','V','VCT42','39024','FORD ESPAÑA, S.L.','EN CT (3)','TORRE 4203','');</v>
      </c>
      <c r="BO394" t="s">
        <v>243</v>
      </c>
      <c r="BP394" s="632" t="str">
        <f>CONCATENATE("insert into lecturas values ","('",Tabla7[[#This Row],[CONTADOR]],"',STR_TO_DATE('",Tabla7[[#Headers],[31/12/2017]],"','%d/%m/%Y'),",AV394,"),","('",Tabla7[[#This Row],[CONTADOR]],"',STR_TO_DATE('",Tabla7[[#Headers],[15/01/2018]],"','%d/%m/%Y'),",AW394,"),","('",Tabla7[[#This Row],[CONTADOR]],"',STR_TO_DATE('",Tabla7[[#Headers],[15/02/2018]],"','%d/%m/%Y'),",AX394,"),","('",Tabla7[[#This Row],[CONTADOR]],"',STR_TO_DATE('",Tabla7[[#Headers],[15/03/2018]],"','%d/%m/%Y'),",AY394,"),","('",Tabla7[[#This Row],[CONTADOR]],"',STR_TO_DATE('",Tabla7[[#Headers],[15/04/2018]],"','%d/%m/%Y'),",AZ394,"),","('",Tabla7[[#This Row],[CONTADOR]],"',STR_TO_DATE('",Tabla7[[#Headers],[15/05/2018]],"','%d/%m/%Y'),",BA394,"),","('",Tabla7[[#This Row],[CONTADOR]],"',STR_TO_DATE('",Tabla7[[#Headers],[15/06/2018]],"','%d/%m/%Y'),",BB394,"),","('",Tabla7[[#This Row],[CONTADOR]],"',STR_TO_DATE('",Tabla7[[#Headers],[15/07/2018]],"','%d/%m/%Y'),",BC394,"),","('",Tabla7[[#This Row],[CONTADOR]],"',STR_TO_DATE('",Tabla7[[#Headers],[15/08/2018]],"','%d/%m/%Y'),",BD394,"),","('",Tabla7[[#This Row],[CONTADOR]],"',STR_TO_DATE('",Tabla7[[#Headers],[15/09/2018]],"','%d/%m/%Y'),",BE394,"),","('",Tabla7[[#This Row],[CONTADOR]],"',STR_TO_DATE('",Tabla7[[#Headers],[15/10/2018]],"','%d/%m/%Y'),",BF394,"),","('",Tabla7[[#This Row],[CONTADOR]],"',STR_TO_DATE('",Tabla7[[#Headers],[15/11/2018]],"','%d/%m/%Y'),",BG394,"),","('",Tabla7[[#This Row],[CONTADOR]],"',STR_TO_DATE('",Tabla7[[#Headers],[15/12/2018]],"','%d/%m/%Y'),",BH394,");")</f>
        <v>insert into lecturas values ('71300126675',STR_TO_DATE('31/12/2017','%d/%m/%Y'),178063),('71300126675',STR_TO_DATE('15/01/2018','%d/%m/%Y'),179137),('71300126675',STR_TO_DATE('15/02/2018','%d/%m/%Y'),180991),('71300126675',STR_TO_DATE('15/03/2018','%d/%m/%Y'),182454),('71300126675',STR_TO_DATE('15/04/2018','%d/%m/%Y'),183892),('71300126675',STR_TO_DATE('15/05/2018','%d/%m/%Y'),185160),('71300126675',STR_TO_DATE('15/06/2018','%d/%m/%Y'),185967),('71300126675',STR_TO_DATE('15/07/2018','%d/%m/%Y'),186004),('71300126675',STR_TO_DATE('15/08/2018','%d/%m/%Y'),186565),('71300126675',STR_TO_DATE('15/09/2018','%d/%m/%Y'),187285),('71300126675',STR_TO_DATE('15/10/2018','%d/%m/%Y'),187370),('71300126675',STR_TO_DATE('15/11/2018','%d/%m/%Y'),188176),('71300126675',STR_TO_DATE('15/12/2018','%d/%m/%Y'),189523);</v>
      </c>
    </row>
    <row r="395" spans="1:68" ht="18" customHeight="1" x14ac:dyDescent="0.25">
      <c r="A395" s="241" t="s">
        <v>19</v>
      </c>
      <c r="B395" s="60" t="s">
        <v>245</v>
      </c>
      <c r="C395" s="342">
        <v>71300126679</v>
      </c>
      <c r="D395" s="60" t="s">
        <v>244</v>
      </c>
      <c r="E395" s="258">
        <v>39019</v>
      </c>
      <c r="F395" s="274" t="s">
        <v>246</v>
      </c>
      <c r="G395" s="274" t="s">
        <v>771</v>
      </c>
      <c r="H395" s="2" t="s">
        <v>248</v>
      </c>
      <c r="I395" s="2"/>
      <c r="J395" s="274">
        <v>239052</v>
      </c>
      <c r="K395" s="2">
        <v>241319</v>
      </c>
      <c r="L395" s="311">
        <v>243472</v>
      </c>
      <c r="M395" s="311">
        <v>246448</v>
      </c>
      <c r="N395" s="311">
        <v>249488</v>
      </c>
      <c r="O395" s="311">
        <v>252149</v>
      </c>
      <c r="P395" s="311">
        <v>254346</v>
      </c>
      <c r="Q395" s="2">
        <v>256114</v>
      </c>
      <c r="R395" s="274">
        <v>258458</v>
      </c>
      <c r="S395" s="311">
        <v>261467</v>
      </c>
      <c r="T395" s="311">
        <v>264158</v>
      </c>
      <c r="U395" s="492">
        <v>267410</v>
      </c>
      <c r="V395" s="492">
        <v>270889</v>
      </c>
      <c r="W395" s="274"/>
      <c r="X395" s="2"/>
      <c r="Y395" s="2">
        <f t="shared" si="135"/>
        <v>2267</v>
      </c>
      <c r="Z395" s="2">
        <f t="shared" si="136"/>
        <v>2153</v>
      </c>
      <c r="AA395" s="2">
        <f t="shared" ref="AA395:AA426" si="150">IF(OR(ISBLANK(M395),ISBLANK(L395)),"",IF(AND(M395&gt;=L395,M395-L395&lt;=M395),(M395-L395)*$AK395,"!!!!"))</f>
        <v>2976</v>
      </c>
      <c r="AB395" s="2">
        <f t="shared" si="149"/>
        <v>3040</v>
      </c>
      <c r="AC395" s="2">
        <f t="shared" si="137"/>
        <v>2661</v>
      </c>
      <c r="AD395" s="2">
        <f t="shared" si="138"/>
        <v>2197</v>
      </c>
      <c r="AE395" s="2">
        <f t="shared" si="139"/>
        <v>1768</v>
      </c>
      <c r="AF395" s="2">
        <f t="shared" si="140"/>
        <v>2344</v>
      </c>
      <c r="AG395" s="2">
        <f t="shared" si="141"/>
        <v>3009</v>
      </c>
      <c r="AH395" s="2">
        <f t="shared" si="142"/>
        <v>2691</v>
      </c>
      <c r="AI395" s="2">
        <f t="shared" si="143"/>
        <v>3252</v>
      </c>
      <c r="AJ395" s="2">
        <f t="shared" si="144"/>
        <v>3479</v>
      </c>
      <c r="AK395" s="406">
        <v>1</v>
      </c>
      <c r="AL395" s="274">
        <f t="shared" ca="1" si="145"/>
        <v>249488</v>
      </c>
      <c r="AM395" s="311">
        <f t="shared" ca="1" si="146"/>
        <v>252149</v>
      </c>
      <c r="AN395" s="274">
        <f ca="1">IF(AND(Tabla7[[#This Row],[UltLec]]&lt;&gt;0,Tabla7[[#This Row],[PenLect]]&lt;&gt;0),(AM395-AL395)*Tabla7[[#This Row],[RT]],"N/A")</f>
        <v>2661</v>
      </c>
      <c r="AO395" s="273" t="s">
        <v>862</v>
      </c>
      <c r="AP395" s="392" t="s">
        <v>1190</v>
      </c>
      <c r="AQ395" s="392" t="s">
        <v>1189</v>
      </c>
      <c r="AR395" s="407">
        <f t="shared" si="147"/>
        <v>0</v>
      </c>
      <c r="AT395" s="2">
        <f t="shared" ca="1" si="148"/>
        <v>0.87532894736842104</v>
      </c>
      <c r="AV395">
        <f>IF(ISBLANK(Tabla7[[#This Row],[31/12/2017]]),0,Tabla7[[#This Row],[31/12/2017]])</f>
        <v>239052</v>
      </c>
      <c r="AW395">
        <f>IF(ISBLANK(Tabla7[[#This Row],[15/01/2018]]),0,Tabla7[[#This Row],[15/01/2018]])</f>
        <v>241319</v>
      </c>
      <c r="AX395">
        <f>IF(ISBLANK(Tabla7[[#This Row],[15/02/2018]]),0,Tabla7[[#This Row],[15/02/2018]])</f>
        <v>243472</v>
      </c>
      <c r="AY395">
        <f>IF(ISBLANK(Tabla7[[#This Row],[15/03/2018]]),0,Tabla7[[#This Row],[15/03/2018]])</f>
        <v>246448</v>
      </c>
      <c r="AZ395">
        <f>IF(ISBLANK(Tabla7[[#This Row],[15/04/2018]]),0,Tabla7[[#This Row],[15/04/2018]])</f>
        <v>249488</v>
      </c>
      <c r="BA395">
        <f>IF(ISBLANK(Tabla7[[#This Row],[15/05/2018]]),0,Tabla7[[#This Row],[15/05/2018]])</f>
        <v>252149</v>
      </c>
      <c r="BB395">
        <f>IF(ISBLANK(Tabla7[[#This Row],[15/06/2018]]),0,Tabla7[[#This Row],[15/06/2018]])</f>
        <v>254346</v>
      </c>
      <c r="BC395">
        <f>IF(ISBLANK(Tabla7[[#This Row],[15/07/2018]]),0,Tabla7[[#This Row],[15/07/2018]])</f>
        <v>256114</v>
      </c>
      <c r="BD395">
        <f>IF(ISBLANK(Tabla7[[#This Row],[15/08/2018]]),0,Tabla7[[#This Row],[15/08/2018]])</f>
        <v>258458</v>
      </c>
      <c r="BE395">
        <f>IF(ISBLANK(Tabla7[[#This Row],[15/09/2018]]),0,Tabla7[[#This Row],[15/09/2018]])</f>
        <v>261467</v>
      </c>
      <c r="BF395">
        <f>IF(ISBLANK(Tabla7[[#This Row],[15/10/2018]]),0,Tabla7[[#This Row],[15/10/2018]])</f>
        <v>264158</v>
      </c>
      <c r="BG395">
        <f>IF(ISBLANK(Tabla7[[#This Row],[15/11/2018]]),0,Tabla7[[#This Row],[15/11/2018]])</f>
        <v>267410</v>
      </c>
      <c r="BH395">
        <f>IF(ISBLANK(Tabla7[[#This Row],[15/12/2018]]),0,Tabla7[[#This Row],[15/12/2018]])</f>
        <v>270889</v>
      </c>
      <c r="BI395">
        <f>IF(ISBLANK(Tabla7[[#This Row],[28/12/2018]]),0,Tabla7[[#This Row],[28/12/2018]])</f>
        <v>0</v>
      </c>
      <c r="BN39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('71300126679','V','VCT42','39019','FORD ESPAÑA, S.L.','EN CT (2)','TORRE 4202','');</v>
      </c>
      <c r="BO395" t="s">
        <v>243</v>
      </c>
      <c r="BP395" s="632" t="str">
        <f>CONCATENATE("insert into lecturas values ","('",Tabla7[[#This Row],[CONTADOR]],"',STR_TO_DATE('",Tabla7[[#Headers],[31/12/2017]],"','%d/%m/%Y'),",AV395,"),","('",Tabla7[[#This Row],[CONTADOR]],"',STR_TO_DATE('",Tabla7[[#Headers],[15/01/2018]],"','%d/%m/%Y'),",AW395,"),","('",Tabla7[[#This Row],[CONTADOR]],"',STR_TO_DATE('",Tabla7[[#Headers],[15/02/2018]],"','%d/%m/%Y'),",AX395,"),","('",Tabla7[[#This Row],[CONTADOR]],"',STR_TO_DATE('",Tabla7[[#Headers],[15/03/2018]],"','%d/%m/%Y'),",AY395,"),","('",Tabla7[[#This Row],[CONTADOR]],"',STR_TO_DATE('",Tabla7[[#Headers],[15/04/2018]],"','%d/%m/%Y'),",AZ395,"),","('",Tabla7[[#This Row],[CONTADOR]],"',STR_TO_DATE('",Tabla7[[#Headers],[15/05/2018]],"','%d/%m/%Y'),",BA395,"),","('",Tabla7[[#This Row],[CONTADOR]],"',STR_TO_DATE('",Tabla7[[#Headers],[15/06/2018]],"','%d/%m/%Y'),",BB395,"),","('",Tabla7[[#This Row],[CONTADOR]],"',STR_TO_DATE('",Tabla7[[#Headers],[15/07/2018]],"','%d/%m/%Y'),",BC395,"),","('",Tabla7[[#This Row],[CONTADOR]],"',STR_TO_DATE('",Tabla7[[#Headers],[15/08/2018]],"','%d/%m/%Y'),",BD395,"),","('",Tabla7[[#This Row],[CONTADOR]],"',STR_TO_DATE('",Tabla7[[#Headers],[15/09/2018]],"','%d/%m/%Y'),",BE395,"),","('",Tabla7[[#This Row],[CONTADOR]],"',STR_TO_DATE('",Tabla7[[#Headers],[15/10/2018]],"','%d/%m/%Y'),",BF395,"),","('",Tabla7[[#This Row],[CONTADOR]],"',STR_TO_DATE('",Tabla7[[#Headers],[15/11/2018]],"','%d/%m/%Y'),",BG395,"),","('",Tabla7[[#This Row],[CONTADOR]],"',STR_TO_DATE('",Tabla7[[#Headers],[15/12/2018]],"','%d/%m/%Y'),",BH395,");")</f>
        <v>insert into lecturas values ('71300126679',STR_TO_DATE('31/12/2017','%d/%m/%Y'),239052),('71300126679',STR_TO_DATE('15/01/2018','%d/%m/%Y'),241319),('71300126679',STR_TO_DATE('15/02/2018','%d/%m/%Y'),243472),('71300126679',STR_TO_DATE('15/03/2018','%d/%m/%Y'),246448),('71300126679',STR_TO_DATE('15/04/2018','%d/%m/%Y'),249488),('71300126679',STR_TO_DATE('15/05/2018','%d/%m/%Y'),252149),('71300126679',STR_TO_DATE('15/06/2018','%d/%m/%Y'),254346),('71300126679',STR_TO_DATE('15/07/2018','%d/%m/%Y'),256114),('71300126679',STR_TO_DATE('15/08/2018','%d/%m/%Y'),258458),('71300126679',STR_TO_DATE('15/09/2018','%d/%m/%Y'),261467),('71300126679',STR_TO_DATE('15/10/2018','%d/%m/%Y'),264158),('71300126679',STR_TO_DATE('15/11/2018','%d/%m/%Y'),267410),('71300126679',STR_TO_DATE('15/12/2018','%d/%m/%Y'),270889);</v>
      </c>
    </row>
    <row r="396" spans="1:68" ht="18" customHeight="1" x14ac:dyDescent="0.25">
      <c r="A396" s="241" t="s">
        <v>19</v>
      </c>
      <c r="B396" s="60" t="s">
        <v>245</v>
      </c>
      <c r="C396" s="342">
        <v>71300126840</v>
      </c>
      <c r="D396" s="60" t="s">
        <v>244</v>
      </c>
      <c r="E396" s="258">
        <v>39140</v>
      </c>
      <c r="F396" s="274" t="s">
        <v>250</v>
      </c>
      <c r="G396" s="274" t="s">
        <v>772</v>
      </c>
      <c r="H396" s="274" t="s">
        <v>253</v>
      </c>
      <c r="I396" s="2"/>
      <c r="J396" s="2">
        <v>321707</v>
      </c>
      <c r="K396" s="2">
        <v>321755</v>
      </c>
      <c r="L396" s="311">
        <v>322144</v>
      </c>
      <c r="M396" s="311">
        <v>322696</v>
      </c>
      <c r="N396" s="311">
        <v>324176</v>
      </c>
      <c r="O396" s="311">
        <v>324724</v>
      </c>
      <c r="P396" s="311">
        <v>324770</v>
      </c>
      <c r="Q396" s="2">
        <v>324888</v>
      </c>
      <c r="R396" s="274">
        <v>326160</v>
      </c>
      <c r="S396" s="311">
        <v>327781</v>
      </c>
      <c r="T396" s="311">
        <v>329316</v>
      </c>
      <c r="U396" s="311">
        <v>331218</v>
      </c>
      <c r="V396" s="492">
        <v>333031</v>
      </c>
      <c r="W396" s="2"/>
      <c r="X396" s="2"/>
      <c r="Y396" s="2">
        <f t="shared" si="135"/>
        <v>48</v>
      </c>
      <c r="Z396" s="2">
        <f t="shared" si="136"/>
        <v>389</v>
      </c>
      <c r="AA396" s="2">
        <f t="shared" si="150"/>
        <v>552</v>
      </c>
      <c r="AB396" s="2">
        <f t="shared" si="149"/>
        <v>1480</v>
      </c>
      <c r="AC396" s="2">
        <f t="shared" si="137"/>
        <v>548</v>
      </c>
      <c r="AD396" s="2">
        <f t="shared" si="138"/>
        <v>46</v>
      </c>
      <c r="AE396" s="2">
        <f t="shared" si="139"/>
        <v>118</v>
      </c>
      <c r="AF396" s="2">
        <f t="shared" si="140"/>
        <v>1272</v>
      </c>
      <c r="AG396" s="2">
        <f t="shared" si="141"/>
        <v>1621</v>
      </c>
      <c r="AH396" s="2">
        <f t="shared" si="142"/>
        <v>1535</v>
      </c>
      <c r="AI396" s="2">
        <f t="shared" si="143"/>
        <v>1902</v>
      </c>
      <c r="AJ396" s="2">
        <f t="shared" si="144"/>
        <v>1813</v>
      </c>
      <c r="AK396" s="406">
        <v>1</v>
      </c>
      <c r="AL396" s="274">
        <f t="shared" ca="1" si="145"/>
        <v>324176</v>
      </c>
      <c r="AM396" s="311">
        <f t="shared" ca="1" si="146"/>
        <v>324724</v>
      </c>
      <c r="AN396" s="274">
        <f ca="1">IF(AND(Tabla7[[#This Row],[UltLec]]&lt;&gt;0,Tabla7[[#This Row],[PenLect]]&lt;&gt;0),(AM396-AL396)*Tabla7[[#This Row],[RT]],"N/A")</f>
        <v>548</v>
      </c>
      <c r="AO396" s="273" t="s">
        <v>862</v>
      </c>
      <c r="AP396" s="392" t="s">
        <v>1190</v>
      </c>
      <c r="AQ396" s="392" t="s">
        <v>1189</v>
      </c>
      <c r="AR396" s="407">
        <f t="shared" si="147"/>
        <v>0</v>
      </c>
      <c r="AT396" s="2">
        <f t="shared" ca="1" si="148"/>
        <v>0.37027027027027026</v>
      </c>
      <c r="AV396">
        <f>IF(ISBLANK(Tabla7[[#This Row],[31/12/2017]]),0,Tabla7[[#This Row],[31/12/2017]])</f>
        <v>321707</v>
      </c>
      <c r="AW396">
        <f>IF(ISBLANK(Tabla7[[#This Row],[15/01/2018]]),0,Tabla7[[#This Row],[15/01/2018]])</f>
        <v>321755</v>
      </c>
      <c r="AX396">
        <f>IF(ISBLANK(Tabla7[[#This Row],[15/02/2018]]),0,Tabla7[[#This Row],[15/02/2018]])</f>
        <v>322144</v>
      </c>
      <c r="AY396">
        <f>IF(ISBLANK(Tabla7[[#This Row],[15/03/2018]]),0,Tabla7[[#This Row],[15/03/2018]])</f>
        <v>322696</v>
      </c>
      <c r="AZ396">
        <f>IF(ISBLANK(Tabla7[[#This Row],[15/04/2018]]),0,Tabla7[[#This Row],[15/04/2018]])</f>
        <v>324176</v>
      </c>
      <c r="BA396">
        <f>IF(ISBLANK(Tabla7[[#This Row],[15/05/2018]]),0,Tabla7[[#This Row],[15/05/2018]])</f>
        <v>324724</v>
      </c>
      <c r="BB396">
        <f>IF(ISBLANK(Tabla7[[#This Row],[15/06/2018]]),0,Tabla7[[#This Row],[15/06/2018]])</f>
        <v>324770</v>
      </c>
      <c r="BC396">
        <f>IF(ISBLANK(Tabla7[[#This Row],[15/07/2018]]),0,Tabla7[[#This Row],[15/07/2018]])</f>
        <v>324888</v>
      </c>
      <c r="BD396">
        <f>IF(ISBLANK(Tabla7[[#This Row],[15/08/2018]]),0,Tabla7[[#This Row],[15/08/2018]])</f>
        <v>326160</v>
      </c>
      <c r="BE396">
        <f>IF(ISBLANK(Tabla7[[#This Row],[15/09/2018]]),0,Tabla7[[#This Row],[15/09/2018]])</f>
        <v>327781</v>
      </c>
      <c r="BF396">
        <f>IF(ISBLANK(Tabla7[[#This Row],[15/10/2018]]),0,Tabla7[[#This Row],[15/10/2018]])</f>
        <v>329316</v>
      </c>
      <c r="BG396">
        <f>IF(ISBLANK(Tabla7[[#This Row],[15/11/2018]]),0,Tabla7[[#This Row],[15/11/2018]])</f>
        <v>331218</v>
      </c>
      <c r="BH396">
        <f>IF(ISBLANK(Tabla7[[#This Row],[15/12/2018]]),0,Tabla7[[#This Row],[15/12/2018]])</f>
        <v>333031</v>
      </c>
      <c r="BI396">
        <f>IF(ISBLANK(Tabla7[[#This Row],[28/12/2018]]),0,Tabla7[[#This Row],[28/12/2018]])</f>
        <v>0</v>
      </c>
      <c r="BN39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('71300126840','V','VCT42','39140','VALENCIA TERMINAL EUROPA','EN CT (6)','TORRE 4213','');</v>
      </c>
      <c r="BO396" t="s">
        <v>243</v>
      </c>
      <c r="BP396" s="632" t="str">
        <f>CONCATENATE("insert into lecturas values ","('",Tabla7[[#This Row],[CONTADOR]],"',STR_TO_DATE('",Tabla7[[#Headers],[31/12/2017]],"','%d/%m/%Y'),",AV396,"),","('",Tabla7[[#This Row],[CONTADOR]],"',STR_TO_DATE('",Tabla7[[#Headers],[15/01/2018]],"','%d/%m/%Y'),",AW396,"),","('",Tabla7[[#This Row],[CONTADOR]],"',STR_TO_DATE('",Tabla7[[#Headers],[15/02/2018]],"','%d/%m/%Y'),",AX396,"),","('",Tabla7[[#This Row],[CONTADOR]],"',STR_TO_DATE('",Tabla7[[#Headers],[15/03/2018]],"','%d/%m/%Y'),",AY396,"),","('",Tabla7[[#This Row],[CONTADOR]],"',STR_TO_DATE('",Tabla7[[#Headers],[15/04/2018]],"','%d/%m/%Y'),",AZ396,"),","('",Tabla7[[#This Row],[CONTADOR]],"',STR_TO_DATE('",Tabla7[[#Headers],[15/05/2018]],"','%d/%m/%Y'),",BA396,"),","('",Tabla7[[#This Row],[CONTADOR]],"',STR_TO_DATE('",Tabla7[[#Headers],[15/06/2018]],"','%d/%m/%Y'),",BB396,"),","('",Tabla7[[#This Row],[CONTADOR]],"',STR_TO_DATE('",Tabla7[[#Headers],[15/07/2018]],"','%d/%m/%Y'),",BC396,"),","('",Tabla7[[#This Row],[CONTADOR]],"',STR_TO_DATE('",Tabla7[[#Headers],[15/08/2018]],"','%d/%m/%Y'),",BD396,"),","('",Tabla7[[#This Row],[CONTADOR]],"',STR_TO_DATE('",Tabla7[[#Headers],[15/09/2018]],"','%d/%m/%Y'),",BE396,"),","('",Tabla7[[#This Row],[CONTADOR]],"',STR_TO_DATE('",Tabla7[[#Headers],[15/10/2018]],"','%d/%m/%Y'),",BF396,"),","('",Tabla7[[#This Row],[CONTADOR]],"',STR_TO_DATE('",Tabla7[[#Headers],[15/11/2018]],"','%d/%m/%Y'),",BG396,"),","('",Tabla7[[#This Row],[CONTADOR]],"',STR_TO_DATE('",Tabla7[[#Headers],[15/12/2018]],"','%d/%m/%Y'),",BH396,");")</f>
        <v>insert into lecturas values ('71300126840',STR_TO_DATE('31/12/2017','%d/%m/%Y'),321707),('71300126840',STR_TO_DATE('15/01/2018','%d/%m/%Y'),321755),('71300126840',STR_TO_DATE('15/02/2018','%d/%m/%Y'),322144),('71300126840',STR_TO_DATE('15/03/2018','%d/%m/%Y'),322696),('71300126840',STR_TO_DATE('15/04/2018','%d/%m/%Y'),324176),('71300126840',STR_TO_DATE('15/05/2018','%d/%m/%Y'),324724),('71300126840',STR_TO_DATE('15/06/2018','%d/%m/%Y'),324770),('71300126840',STR_TO_DATE('15/07/2018','%d/%m/%Y'),324888),('71300126840',STR_TO_DATE('15/08/2018','%d/%m/%Y'),326160),('71300126840',STR_TO_DATE('15/09/2018','%d/%m/%Y'),327781),('71300126840',STR_TO_DATE('15/10/2018','%d/%m/%Y'),329316),('71300126840',STR_TO_DATE('15/11/2018','%d/%m/%Y'),331218),('71300126840',STR_TO_DATE('15/12/2018','%d/%m/%Y'),333031);</v>
      </c>
    </row>
    <row r="397" spans="1:68" ht="18" customHeight="1" x14ac:dyDescent="0.25">
      <c r="A397" s="241" t="s">
        <v>19</v>
      </c>
      <c r="B397" s="60" t="s">
        <v>245</v>
      </c>
      <c r="C397" s="342">
        <v>71300126846</v>
      </c>
      <c r="D397" s="60" t="s">
        <v>244</v>
      </c>
      <c r="E397" s="258">
        <v>39005</v>
      </c>
      <c r="F397" s="274" t="s">
        <v>246</v>
      </c>
      <c r="G397" s="274" t="s">
        <v>773</v>
      </c>
      <c r="H397" s="2" t="s">
        <v>247</v>
      </c>
      <c r="I397" s="2"/>
      <c r="J397" s="2">
        <v>194554</v>
      </c>
      <c r="K397" s="274">
        <v>195283</v>
      </c>
      <c r="L397" s="311">
        <v>196512</v>
      </c>
      <c r="M397" s="311">
        <v>197418</v>
      </c>
      <c r="N397" s="311">
        <v>198315</v>
      </c>
      <c r="O397" s="311">
        <v>199136</v>
      </c>
      <c r="P397" s="311">
        <v>199857</v>
      </c>
      <c r="Q397" s="2">
        <v>200585</v>
      </c>
      <c r="R397" s="274">
        <v>201287</v>
      </c>
      <c r="S397" s="311">
        <v>202194</v>
      </c>
      <c r="T397" s="311">
        <v>203048</v>
      </c>
      <c r="U397" s="492">
        <v>204126</v>
      </c>
      <c r="V397" s="492">
        <v>205268</v>
      </c>
      <c r="W397" s="2"/>
      <c r="X397" s="2"/>
      <c r="Y397" s="2">
        <f t="shared" si="135"/>
        <v>729</v>
      </c>
      <c r="Z397" s="2">
        <f t="shared" si="136"/>
        <v>1229</v>
      </c>
      <c r="AA397" s="2">
        <f t="shared" si="150"/>
        <v>906</v>
      </c>
      <c r="AB397" s="2">
        <f t="shared" si="149"/>
        <v>897</v>
      </c>
      <c r="AC397" s="2">
        <f t="shared" si="137"/>
        <v>821</v>
      </c>
      <c r="AD397" s="2">
        <f t="shared" si="138"/>
        <v>721</v>
      </c>
      <c r="AE397" s="2">
        <f t="shared" si="139"/>
        <v>728</v>
      </c>
      <c r="AF397" s="2">
        <f t="shared" si="140"/>
        <v>702</v>
      </c>
      <c r="AG397" s="2">
        <f t="shared" si="141"/>
        <v>907</v>
      </c>
      <c r="AH397" s="2">
        <f t="shared" si="142"/>
        <v>854</v>
      </c>
      <c r="AI397" s="2">
        <f t="shared" si="143"/>
        <v>1078</v>
      </c>
      <c r="AJ397" s="2">
        <f t="shared" si="144"/>
        <v>1142</v>
      </c>
      <c r="AK397" s="406">
        <v>1</v>
      </c>
      <c r="AL397" s="274">
        <f t="shared" ca="1" si="145"/>
        <v>198315</v>
      </c>
      <c r="AM397" s="311">
        <f t="shared" ca="1" si="146"/>
        <v>199136</v>
      </c>
      <c r="AN397" s="274">
        <f ca="1">IF(AND(Tabla7[[#This Row],[UltLec]]&lt;&gt;0,Tabla7[[#This Row],[PenLect]]&lt;&gt;0),(AM397-AL397)*Tabla7[[#This Row],[RT]],"N/A")</f>
        <v>821</v>
      </c>
      <c r="AO397" s="273" t="s">
        <v>862</v>
      </c>
      <c r="AP397" s="392" t="s">
        <v>1190</v>
      </c>
      <c r="AQ397" s="392" t="s">
        <v>1189</v>
      </c>
      <c r="AR397" s="407">
        <f t="shared" si="147"/>
        <v>0</v>
      </c>
      <c r="AT397" s="2">
        <f t="shared" ca="1" si="148"/>
        <v>0.91527313266443699</v>
      </c>
      <c r="AV397">
        <f>IF(ISBLANK(Tabla7[[#This Row],[31/12/2017]]),0,Tabla7[[#This Row],[31/12/2017]])</f>
        <v>194554</v>
      </c>
      <c r="AW397">
        <f>IF(ISBLANK(Tabla7[[#This Row],[15/01/2018]]),0,Tabla7[[#This Row],[15/01/2018]])</f>
        <v>195283</v>
      </c>
      <c r="AX397">
        <f>IF(ISBLANK(Tabla7[[#This Row],[15/02/2018]]),0,Tabla7[[#This Row],[15/02/2018]])</f>
        <v>196512</v>
      </c>
      <c r="AY397">
        <f>IF(ISBLANK(Tabla7[[#This Row],[15/03/2018]]),0,Tabla7[[#This Row],[15/03/2018]])</f>
        <v>197418</v>
      </c>
      <c r="AZ397">
        <f>IF(ISBLANK(Tabla7[[#This Row],[15/04/2018]]),0,Tabla7[[#This Row],[15/04/2018]])</f>
        <v>198315</v>
      </c>
      <c r="BA397">
        <f>IF(ISBLANK(Tabla7[[#This Row],[15/05/2018]]),0,Tabla7[[#This Row],[15/05/2018]])</f>
        <v>199136</v>
      </c>
      <c r="BB397">
        <f>IF(ISBLANK(Tabla7[[#This Row],[15/06/2018]]),0,Tabla7[[#This Row],[15/06/2018]])</f>
        <v>199857</v>
      </c>
      <c r="BC397">
        <f>IF(ISBLANK(Tabla7[[#This Row],[15/07/2018]]),0,Tabla7[[#This Row],[15/07/2018]])</f>
        <v>200585</v>
      </c>
      <c r="BD397">
        <f>IF(ISBLANK(Tabla7[[#This Row],[15/08/2018]]),0,Tabla7[[#This Row],[15/08/2018]])</f>
        <v>201287</v>
      </c>
      <c r="BE397">
        <f>IF(ISBLANK(Tabla7[[#This Row],[15/09/2018]]),0,Tabla7[[#This Row],[15/09/2018]])</f>
        <v>202194</v>
      </c>
      <c r="BF397">
        <f>IF(ISBLANK(Tabla7[[#This Row],[15/10/2018]]),0,Tabla7[[#This Row],[15/10/2018]])</f>
        <v>203048</v>
      </c>
      <c r="BG397">
        <f>IF(ISBLANK(Tabla7[[#This Row],[15/11/2018]]),0,Tabla7[[#This Row],[15/11/2018]])</f>
        <v>204126</v>
      </c>
      <c r="BH397">
        <f>IF(ISBLANK(Tabla7[[#This Row],[15/12/2018]]),0,Tabla7[[#This Row],[15/12/2018]])</f>
        <v>205268</v>
      </c>
      <c r="BI397">
        <f>IF(ISBLANK(Tabla7[[#This Row],[28/12/2018]]),0,Tabla7[[#This Row],[28/12/2018]])</f>
        <v>0</v>
      </c>
      <c r="BN39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('71300126846','V','VCT42','39005','FORD ESPAÑA, S.L.','EN CT (1)','TORRE 4201','');</v>
      </c>
      <c r="BO397" t="s">
        <v>243</v>
      </c>
      <c r="BP397" s="632" t="str">
        <f>CONCATENATE("insert into lecturas values ","('",Tabla7[[#This Row],[CONTADOR]],"',STR_TO_DATE('",Tabla7[[#Headers],[31/12/2017]],"','%d/%m/%Y'),",AV397,"),","('",Tabla7[[#This Row],[CONTADOR]],"',STR_TO_DATE('",Tabla7[[#Headers],[15/01/2018]],"','%d/%m/%Y'),",AW397,"),","('",Tabla7[[#This Row],[CONTADOR]],"',STR_TO_DATE('",Tabla7[[#Headers],[15/02/2018]],"','%d/%m/%Y'),",AX397,"),","('",Tabla7[[#This Row],[CONTADOR]],"',STR_TO_DATE('",Tabla7[[#Headers],[15/03/2018]],"','%d/%m/%Y'),",AY397,"),","('",Tabla7[[#This Row],[CONTADOR]],"',STR_TO_DATE('",Tabla7[[#Headers],[15/04/2018]],"','%d/%m/%Y'),",AZ397,"),","('",Tabla7[[#This Row],[CONTADOR]],"',STR_TO_DATE('",Tabla7[[#Headers],[15/05/2018]],"','%d/%m/%Y'),",BA397,"),","('",Tabla7[[#This Row],[CONTADOR]],"',STR_TO_DATE('",Tabla7[[#Headers],[15/06/2018]],"','%d/%m/%Y'),",BB397,"),","('",Tabla7[[#This Row],[CONTADOR]],"',STR_TO_DATE('",Tabla7[[#Headers],[15/07/2018]],"','%d/%m/%Y'),",BC397,"),","('",Tabla7[[#This Row],[CONTADOR]],"',STR_TO_DATE('",Tabla7[[#Headers],[15/08/2018]],"','%d/%m/%Y'),",BD397,"),","('",Tabla7[[#This Row],[CONTADOR]],"',STR_TO_DATE('",Tabla7[[#Headers],[15/09/2018]],"','%d/%m/%Y'),",BE397,"),","('",Tabla7[[#This Row],[CONTADOR]],"',STR_TO_DATE('",Tabla7[[#Headers],[15/10/2018]],"','%d/%m/%Y'),",BF397,"),","('",Tabla7[[#This Row],[CONTADOR]],"',STR_TO_DATE('",Tabla7[[#Headers],[15/11/2018]],"','%d/%m/%Y'),",BG397,"),","('",Tabla7[[#This Row],[CONTADOR]],"',STR_TO_DATE('",Tabla7[[#Headers],[15/12/2018]],"','%d/%m/%Y'),",BH397,");")</f>
        <v>insert into lecturas values ('71300126846',STR_TO_DATE('31/12/2017','%d/%m/%Y'),194554),('71300126846',STR_TO_DATE('15/01/2018','%d/%m/%Y'),195283),('71300126846',STR_TO_DATE('15/02/2018','%d/%m/%Y'),196512),('71300126846',STR_TO_DATE('15/03/2018','%d/%m/%Y'),197418),('71300126846',STR_TO_DATE('15/04/2018','%d/%m/%Y'),198315),('71300126846',STR_TO_DATE('15/05/2018','%d/%m/%Y'),199136),('71300126846',STR_TO_DATE('15/06/2018','%d/%m/%Y'),199857),('71300126846',STR_TO_DATE('15/07/2018','%d/%m/%Y'),200585),('71300126846',STR_TO_DATE('15/08/2018','%d/%m/%Y'),201287),('71300126846',STR_TO_DATE('15/09/2018','%d/%m/%Y'),202194),('71300126846',STR_TO_DATE('15/10/2018','%d/%m/%Y'),203048),('71300126846',STR_TO_DATE('15/11/2018','%d/%m/%Y'),204126),('71300126846',STR_TO_DATE('15/12/2018','%d/%m/%Y'),205268);</v>
      </c>
    </row>
    <row r="398" spans="1:68" ht="18" customHeight="1" x14ac:dyDescent="0.25">
      <c r="A398" s="241" t="s">
        <v>19</v>
      </c>
      <c r="B398" s="60"/>
      <c r="C398" s="342">
        <v>116104</v>
      </c>
      <c r="D398" s="60" t="s">
        <v>257</v>
      </c>
      <c r="E398" s="258">
        <v>39303</v>
      </c>
      <c r="F398" s="2" t="s">
        <v>250</v>
      </c>
      <c r="G398" s="2" t="s">
        <v>767</v>
      </c>
      <c r="H398" s="2" t="s">
        <v>271</v>
      </c>
      <c r="I398" s="274"/>
      <c r="J398" s="2">
        <v>319807</v>
      </c>
      <c r="K398" s="2">
        <v>321306</v>
      </c>
      <c r="L398" s="2">
        <v>323674</v>
      </c>
      <c r="M398" s="311">
        <v>325453</v>
      </c>
      <c r="N398" s="311">
        <v>327018</v>
      </c>
      <c r="O398" s="311">
        <v>329534</v>
      </c>
      <c r="P398" s="311">
        <v>329866</v>
      </c>
      <c r="Q398" s="275">
        <v>331178</v>
      </c>
      <c r="R398" s="2">
        <v>332586</v>
      </c>
      <c r="S398" s="311">
        <v>334123</v>
      </c>
      <c r="T398" s="311">
        <v>335662</v>
      </c>
      <c r="U398" s="492">
        <v>337560</v>
      </c>
      <c r="V398" s="492">
        <v>339140</v>
      </c>
      <c r="W398" s="2"/>
      <c r="X398" s="2"/>
      <c r="Y398" s="2">
        <f t="shared" si="135"/>
        <v>1499</v>
      </c>
      <c r="Z398" s="2">
        <f t="shared" si="136"/>
        <v>2368</v>
      </c>
      <c r="AA398" s="2">
        <f t="shared" si="150"/>
        <v>1779</v>
      </c>
      <c r="AB398" s="2">
        <f t="shared" si="149"/>
        <v>1565</v>
      </c>
      <c r="AC398" s="2">
        <f t="shared" si="137"/>
        <v>2516</v>
      </c>
      <c r="AD398" s="2">
        <f t="shared" si="138"/>
        <v>332</v>
      </c>
      <c r="AE398" s="2">
        <f t="shared" si="139"/>
        <v>1312</v>
      </c>
      <c r="AF398" s="2">
        <f t="shared" si="140"/>
        <v>1408</v>
      </c>
      <c r="AG398" s="2">
        <f t="shared" si="141"/>
        <v>1537</v>
      </c>
      <c r="AH398" s="2">
        <f t="shared" si="142"/>
        <v>1539</v>
      </c>
      <c r="AI398" s="2">
        <f t="shared" si="143"/>
        <v>1898</v>
      </c>
      <c r="AJ398" s="2">
        <f t="shared" si="144"/>
        <v>1580</v>
      </c>
      <c r="AK398" s="406">
        <v>1</v>
      </c>
      <c r="AL398" s="274">
        <f t="shared" ca="1" si="145"/>
        <v>327018</v>
      </c>
      <c r="AM398" s="311">
        <f t="shared" ca="1" si="146"/>
        <v>329534</v>
      </c>
      <c r="AN398" s="274">
        <f ca="1">IF(AND(Tabla7[[#This Row],[UltLec]]&lt;&gt;0,Tabla7[[#This Row],[PenLect]]&lt;&gt;0),(AM398-AL398)*Tabla7[[#This Row],[RT]],"N/A")</f>
        <v>2516</v>
      </c>
      <c r="AO398" s="273" t="s">
        <v>862</v>
      </c>
      <c r="AP398" s="392" t="s">
        <v>1190</v>
      </c>
      <c r="AQ398" s="392" t="s">
        <v>1189</v>
      </c>
      <c r="AR398" s="407">
        <f t="shared" si="147"/>
        <v>0</v>
      </c>
      <c r="AT398" s="2">
        <f t="shared" ca="1" si="148"/>
        <v>1.607667731629393</v>
      </c>
      <c r="AV398">
        <f>IF(ISBLANK(Tabla7[[#This Row],[31/12/2017]]),0,Tabla7[[#This Row],[31/12/2017]])</f>
        <v>319807</v>
      </c>
      <c r="AW398">
        <f>IF(ISBLANK(Tabla7[[#This Row],[15/01/2018]]),0,Tabla7[[#This Row],[15/01/2018]])</f>
        <v>321306</v>
      </c>
      <c r="AX398">
        <f>IF(ISBLANK(Tabla7[[#This Row],[15/02/2018]]),0,Tabla7[[#This Row],[15/02/2018]])</f>
        <v>323674</v>
      </c>
      <c r="AY398">
        <f>IF(ISBLANK(Tabla7[[#This Row],[15/03/2018]]),0,Tabla7[[#This Row],[15/03/2018]])</f>
        <v>325453</v>
      </c>
      <c r="AZ398">
        <f>IF(ISBLANK(Tabla7[[#This Row],[15/04/2018]]),0,Tabla7[[#This Row],[15/04/2018]])</f>
        <v>327018</v>
      </c>
      <c r="BA398">
        <f>IF(ISBLANK(Tabla7[[#This Row],[15/05/2018]]),0,Tabla7[[#This Row],[15/05/2018]])</f>
        <v>329534</v>
      </c>
      <c r="BB398">
        <f>IF(ISBLANK(Tabla7[[#This Row],[15/06/2018]]),0,Tabla7[[#This Row],[15/06/2018]])</f>
        <v>329866</v>
      </c>
      <c r="BC398">
        <f>IF(ISBLANK(Tabla7[[#This Row],[15/07/2018]]),0,Tabla7[[#This Row],[15/07/2018]])</f>
        <v>331178</v>
      </c>
      <c r="BD398">
        <f>IF(ISBLANK(Tabla7[[#This Row],[15/08/2018]]),0,Tabla7[[#This Row],[15/08/2018]])</f>
        <v>332586</v>
      </c>
      <c r="BE398">
        <f>IF(ISBLANK(Tabla7[[#This Row],[15/09/2018]]),0,Tabla7[[#This Row],[15/09/2018]])</f>
        <v>334123</v>
      </c>
      <c r="BF398">
        <f>IF(ISBLANK(Tabla7[[#This Row],[15/10/2018]]),0,Tabla7[[#This Row],[15/10/2018]])</f>
        <v>335662</v>
      </c>
      <c r="BG398">
        <f>IF(ISBLANK(Tabla7[[#This Row],[15/11/2018]]),0,Tabla7[[#This Row],[15/11/2018]])</f>
        <v>337560</v>
      </c>
      <c r="BH398">
        <f>IF(ISBLANK(Tabla7[[#This Row],[15/12/2018]]),0,Tabla7[[#This Row],[15/12/2018]])</f>
        <v>339140</v>
      </c>
      <c r="BI398">
        <f>IF(ISBLANK(Tabla7[[#This Row],[28/12/2018]]),0,Tabla7[[#This Row],[28/12/2018]])</f>
        <v>0</v>
      </c>
      <c r="BN39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('116104','V','VCT43','39303','VALENCIA TERMINAL EUROPA','EN CT (9)','TORRE 4312','');</v>
      </c>
      <c r="BO398" t="s">
        <v>243</v>
      </c>
      <c r="BP398" s="632" t="str">
        <f>CONCATENATE("insert into lecturas values ","('",Tabla7[[#This Row],[CONTADOR]],"',STR_TO_DATE('",Tabla7[[#Headers],[31/12/2017]],"','%d/%m/%Y'),",AV398,"),","('",Tabla7[[#This Row],[CONTADOR]],"',STR_TO_DATE('",Tabla7[[#Headers],[15/01/2018]],"','%d/%m/%Y'),",AW398,"),","('",Tabla7[[#This Row],[CONTADOR]],"',STR_TO_DATE('",Tabla7[[#Headers],[15/02/2018]],"','%d/%m/%Y'),",AX398,"),","('",Tabla7[[#This Row],[CONTADOR]],"',STR_TO_DATE('",Tabla7[[#Headers],[15/03/2018]],"','%d/%m/%Y'),",AY398,"),","('",Tabla7[[#This Row],[CONTADOR]],"',STR_TO_DATE('",Tabla7[[#Headers],[15/04/2018]],"','%d/%m/%Y'),",AZ398,"),","('",Tabla7[[#This Row],[CONTADOR]],"',STR_TO_DATE('",Tabla7[[#Headers],[15/05/2018]],"','%d/%m/%Y'),",BA398,"),","('",Tabla7[[#This Row],[CONTADOR]],"',STR_TO_DATE('",Tabla7[[#Headers],[15/06/2018]],"','%d/%m/%Y'),",BB398,"),","('",Tabla7[[#This Row],[CONTADOR]],"',STR_TO_DATE('",Tabla7[[#Headers],[15/07/2018]],"','%d/%m/%Y'),",BC398,"),","('",Tabla7[[#This Row],[CONTADOR]],"',STR_TO_DATE('",Tabla7[[#Headers],[15/08/2018]],"','%d/%m/%Y'),",BD398,"),","('",Tabla7[[#This Row],[CONTADOR]],"',STR_TO_DATE('",Tabla7[[#Headers],[15/09/2018]],"','%d/%m/%Y'),",BE398,"),","('",Tabla7[[#This Row],[CONTADOR]],"',STR_TO_DATE('",Tabla7[[#Headers],[15/10/2018]],"','%d/%m/%Y'),",BF398,"),","('",Tabla7[[#This Row],[CONTADOR]],"',STR_TO_DATE('",Tabla7[[#Headers],[15/11/2018]],"','%d/%m/%Y'),",BG398,"),","('",Tabla7[[#This Row],[CONTADOR]],"',STR_TO_DATE('",Tabla7[[#Headers],[15/12/2018]],"','%d/%m/%Y'),",BH398,");")</f>
        <v>insert into lecturas values ('116104',STR_TO_DATE('31/12/2017','%d/%m/%Y'),319807),('116104',STR_TO_DATE('15/01/2018','%d/%m/%Y'),321306),('116104',STR_TO_DATE('15/02/2018','%d/%m/%Y'),323674),('116104',STR_TO_DATE('15/03/2018','%d/%m/%Y'),325453),('116104',STR_TO_DATE('15/04/2018','%d/%m/%Y'),327018),('116104',STR_TO_DATE('15/05/2018','%d/%m/%Y'),329534),('116104',STR_TO_DATE('15/06/2018','%d/%m/%Y'),329866),('116104',STR_TO_DATE('15/07/2018','%d/%m/%Y'),331178),('116104',STR_TO_DATE('15/08/2018','%d/%m/%Y'),332586),('116104',STR_TO_DATE('15/09/2018','%d/%m/%Y'),334123),('116104',STR_TO_DATE('15/10/2018','%d/%m/%Y'),335662),('116104',STR_TO_DATE('15/11/2018','%d/%m/%Y'),337560),('116104',STR_TO_DATE('15/12/2018','%d/%m/%Y'),339140);</v>
      </c>
    </row>
    <row r="399" spans="1:68" ht="18" customHeight="1" x14ac:dyDescent="0.25">
      <c r="A399" s="241" t="s">
        <v>19</v>
      </c>
      <c r="B399" s="60"/>
      <c r="C399" s="342">
        <v>116446</v>
      </c>
      <c r="D399" s="60" t="s">
        <v>257</v>
      </c>
      <c r="E399" s="258">
        <v>39319</v>
      </c>
      <c r="F399" s="274" t="s">
        <v>250</v>
      </c>
      <c r="G399" s="2" t="s">
        <v>771</v>
      </c>
      <c r="H399" s="2" t="s">
        <v>264</v>
      </c>
      <c r="I399" s="2"/>
      <c r="J399" s="2">
        <v>186195</v>
      </c>
      <c r="K399" s="274">
        <v>186945</v>
      </c>
      <c r="L399" s="2">
        <v>188216</v>
      </c>
      <c r="M399" s="311">
        <v>189210</v>
      </c>
      <c r="N399" s="311">
        <v>190148</v>
      </c>
      <c r="O399" s="311">
        <v>190848</v>
      </c>
      <c r="P399" s="311">
        <v>191552</v>
      </c>
      <c r="Q399" s="275">
        <v>192376</v>
      </c>
      <c r="R399" s="2">
        <v>193334</v>
      </c>
      <c r="S399" s="311">
        <v>194549</v>
      </c>
      <c r="T399" s="311">
        <v>195631</v>
      </c>
      <c r="U399" s="492">
        <v>196799</v>
      </c>
      <c r="V399" s="492">
        <v>197939</v>
      </c>
      <c r="W399" s="2"/>
      <c r="X399" s="2"/>
      <c r="Y399" s="2">
        <f t="shared" si="135"/>
        <v>750</v>
      </c>
      <c r="Z399" s="2">
        <f t="shared" si="136"/>
        <v>1271</v>
      </c>
      <c r="AA399" s="2">
        <f t="shared" si="150"/>
        <v>994</v>
      </c>
      <c r="AB399" s="2">
        <f t="shared" si="149"/>
        <v>938</v>
      </c>
      <c r="AC399" s="2">
        <f t="shared" si="137"/>
        <v>700</v>
      </c>
      <c r="AD399" s="2">
        <f t="shared" si="138"/>
        <v>704</v>
      </c>
      <c r="AE399" s="2">
        <f t="shared" si="139"/>
        <v>824</v>
      </c>
      <c r="AF399" s="2">
        <f t="shared" si="140"/>
        <v>958</v>
      </c>
      <c r="AG399" s="2">
        <f t="shared" si="141"/>
        <v>1215</v>
      </c>
      <c r="AH399" s="2">
        <f t="shared" si="142"/>
        <v>1082</v>
      </c>
      <c r="AI399" s="2">
        <f t="shared" si="143"/>
        <v>1168</v>
      </c>
      <c r="AJ399" s="2">
        <f t="shared" si="144"/>
        <v>1140</v>
      </c>
      <c r="AK399" s="406">
        <v>1</v>
      </c>
      <c r="AL399" s="274">
        <f t="shared" ca="1" si="145"/>
        <v>190148</v>
      </c>
      <c r="AM399" s="311">
        <f t="shared" ca="1" si="146"/>
        <v>190848</v>
      </c>
      <c r="AN399" s="274">
        <f ca="1">IF(AND(Tabla7[[#This Row],[UltLec]]&lt;&gt;0,Tabla7[[#This Row],[PenLect]]&lt;&gt;0),(AM399-AL399)*Tabla7[[#This Row],[RT]],"N/A")</f>
        <v>700</v>
      </c>
      <c r="AO399" s="273" t="s">
        <v>862</v>
      </c>
      <c r="AP399" s="392" t="s">
        <v>1190</v>
      </c>
      <c r="AQ399" s="392" t="s">
        <v>1189</v>
      </c>
      <c r="AR399" s="407">
        <f t="shared" si="147"/>
        <v>0</v>
      </c>
      <c r="AT399" s="2">
        <f t="shared" ca="1" si="148"/>
        <v>0.74626865671641796</v>
      </c>
      <c r="AV399">
        <f>IF(ISBLANK(Tabla7[[#This Row],[31/12/2017]]),0,Tabla7[[#This Row],[31/12/2017]])</f>
        <v>186195</v>
      </c>
      <c r="AW399">
        <f>IF(ISBLANK(Tabla7[[#This Row],[15/01/2018]]),0,Tabla7[[#This Row],[15/01/2018]])</f>
        <v>186945</v>
      </c>
      <c r="AX399">
        <f>IF(ISBLANK(Tabla7[[#This Row],[15/02/2018]]),0,Tabla7[[#This Row],[15/02/2018]])</f>
        <v>188216</v>
      </c>
      <c r="AY399">
        <f>IF(ISBLANK(Tabla7[[#This Row],[15/03/2018]]),0,Tabla7[[#This Row],[15/03/2018]])</f>
        <v>189210</v>
      </c>
      <c r="AZ399">
        <f>IF(ISBLANK(Tabla7[[#This Row],[15/04/2018]]),0,Tabla7[[#This Row],[15/04/2018]])</f>
        <v>190148</v>
      </c>
      <c r="BA399">
        <f>IF(ISBLANK(Tabla7[[#This Row],[15/05/2018]]),0,Tabla7[[#This Row],[15/05/2018]])</f>
        <v>190848</v>
      </c>
      <c r="BB399">
        <f>IF(ISBLANK(Tabla7[[#This Row],[15/06/2018]]),0,Tabla7[[#This Row],[15/06/2018]])</f>
        <v>191552</v>
      </c>
      <c r="BC399">
        <f>IF(ISBLANK(Tabla7[[#This Row],[15/07/2018]]),0,Tabla7[[#This Row],[15/07/2018]])</f>
        <v>192376</v>
      </c>
      <c r="BD399">
        <f>IF(ISBLANK(Tabla7[[#This Row],[15/08/2018]]),0,Tabla7[[#This Row],[15/08/2018]])</f>
        <v>193334</v>
      </c>
      <c r="BE399">
        <f>IF(ISBLANK(Tabla7[[#This Row],[15/09/2018]]),0,Tabla7[[#This Row],[15/09/2018]])</f>
        <v>194549</v>
      </c>
      <c r="BF399">
        <f>IF(ISBLANK(Tabla7[[#This Row],[15/10/2018]]),0,Tabla7[[#This Row],[15/10/2018]])</f>
        <v>195631</v>
      </c>
      <c r="BG399">
        <f>IF(ISBLANK(Tabla7[[#This Row],[15/11/2018]]),0,Tabla7[[#This Row],[15/11/2018]])</f>
        <v>196799</v>
      </c>
      <c r="BH399">
        <f>IF(ISBLANK(Tabla7[[#This Row],[15/12/2018]]),0,Tabla7[[#This Row],[15/12/2018]])</f>
        <v>197939</v>
      </c>
      <c r="BI399">
        <f>IF(ISBLANK(Tabla7[[#This Row],[28/12/2018]]),0,Tabla7[[#This Row],[28/12/2018]])</f>
        <v>0</v>
      </c>
      <c r="BN39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('116446','V','VCT43','39319','VALENCIA TERMINAL EUROPA','EN CT (2)','TORRE4307','');</v>
      </c>
      <c r="BO399" t="s">
        <v>243</v>
      </c>
      <c r="BP399" s="632" t="str">
        <f>CONCATENATE("insert into lecturas values ","('",Tabla7[[#This Row],[CONTADOR]],"',STR_TO_DATE('",Tabla7[[#Headers],[31/12/2017]],"','%d/%m/%Y'),",AV399,"),","('",Tabla7[[#This Row],[CONTADOR]],"',STR_TO_DATE('",Tabla7[[#Headers],[15/01/2018]],"','%d/%m/%Y'),",AW399,"),","('",Tabla7[[#This Row],[CONTADOR]],"',STR_TO_DATE('",Tabla7[[#Headers],[15/02/2018]],"','%d/%m/%Y'),",AX399,"),","('",Tabla7[[#This Row],[CONTADOR]],"',STR_TO_DATE('",Tabla7[[#Headers],[15/03/2018]],"','%d/%m/%Y'),",AY399,"),","('",Tabla7[[#This Row],[CONTADOR]],"',STR_TO_DATE('",Tabla7[[#Headers],[15/04/2018]],"','%d/%m/%Y'),",AZ399,"),","('",Tabla7[[#This Row],[CONTADOR]],"',STR_TO_DATE('",Tabla7[[#Headers],[15/05/2018]],"','%d/%m/%Y'),",BA399,"),","('",Tabla7[[#This Row],[CONTADOR]],"',STR_TO_DATE('",Tabla7[[#Headers],[15/06/2018]],"','%d/%m/%Y'),",BB399,"),","('",Tabla7[[#This Row],[CONTADOR]],"',STR_TO_DATE('",Tabla7[[#Headers],[15/07/2018]],"','%d/%m/%Y'),",BC399,"),","('",Tabla7[[#This Row],[CONTADOR]],"',STR_TO_DATE('",Tabla7[[#Headers],[15/08/2018]],"','%d/%m/%Y'),",BD399,"),","('",Tabla7[[#This Row],[CONTADOR]],"',STR_TO_DATE('",Tabla7[[#Headers],[15/09/2018]],"','%d/%m/%Y'),",BE399,"),","('",Tabla7[[#This Row],[CONTADOR]],"',STR_TO_DATE('",Tabla7[[#Headers],[15/10/2018]],"','%d/%m/%Y'),",BF399,"),","('",Tabla7[[#This Row],[CONTADOR]],"',STR_TO_DATE('",Tabla7[[#Headers],[15/11/2018]],"','%d/%m/%Y'),",BG399,"),","('",Tabla7[[#This Row],[CONTADOR]],"',STR_TO_DATE('",Tabla7[[#Headers],[15/12/2018]],"','%d/%m/%Y'),",BH399,");")</f>
        <v>insert into lecturas values ('116446',STR_TO_DATE('31/12/2017','%d/%m/%Y'),186195),('116446',STR_TO_DATE('15/01/2018','%d/%m/%Y'),186945),('116446',STR_TO_DATE('15/02/2018','%d/%m/%Y'),188216),('116446',STR_TO_DATE('15/03/2018','%d/%m/%Y'),189210),('116446',STR_TO_DATE('15/04/2018','%d/%m/%Y'),190148),('116446',STR_TO_DATE('15/05/2018','%d/%m/%Y'),190848),('116446',STR_TO_DATE('15/06/2018','%d/%m/%Y'),191552),('116446',STR_TO_DATE('15/07/2018','%d/%m/%Y'),192376),('116446',STR_TO_DATE('15/08/2018','%d/%m/%Y'),193334),('116446',STR_TO_DATE('15/09/2018','%d/%m/%Y'),194549),('116446',STR_TO_DATE('15/10/2018','%d/%m/%Y'),195631),('116446',STR_TO_DATE('15/11/2018','%d/%m/%Y'),196799),('116446',STR_TO_DATE('15/12/2018','%d/%m/%Y'),197939);</v>
      </c>
    </row>
    <row r="400" spans="1:68" ht="18" customHeight="1" x14ac:dyDescent="0.25">
      <c r="A400" s="241" t="s">
        <v>19</v>
      </c>
      <c r="B400" s="60"/>
      <c r="C400" s="342">
        <v>116498</v>
      </c>
      <c r="D400" s="60" t="s">
        <v>257</v>
      </c>
      <c r="E400" s="258">
        <v>39320</v>
      </c>
      <c r="F400" s="2" t="s">
        <v>250</v>
      </c>
      <c r="G400" s="2" t="s">
        <v>770</v>
      </c>
      <c r="H400" s="2" t="s">
        <v>265</v>
      </c>
      <c r="I400" s="2"/>
      <c r="J400" s="2">
        <v>167101</v>
      </c>
      <c r="K400" s="274">
        <v>168178</v>
      </c>
      <c r="L400" s="2">
        <v>170020</v>
      </c>
      <c r="M400" s="311">
        <v>171564</v>
      </c>
      <c r="N400" s="311">
        <v>172937</v>
      </c>
      <c r="O400" s="311">
        <v>174272</v>
      </c>
      <c r="P400" s="311">
        <v>175459</v>
      </c>
      <c r="Q400" s="275">
        <v>176662</v>
      </c>
      <c r="R400" s="2">
        <v>177868</v>
      </c>
      <c r="S400" s="311">
        <v>179383</v>
      </c>
      <c r="T400" s="311">
        <v>180809</v>
      </c>
      <c r="U400" s="492">
        <v>182478</v>
      </c>
      <c r="V400" s="492">
        <v>184309</v>
      </c>
      <c r="W400" s="2"/>
      <c r="X400" s="2"/>
      <c r="Y400" s="2">
        <f t="shared" si="135"/>
        <v>1077</v>
      </c>
      <c r="Z400" s="2">
        <f t="shared" si="136"/>
        <v>1842</v>
      </c>
      <c r="AA400" s="2">
        <f t="shared" si="150"/>
        <v>1544</v>
      </c>
      <c r="AB400" s="2">
        <f t="shared" si="149"/>
        <v>1373</v>
      </c>
      <c r="AC400" s="2">
        <f t="shared" si="137"/>
        <v>1335</v>
      </c>
      <c r="AD400" s="2">
        <f t="shared" si="138"/>
        <v>1187</v>
      </c>
      <c r="AE400" s="2">
        <f t="shared" si="139"/>
        <v>1203</v>
      </c>
      <c r="AF400" s="2">
        <f t="shared" si="140"/>
        <v>1206</v>
      </c>
      <c r="AG400" s="2">
        <f t="shared" si="141"/>
        <v>1515</v>
      </c>
      <c r="AH400" s="2">
        <f t="shared" si="142"/>
        <v>1426</v>
      </c>
      <c r="AI400" s="2">
        <f t="shared" si="143"/>
        <v>1669</v>
      </c>
      <c r="AJ400" s="2">
        <f t="shared" si="144"/>
        <v>1831</v>
      </c>
      <c r="AK400" s="406">
        <v>1</v>
      </c>
      <c r="AL400" s="274">
        <f t="shared" ca="1" si="145"/>
        <v>172937</v>
      </c>
      <c r="AM400" s="311">
        <f t="shared" ca="1" si="146"/>
        <v>174272</v>
      </c>
      <c r="AN400" s="274">
        <f ca="1">IF(AND(Tabla7[[#This Row],[UltLec]]&lt;&gt;0,Tabla7[[#This Row],[PenLect]]&lt;&gt;0),(AM400-AL400)*Tabla7[[#This Row],[RT]],"N/A")</f>
        <v>1335</v>
      </c>
      <c r="AO400" s="273" t="s">
        <v>862</v>
      </c>
      <c r="AP400" s="392" t="s">
        <v>1190</v>
      </c>
      <c r="AQ400" s="392" t="s">
        <v>1189</v>
      </c>
      <c r="AR400" s="407">
        <f t="shared" si="147"/>
        <v>0</v>
      </c>
      <c r="AT400" s="2">
        <f t="shared" ca="1" si="148"/>
        <v>0.9723233794610342</v>
      </c>
      <c r="AV400">
        <f>IF(ISBLANK(Tabla7[[#This Row],[31/12/2017]]),0,Tabla7[[#This Row],[31/12/2017]])</f>
        <v>167101</v>
      </c>
      <c r="AW400">
        <f>IF(ISBLANK(Tabla7[[#This Row],[15/01/2018]]),0,Tabla7[[#This Row],[15/01/2018]])</f>
        <v>168178</v>
      </c>
      <c r="AX400">
        <f>IF(ISBLANK(Tabla7[[#This Row],[15/02/2018]]),0,Tabla7[[#This Row],[15/02/2018]])</f>
        <v>170020</v>
      </c>
      <c r="AY400">
        <f>IF(ISBLANK(Tabla7[[#This Row],[15/03/2018]]),0,Tabla7[[#This Row],[15/03/2018]])</f>
        <v>171564</v>
      </c>
      <c r="AZ400">
        <f>IF(ISBLANK(Tabla7[[#This Row],[15/04/2018]]),0,Tabla7[[#This Row],[15/04/2018]])</f>
        <v>172937</v>
      </c>
      <c r="BA400">
        <f>IF(ISBLANK(Tabla7[[#This Row],[15/05/2018]]),0,Tabla7[[#This Row],[15/05/2018]])</f>
        <v>174272</v>
      </c>
      <c r="BB400">
        <f>IF(ISBLANK(Tabla7[[#This Row],[15/06/2018]]),0,Tabla7[[#This Row],[15/06/2018]])</f>
        <v>175459</v>
      </c>
      <c r="BC400">
        <f>IF(ISBLANK(Tabla7[[#This Row],[15/07/2018]]),0,Tabla7[[#This Row],[15/07/2018]])</f>
        <v>176662</v>
      </c>
      <c r="BD400">
        <f>IF(ISBLANK(Tabla7[[#This Row],[15/08/2018]]),0,Tabla7[[#This Row],[15/08/2018]])</f>
        <v>177868</v>
      </c>
      <c r="BE400">
        <f>IF(ISBLANK(Tabla7[[#This Row],[15/09/2018]]),0,Tabla7[[#This Row],[15/09/2018]])</f>
        <v>179383</v>
      </c>
      <c r="BF400">
        <f>IF(ISBLANK(Tabla7[[#This Row],[15/10/2018]]),0,Tabla7[[#This Row],[15/10/2018]])</f>
        <v>180809</v>
      </c>
      <c r="BG400">
        <f>IF(ISBLANK(Tabla7[[#This Row],[15/11/2018]]),0,Tabla7[[#This Row],[15/11/2018]])</f>
        <v>182478</v>
      </c>
      <c r="BH400">
        <f>IF(ISBLANK(Tabla7[[#This Row],[15/12/2018]]),0,Tabla7[[#This Row],[15/12/2018]])</f>
        <v>184309</v>
      </c>
      <c r="BI400">
        <f>IF(ISBLANK(Tabla7[[#This Row],[28/12/2018]]),0,Tabla7[[#This Row],[28/12/2018]])</f>
        <v>0</v>
      </c>
      <c r="BN40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('116498','V','VCT43','39320','VALENCIA TERMINAL EUROPA','EN CT (3)','TORRE4317','');</v>
      </c>
      <c r="BO400" t="s">
        <v>243</v>
      </c>
      <c r="BP400" s="632" t="str">
        <f>CONCATENATE("insert into lecturas values ","('",Tabla7[[#This Row],[CONTADOR]],"',STR_TO_DATE('",Tabla7[[#Headers],[31/12/2017]],"','%d/%m/%Y'),",AV400,"),","('",Tabla7[[#This Row],[CONTADOR]],"',STR_TO_DATE('",Tabla7[[#Headers],[15/01/2018]],"','%d/%m/%Y'),",AW400,"),","('",Tabla7[[#This Row],[CONTADOR]],"',STR_TO_DATE('",Tabla7[[#Headers],[15/02/2018]],"','%d/%m/%Y'),",AX400,"),","('",Tabla7[[#This Row],[CONTADOR]],"',STR_TO_DATE('",Tabla7[[#Headers],[15/03/2018]],"','%d/%m/%Y'),",AY400,"),","('",Tabla7[[#This Row],[CONTADOR]],"',STR_TO_DATE('",Tabla7[[#Headers],[15/04/2018]],"','%d/%m/%Y'),",AZ400,"),","('",Tabla7[[#This Row],[CONTADOR]],"',STR_TO_DATE('",Tabla7[[#Headers],[15/05/2018]],"','%d/%m/%Y'),",BA400,"),","('",Tabla7[[#This Row],[CONTADOR]],"',STR_TO_DATE('",Tabla7[[#Headers],[15/06/2018]],"','%d/%m/%Y'),",BB400,"),","('",Tabla7[[#This Row],[CONTADOR]],"',STR_TO_DATE('",Tabla7[[#Headers],[15/07/2018]],"','%d/%m/%Y'),",BC400,"),","('",Tabla7[[#This Row],[CONTADOR]],"',STR_TO_DATE('",Tabla7[[#Headers],[15/08/2018]],"','%d/%m/%Y'),",BD400,"),","('",Tabla7[[#This Row],[CONTADOR]],"',STR_TO_DATE('",Tabla7[[#Headers],[15/09/2018]],"','%d/%m/%Y'),",BE400,"),","('",Tabla7[[#This Row],[CONTADOR]],"',STR_TO_DATE('",Tabla7[[#Headers],[15/10/2018]],"','%d/%m/%Y'),",BF400,"),","('",Tabla7[[#This Row],[CONTADOR]],"',STR_TO_DATE('",Tabla7[[#Headers],[15/11/2018]],"','%d/%m/%Y'),",BG400,"),","('",Tabla7[[#This Row],[CONTADOR]],"',STR_TO_DATE('",Tabla7[[#Headers],[15/12/2018]],"','%d/%m/%Y'),",BH400,");")</f>
        <v>insert into lecturas values ('116498',STR_TO_DATE('31/12/2017','%d/%m/%Y'),167101),('116498',STR_TO_DATE('15/01/2018','%d/%m/%Y'),168178),('116498',STR_TO_DATE('15/02/2018','%d/%m/%Y'),170020),('116498',STR_TO_DATE('15/03/2018','%d/%m/%Y'),171564),('116498',STR_TO_DATE('15/04/2018','%d/%m/%Y'),172937),('116498',STR_TO_DATE('15/05/2018','%d/%m/%Y'),174272),('116498',STR_TO_DATE('15/06/2018','%d/%m/%Y'),175459),('116498',STR_TO_DATE('15/07/2018','%d/%m/%Y'),176662),('116498',STR_TO_DATE('15/08/2018','%d/%m/%Y'),177868),('116498',STR_TO_DATE('15/09/2018','%d/%m/%Y'),179383),('116498',STR_TO_DATE('15/10/2018','%d/%m/%Y'),180809),('116498',STR_TO_DATE('15/11/2018','%d/%m/%Y'),182478),('116498',STR_TO_DATE('15/12/2018','%d/%m/%Y'),184309);</v>
      </c>
    </row>
    <row r="401" spans="1:68" ht="18" customHeight="1" x14ac:dyDescent="0.25">
      <c r="A401" s="241" t="s">
        <v>19</v>
      </c>
      <c r="B401" s="60"/>
      <c r="C401" s="342">
        <v>126610</v>
      </c>
      <c r="D401" s="60" t="s">
        <v>257</v>
      </c>
      <c r="E401" s="258">
        <v>39321</v>
      </c>
      <c r="F401" s="2" t="s">
        <v>250</v>
      </c>
      <c r="G401" s="2" t="s">
        <v>768</v>
      </c>
      <c r="H401" s="2" t="s">
        <v>266</v>
      </c>
      <c r="I401" s="2"/>
      <c r="J401" s="2">
        <v>163880</v>
      </c>
      <c r="K401" s="274">
        <v>164974</v>
      </c>
      <c r="L401" s="2">
        <v>166217</v>
      </c>
      <c r="M401" s="311">
        <v>167258</v>
      </c>
      <c r="N401" s="311">
        <v>168184</v>
      </c>
      <c r="O401" s="311">
        <v>169081</v>
      </c>
      <c r="P401" s="311">
        <v>169874</v>
      </c>
      <c r="Q401" s="275">
        <v>170678</v>
      </c>
      <c r="R401" s="2">
        <v>171969</v>
      </c>
      <c r="S401" s="311">
        <v>172440</v>
      </c>
      <c r="T401" s="311">
        <v>173372</v>
      </c>
      <c r="U401" s="492">
        <v>174584</v>
      </c>
      <c r="V401" s="492">
        <v>175833</v>
      </c>
      <c r="W401" s="2"/>
      <c r="X401" s="2"/>
      <c r="Y401" s="2">
        <f t="shared" si="135"/>
        <v>1094</v>
      </c>
      <c r="Z401" s="2">
        <f t="shared" si="136"/>
        <v>1243</v>
      </c>
      <c r="AA401" s="2">
        <f t="shared" si="150"/>
        <v>1041</v>
      </c>
      <c r="AB401" s="2">
        <f t="shared" si="149"/>
        <v>926</v>
      </c>
      <c r="AC401" s="2">
        <f t="shared" si="137"/>
        <v>897</v>
      </c>
      <c r="AD401" s="2">
        <f t="shared" si="138"/>
        <v>793</v>
      </c>
      <c r="AE401" s="2">
        <f t="shared" si="139"/>
        <v>804</v>
      </c>
      <c r="AF401" s="2">
        <f t="shared" si="140"/>
        <v>1291</v>
      </c>
      <c r="AG401" s="2">
        <f t="shared" si="141"/>
        <v>471</v>
      </c>
      <c r="AH401" s="2">
        <f t="shared" si="142"/>
        <v>932</v>
      </c>
      <c r="AI401" s="2">
        <f t="shared" si="143"/>
        <v>1212</v>
      </c>
      <c r="AJ401" s="2">
        <f t="shared" si="144"/>
        <v>1249</v>
      </c>
      <c r="AK401" s="406">
        <v>1</v>
      </c>
      <c r="AL401" s="274">
        <f t="shared" ca="1" si="145"/>
        <v>168184</v>
      </c>
      <c r="AM401" s="311">
        <f t="shared" ca="1" si="146"/>
        <v>169081</v>
      </c>
      <c r="AN401" s="274">
        <f ca="1">IF(AND(Tabla7[[#This Row],[UltLec]]&lt;&gt;0,Tabla7[[#This Row],[PenLect]]&lt;&gt;0),(AM401-AL401)*Tabla7[[#This Row],[RT]],"N/A")</f>
        <v>897</v>
      </c>
      <c r="AO401" s="273" t="s">
        <v>862</v>
      </c>
      <c r="AP401" s="392" t="s">
        <v>1190</v>
      </c>
      <c r="AQ401" s="392" t="s">
        <v>1189</v>
      </c>
      <c r="AR401" s="407">
        <f t="shared" si="147"/>
        <v>0</v>
      </c>
      <c r="AT401" s="2">
        <f t="shared" ca="1" si="148"/>
        <v>0.96868250539956802</v>
      </c>
      <c r="AV401">
        <f>IF(ISBLANK(Tabla7[[#This Row],[31/12/2017]]),0,Tabla7[[#This Row],[31/12/2017]])</f>
        <v>163880</v>
      </c>
      <c r="AW401">
        <f>IF(ISBLANK(Tabla7[[#This Row],[15/01/2018]]),0,Tabla7[[#This Row],[15/01/2018]])</f>
        <v>164974</v>
      </c>
      <c r="AX401">
        <f>IF(ISBLANK(Tabla7[[#This Row],[15/02/2018]]),0,Tabla7[[#This Row],[15/02/2018]])</f>
        <v>166217</v>
      </c>
      <c r="AY401">
        <f>IF(ISBLANK(Tabla7[[#This Row],[15/03/2018]]),0,Tabla7[[#This Row],[15/03/2018]])</f>
        <v>167258</v>
      </c>
      <c r="AZ401">
        <f>IF(ISBLANK(Tabla7[[#This Row],[15/04/2018]]),0,Tabla7[[#This Row],[15/04/2018]])</f>
        <v>168184</v>
      </c>
      <c r="BA401">
        <f>IF(ISBLANK(Tabla7[[#This Row],[15/05/2018]]),0,Tabla7[[#This Row],[15/05/2018]])</f>
        <v>169081</v>
      </c>
      <c r="BB401">
        <f>IF(ISBLANK(Tabla7[[#This Row],[15/06/2018]]),0,Tabla7[[#This Row],[15/06/2018]])</f>
        <v>169874</v>
      </c>
      <c r="BC401">
        <f>IF(ISBLANK(Tabla7[[#This Row],[15/07/2018]]),0,Tabla7[[#This Row],[15/07/2018]])</f>
        <v>170678</v>
      </c>
      <c r="BD401">
        <f>IF(ISBLANK(Tabla7[[#This Row],[15/08/2018]]),0,Tabla7[[#This Row],[15/08/2018]])</f>
        <v>171969</v>
      </c>
      <c r="BE401">
        <f>IF(ISBLANK(Tabla7[[#This Row],[15/09/2018]]),0,Tabla7[[#This Row],[15/09/2018]])</f>
        <v>172440</v>
      </c>
      <c r="BF401">
        <f>IF(ISBLANK(Tabla7[[#This Row],[15/10/2018]]),0,Tabla7[[#This Row],[15/10/2018]])</f>
        <v>173372</v>
      </c>
      <c r="BG401">
        <f>IF(ISBLANK(Tabla7[[#This Row],[15/11/2018]]),0,Tabla7[[#This Row],[15/11/2018]])</f>
        <v>174584</v>
      </c>
      <c r="BH401">
        <f>IF(ISBLANK(Tabla7[[#This Row],[15/12/2018]]),0,Tabla7[[#This Row],[15/12/2018]])</f>
        <v>175833</v>
      </c>
      <c r="BI401">
        <f>IF(ISBLANK(Tabla7[[#This Row],[28/12/2018]]),0,Tabla7[[#This Row],[28/12/2018]])</f>
        <v>0</v>
      </c>
      <c r="BN40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('126610','V','VCT43','39321','VALENCIA TERMINAL EUROPA','EN CT (4)','TORRE 4318','');</v>
      </c>
      <c r="BO401" t="s">
        <v>243</v>
      </c>
      <c r="BP401" s="632" t="str">
        <f>CONCATENATE("insert into lecturas values ","('",Tabla7[[#This Row],[CONTADOR]],"',STR_TO_DATE('",Tabla7[[#Headers],[31/12/2017]],"','%d/%m/%Y'),",AV401,"),","('",Tabla7[[#This Row],[CONTADOR]],"',STR_TO_DATE('",Tabla7[[#Headers],[15/01/2018]],"','%d/%m/%Y'),",AW401,"),","('",Tabla7[[#This Row],[CONTADOR]],"',STR_TO_DATE('",Tabla7[[#Headers],[15/02/2018]],"','%d/%m/%Y'),",AX401,"),","('",Tabla7[[#This Row],[CONTADOR]],"',STR_TO_DATE('",Tabla7[[#Headers],[15/03/2018]],"','%d/%m/%Y'),",AY401,"),","('",Tabla7[[#This Row],[CONTADOR]],"',STR_TO_DATE('",Tabla7[[#Headers],[15/04/2018]],"','%d/%m/%Y'),",AZ401,"),","('",Tabla7[[#This Row],[CONTADOR]],"',STR_TO_DATE('",Tabla7[[#Headers],[15/05/2018]],"','%d/%m/%Y'),",BA401,"),","('",Tabla7[[#This Row],[CONTADOR]],"',STR_TO_DATE('",Tabla7[[#Headers],[15/06/2018]],"','%d/%m/%Y'),",BB401,"),","('",Tabla7[[#This Row],[CONTADOR]],"',STR_TO_DATE('",Tabla7[[#Headers],[15/07/2018]],"','%d/%m/%Y'),",BC401,"),","('",Tabla7[[#This Row],[CONTADOR]],"',STR_TO_DATE('",Tabla7[[#Headers],[15/08/2018]],"','%d/%m/%Y'),",BD401,"),","('",Tabla7[[#This Row],[CONTADOR]],"',STR_TO_DATE('",Tabla7[[#Headers],[15/09/2018]],"','%d/%m/%Y'),",BE401,"),","('",Tabla7[[#This Row],[CONTADOR]],"',STR_TO_DATE('",Tabla7[[#Headers],[15/10/2018]],"','%d/%m/%Y'),",BF401,"),","('",Tabla7[[#This Row],[CONTADOR]],"',STR_TO_DATE('",Tabla7[[#Headers],[15/11/2018]],"','%d/%m/%Y'),",BG401,"),","('",Tabla7[[#This Row],[CONTADOR]],"',STR_TO_DATE('",Tabla7[[#Headers],[15/12/2018]],"','%d/%m/%Y'),",BH401,");")</f>
        <v>insert into lecturas values ('126610',STR_TO_DATE('31/12/2017','%d/%m/%Y'),163880),('126610',STR_TO_DATE('15/01/2018','%d/%m/%Y'),164974),('126610',STR_TO_DATE('15/02/2018','%d/%m/%Y'),166217),('126610',STR_TO_DATE('15/03/2018','%d/%m/%Y'),167258),('126610',STR_TO_DATE('15/04/2018','%d/%m/%Y'),168184),('126610',STR_TO_DATE('15/05/2018','%d/%m/%Y'),169081),('126610',STR_TO_DATE('15/06/2018','%d/%m/%Y'),169874),('126610',STR_TO_DATE('15/07/2018','%d/%m/%Y'),170678),('126610',STR_TO_DATE('15/08/2018','%d/%m/%Y'),171969),('126610',STR_TO_DATE('15/09/2018','%d/%m/%Y'),172440),('126610',STR_TO_DATE('15/10/2018','%d/%m/%Y'),173372),('126610',STR_TO_DATE('15/11/2018','%d/%m/%Y'),174584),('126610',STR_TO_DATE('15/12/2018','%d/%m/%Y'),175833);</v>
      </c>
    </row>
    <row r="402" spans="1:68" ht="18" customHeight="1" x14ac:dyDescent="0.25">
      <c r="A402" s="241" t="s">
        <v>19</v>
      </c>
      <c r="B402" s="60"/>
      <c r="C402" s="342">
        <v>126682</v>
      </c>
      <c r="D402" s="60" t="s">
        <v>257</v>
      </c>
      <c r="E402" s="258">
        <v>39318</v>
      </c>
      <c r="F402" s="274" t="s">
        <v>250</v>
      </c>
      <c r="G402" s="2" t="s">
        <v>773</v>
      </c>
      <c r="H402" s="2" t="s">
        <v>263</v>
      </c>
      <c r="I402" s="2"/>
      <c r="J402" s="2">
        <v>163785</v>
      </c>
      <c r="K402" s="274">
        <v>164499</v>
      </c>
      <c r="L402" s="2">
        <v>165631</v>
      </c>
      <c r="M402" s="311">
        <v>166618</v>
      </c>
      <c r="N402" s="311">
        <v>167459</v>
      </c>
      <c r="O402" s="311">
        <v>168268</v>
      </c>
      <c r="P402" s="311">
        <v>168968</v>
      </c>
      <c r="Q402" s="275">
        <v>169723</v>
      </c>
      <c r="R402" s="2">
        <v>170590</v>
      </c>
      <c r="S402" s="311">
        <v>171731</v>
      </c>
      <c r="T402" s="311">
        <v>172789</v>
      </c>
      <c r="U402" s="492">
        <v>174141</v>
      </c>
      <c r="V402" s="492">
        <v>175514</v>
      </c>
      <c r="W402" s="2"/>
      <c r="X402" s="2"/>
      <c r="Y402" s="2">
        <f t="shared" si="135"/>
        <v>714</v>
      </c>
      <c r="Z402" s="2">
        <f t="shared" si="136"/>
        <v>1132</v>
      </c>
      <c r="AA402" s="2">
        <f t="shared" si="150"/>
        <v>987</v>
      </c>
      <c r="AB402" s="2">
        <f t="shared" si="149"/>
        <v>841</v>
      </c>
      <c r="AC402" s="2">
        <f t="shared" si="137"/>
        <v>809</v>
      </c>
      <c r="AD402" s="2">
        <f t="shared" si="138"/>
        <v>700</v>
      </c>
      <c r="AE402" s="2">
        <f t="shared" si="139"/>
        <v>755</v>
      </c>
      <c r="AF402" s="2">
        <f t="shared" si="140"/>
        <v>867</v>
      </c>
      <c r="AG402" s="2">
        <f t="shared" si="141"/>
        <v>1141</v>
      </c>
      <c r="AH402" s="2">
        <f t="shared" si="142"/>
        <v>1058</v>
      </c>
      <c r="AI402" s="2">
        <f t="shared" si="143"/>
        <v>1352</v>
      </c>
      <c r="AJ402" s="2">
        <f t="shared" si="144"/>
        <v>1373</v>
      </c>
      <c r="AK402" s="406">
        <v>1</v>
      </c>
      <c r="AL402" s="274">
        <f t="shared" ca="1" si="145"/>
        <v>167459</v>
      </c>
      <c r="AM402" s="311">
        <f t="shared" ca="1" si="146"/>
        <v>168268</v>
      </c>
      <c r="AN402" s="274">
        <f ca="1">IF(AND(Tabla7[[#This Row],[UltLec]]&lt;&gt;0,Tabla7[[#This Row],[PenLect]]&lt;&gt;0),(AM402-AL402)*Tabla7[[#This Row],[RT]],"N/A")</f>
        <v>809</v>
      </c>
      <c r="AO402" s="273" t="s">
        <v>862</v>
      </c>
      <c r="AP402" s="392" t="s">
        <v>1190</v>
      </c>
      <c r="AQ402" s="392" t="s">
        <v>1189</v>
      </c>
      <c r="AR402" s="407">
        <f t="shared" si="147"/>
        <v>0</v>
      </c>
      <c r="AT402" s="2">
        <f t="shared" ca="1" si="148"/>
        <v>0.96195005945303214</v>
      </c>
      <c r="AV402">
        <f>IF(ISBLANK(Tabla7[[#This Row],[31/12/2017]]),0,Tabla7[[#This Row],[31/12/2017]])</f>
        <v>163785</v>
      </c>
      <c r="AW402">
        <f>IF(ISBLANK(Tabla7[[#This Row],[15/01/2018]]),0,Tabla7[[#This Row],[15/01/2018]])</f>
        <v>164499</v>
      </c>
      <c r="AX402">
        <f>IF(ISBLANK(Tabla7[[#This Row],[15/02/2018]]),0,Tabla7[[#This Row],[15/02/2018]])</f>
        <v>165631</v>
      </c>
      <c r="AY402">
        <f>IF(ISBLANK(Tabla7[[#This Row],[15/03/2018]]),0,Tabla7[[#This Row],[15/03/2018]])</f>
        <v>166618</v>
      </c>
      <c r="AZ402">
        <f>IF(ISBLANK(Tabla7[[#This Row],[15/04/2018]]),0,Tabla7[[#This Row],[15/04/2018]])</f>
        <v>167459</v>
      </c>
      <c r="BA402">
        <f>IF(ISBLANK(Tabla7[[#This Row],[15/05/2018]]),0,Tabla7[[#This Row],[15/05/2018]])</f>
        <v>168268</v>
      </c>
      <c r="BB402">
        <f>IF(ISBLANK(Tabla7[[#This Row],[15/06/2018]]),0,Tabla7[[#This Row],[15/06/2018]])</f>
        <v>168968</v>
      </c>
      <c r="BC402">
        <f>IF(ISBLANK(Tabla7[[#This Row],[15/07/2018]]),0,Tabla7[[#This Row],[15/07/2018]])</f>
        <v>169723</v>
      </c>
      <c r="BD402">
        <f>IF(ISBLANK(Tabla7[[#This Row],[15/08/2018]]),0,Tabla7[[#This Row],[15/08/2018]])</f>
        <v>170590</v>
      </c>
      <c r="BE402">
        <f>IF(ISBLANK(Tabla7[[#This Row],[15/09/2018]]),0,Tabla7[[#This Row],[15/09/2018]])</f>
        <v>171731</v>
      </c>
      <c r="BF402">
        <f>IF(ISBLANK(Tabla7[[#This Row],[15/10/2018]]),0,Tabla7[[#This Row],[15/10/2018]])</f>
        <v>172789</v>
      </c>
      <c r="BG402">
        <f>IF(ISBLANK(Tabla7[[#This Row],[15/11/2018]]),0,Tabla7[[#This Row],[15/11/2018]])</f>
        <v>174141</v>
      </c>
      <c r="BH402">
        <f>IF(ISBLANK(Tabla7[[#This Row],[15/12/2018]]),0,Tabla7[[#This Row],[15/12/2018]])</f>
        <v>175514</v>
      </c>
      <c r="BI402">
        <f>IF(ISBLANK(Tabla7[[#This Row],[28/12/2018]]),0,Tabla7[[#This Row],[28/12/2018]])</f>
        <v>0</v>
      </c>
      <c r="BN40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('126682','V','VCT43','39318','VALENCIA TERMINAL EUROPA','EN CT (1)','TORRE4306','');</v>
      </c>
      <c r="BO402" t="s">
        <v>243</v>
      </c>
      <c r="BP402" s="632" t="str">
        <f>CONCATENATE("insert into lecturas values ","('",Tabla7[[#This Row],[CONTADOR]],"',STR_TO_DATE('",Tabla7[[#Headers],[31/12/2017]],"','%d/%m/%Y'),",AV402,"),","('",Tabla7[[#This Row],[CONTADOR]],"',STR_TO_DATE('",Tabla7[[#Headers],[15/01/2018]],"','%d/%m/%Y'),",AW402,"),","('",Tabla7[[#This Row],[CONTADOR]],"',STR_TO_DATE('",Tabla7[[#Headers],[15/02/2018]],"','%d/%m/%Y'),",AX402,"),","('",Tabla7[[#This Row],[CONTADOR]],"',STR_TO_DATE('",Tabla7[[#Headers],[15/03/2018]],"','%d/%m/%Y'),",AY402,"),","('",Tabla7[[#This Row],[CONTADOR]],"',STR_TO_DATE('",Tabla7[[#Headers],[15/04/2018]],"','%d/%m/%Y'),",AZ402,"),","('",Tabla7[[#This Row],[CONTADOR]],"',STR_TO_DATE('",Tabla7[[#Headers],[15/05/2018]],"','%d/%m/%Y'),",BA402,"),","('",Tabla7[[#This Row],[CONTADOR]],"',STR_TO_DATE('",Tabla7[[#Headers],[15/06/2018]],"','%d/%m/%Y'),",BB402,"),","('",Tabla7[[#This Row],[CONTADOR]],"',STR_TO_DATE('",Tabla7[[#Headers],[15/07/2018]],"','%d/%m/%Y'),",BC402,"),","('",Tabla7[[#This Row],[CONTADOR]],"',STR_TO_DATE('",Tabla7[[#Headers],[15/08/2018]],"','%d/%m/%Y'),",BD402,"),","('",Tabla7[[#This Row],[CONTADOR]],"',STR_TO_DATE('",Tabla7[[#Headers],[15/09/2018]],"','%d/%m/%Y'),",BE402,"),","('",Tabla7[[#This Row],[CONTADOR]],"',STR_TO_DATE('",Tabla7[[#Headers],[15/10/2018]],"','%d/%m/%Y'),",BF402,"),","('",Tabla7[[#This Row],[CONTADOR]],"',STR_TO_DATE('",Tabla7[[#Headers],[15/11/2018]],"','%d/%m/%Y'),",BG402,"),","('",Tabla7[[#This Row],[CONTADOR]],"',STR_TO_DATE('",Tabla7[[#Headers],[15/12/2018]],"','%d/%m/%Y'),",BH402,");")</f>
        <v>insert into lecturas values ('126682',STR_TO_DATE('31/12/2017','%d/%m/%Y'),163785),('126682',STR_TO_DATE('15/01/2018','%d/%m/%Y'),164499),('126682',STR_TO_DATE('15/02/2018','%d/%m/%Y'),165631),('126682',STR_TO_DATE('15/03/2018','%d/%m/%Y'),166618),('126682',STR_TO_DATE('15/04/2018','%d/%m/%Y'),167459),('126682',STR_TO_DATE('15/05/2018','%d/%m/%Y'),168268),('126682',STR_TO_DATE('15/06/2018','%d/%m/%Y'),168968),('126682',STR_TO_DATE('15/07/2018','%d/%m/%Y'),169723),('126682',STR_TO_DATE('15/08/2018','%d/%m/%Y'),170590),('126682',STR_TO_DATE('15/09/2018','%d/%m/%Y'),171731),('126682',STR_TO_DATE('15/10/2018','%d/%m/%Y'),172789),('126682',STR_TO_DATE('15/11/2018','%d/%m/%Y'),174141),('126682',STR_TO_DATE('15/12/2018','%d/%m/%Y'),175514);</v>
      </c>
    </row>
    <row r="403" spans="1:68" ht="18" customHeight="1" x14ac:dyDescent="0.25">
      <c r="A403" s="241" t="s">
        <v>19</v>
      </c>
      <c r="B403" s="60"/>
      <c r="C403" s="342">
        <v>140754</v>
      </c>
      <c r="D403" s="60" t="s">
        <v>257</v>
      </c>
      <c r="E403" s="258">
        <v>39302</v>
      </c>
      <c r="F403" s="2" t="s">
        <v>250</v>
      </c>
      <c r="G403" s="2" t="s">
        <v>769</v>
      </c>
      <c r="H403" s="2" t="s">
        <v>270</v>
      </c>
      <c r="I403" s="2"/>
      <c r="J403" s="274">
        <v>261619</v>
      </c>
      <c r="K403" s="307">
        <v>261905</v>
      </c>
      <c r="L403" s="2">
        <v>262408</v>
      </c>
      <c r="M403" s="311">
        <v>262839</v>
      </c>
      <c r="N403" s="311">
        <v>263247</v>
      </c>
      <c r="O403" s="311">
        <v>263606</v>
      </c>
      <c r="P403" s="311">
        <v>263899</v>
      </c>
      <c r="Q403" s="275">
        <v>264258</v>
      </c>
      <c r="R403" s="2">
        <v>264863</v>
      </c>
      <c r="S403" s="311">
        <v>265606</v>
      </c>
      <c r="T403" s="311">
        <v>266370</v>
      </c>
      <c r="U403" s="492">
        <v>266595</v>
      </c>
      <c r="V403" s="492">
        <v>266595</v>
      </c>
      <c r="W403" s="274"/>
      <c r="X403" s="2"/>
      <c r="Y403" s="2">
        <f t="shared" si="135"/>
        <v>286</v>
      </c>
      <c r="Z403" s="2">
        <f t="shared" si="136"/>
        <v>503</v>
      </c>
      <c r="AA403" s="2">
        <f t="shared" si="150"/>
        <v>431</v>
      </c>
      <c r="AB403" s="2">
        <f t="shared" si="149"/>
        <v>408</v>
      </c>
      <c r="AC403" s="2">
        <f t="shared" si="137"/>
        <v>359</v>
      </c>
      <c r="AD403" s="2">
        <f t="shared" si="138"/>
        <v>293</v>
      </c>
      <c r="AE403" s="2">
        <f t="shared" si="139"/>
        <v>359</v>
      </c>
      <c r="AF403" s="2">
        <f t="shared" si="140"/>
        <v>605</v>
      </c>
      <c r="AG403" s="2">
        <f t="shared" si="141"/>
        <v>743</v>
      </c>
      <c r="AH403" s="2">
        <f t="shared" si="142"/>
        <v>764</v>
      </c>
      <c r="AI403" s="2">
        <f t="shared" si="143"/>
        <v>225</v>
      </c>
      <c r="AJ403" s="2">
        <f t="shared" si="144"/>
        <v>0</v>
      </c>
      <c r="AK403" s="406">
        <v>1</v>
      </c>
      <c r="AL403" s="274">
        <f t="shared" ca="1" si="145"/>
        <v>263247</v>
      </c>
      <c r="AM403" s="311">
        <f t="shared" ca="1" si="146"/>
        <v>263606</v>
      </c>
      <c r="AN403" s="274">
        <f ca="1">IF(AND(Tabla7[[#This Row],[UltLec]]&lt;&gt;0,Tabla7[[#This Row],[PenLect]]&lt;&gt;0),(AM403-AL403)*Tabla7[[#This Row],[RT]],"N/A")</f>
        <v>359</v>
      </c>
      <c r="AO403" s="273" t="s">
        <v>862</v>
      </c>
      <c r="AP403" s="392" t="s">
        <v>1190</v>
      </c>
      <c r="AQ403" s="392" t="s">
        <v>1189</v>
      </c>
      <c r="AR403" s="407">
        <f t="shared" si="147"/>
        <v>0</v>
      </c>
      <c r="AT403" s="2">
        <f t="shared" ca="1" si="148"/>
        <v>0.87990196078431371</v>
      </c>
      <c r="AV403">
        <f>IF(ISBLANK(Tabla7[[#This Row],[31/12/2017]]),0,Tabla7[[#This Row],[31/12/2017]])</f>
        <v>261619</v>
      </c>
      <c r="AW403">
        <f>IF(ISBLANK(Tabla7[[#This Row],[15/01/2018]]),0,Tabla7[[#This Row],[15/01/2018]])</f>
        <v>261905</v>
      </c>
      <c r="AX403">
        <f>IF(ISBLANK(Tabla7[[#This Row],[15/02/2018]]),0,Tabla7[[#This Row],[15/02/2018]])</f>
        <v>262408</v>
      </c>
      <c r="AY403">
        <f>IF(ISBLANK(Tabla7[[#This Row],[15/03/2018]]),0,Tabla7[[#This Row],[15/03/2018]])</f>
        <v>262839</v>
      </c>
      <c r="AZ403">
        <f>IF(ISBLANK(Tabla7[[#This Row],[15/04/2018]]),0,Tabla7[[#This Row],[15/04/2018]])</f>
        <v>263247</v>
      </c>
      <c r="BA403">
        <f>IF(ISBLANK(Tabla7[[#This Row],[15/05/2018]]),0,Tabla7[[#This Row],[15/05/2018]])</f>
        <v>263606</v>
      </c>
      <c r="BB403">
        <f>IF(ISBLANK(Tabla7[[#This Row],[15/06/2018]]),0,Tabla7[[#This Row],[15/06/2018]])</f>
        <v>263899</v>
      </c>
      <c r="BC403">
        <f>IF(ISBLANK(Tabla7[[#This Row],[15/07/2018]]),0,Tabla7[[#This Row],[15/07/2018]])</f>
        <v>264258</v>
      </c>
      <c r="BD403">
        <f>IF(ISBLANK(Tabla7[[#This Row],[15/08/2018]]),0,Tabla7[[#This Row],[15/08/2018]])</f>
        <v>264863</v>
      </c>
      <c r="BE403">
        <f>IF(ISBLANK(Tabla7[[#This Row],[15/09/2018]]),0,Tabla7[[#This Row],[15/09/2018]])</f>
        <v>265606</v>
      </c>
      <c r="BF403">
        <f>IF(ISBLANK(Tabla7[[#This Row],[15/10/2018]]),0,Tabla7[[#This Row],[15/10/2018]])</f>
        <v>266370</v>
      </c>
      <c r="BG403">
        <f>IF(ISBLANK(Tabla7[[#This Row],[15/11/2018]]),0,Tabla7[[#This Row],[15/11/2018]])</f>
        <v>266595</v>
      </c>
      <c r="BH403">
        <f>IF(ISBLANK(Tabla7[[#This Row],[15/12/2018]]),0,Tabla7[[#This Row],[15/12/2018]])</f>
        <v>266595</v>
      </c>
      <c r="BI403">
        <f>IF(ISBLANK(Tabla7[[#This Row],[28/12/2018]]),0,Tabla7[[#This Row],[28/12/2018]])</f>
        <v>0</v>
      </c>
      <c r="BN40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('140754','V','VCT43','39302','VALENCIA TERMINAL EUROPA','EN CT (8)','TORRE 4311','');</v>
      </c>
      <c r="BO403" t="s">
        <v>243</v>
      </c>
      <c r="BP403" s="632" t="str">
        <f>CONCATENATE("insert into lecturas values ","('",Tabla7[[#This Row],[CONTADOR]],"',STR_TO_DATE('",Tabla7[[#Headers],[31/12/2017]],"','%d/%m/%Y'),",AV403,"),","('",Tabla7[[#This Row],[CONTADOR]],"',STR_TO_DATE('",Tabla7[[#Headers],[15/01/2018]],"','%d/%m/%Y'),",AW403,"),","('",Tabla7[[#This Row],[CONTADOR]],"',STR_TO_DATE('",Tabla7[[#Headers],[15/02/2018]],"','%d/%m/%Y'),",AX403,"),","('",Tabla7[[#This Row],[CONTADOR]],"',STR_TO_DATE('",Tabla7[[#Headers],[15/03/2018]],"','%d/%m/%Y'),",AY403,"),","('",Tabla7[[#This Row],[CONTADOR]],"',STR_TO_DATE('",Tabla7[[#Headers],[15/04/2018]],"','%d/%m/%Y'),",AZ403,"),","('",Tabla7[[#This Row],[CONTADOR]],"',STR_TO_DATE('",Tabla7[[#Headers],[15/05/2018]],"','%d/%m/%Y'),",BA403,"),","('",Tabla7[[#This Row],[CONTADOR]],"',STR_TO_DATE('",Tabla7[[#Headers],[15/06/2018]],"','%d/%m/%Y'),",BB403,"),","('",Tabla7[[#This Row],[CONTADOR]],"',STR_TO_DATE('",Tabla7[[#Headers],[15/07/2018]],"','%d/%m/%Y'),",BC403,"),","('",Tabla7[[#This Row],[CONTADOR]],"',STR_TO_DATE('",Tabla7[[#Headers],[15/08/2018]],"','%d/%m/%Y'),",BD403,"),","('",Tabla7[[#This Row],[CONTADOR]],"',STR_TO_DATE('",Tabla7[[#Headers],[15/09/2018]],"','%d/%m/%Y'),",BE403,"),","('",Tabla7[[#This Row],[CONTADOR]],"',STR_TO_DATE('",Tabla7[[#Headers],[15/10/2018]],"','%d/%m/%Y'),",BF403,"),","('",Tabla7[[#This Row],[CONTADOR]],"',STR_TO_DATE('",Tabla7[[#Headers],[15/11/2018]],"','%d/%m/%Y'),",BG403,"),","('",Tabla7[[#This Row],[CONTADOR]],"',STR_TO_DATE('",Tabla7[[#Headers],[15/12/2018]],"','%d/%m/%Y'),",BH403,");")</f>
        <v>insert into lecturas values ('140754',STR_TO_DATE('31/12/2017','%d/%m/%Y'),261619),('140754',STR_TO_DATE('15/01/2018','%d/%m/%Y'),261905),('140754',STR_TO_DATE('15/02/2018','%d/%m/%Y'),262408),('140754',STR_TO_DATE('15/03/2018','%d/%m/%Y'),262839),('140754',STR_TO_DATE('15/04/2018','%d/%m/%Y'),263247),('140754',STR_TO_DATE('15/05/2018','%d/%m/%Y'),263606),('140754',STR_TO_DATE('15/06/2018','%d/%m/%Y'),263899),('140754',STR_TO_DATE('15/07/2018','%d/%m/%Y'),264258),('140754',STR_TO_DATE('15/08/2018','%d/%m/%Y'),264863),('140754',STR_TO_DATE('15/09/2018','%d/%m/%Y'),265606),('140754',STR_TO_DATE('15/10/2018','%d/%m/%Y'),266370),('140754',STR_TO_DATE('15/11/2018','%d/%m/%Y'),266595),('140754',STR_TO_DATE('15/12/2018','%d/%m/%Y'),266595);</v>
      </c>
    </row>
    <row r="404" spans="1:68" ht="18" customHeight="1" x14ac:dyDescent="0.25">
      <c r="A404" s="241" t="s">
        <v>19</v>
      </c>
      <c r="B404" s="60"/>
      <c r="C404" s="342">
        <v>65100116117</v>
      </c>
      <c r="D404" s="60" t="s">
        <v>257</v>
      </c>
      <c r="E404" s="258">
        <v>39299</v>
      </c>
      <c r="F404" s="274" t="s">
        <v>250</v>
      </c>
      <c r="G404" s="2" t="s">
        <v>765</v>
      </c>
      <c r="H404" s="2" t="s">
        <v>267</v>
      </c>
      <c r="I404" s="274"/>
      <c r="J404" s="2">
        <v>189416</v>
      </c>
      <c r="K404" s="2">
        <v>189416</v>
      </c>
      <c r="L404" s="2">
        <v>189416</v>
      </c>
      <c r="M404" s="311">
        <v>189416</v>
      </c>
      <c r="N404" s="311">
        <v>189416</v>
      </c>
      <c r="O404" s="311">
        <v>189416</v>
      </c>
      <c r="P404" s="311">
        <v>189416</v>
      </c>
      <c r="Q404" s="275">
        <v>189416</v>
      </c>
      <c r="R404" s="274">
        <v>189416</v>
      </c>
      <c r="S404" s="311">
        <v>189416</v>
      </c>
      <c r="T404" s="311">
        <v>189416</v>
      </c>
      <c r="U404" s="492">
        <v>189416</v>
      </c>
      <c r="V404" s="492">
        <v>189416</v>
      </c>
      <c r="W404" s="2"/>
      <c r="X404" s="2"/>
      <c r="Y404" s="2">
        <f t="shared" si="135"/>
        <v>0</v>
      </c>
      <c r="Z404" s="2">
        <f t="shared" si="136"/>
        <v>0</v>
      </c>
      <c r="AA404" s="2">
        <f t="shared" si="150"/>
        <v>0</v>
      </c>
      <c r="AB404" s="2">
        <f t="shared" si="149"/>
        <v>0</v>
      </c>
      <c r="AC404" s="2">
        <f t="shared" si="137"/>
        <v>0</v>
      </c>
      <c r="AD404" s="2">
        <f t="shared" si="138"/>
        <v>0</v>
      </c>
      <c r="AE404" s="2">
        <f t="shared" si="139"/>
        <v>0</v>
      </c>
      <c r="AF404" s="2">
        <f t="shared" si="140"/>
        <v>0</v>
      </c>
      <c r="AG404" s="2">
        <f t="shared" si="141"/>
        <v>0</v>
      </c>
      <c r="AH404" s="2">
        <f t="shared" si="142"/>
        <v>0</v>
      </c>
      <c r="AI404" s="2">
        <f t="shared" si="143"/>
        <v>0</v>
      </c>
      <c r="AJ404" s="2">
        <f t="shared" si="144"/>
        <v>0</v>
      </c>
      <c r="AK404" s="406">
        <v>1</v>
      </c>
      <c r="AL404" s="274">
        <f t="shared" ca="1" si="145"/>
        <v>189416</v>
      </c>
      <c r="AM404" s="311">
        <f t="shared" ca="1" si="146"/>
        <v>189416</v>
      </c>
      <c r="AN404" s="274">
        <f ca="1">IF(AND(Tabla7[[#This Row],[UltLec]]&lt;&gt;0,Tabla7[[#This Row],[PenLect]]&lt;&gt;0),(AM404-AL404)*Tabla7[[#This Row],[RT]],"N/A")</f>
        <v>0</v>
      </c>
      <c r="AO404" s="273" t="s">
        <v>862</v>
      </c>
      <c r="AP404" s="392" t="s">
        <v>1190</v>
      </c>
      <c r="AQ404" s="392" t="s">
        <v>1189</v>
      </c>
      <c r="AR404" s="407">
        <f t="shared" si="147"/>
        <v>0</v>
      </c>
      <c r="AT404" s="2" t="str">
        <f t="shared" ca="1" si="148"/>
        <v>0</v>
      </c>
      <c r="AV404">
        <f>IF(ISBLANK(Tabla7[[#This Row],[31/12/2017]]),0,Tabla7[[#This Row],[31/12/2017]])</f>
        <v>189416</v>
      </c>
      <c r="AW404">
        <f>IF(ISBLANK(Tabla7[[#This Row],[15/01/2018]]),0,Tabla7[[#This Row],[15/01/2018]])</f>
        <v>189416</v>
      </c>
      <c r="AX404">
        <f>IF(ISBLANK(Tabla7[[#This Row],[15/02/2018]]),0,Tabla7[[#This Row],[15/02/2018]])</f>
        <v>189416</v>
      </c>
      <c r="AY404">
        <f>IF(ISBLANK(Tabla7[[#This Row],[15/03/2018]]),0,Tabla7[[#This Row],[15/03/2018]])</f>
        <v>189416</v>
      </c>
      <c r="AZ404">
        <f>IF(ISBLANK(Tabla7[[#This Row],[15/04/2018]]),0,Tabla7[[#This Row],[15/04/2018]])</f>
        <v>189416</v>
      </c>
      <c r="BA404">
        <f>IF(ISBLANK(Tabla7[[#This Row],[15/05/2018]]),0,Tabla7[[#This Row],[15/05/2018]])</f>
        <v>189416</v>
      </c>
      <c r="BB404">
        <f>IF(ISBLANK(Tabla7[[#This Row],[15/06/2018]]),0,Tabla7[[#This Row],[15/06/2018]])</f>
        <v>189416</v>
      </c>
      <c r="BC404">
        <f>IF(ISBLANK(Tabla7[[#This Row],[15/07/2018]]),0,Tabla7[[#This Row],[15/07/2018]])</f>
        <v>189416</v>
      </c>
      <c r="BD404">
        <f>IF(ISBLANK(Tabla7[[#This Row],[15/08/2018]]),0,Tabla7[[#This Row],[15/08/2018]])</f>
        <v>189416</v>
      </c>
      <c r="BE404">
        <f>IF(ISBLANK(Tabla7[[#This Row],[15/09/2018]]),0,Tabla7[[#This Row],[15/09/2018]])</f>
        <v>189416</v>
      </c>
      <c r="BF404">
        <f>IF(ISBLANK(Tabla7[[#This Row],[15/10/2018]]),0,Tabla7[[#This Row],[15/10/2018]])</f>
        <v>189416</v>
      </c>
      <c r="BG404">
        <f>IF(ISBLANK(Tabla7[[#This Row],[15/11/2018]]),0,Tabla7[[#This Row],[15/11/2018]])</f>
        <v>189416</v>
      </c>
      <c r="BH404">
        <f>IF(ISBLANK(Tabla7[[#This Row],[15/12/2018]]),0,Tabla7[[#This Row],[15/12/2018]])</f>
        <v>189416</v>
      </c>
      <c r="BI404">
        <f>IF(ISBLANK(Tabla7[[#This Row],[28/12/2018]]),0,Tabla7[[#This Row],[28/12/2018]])</f>
        <v>0</v>
      </c>
      <c r="BN40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('65100116117','V','VCT43','39299','VALENCIA TERMINAL EUROPA','EN CT (5)','TORRE 4308','');</v>
      </c>
      <c r="BO404" t="s">
        <v>243</v>
      </c>
      <c r="BP404" s="632" t="str">
        <f>CONCATENATE("insert into lecturas values ","('",Tabla7[[#This Row],[CONTADOR]],"',STR_TO_DATE('",Tabla7[[#Headers],[31/12/2017]],"','%d/%m/%Y'),",AV404,"),","('",Tabla7[[#This Row],[CONTADOR]],"',STR_TO_DATE('",Tabla7[[#Headers],[15/01/2018]],"','%d/%m/%Y'),",AW404,"),","('",Tabla7[[#This Row],[CONTADOR]],"',STR_TO_DATE('",Tabla7[[#Headers],[15/02/2018]],"','%d/%m/%Y'),",AX404,"),","('",Tabla7[[#This Row],[CONTADOR]],"',STR_TO_DATE('",Tabla7[[#Headers],[15/03/2018]],"','%d/%m/%Y'),",AY404,"),","('",Tabla7[[#This Row],[CONTADOR]],"',STR_TO_DATE('",Tabla7[[#Headers],[15/04/2018]],"','%d/%m/%Y'),",AZ404,"),","('",Tabla7[[#This Row],[CONTADOR]],"',STR_TO_DATE('",Tabla7[[#Headers],[15/05/2018]],"','%d/%m/%Y'),",BA404,"),","('",Tabla7[[#This Row],[CONTADOR]],"',STR_TO_DATE('",Tabla7[[#Headers],[15/06/2018]],"','%d/%m/%Y'),",BB404,"),","('",Tabla7[[#This Row],[CONTADOR]],"',STR_TO_DATE('",Tabla7[[#Headers],[15/07/2018]],"','%d/%m/%Y'),",BC404,"),","('",Tabla7[[#This Row],[CONTADOR]],"',STR_TO_DATE('",Tabla7[[#Headers],[15/08/2018]],"','%d/%m/%Y'),",BD404,"),","('",Tabla7[[#This Row],[CONTADOR]],"',STR_TO_DATE('",Tabla7[[#Headers],[15/09/2018]],"','%d/%m/%Y'),",BE404,"),","('",Tabla7[[#This Row],[CONTADOR]],"',STR_TO_DATE('",Tabla7[[#Headers],[15/10/2018]],"','%d/%m/%Y'),",BF404,"),","('",Tabla7[[#This Row],[CONTADOR]],"',STR_TO_DATE('",Tabla7[[#Headers],[15/11/2018]],"','%d/%m/%Y'),",BG404,"),","('",Tabla7[[#This Row],[CONTADOR]],"',STR_TO_DATE('",Tabla7[[#Headers],[15/12/2018]],"','%d/%m/%Y'),",BH404,");")</f>
        <v>insert into lecturas values ('65100116117',STR_TO_DATE('31/12/2017','%d/%m/%Y'),189416),('65100116117',STR_TO_DATE('15/01/2018','%d/%m/%Y'),189416),('65100116117',STR_TO_DATE('15/02/2018','%d/%m/%Y'),189416),('65100116117',STR_TO_DATE('15/03/2018','%d/%m/%Y'),189416),('65100116117',STR_TO_DATE('15/04/2018','%d/%m/%Y'),189416),('65100116117',STR_TO_DATE('15/05/2018','%d/%m/%Y'),189416),('65100116117',STR_TO_DATE('15/06/2018','%d/%m/%Y'),189416),('65100116117',STR_TO_DATE('15/07/2018','%d/%m/%Y'),189416),('65100116117',STR_TO_DATE('15/08/2018','%d/%m/%Y'),189416),('65100116117',STR_TO_DATE('15/09/2018','%d/%m/%Y'),189416),('65100116117',STR_TO_DATE('15/10/2018','%d/%m/%Y'),189416),('65100116117',STR_TO_DATE('15/11/2018','%d/%m/%Y'),189416),('65100116117',STR_TO_DATE('15/12/2018','%d/%m/%Y'),189416);</v>
      </c>
    </row>
    <row r="405" spans="1:68" ht="18" customHeight="1" x14ac:dyDescent="0.25">
      <c r="A405" s="241" t="s">
        <v>19</v>
      </c>
      <c r="B405" s="60"/>
      <c r="C405" s="342">
        <v>71300126672</v>
      </c>
      <c r="D405" s="60" t="s">
        <v>257</v>
      </c>
      <c r="E405" s="258">
        <v>39301</v>
      </c>
      <c r="F405" s="274" t="s">
        <v>250</v>
      </c>
      <c r="G405" s="274" t="s">
        <v>766</v>
      </c>
      <c r="H405" s="274" t="s">
        <v>269</v>
      </c>
      <c r="I405" s="274"/>
      <c r="J405" s="274">
        <v>293037</v>
      </c>
      <c r="K405" s="274">
        <v>293556</v>
      </c>
      <c r="L405" s="274">
        <v>294092</v>
      </c>
      <c r="M405" s="311">
        <v>294551</v>
      </c>
      <c r="N405" s="311">
        <v>294956</v>
      </c>
      <c r="O405" s="311">
        <v>295270</v>
      </c>
      <c r="P405" s="311">
        <v>295615</v>
      </c>
      <c r="Q405" s="307">
        <v>296006</v>
      </c>
      <c r="R405" s="274">
        <v>296709</v>
      </c>
      <c r="S405" s="311">
        <v>297642</v>
      </c>
      <c r="T405" s="311">
        <v>298443</v>
      </c>
      <c r="U405" s="311">
        <v>299562</v>
      </c>
      <c r="V405" s="492">
        <v>300430</v>
      </c>
      <c r="W405" s="274"/>
      <c r="X405" s="274"/>
      <c r="Y405" s="274">
        <f t="shared" si="135"/>
        <v>519</v>
      </c>
      <c r="Z405" s="274">
        <f t="shared" si="136"/>
        <v>536</v>
      </c>
      <c r="AA405" s="274">
        <f t="shared" si="150"/>
        <v>459</v>
      </c>
      <c r="AB405" s="274">
        <f t="shared" si="149"/>
        <v>405</v>
      </c>
      <c r="AC405" s="274">
        <f t="shared" si="137"/>
        <v>314</v>
      </c>
      <c r="AD405" s="274">
        <f t="shared" si="138"/>
        <v>345</v>
      </c>
      <c r="AE405" s="274">
        <f t="shared" si="139"/>
        <v>391</v>
      </c>
      <c r="AF405" s="274">
        <f t="shared" si="140"/>
        <v>703</v>
      </c>
      <c r="AG405" s="274">
        <f t="shared" si="141"/>
        <v>933</v>
      </c>
      <c r="AH405" s="274">
        <f t="shared" si="142"/>
        <v>801</v>
      </c>
      <c r="AI405" s="274">
        <f t="shared" si="143"/>
        <v>1119</v>
      </c>
      <c r="AJ405" s="274">
        <f t="shared" si="144"/>
        <v>868</v>
      </c>
      <c r="AK405" s="406">
        <v>1</v>
      </c>
      <c r="AL405" s="274">
        <f t="shared" ca="1" si="145"/>
        <v>294956</v>
      </c>
      <c r="AM405" s="311">
        <f t="shared" ca="1" si="146"/>
        <v>295270</v>
      </c>
      <c r="AN405" s="274">
        <f ca="1">IF(AND(Tabla7[[#This Row],[UltLec]]&lt;&gt;0,Tabla7[[#This Row],[PenLect]]&lt;&gt;0),(AM405-AL405)*Tabla7[[#This Row],[RT]],"N/A")</f>
        <v>314</v>
      </c>
      <c r="AO405" s="273" t="s">
        <v>862</v>
      </c>
      <c r="AP405" s="392" t="s">
        <v>1190</v>
      </c>
      <c r="AQ405" s="392" t="s">
        <v>1189</v>
      </c>
      <c r="AR405" s="407">
        <f t="shared" si="147"/>
        <v>0</v>
      </c>
      <c r="AT405" s="2">
        <f t="shared" ca="1" si="148"/>
        <v>0.77530864197530869</v>
      </c>
      <c r="AV405">
        <f>IF(ISBLANK(Tabla7[[#This Row],[31/12/2017]]),0,Tabla7[[#This Row],[31/12/2017]])</f>
        <v>293037</v>
      </c>
      <c r="AW405">
        <f>IF(ISBLANK(Tabla7[[#This Row],[15/01/2018]]),0,Tabla7[[#This Row],[15/01/2018]])</f>
        <v>293556</v>
      </c>
      <c r="AX405">
        <f>IF(ISBLANK(Tabla7[[#This Row],[15/02/2018]]),0,Tabla7[[#This Row],[15/02/2018]])</f>
        <v>294092</v>
      </c>
      <c r="AY405">
        <f>IF(ISBLANK(Tabla7[[#This Row],[15/03/2018]]),0,Tabla7[[#This Row],[15/03/2018]])</f>
        <v>294551</v>
      </c>
      <c r="AZ405">
        <f>IF(ISBLANK(Tabla7[[#This Row],[15/04/2018]]),0,Tabla7[[#This Row],[15/04/2018]])</f>
        <v>294956</v>
      </c>
      <c r="BA405">
        <f>IF(ISBLANK(Tabla7[[#This Row],[15/05/2018]]),0,Tabla7[[#This Row],[15/05/2018]])</f>
        <v>295270</v>
      </c>
      <c r="BB405">
        <f>IF(ISBLANK(Tabla7[[#This Row],[15/06/2018]]),0,Tabla7[[#This Row],[15/06/2018]])</f>
        <v>295615</v>
      </c>
      <c r="BC405">
        <f>IF(ISBLANK(Tabla7[[#This Row],[15/07/2018]]),0,Tabla7[[#This Row],[15/07/2018]])</f>
        <v>296006</v>
      </c>
      <c r="BD405">
        <f>IF(ISBLANK(Tabla7[[#This Row],[15/08/2018]]),0,Tabla7[[#This Row],[15/08/2018]])</f>
        <v>296709</v>
      </c>
      <c r="BE405">
        <f>IF(ISBLANK(Tabla7[[#This Row],[15/09/2018]]),0,Tabla7[[#This Row],[15/09/2018]])</f>
        <v>297642</v>
      </c>
      <c r="BF405">
        <f>IF(ISBLANK(Tabla7[[#This Row],[15/10/2018]]),0,Tabla7[[#This Row],[15/10/2018]])</f>
        <v>298443</v>
      </c>
      <c r="BG405">
        <f>IF(ISBLANK(Tabla7[[#This Row],[15/11/2018]]),0,Tabla7[[#This Row],[15/11/2018]])</f>
        <v>299562</v>
      </c>
      <c r="BH405">
        <f>IF(ISBLANK(Tabla7[[#This Row],[15/12/2018]]),0,Tabla7[[#This Row],[15/12/2018]])</f>
        <v>300430</v>
      </c>
      <c r="BI405">
        <f>IF(ISBLANK(Tabla7[[#This Row],[28/12/2018]]),0,Tabla7[[#This Row],[28/12/2018]])</f>
        <v>0</v>
      </c>
      <c r="BN40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('71300126672','V','VCT43','39301','VALENCIA TERMINAL EUROPA','EN CT (7)','TORRE 4310','');</v>
      </c>
      <c r="BO405" t="s">
        <v>243</v>
      </c>
      <c r="BP405" s="632" t="str">
        <f>CONCATENATE("insert into lecturas values ","('",Tabla7[[#This Row],[CONTADOR]],"',STR_TO_DATE('",Tabla7[[#Headers],[31/12/2017]],"','%d/%m/%Y'),",AV405,"),","('",Tabla7[[#This Row],[CONTADOR]],"',STR_TO_DATE('",Tabla7[[#Headers],[15/01/2018]],"','%d/%m/%Y'),",AW405,"),","('",Tabla7[[#This Row],[CONTADOR]],"',STR_TO_DATE('",Tabla7[[#Headers],[15/02/2018]],"','%d/%m/%Y'),",AX405,"),","('",Tabla7[[#This Row],[CONTADOR]],"',STR_TO_DATE('",Tabla7[[#Headers],[15/03/2018]],"','%d/%m/%Y'),",AY405,"),","('",Tabla7[[#This Row],[CONTADOR]],"',STR_TO_DATE('",Tabla7[[#Headers],[15/04/2018]],"','%d/%m/%Y'),",AZ405,"),","('",Tabla7[[#This Row],[CONTADOR]],"',STR_TO_DATE('",Tabla7[[#Headers],[15/05/2018]],"','%d/%m/%Y'),",BA405,"),","('",Tabla7[[#This Row],[CONTADOR]],"',STR_TO_DATE('",Tabla7[[#Headers],[15/06/2018]],"','%d/%m/%Y'),",BB405,"),","('",Tabla7[[#This Row],[CONTADOR]],"',STR_TO_DATE('",Tabla7[[#Headers],[15/07/2018]],"','%d/%m/%Y'),",BC405,"),","('",Tabla7[[#This Row],[CONTADOR]],"',STR_TO_DATE('",Tabla7[[#Headers],[15/08/2018]],"','%d/%m/%Y'),",BD405,"),","('",Tabla7[[#This Row],[CONTADOR]],"',STR_TO_DATE('",Tabla7[[#Headers],[15/09/2018]],"','%d/%m/%Y'),",BE405,"),","('",Tabla7[[#This Row],[CONTADOR]],"',STR_TO_DATE('",Tabla7[[#Headers],[15/10/2018]],"','%d/%m/%Y'),",BF405,"),","('",Tabla7[[#This Row],[CONTADOR]],"',STR_TO_DATE('",Tabla7[[#Headers],[15/11/2018]],"','%d/%m/%Y'),",BG405,"),","('",Tabla7[[#This Row],[CONTADOR]],"',STR_TO_DATE('",Tabla7[[#Headers],[15/12/2018]],"','%d/%m/%Y'),",BH405,");")</f>
        <v>insert into lecturas values ('71300126672',STR_TO_DATE('31/12/2017','%d/%m/%Y'),293037),('71300126672',STR_TO_DATE('15/01/2018','%d/%m/%Y'),293556),('71300126672',STR_TO_DATE('15/02/2018','%d/%m/%Y'),294092),('71300126672',STR_TO_DATE('15/03/2018','%d/%m/%Y'),294551),('71300126672',STR_TO_DATE('15/04/2018','%d/%m/%Y'),294956),('71300126672',STR_TO_DATE('15/05/2018','%d/%m/%Y'),295270),('71300126672',STR_TO_DATE('15/06/2018','%d/%m/%Y'),295615),('71300126672',STR_TO_DATE('15/07/2018','%d/%m/%Y'),296006),('71300126672',STR_TO_DATE('15/08/2018','%d/%m/%Y'),296709),('71300126672',STR_TO_DATE('15/09/2018','%d/%m/%Y'),297642),('71300126672',STR_TO_DATE('15/10/2018','%d/%m/%Y'),298443),('71300126672',STR_TO_DATE('15/11/2018','%d/%m/%Y'),299562),('71300126672',STR_TO_DATE('15/12/2018','%d/%m/%Y'),300430);</v>
      </c>
    </row>
    <row r="406" spans="1:68" ht="18" customHeight="1" x14ac:dyDescent="0.25">
      <c r="A406" s="241" t="s">
        <v>19</v>
      </c>
      <c r="B406" s="60"/>
      <c r="C406" s="342">
        <v>73900146533</v>
      </c>
      <c r="D406" s="60" t="s">
        <v>257</v>
      </c>
      <c r="E406" s="258">
        <v>39300</v>
      </c>
      <c r="F406" s="274" t="s">
        <v>250</v>
      </c>
      <c r="G406" s="274" t="s">
        <v>772</v>
      </c>
      <c r="H406" s="2" t="s">
        <v>268</v>
      </c>
      <c r="I406" s="2"/>
      <c r="J406" s="2">
        <v>268862</v>
      </c>
      <c r="K406" s="274">
        <v>269982</v>
      </c>
      <c r="L406" s="2">
        <v>271834</v>
      </c>
      <c r="M406" s="311">
        <v>273429</v>
      </c>
      <c r="N406" s="311">
        <v>274985</v>
      </c>
      <c r="O406" s="311">
        <v>276487</v>
      </c>
      <c r="P406" s="311">
        <v>277767</v>
      </c>
      <c r="Q406" s="275">
        <v>279089</v>
      </c>
      <c r="R406" s="274">
        <v>280479</v>
      </c>
      <c r="S406" s="311">
        <v>282185</v>
      </c>
      <c r="T406" s="311">
        <v>283473</v>
      </c>
      <c r="U406" s="492">
        <v>284939</v>
      </c>
      <c r="V406" s="492">
        <v>286398</v>
      </c>
      <c r="W406" s="2"/>
      <c r="X406" s="2"/>
      <c r="Y406" s="2">
        <f t="shared" si="135"/>
        <v>1120</v>
      </c>
      <c r="Z406" s="2">
        <f t="shared" si="136"/>
        <v>1852</v>
      </c>
      <c r="AA406" s="2">
        <f t="shared" si="150"/>
        <v>1595</v>
      </c>
      <c r="AB406" s="2">
        <f t="shared" si="149"/>
        <v>1556</v>
      </c>
      <c r="AC406" s="2">
        <f t="shared" si="137"/>
        <v>1502</v>
      </c>
      <c r="AD406" s="2">
        <f t="shared" si="138"/>
        <v>1280</v>
      </c>
      <c r="AE406" s="2">
        <f t="shared" si="139"/>
        <v>1322</v>
      </c>
      <c r="AF406" s="2">
        <f t="shared" si="140"/>
        <v>1390</v>
      </c>
      <c r="AG406" s="2">
        <f t="shared" si="141"/>
        <v>1706</v>
      </c>
      <c r="AH406" s="2">
        <f t="shared" si="142"/>
        <v>1288</v>
      </c>
      <c r="AI406" s="2">
        <f t="shared" si="143"/>
        <v>1466</v>
      </c>
      <c r="AJ406" s="2">
        <f t="shared" si="144"/>
        <v>1459</v>
      </c>
      <c r="AK406" s="406">
        <v>1</v>
      </c>
      <c r="AL406" s="274">
        <f t="shared" ca="1" si="145"/>
        <v>274985</v>
      </c>
      <c r="AM406" s="311">
        <f t="shared" ca="1" si="146"/>
        <v>276487</v>
      </c>
      <c r="AN406" s="274">
        <f ca="1">IF(AND(Tabla7[[#This Row],[UltLec]]&lt;&gt;0,Tabla7[[#This Row],[PenLect]]&lt;&gt;0),(AM406-AL406)*Tabla7[[#This Row],[RT]],"N/A")</f>
        <v>1502</v>
      </c>
      <c r="AO406" s="273" t="s">
        <v>862</v>
      </c>
      <c r="AP406" s="392" t="s">
        <v>1190</v>
      </c>
      <c r="AQ406" s="392" t="s">
        <v>1189</v>
      </c>
      <c r="AR406" s="407">
        <f t="shared" si="147"/>
        <v>0</v>
      </c>
      <c r="AT406" s="2">
        <f t="shared" ca="1" si="148"/>
        <v>0.96529562982005146</v>
      </c>
      <c r="AV406">
        <f>IF(ISBLANK(Tabla7[[#This Row],[31/12/2017]]),0,Tabla7[[#This Row],[31/12/2017]])</f>
        <v>268862</v>
      </c>
      <c r="AW406">
        <f>IF(ISBLANK(Tabla7[[#This Row],[15/01/2018]]),0,Tabla7[[#This Row],[15/01/2018]])</f>
        <v>269982</v>
      </c>
      <c r="AX406">
        <f>IF(ISBLANK(Tabla7[[#This Row],[15/02/2018]]),0,Tabla7[[#This Row],[15/02/2018]])</f>
        <v>271834</v>
      </c>
      <c r="AY406">
        <f>IF(ISBLANK(Tabla7[[#This Row],[15/03/2018]]),0,Tabla7[[#This Row],[15/03/2018]])</f>
        <v>273429</v>
      </c>
      <c r="AZ406">
        <f>IF(ISBLANK(Tabla7[[#This Row],[15/04/2018]]),0,Tabla7[[#This Row],[15/04/2018]])</f>
        <v>274985</v>
      </c>
      <c r="BA406">
        <f>IF(ISBLANK(Tabla7[[#This Row],[15/05/2018]]),0,Tabla7[[#This Row],[15/05/2018]])</f>
        <v>276487</v>
      </c>
      <c r="BB406">
        <f>IF(ISBLANK(Tabla7[[#This Row],[15/06/2018]]),0,Tabla7[[#This Row],[15/06/2018]])</f>
        <v>277767</v>
      </c>
      <c r="BC406">
        <f>IF(ISBLANK(Tabla7[[#This Row],[15/07/2018]]),0,Tabla7[[#This Row],[15/07/2018]])</f>
        <v>279089</v>
      </c>
      <c r="BD406">
        <f>IF(ISBLANK(Tabla7[[#This Row],[15/08/2018]]),0,Tabla7[[#This Row],[15/08/2018]])</f>
        <v>280479</v>
      </c>
      <c r="BE406">
        <f>IF(ISBLANK(Tabla7[[#This Row],[15/09/2018]]),0,Tabla7[[#This Row],[15/09/2018]])</f>
        <v>282185</v>
      </c>
      <c r="BF406">
        <f>IF(ISBLANK(Tabla7[[#This Row],[15/10/2018]]),0,Tabla7[[#This Row],[15/10/2018]])</f>
        <v>283473</v>
      </c>
      <c r="BG406">
        <f>IF(ISBLANK(Tabla7[[#This Row],[15/11/2018]]),0,Tabla7[[#This Row],[15/11/2018]])</f>
        <v>284939</v>
      </c>
      <c r="BH406">
        <f>IF(ISBLANK(Tabla7[[#This Row],[15/12/2018]]),0,Tabla7[[#This Row],[15/12/2018]])</f>
        <v>286398</v>
      </c>
      <c r="BI406">
        <f>IF(ISBLANK(Tabla7[[#This Row],[28/12/2018]]),0,Tabla7[[#This Row],[28/12/2018]])</f>
        <v>0</v>
      </c>
      <c r="BN40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('73900146533','V','VCT43','39300','VALENCIA TERMINAL EUROPA','EN CT (6)','TORRE4309','');</v>
      </c>
      <c r="BO406" t="s">
        <v>243</v>
      </c>
      <c r="BP406" s="632" t="str">
        <f>CONCATENATE("insert into lecturas values ","('",Tabla7[[#This Row],[CONTADOR]],"',STR_TO_DATE('",Tabla7[[#Headers],[31/12/2017]],"','%d/%m/%Y'),",AV406,"),","('",Tabla7[[#This Row],[CONTADOR]],"',STR_TO_DATE('",Tabla7[[#Headers],[15/01/2018]],"','%d/%m/%Y'),",AW406,"),","('",Tabla7[[#This Row],[CONTADOR]],"',STR_TO_DATE('",Tabla7[[#Headers],[15/02/2018]],"','%d/%m/%Y'),",AX406,"),","('",Tabla7[[#This Row],[CONTADOR]],"',STR_TO_DATE('",Tabla7[[#Headers],[15/03/2018]],"','%d/%m/%Y'),",AY406,"),","('",Tabla7[[#This Row],[CONTADOR]],"',STR_TO_DATE('",Tabla7[[#Headers],[15/04/2018]],"','%d/%m/%Y'),",AZ406,"),","('",Tabla7[[#This Row],[CONTADOR]],"',STR_TO_DATE('",Tabla7[[#Headers],[15/05/2018]],"','%d/%m/%Y'),",BA406,"),","('",Tabla7[[#This Row],[CONTADOR]],"',STR_TO_DATE('",Tabla7[[#Headers],[15/06/2018]],"','%d/%m/%Y'),",BB406,"),","('",Tabla7[[#This Row],[CONTADOR]],"',STR_TO_DATE('",Tabla7[[#Headers],[15/07/2018]],"','%d/%m/%Y'),",BC406,"),","('",Tabla7[[#This Row],[CONTADOR]],"',STR_TO_DATE('",Tabla7[[#Headers],[15/08/2018]],"','%d/%m/%Y'),",BD406,"),","('",Tabla7[[#This Row],[CONTADOR]],"',STR_TO_DATE('",Tabla7[[#Headers],[15/09/2018]],"','%d/%m/%Y'),",BE406,"),","('",Tabla7[[#This Row],[CONTADOR]],"',STR_TO_DATE('",Tabla7[[#Headers],[15/10/2018]],"','%d/%m/%Y'),",BF406,"),","('",Tabla7[[#This Row],[CONTADOR]],"',STR_TO_DATE('",Tabla7[[#Headers],[15/11/2018]],"','%d/%m/%Y'),",BG406,"),","('",Tabla7[[#This Row],[CONTADOR]],"',STR_TO_DATE('",Tabla7[[#Headers],[15/12/2018]],"','%d/%m/%Y'),",BH406,");")</f>
        <v>insert into lecturas values ('73900146533',STR_TO_DATE('31/12/2017','%d/%m/%Y'),268862),('73900146533',STR_TO_DATE('15/01/2018','%d/%m/%Y'),269982),('73900146533',STR_TO_DATE('15/02/2018','%d/%m/%Y'),271834),('73900146533',STR_TO_DATE('15/03/2018','%d/%m/%Y'),273429),('73900146533',STR_TO_DATE('15/04/2018','%d/%m/%Y'),274985),('73900146533',STR_TO_DATE('15/05/2018','%d/%m/%Y'),276487),('73900146533',STR_TO_DATE('15/06/2018','%d/%m/%Y'),277767),('73900146533',STR_TO_DATE('15/07/2018','%d/%m/%Y'),279089),('73900146533',STR_TO_DATE('15/08/2018','%d/%m/%Y'),280479),('73900146533',STR_TO_DATE('15/09/2018','%d/%m/%Y'),282185),('73900146533',STR_TO_DATE('15/10/2018','%d/%m/%Y'),283473),('73900146533',STR_TO_DATE('15/11/2018','%d/%m/%Y'),284939),('73900146533',STR_TO_DATE('15/12/2018','%d/%m/%Y'),286398);</v>
      </c>
    </row>
    <row r="407" spans="1:68" ht="18" customHeight="1" x14ac:dyDescent="0.25">
      <c r="A407" s="241" t="s">
        <v>19</v>
      </c>
      <c r="B407" s="60">
        <v>1204</v>
      </c>
      <c r="C407" s="342" t="s">
        <v>258</v>
      </c>
      <c r="D407" s="60" t="s">
        <v>257</v>
      </c>
      <c r="E407" s="258">
        <v>39177</v>
      </c>
      <c r="F407" s="2" t="s">
        <v>250</v>
      </c>
      <c r="G407" s="2" t="s">
        <v>63</v>
      </c>
      <c r="H407" s="2"/>
      <c r="I407" s="2"/>
      <c r="J407" s="2">
        <v>470084</v>
      </c>
      <c r="K407" s="274">
        <v>475042</v>
      </c>
      <c r="L407" s="2">
        <v>484280</v>
      </c>
      <c r="M407" s="311">
        <v>492008</v>
      </c>
      <c r="N407" s="311">
        <v>499665</v>
      </c>
      <c r="O407" s="311">
        <v>507989</v>
      </c>
      <c r="P407" s="311">
        <v>518159</v>
      </c>
      <c r="Q407" s="307">
        <v>532890</v>
      </c>
      <c r="R407" s="2">
        <v>548548</v>
      </c>
      <c r="S407" s="311">
        <v>564074</v>
      </c>
      <c r="T407" s="311">
        <v>575323</v>
      </c>
      <c r="U407" s="492">
        <v>584032</v>
      </c>
      <c r="V407" s="492">
        <v>592040</v>
      </c>
      <c r="W407" s="2"/>
      <c r="X407" s="2"/>
      <c r="Y407" s="2">
        <f t="shared" si="135"/>
        <v>4958</v>
      </c>
      <c r="Z407" s="2">
        <f t="shared" si="136"/>
        <v>9238</v>
      </c>
      <c r="AA407" s="2">
        <f t="shared" si="150"/>
        <v>7728</v>
      </c>
      <c r="AB407" s="2">
        <f t="shared" si="149"/>
        <v>7657</v>
      </c>
      <c r="AC407" s="2">
        <f t="shared" si="137"/>
        <v>8324</v>
      </c>
      <c r="AD407" s="2">
        <f t="shared" si="138"/>
        <v>10170</v>
      </c>
      <c r="AE407" s="2">
        <f t="shared" si="139"/>
        <v>14731</v>
      </c>
      <c r="AF407" s="2">
        <f t="shared" si="140"/>
        <v>15658</v>
      </c>
      <c r="AG407" s="2">
        <f t="shared" si="141"/>
        <v>15526</v>
      </c>
      <c r="AH407" s="2">
        <f t="shared" si="142"/>
        <v>11249</v>
      </c>
      <c r="AI407" s="2">
        <f t="shared" si="143"/>
        <v>8709</v>
      </c>
      <c r="AJ407" s="2">
        <f t="shared" si="144"/>
        <v>8008</v>
      </c>
      <c r="AK407" s="406">
        <v>1</v>
      </c>
      <c r="AL407" s="274">
        <f t="shared" ca="1" si="145"/>
        <v>499665</v>
      </c>
      <c r="AM407" s="311">
        <f t="shared" ca="1" si="146"/>
        <v>507989</v>
      </c>
      <c r="AN407" s="274">
        <f ca="1">IF(AND(Tabla7[[#This Row],[UltLec]]&lt;&gt;0,Tabla7[[#This Row],[PenLect]]&lt;&gt;0),(AM407-AL407)*Tabla7[[#This Row],[RT]],"N/A")</f>
        <v>8324</v>
      </c>
      <c r="AO407" s="273" t="s">
        <v>862</v>
      </c>
      <c r="AP407" s="392" t="s">
        <v>1190</v>
      </c>
      <c r="AQ407" s="392" t="s">
        <v>1189</v>
      </c>
      <c r="AR407" s="407">
        <f t="shared" si="147"/>
        <v>0</v>
      </c>
      <c r="AT407" s="2">
        <f t="shared" ca="1" si="148"/>
        <v>1.0871098341386967</v>
      </c>
      <c r="AV407">
        <f>IF(ISBLANK(Tabla7[[#This Row],[31/12/2017]]),0,Tabla7[[#This Row],[31/12/2017]])</f>
        <v>470084</v>
      </c>
      <c r="AW407">
        <f>IF(ISBLANK(Tabla7[[#This Row],[15/01/2018]]),0,Tabla7[[#This Row],[15/01/2018]])</f>
        <v>475042</v>
      </c>
      <c r="AX407">
        <f>IF(ISBLANK(Tabla7[[#This Row],[15/02/2018]]),0,Tabla7[[#This Row],[15/02/2018]])</f>
        <v>484280</v>
      </c>
      <c r="AY407">
        <f>IF(ISBLANK(Tabla7[[#This Row],[15/03/2018]]),0,Tabla7[[#This Row],[15/03/2018]])</f>
        <v>492008</v>
      </c>
      <c r="AZ407">
        <f>IF(ISBLANK(Tabla7[[#This Row],[15/04/2018]]),0,Tabla7[[#This Row],[15/04/2018]])</f>
        <v>499665</v>
      </c>
      <c r="BA407">
        <f>IF(ISBLANK(Tabla7[[#This Row],[15/05/2018]]),0,Tabla7[[#This Row],[15/05/2018]])</f>
        <v>507989</v>
      </c>
      <c r="BB407">
        <f>IF(ISBLANK(Tabla7[[#This Row],[15/06/2018]]),0,Tabla7[[#This Row],[15/06/2018]])</f>
        <v>518159</v>
      </c>
      <c r="BC407">
        <f>IF(ISBLANK(Tabla7[[#This Row],[15/07/2018]]),0,Tabla7[[#This Row],[15/07/2018]])</f>
        <v>532890</v>
      </c>
      <c r="BD407">
        <f>IF(ISBLANK(Tabla7[[#This Row],[15/08/2018]]),0,Tabla7[[#This Row],[15/08/2018]])</f>
        <v>548548</v>
      </c>
      <c r="BE407">
        <f>IF(ISBLANK(Tabla7[[#This Row],[15/09/2018]]),0,Tabla7[[#This Row],[15/09/2018]])</f>
        <v>564074</v>
      </c>
      <c r="BF407">
        <f>IF(ISBLANK(Tabla7[[#This Row],[15/10/2018]]),0,Tabla7[[#This Row],[15/10/2018]])</f>
        <v>575323</v>
      </c>
      <c r="BG407">
        <f>IF(ISBLANK(Tabla7[[#This Row],[15/11/2018]]),0,Tabla7[[#This Row],[15/11/2018]])</f>
        <v>584032</v>
      </c>
      <c r="BH407">
        <f>IF(ISBLANK(Tabla7[[#This Row],[15/12/2018]]),0,Tabla7[[#This Row],[15/12/2018]])</f>
        <v>592040</v>
      </c>
      <c r="BI407">
        <f>IF(ISBLANK(Tabla7[[#This Row],[28/12/2018]]),0,Tabla7[[#This Row],[28/12/2018]])</f>
        <v>0</v>
      </c>
      <c r="BN40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('LW00181174','V','VCT43','39177','VALENCIA TERMINAL EUROPA','EN CT','','');</v>
      </c>
      <c r="BO407" t="s">
        <v>243</v>
      </c>
      <c r="BP407" s="632" t="str">
        <f>CONCATENATE("insert into lecturas values ","('",Tabla7[[#This Row],[CONTADOR]],"',STR_TO_DATE('",Tabla7[[#Headers],[31/12/2017]],"','%d/%m/%Y'),",AV407,"),","('",Tabla7[[#This Row],[CONTADOR]],"',STR_TO_DATE('",Tabla7[[#Headers],[15/01/2018]],"','%d/%m/%Y'),",AW407,"),","('",Tabla7[[#This Row],[CONTADOR]],"',STR_TO_DATE('",Tabla7[[#Headers],[15/02/2018]],"','%d/%m/%Y'),",AX407,"),","('",Tabla7[[#This Row],[CONTADOR]],"',STR_TO_DATE('",Tabla7[[#Headers],[15/03/2018]],"','%d/%m/%Y'),",AY407,"),","('",Tabla7[[#This Row],[CONTADOR]],"',STR_TO_DATE('",Tabla7[[#Headers],[15/04/2018]],"','%d/%m/%Y'),",AZ407,"),","('",Tabla7[[#This Row],[CONTADOR]],"',STR_TO_DATE('",Tabla7[[#Headers],[15/05/2018]],"','%d/%m/%Y'),",BA407,"),","('",Tabla7[[#This Row],[CONTADOR]],"',STR_TO_DATE('",Tabla7[[#Headers],[15/06/2018]],"','%d/%m/%Y'),",BB407,"),","('",Tabla7[[#This Row],[CONTADOR]],"',STR_TO_DATE('",Tabla7[[#Headers],[15/07/2018]],"','%d/%m/%Y'),",BC407,"),","('",Tabla7[[#This Row],[CONTADOR]],"',STR_TO_DATE('",Tabla7[[#Headers],[15/08/2018]],"','%d/%m/%Y'),",BD407,"),","('",Tabla7[[#This Row],[CONTADOR]],"',STR_TO_DATE('",Tabla7[[#Headers],[15/09/2018]],"','%d/%m/%Y'),",BE407,"),","('",Tabla7[[#This Row],[CONTADOR]],"',STR_TO_DATE('",Tabla7[[#Headers],[15/10/2018]],"','%d/%m/%Y'),",BF407,"),","('",Tabla7[[#This Row],[CONTADOR]],"',STR_TO_DATE('",Tabla7[[#Headers],[15/11/2018]],"','%d/%m/%Y'),",BG407,"),","('",Tabla7[[#This Row],[CONTADOR]],"',STR_TO_DATE('",Tabla7[[#Headers],[15/12/2018]],"','%d/%m/%Y'),",BH407,");")</f>
        <v>insert into lecturas values ('LW00181174',STR_TO_DATE('31/12/2017','%d/%m/%Y'),470084),('LW00181174',STR_TO_DATE('15/01/2018','%d/%m/%Y'),475042),('LW00181174',STR_TO_DATE('15/02/2018','%d/%m/%Y'),484280),('LW00181174',STR_TO_DATE('15/03/2018','%d/%m/%Y'),492008),('LW00181174',STR_TO_DATE('15/04/2018','%d/%m/%Y'),499665),('LW00181174',STR_TO_DATE('15/05/2018','%d/%m/%Y'),507989),('LW00181174',STR_TO_DATE('15/06/2018','%d/%m/%Y'),518159),('LW00181174',STR_TO_DATE('15/07/2018','%d/%m/%Y'),532890),('LW00181174',STR_TO_DATE('15/08/2018','%d/%m/%Y'),548548),('LW00181174',STR_TO_DATE('15/09/2018','%d/%m/%Y'),564074),('LW00181174',STR_TO_DATE('15/10/2018','%d/%m/%Y'),575323),('LW00181174',STR_TO_DATE('15/11/2018','%d/%m/%Y'),584032),('LW00181174',STR_TO_DATE('15/12/2018','%d/%m/%Y'),592040);</v>
      </c>
    </row>
    <row r="408" spans="1:68" ht="18" customHeight="1" x14ac:dyDescent="0.25">
      <c r="A408" s="241" t="s">
        <v>19</v>
      </c>
      <c r="B408" s="60"/>
      <c r="C408" s="342" t="s">
        <v>260</v>
      </c>
      <c r="D408" s="60" t="s">
        <v>257</v>
      </c>
      <c r="E408" s="258">
        <v>39284</v>
      </c>
      <c r="F408" s="2" t="s">
        <v>261</v>
      </c>
      <c r="G408" s="2" t="s">
        <v>262</v>
      </c>
      <c r="H408" s="2"/>
      <c r="I408" s="2"/>
      <c r="J408" s="2">
        <v>231646</v>
      </c>
      <c r="K408" s="274">
        <v>232633</v>
      </c>
      <c r="L408" s="2">
        <v>234388</v>
      </c>
      <c r="M408" s="311">
        <v>235701</v>
      </c>
      <c r="N408" s="311">
        <v>237120</v>
      </c>
      <c r="O408" s="311">
        <v>238655</v>
      </c>
      <c r="P408" s="311">
        <v>240177</v>
      </c>
      <c r="Q408" s="275">
        <v>242831</v>
      </c>
      <c r="R408" s="2">
        <v>245374</v>
      </c>
      <c r="S408" s="311">
        <v>247512</v>
      </c>
      <c r="T408" s="311">
        <v>249257</v>
      </c>
      <c r="U408" s="492">
        <v>251126</v>
      </c>
      <c r="V408" s="492">
        <v>252905</v>
      </c>
      <c r="W408" s="2"/>
      <c r="X408" s="2"/>
      <c r="Y408" s="2">
        <f t="shared" si="135"/>
        <v>987</v>
      </c>
      <c r="Z408" s="2">
        <f t="shared" si="136"/>
        <v>1755</v>
      </c>
      <c r="AA408" s="2">
        <f t="shared" si="150"/>
        <v>1313</v>
      </c>
      <c r="AB408" s="2">
        <f t="shared" si="149"/>
        <v>1419</v>
      </c>
      <c r="AC408" s="2">
        <f t="shared" si="137"/>
        <v>1535</v>
      </c>
      <c r="AD408" s="2">
        <f t="shared" si="138"/>
        <v>1522</v>
      </c>
      <c r="AE408" s="2">
        <f t="shared" si="139"/>
        <v>2654</v>
      </c>
      <c r="AF408" s="2">
        <f t="shared" si="140"/>
        <v>2543</v>
      </c>
      <c r="AG408" s="2">
        <f t="shared" si="141"/>
        <v>2138</v>
      </c>
      <c r="AH408" s="2">
        <f t="shared" si="142"/>
        <v>1745</v>
      </c>
      <c r="AI408" s="2">
        <f t="shared" si="143"/>
        <v>1869</v>
      </c>
      <c r="AJ408" s="2">
        <f t="shared" si="144"/>
        <v>1779</v>
      </c>
      <c r="AK408" s="406">
        <v>1</v>
      </c>
      <c r="AL408" s="274">
        <f t="shared" ca="1" si="145"/>
        <v>237120</v>
      </c>
      <c r="AM408" s="311">
        <f t="shared" ca="1" si="146"/>
        <v>238655</v>
      </c>
      <c r="AN408" s="274">
        <f ca="1">IF(AND(Tabla7[[#This Row],[UltLec]]&lt;&gt;0,Tabla7[[#This Row],[PenLect]]&lt;&gt;0),(AM408-AL408)*Tabla7[[#This Row],[RT]],"N/A")</f>
        <v>1535</v>
      </c>
      <c r="AO408" s="273" t="s">
        <v>862</v>
      </c>
      <c r="AP408" s="392" t="s">
        <v>1190</v>
      </c>
      <c r="AQ408" s="392" t="s">
        <v>1189</v>
      </c>
      <c r="AR408" s="407">
        <f t="shared" si="147"/>
        <v>0</v>
      </c>
      <c r="AT408" s="2">
        <f t="shared" ca="1" si="148"/>
        <v>1.0817477096546864</v>
      </c>
      <c r="AV408">
        <f>IF(ISBLANK(Tabla7[[#This Row],[31/12/2017]]),0,Tabla7[[#This Row],[31/12/2017]])</f>
        <v>231646</v>
      </c>
      <c r="AW408">
        <f>IF(ISBLANK(Tabla7[[#This Row],[15/01/2018]]),0,Tabla7[[#This Row],[15/01/2018]])</f>
        <v>232633</v>
      </c>
      <c r="AX408">
        <f>IF(ISBLANK(Tabla7[[#This Row],[15/02/2018]]),0,Tabla7[[#This Row],[15/02/2018]])</f>
        <v>234388</v>
      </c>
      <c r="AY408">
        <f>IF(ISBLANK(Tabla7[[#This Row],[15/03/2018]]),0,Tabla7[[#This Row],[15/03/2018]])</f>
        <v>235701</v>
      </c>
      <c r="AZ408">
        <f>IF(ISBLANK(Tabla7[[#This Row],[15/04/2018]]),0,Tabla7[[#This Row],[15/04/2018]])</f>
        <v>237120</v>
      </c>
      <c r="BA408">
        <f>IF(ISBLANK(Tabla7[[#This Row],[15/05/2018]]),0,Tabla7[[#This Row],[15/05/2018]])</f>
        <v>238655</v>
      </c>
      <c r="BB408">
        <f>IF(ISBLANK(Tabla7[[#This Row],[15/06/2018]]),0,Tabla7[[#This Row],[15/06/2018]])</f>
        <v>240177</v>
      </c>
      <c r="BC408">
        <f>IF(ISBLANK(Tabla7[[#This Row],[15/07/2018]]),0,Tabla7[[#This Row],[15/07/2018]])</f>
        <v>242831</v>
      </c>
      <c r="BD408">
        <f>IF(ISBLANK(Tabla7[[#This Row],[15/08/2018]]),0,Tabla7[[#This Row],[15/08/2018]])</f>
        <v>245374</v>
      </c>
      <c r="BE408">
        <f>IF(ISBLANK(Tabla7[[#This Row],[15/09/2018]]),0,Tabla7[[#This Row],[15/09/2018]])</f>
        <v>247512</v>
      </c>
      <c r="BF408">
        <f>IF(ISBLANK(Tabla7[[#This Row],[15/10/2018]]),0,Tabla7[[#This Row],[15/10/2018]])</f>
        <v>249257</v>
      </c>
      <c r="BG408">
        <f>IF(ISBLANK(Tabla7[[#This Row],[15/11/2018]]),0,Tabla7[[#This Row],[15/11/2018]])</f>
        <v>251126</v>
      </c>
      <c r="BH408">
        <f>IF(ISBLANK(Tabla7[[#This Row],[15/12/2018]]),0,Tabla7[[#This Row],[15/12/2018]])</f>
        <v>252905</v>
      </c>
      <c r="BI408">
        <f>IF(ISBLANK(Tabla7[[#This Row],[28/12/2018]]),0,Tabla7[[#This Row],[28/12/2018]])</f>
        <v>0</v>
      </c>
      <c r="BN40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('LW00181278','V','VCT43','39284','GRIMALDI LOGISTICA ESPAÑA, S.L.',' EN CT','','');</v>
      </c>
      <c r="BO408" t="s">
        <v>243</v>
      </c>
      <c r="BP408" s="632" t="str">
        <f>CONCATENATE("insert into lecturas values ","('",Tabla7[[#This Row],[CONTADOR]],"',STR_TO_DATE('",Tabla7[[#Headers],[31/12/2017]],"','%d/%m/%Y'),",AV408,"),","('",Tabla7[[#This Row],[CONTADOR]],"',STR_TO_DATE('",Tabla7[[#Headers],[15/01/2018]],"','%d/%m/%Y'),",AW408,"),","('",Tabla7[[#This Row],[CONTADOR]],"',STR_TO_DATE('",Tabla7[[#Headers],[15/02/2018]],"','%d/%m/%Y'),",AX408,"),","('",Tabla7[[#This Row],[CONTADOR]],"',STR_TO_DATE('",Tabla7[[#Headers],[15/03/2018]],"','%d/%m/%Y'),",AY408,"),","('",Tabla7[[#This Row],[CONTADOR]],"',STR_TO_DATE('",Tabla7[[#Headers],[15/04/2018]],"','%d/%m/%Y'),",AZ408,"),","('",Tabla7[[#This Row],[CONTADOR]],"',STR_TO_DATE('",Tabla7[[#Headers],[15/05/2018]],"','%d/%m/%Y'),",BA408,"),","('",Tabla7[[#This Row],[CONTADOR]],"',STR_TO_DATE('",Tabla7[[#Headers],[15/06/2018]],"','%d/%m/%Y'),",BB408,"),","('",Tabla7[[#This Row],[CONTADOR]],"',STR_TO_DATE('",Tabla7[[#Headers],[15/07/2018]],"','%d/%m/%Y'),",BC408,"),","('",Tabla7[[#This Row],[CONTADOR]],"',STR_TO_DATE('",Tabla7[[#Headers],[15/08/2018]],"','%d/%m/%Y'),",BD408,"),","('",Tabla7[[#This Row],[CONTADOR]],"',STR_TO_DATE('",Tabla7[[#Headers],[15/09/2018]],"','%d/%m/%Y'),",BE408,"),","('",Tabla7[[#This Row],[CONTADOR]],"',STR_TO_DATE('",Tabla7[[#Headers],[15/10/2018]],"','%d/%m/%Y'),",BF408,"),","('",Tabla7[[#This Row],[CONTADOR]],"',STR_TO_DATE('",Tabla7[[#Headers],[15/11/2018]],"','%d/%m/%Y'),",BG408,"),","('",Tabla7[[#This Row],[CONTADOR]],"',STR_TO_DATE('",Tabla7[[#Headers],[15/12/2018]],"','%d/%m/%Y'),",BH408,");")</f>
        <v>insert into lecturas values ('LW00181278',STR_TO_DATE('31/12/2017','%d/%m/%Y'),231646),('LW00181278',STR_TO_DATE('15/01/2018','%d/%m/%Y'),232633),('LW00181278',STR_TO_DATE('15/02/2018','%d/%m/%Y'),234388),('LW00181278',STR_TO_DATE('15/03/2018','%d/%m/%Y'),235701),('LW00181278',STR_TO_DATE('15/04/2018','%d/%m/%Y'),237120),('LW00181278',STR_TO_DATE('15/05/2018','%d/%m/%Y'),238655),('LW00181278',STR_TO_DATE('15/06/2018','%d/%m/%Y'),240177),('LW00181278',STR_TO_DATE('15/07/2018','%d/%m/%Y'),242831),('LW00181278',STR_TO_DATE('15/08/2018','%d/%m/%Y'),245374),('LW00181278',STR_TO_DATE('15/09/2018','%d/%m/%Y'),247512),('LW00181278',STR_TO_DATE('15/10/2018','%d/%m/%Y'),249257),('LW00181278',STR_TO_DATE('15/11/2018','%d/%m/%Y'),251126),('LW00181278',STR_TO_DATE('15/12/2018','%d/%m/%Y'),252905);</v>
      </c>
    </row>
    <row r="409" spans="1:68" ht="18" customHeight="1" x14ac:dyDescent="0.25">
      <c r="A409" s="241" t="s">
        <v>19</v>
      </c>
      <c r="B409" s="60">
        <v>1205</v>
      </c>
      <c r="C409" s="342" t="s">
        <v>259</v>
      </c>
      <c r="D409" s="60" t="s">
        <v>257</v>
      </c>
      <c r="E409" s="258">
        <v>39176</v>
      </c>
      <c r="F409" s="2" t="s">
        <v>250</v>
      </c>
      <c r="G409" s="2" t="s">
        <v>63</v>
      </c>
      <c r="H409" s="2"/>
      <c r="I409" s="2"/>
      <c r="J409" s="2">
        <v>509599</v>
      </c>
      <c r="K409" s="274">
        <v>511255</v>
      </c>
      <c r="L409" s="2">
        <v>514311</v>
      </c>
      <c r="M409" s="311">
        <v>516781</v>
      </c>
      <c r="N409" s="311">
        <v>519360</v>
      </c>
      <c r="O409" s="311">
        <v>522162</v>
      </c>
      <c r="P409" s="311">
        <v>525220</v>
      </c>
      <c r="Q409" s="275">
        <v>529372</v>
      </c>
      <c r="R409" s="2">
        <v>533588</v>
      </c>
      <c r="S409" s="311">
        <v>537755</v>
      </c>
      <c r="T409" s="311">
        <v>541098</v>
      </c>
      <c r="U409" s="492">
        <v>541519</v>
      </c>
      <c r="V409" s="492">
        <v>547998</v>
      </c>
      <c r="W409" s="2"/>
      <c r="X409" s="2"/>
      <c r="Y409" s="2">
        <f t="shared" si="135"/>
        <v>1656</v>
      </c>
      <c r="Z409" s="2">
        <f t="shared" si="136"/>
        <v>3056</v>
      </c>
      <c r="AA409" s="2">
        <f t="shared" si="150"/>
        <v>2470</v>
      </c>
      <c r="AB409" s="2">
        <f t="shared" si="149"/>
        <v>2579</v>
      </c>
      <c r="AC409" s="2">
        <f t="shared" si="137"/>
        <v>2802</v>
      </c>
      <c r="AD409" s="2">
        <f t="shared" si="138"/>
        <v>3058</v>
      </c>
      <c r="AE409" s="2">
        <f t="shared" si="139"/>
        <v>4152</v>
      </c>
      <c r="AF409" s="2">
        <f t="shared" si="140"/>
        <v>4216</v>
      </c>
      <c r="AG409" s="2">
        <f t="shared" si="141"/>
        <v>4167</v>
      </c>
      <c r="AH409" s="2">
        <f t="shared" si="142"/>
        <v>3343</v>
      </c>
      <c r="AI409" s="2">
        <f t="shared" si="143"/>
        <v>421</v>
      </c>
      <c r="AJ409" s="2">
        <f t="shared" si="144"/>
        <v>6479</v>
      </c>
      <c r="AK409" s="406">
        <v>1</v>
      </c>
      <c r="AL409" s="274">
        <f t="shared" ca="1" si="145"/>
        <v>519360</v>
      </c>
      <c r="AM409" s="311">
        <f t="shared" ca="1" si="146"/>
        <v>522162</v>
      </c>
      <c r="AN409" s="274">
        <f ca="1">IF(AND(Tabla7[[#This Row],[UltLec]]&lt;&gt;0,Tabla7[[#This Row],[PenLect]]&lt;&gt;0),(AM409-AL409)*Tabla7[[#This Row],[RT]],"N/A")</f>
        <v>2802</v>
      </c>
      <c r="AO409" s="273" t="s">
        <v>862</v>
      </c>
      <c r="AP409" s="392" t="s">
        <v>1190</v>
      </c>
      <c r="AQ409" s="392" t="s">
        <v>1189</v>
      </c>
      <c r="AR409" s="407">
        <f t="shared" si="147"/>
        <v>0</v>
      </c>
      <c r="AT409" s="2">
        <f t="shared" ca="1" si="148"/>
        <v>1.0864676231097325</v>
      </c>
      <c r="AV409">
        <f>IF(ISBLANK(Tabla7[[#This Row],[31/12/2017]]),0,Tabla7[[#This Row],[31/12/2017]])</f>
        <v>509599</v>
      </c>
      <c r="AW409">
        <f>IF(ISBLANK(Tabla7[[#This Row],[15/01/2018]]),0,Tabla7[[#This Row],[15/01/2018]])</f>
        <v>511255</v>
      </c>
      <c r="AX409">
        <f>IF(ISBLANK(Tabla7[[#This Row],[15/02/2018]]),0,Tabla7[[#This Row],[15/02/2018]])</f>
        <v>514311</v>
      </c>
      <c r="AY409">
        <f>IF(ISBLANK(Tabla7[[#This Row],[15/03/2018]]),0,Tabla7[[#This Row],[15/03/2018]])</f>
        <v>516781</v>
      </c>
      <c r="AZ409">
        <f>IF(ISBLANK(Tabla7[[#This Row],[15/04/2018]]),0,Tabla7[[#This Row],[15/04/2018]])</f>
        <v>519360</v>
      </c>
      <c r="BA409">
        <f>IF(ISBLANK(Tabla7[[#This Row],[15/05/2018]]),0,Tabla7[[#This Row],[15/05/2018]])</f>
        <v>522162</v>
      </c>
      <c r="BB409">
        <f>IF(ISBLANK(Tabla7[[#This Row],[15/06/2018]]),0,Tabla7[[#This Row],[15/06/2018]])</f>
        <v>525220</v>
      </c>
      <c r="BC409">
        <f>IF(ISBLANK(Tabla7[[#This Row],[15/07/2018]]),0,Tabla7[[#This Row],[15/07/2018]])</f>
        <v>529372</v>
      </c>
      <c r="BD409">
        <f>IF(ISBLANK(Tabla7[[#This Row],[15/08/2018]]),0,Tabla7[[#This Row],[15/08/2018]])</f>
        <v>533588</v>
      </c>
      <c r="BE409">
        <f>IF(ISBLANK(Tabla7[[#This Row],[15/09/2018]]),0,Tabla7[[#This Row],[15/09/2018]])</f>
        <v>537755</v>
      </c>
      <c r="BF409">
        <f>IF(ISBLANK(Tabla7[[#This Row],[15/10/2018]]),0,Tabla7[[#This Row],[15/10/2018]])</f>
        <v>541098</v>
      </c>
      <c r="BG409">
        <f>IF(ISBLANK(Tabla7[[#This Row],[15/11/2018]]),0,Tabla7[[#This Row],[15/11/2018]])</f>
        <v>541519</v>
      </c>
      <c r="BH409">
        <f>IF(ISBLANK(Tabla7[[#This Row],[15/12/2018]]),0,Tabla7[[#This Row],[15/12/2018]])</f>
        <v>547998</v>
      </c>
      <c r="BI409">
        <f>IF(ISBLANK(Tabla7[[#This Row],[28/12/2018]]),0,Tabla7[[#This Row],[28/12/2018]])</f>
        <v>0</v>
      </c>
      <c r="BN40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('LW00181558','V','VCT43','39176','VALENCIA TERMINAL EUROPA','EN CT','','');</v>
      </c>
      <c r="BO409" t="s">
        <v>243</v>
      </c>
      <c r="BP409" s="632" t="str">
        <f>CONCATENATE("insert into lecturas values ","('",Tabla7[[#This Row],[CONTADOR]],"',STR_TO_DATE('",Tabla7[[#Headers],[31/12/2017]],"','%d/%m/%Y'),",AV409,"),","('",Tabla7[[#This Row],[CONTADOR]],"',STR_TO_DATE('",Tabla7[[#Headers],[15/01/2018]],"','%d/%m/%Y'),",AW409,"),","('",Tabla7[[#This Row],[CONTADOR]],"',STR_TO_DATE('",Tabla7[[#Headers],[15/02/2018]],"','%d/%m/%Y'),",AX409,"),","('",Tabla7[[#This Row],[CONTADOR]],"',STR_TO_DATE('",Tabla7[[#Headers],[15/03/2018]],"','%d/%m/%Y'),",AY409,"),","('",Tabla7[[#This Row],[CONTADOR]],"',STR_TO_DATE('",Tabla7[[#Headers],[15/04/2018]],"','%d/%m/%Y'),",AZ409,"),","('",Tabla7[[#This Row],[CONTADOR]],"',STR_TO_DATE('",Tabla7[[#Headers],[15/05/2018]],"','%d/%m/%Y'),",BA409,"),","('",Tabla7[[#This Row],[CONTADOR]],"',STR_TO_DATE('",Tabla7[[#Headers],[15/06/2018]],"','%d/%m/%Y'),",BB409,"),","('",Tabla7[[#This Row],[CONTADOR]],"',STR_TO_DATE('",Tabla7[[#Headers],[15/07/2018]],"','%d/%m/%Y'),",BC409,"),","('",Tabla7[[#This Row],[CONTADOR]],"',STR_TO_DATE('",Tabla7[[#Headers],[15/08/2018]],"','%d/%m/%Y'),",BD409,"),","('",Tabla7[[#This Row],[CONTADOR]],"',STR_TO_DATE('",Tabla7[[#Headers],[15/09/2018]],"','%d/%m/%Y'),",BE409,"),","('",Tabla7[[#This Row],[CONTADOR]],"',STR_TO_DATE('",Tabla7[[#Headers],[15/10/2018]],"','%d/%m/%Y'),",BF409,"),","('",Tabla7[[#This Row],[CONTADOR]],"',STR_TO_DATE('",Tabla7[[#Headers],[15/11/2018]],"','%d/%m/%Y'),",BG409,"),","('",Tabla7[[#This Row],[CONTADOR]],"',STR_TO_DATE('",Tabla7[[#Headers],[15/12/2018]],"','%d/%m/%Y'),",BH409,");")</f>
        <v>insert into lecturas values ('LW00181558',STR_TO_DATE('31/12/2017','%d/%m/%Y'),509599),('LW00181558',STR_TO_DATE('15/01/2018','%d/%m/%Y'),511255),('LW00181558',STR_TO_DATE('15/02/2018','%d/%m/%Y'),514311),('LW00181558',STR_TO_DATE('15/03/2018','%d/%m/%Y'),516781),('LW00181558',STR_TO_DATE('15/04/2018','%d/%m/%Y'),519360),('LW00181558',STR_TO_DATE('15/05/2018','%d/%m/%Y'),522162),('LW00181558',STR_TO_DATE('15/06/2018','%d/%m/%Y'),525220),('LW00181558',STR_TO_DATE('15/07/2018','%d/%m/%Y'),529372),('LW00181558',STR_TO_DATE('15/08/2018','%d/%m/%Y'),533588),('LW00181558',STR_TO_DATE('15/09/2018','%d/%m/%Y'),537755),('LW00181558',STR_TO_DATE('15/10/2018','%d/%m/%Y'),541098),('LW00181558',STR_TO_DATE('15/11/2018','%d/%m/%Y'),541519),('LW00181558',STR_TO_DATE('15/12/2018','%d/%m/%Y'),547998);</v>
      </c>
    </row>
    <row r="410" spans="1:68" ht="18" customHeight="1" x14ac:dyDescent="0.25">
      <c r="A410" s="241" t="s">
        <v>19</v>
      </c>
      <c r="B410" s="60"/>
      <c r="C410" s="342">
        <v>181156</v>
      </c>
      <c r="D410" s="60" t="s">
        <v>272</v>
      </c>
      <c r="E410" s="258">
        <v>39445</v>
      </c>
      <c r="F410" s="2" t="s">
        <v>250</v>
      </c>
      <c r="G410" s="2" t="s">
        <v>774</v>
      </c>
      <c r="H410" s="2" t="s">
        <v>281</v>
      </c>
      <c r="I410" s="2"/>
      <c r="J410" s="2">
        <v>180752</v>
      </c>
      <c r="K410" s="274">
        <v>181479</v>
      </c>
      <c r="L410" s="2">
        <v>182716</v>
      </c>
      <c r="M410" s="311">
        <v>183670</v>
      </c>
      <c r="N410" s="311">
        <v>184632</v>
      </c>
      <c r="O410" s="311">
        <v>185500</v>
      </c>
      <c r="P410" s="311">
        <v>186278</v>
      </c>
      <c r="Q410" s="274">
        <v>187034</v>
      </c>
      <c r="R410" s="2">
        <v>187654</v>
      </c>
      <c r="S410" s="311">
        <v>188510</v>
      </c>
      <c r="T410" s="311">
        <v>189361</v>
      </c>
      <c r="U410" s="492">
        <v>190453</v>
      </c>
      <c r="V410" s="492">
        <v>191660</v>
      </c>
      <c r="W410" s="2"/>
      <c r="X410" s="2"/>
      <c r="Y410" s="2">
        <f t="shared" ref="Y410:Y441" si="151">IF(OR(ISBLANK(K410),ISBLANK(J410)),"",IF(AND(K410&gt;=J410,K410-J410&lt;=K410),(K410-J410)*$AK410,"!!!!"))</f>
        <v>727</v>
      </c>
      <c r="Z410" s="2">
        <f t="shared" ref="Z410:Z441" si="152">IF(OR(ISBLANK(L410),ISBLANK(K410)),"",IF(AND(L410&gt;=K410,L410-K410&lt;=L410),(L410-K410)*$AK410,"!!!!"))</f>
        <v>1237</v>
      </c>
      <c r="AA410" s="2">
        <f t="shared" si="150"/>
        <v>954</v>
      </c>
      <c r="AB410" s="2">
        <f t="shared" si="149"/>
        <v>962</v>
      </c>
      <c r="AC410" s="2">
        <f t="shared" ref="AC410:AC441" si="153">IF(OR(ISBLANK(O410),ISBLANK(N410)),"",IF(AND(O410&gt;=N410,O410-N410&lt;=O410),(O410-N410)*$AK410,"!!!!"))</f>
        <v>868</v>
      </c>
      <c r="AD410" s="2">
        <f t="shared" ref="AD410:AD441" si="154">IF(OR(ISBLANK(P410),ISBLANK(O410)),"",IF(AND(P410&gt;=O410,P410-O410&lt;=P410),(P410-O410)*$AK410,"!!!!"))</f>
        <v>778</v>
      </c>
      <c r="AE410" s="2">
        <f t="shared" ref="AE410:AE441" si="155">IF(OR(ISBLANK(Q410),ISBLANK(P410)),"",IF(AND(Q410&gt;=P410,Q410-P410&lt;=Q410),(Q410-P410)*$AK410,"!!!!"))</f>
        <v>756</v>
      </c>
      <c r="AF410" s="2">
        <f t="shared" ref="AF410:AF441" si="156">IF(OR(ISBLANK(R410),ISBLANK(Q410)),"",IF(AND(R410&gt;=Q410,R410-Q410&lt;=R410),(R410-Q410)*$AK410,"!!!!"))</f>
        <v>620</v>
      </c>
      <c r="AG410" s="2">
        <f t="shared" ref="AG410:AG441" si="157">IF(OR(ISBLANK(S410),ISBLANK(R410)),"",IF(AND(S410&gt;=R410,S410-R410&lt;=S410),(S410-R410)*$AK410,"!!!!"))</f>
        <v>856</v>
      </c>
      <c r="AH410" s="2">
        <f t="shared" ref="AH410:AH441" si="158">IF(OR(ISBLANK(T410),ISBLANK(S410)),"",IF(AND(T410&gt;=S410,T410-S410&lt;=T410),(T410-S410)*$AK410,"!!!!"))</f>
        <v>851</v>
      </c>
      <c r="AI410" s="2">
        <f t="shared" ref="AI410:AI441" si="159">IF(OR(ISBLANK(U410),ISBLANK(T410)),"",IF(AND(U410&gt;=T410,U410-T410&lt;=U410),(U410-T410)*$AK410,"!!!!"))</f>
        <v>1092</v>
      </c>
      <c r="AJ410" s="2">
        <f t="shared" ref="AJ410:AJ441" si="160">IF(OR(ISBLANK(V410),ISBLANK(U410)),"",IF(AND(V410&gt;=U410,V410-U410&lt;=V410),(V410-U410)*$AK410,"!!!!"))</f>
        <v>1207</v>
      </c>
      <c r="AK410" s="406">
        <v>1</v>
      </c>
      <c r="AL410" s="274">
        <f t="shared" ca="1" si="145"/>
        <v>184632</v>
      </c>
      <c r="AM410" s="311">
        <f t="shared" ca="1" si="146"/>
        <v>185500</v>
      </c>
      <c r="AN410" s="274">
        <f ca="1">IF(AND(Tabla7[[#This Row],[UltLec]]&lt;&gt;0,Tabla7[[#This Row],[PenLect]]&lt;&gt;0),(AM410-AL410)*Tabla7[[#This Row],[RT]],"N/A")</f>
        <v>868</v>
      </c>
      <c r="AO410" s="273" t="s">
        <v>862</v>
      </c>
      <c r="AP410" s="392" t="s">
        <v>1190</v>
      </c>
      <c r="AQ410" s="392" t="s">
        <v>1189</v>
      </c>
      <c r="AR410" s="407">
        <f t="shared" si="147"/>
        <v>0</v>
      </c>
      <c r="AT410" s="2">
        <f t="shared" ca="1" si="148"/>
        <v>0.90228690228690234</v>
      </c>
      <c r="AV410">
        <f>IF(ISBLANK(Tabla7[[#This Row],[31/12/2017]]),0,Tabla7[[#This Row],[31/12/2017]])</f>
        <v>180752</v>
      </c>
      <c r="AW410">
        <f>IF(ISBLANK(Tabla7[[#This Row],[15/01/2018]]),0,Tabla7[[#This Row],[15/01/2018]])</f>
        <v>181479</v>
      </c>
      <c r="AX410">
        <f>IF(ISBLANK(Tabla7[[#This Row],[15/02/2018]]),0,Tabla7[[#This Row],[15/02/2018]])</f>
        <v>182716</v>
      </c>
      <c r="AY410">
        <f>IF(ISBLANK(Tabla7[[#This Row],[15/03/2018]]),0,Tabla7[[#This Row],[15/03/2018]])</f>
        <v>183670</v>
      </c>
      <c r="AZ410">
        <f>IF(ISBLANK(Tabla7[[#This Row],[15/04/2018]]),0,Tabla7[[#This Row],[15/04/2018]])</f>
        <v>184632</v>
      </c>
      <c r="BA410">
        <f>IF(ISBLANK(Tabla7[[#This Row],[15/05/2018]]),0,Tabla7[[#This Row],[15/05/2018]])</f>
        <v>185500</v>
      </c>
      <c r="BB410">
        <f>IF(ISBLANK(Tabla7[[#This Row],[15/06/2018]]),0,Tabla7[[#This Row],[15/06/2018]])</f>
        <v>186278</v>
      </c>
      <c r="BC410">
        <f>IF(ISBLANK(Tabla7[[#This Row],[15/07/2018]]),0,Tabla7[[#This Row],[15/07/2018]])</f>
        <v>187034</v>
      </c>
      <c r="BD410">
        <f>IF(ISBLANK(Tabla7[[#This Row],[15/08/2018]]),0,Tabla7[[#This Row],[15/08/2018]])</f>
        <v>187654</v>
      </c>
      <c r="BE410">
        <f>IF(ISBLANK(Tabla7[[#This Row],[15/09/2018]]),0,Tabla7[[#This Row],[15/09/2018]])</f>
        <v>188510</v>
      </c>
      <c r="BF410">
        <f>IF(ISBLANK(Tabla7[[#This Row],[15/10/2018]]),0,Tabla7[[#This Row],[15/10/2018]])</f>
        <v>189361</v>
      </c>
      <c r="BG410">
        <f>IF(ISBLANK(Tabla7[[#This Row],[15/11/2018]]),0,Tabla7[[#This Row],[15/11/2018]])</f>
        <v>190453</v>
      </c>
      <c r="BH410">
        <f>IF(ISBLANK(Tabla7[[#This Row],[15/12/2018]]),0,Tabla7[[#This Row],[15/12/2018]])</f>
        <v>191660</v>
      </c>
      <c r="BI410">
        <f>IF(ISBLANK(Tabla7[[#This Row],[28/12/2018]]),0,Tabla7[[#This Row],[28/12/2018]])</f>
        <v>0</v>
      </c>
      <c r="BN41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('181156','V','VCT44','39445','VALENCIA TERMINAL EUROPA','EN CT (10)','TORRE4405','');</v>
      </c>
      <c r="BO410" t="s">
        <v>243</v>
      </c>
      <c r="BP410" s="632" t="str">
        <f>CONCATENATE("insert into lecturas values ","('",Tabla7[[#This Row],[CONTADOR]],"',STR_TO_DATE('",Tabla7[[#Headers],[31/12/2017]],"','%d/%m/%Y'),",AV410,"),","('",Tabla7[[#This Row],[CONTADOR]],"',STR_TO_DATE('",Tabla7[[#Headers],[15/01/2018]],"','%d/%m/%Y'),",AW410,"),","('",Tabla7[[#This Row],[CONTADOR]],"',STR_TO_DATE('",Tabla7[[#Headers],[15/02/2018]],"','%d/%m/%Y'),",AX410,"),","('",Tabla7[[#This Row],[CONTADOR]],"',STR_TO_DATE('",Tabla7[[#Headers],[15/03/2018]],"','%d/%m/%Y'),",AY410,"),","('",Tabla7[[#This Row],[CONTADOR]],"',STR_TO_DATE('",Tabla7[[#Headers],[15/04/2018]],"','%d/%m/%Y'),",AZ410,"),","('",Tabla7[[#This Row],[CONTADOR]],"',STR_TO_DATE('",Tabla7[[#Headers],[15/05/2018]],"','%d/%m/%Y'),",BA410,"),","('",Tabla7[[#This Row],[CONTADOR]],"',STR_TO_DATE('",Tabla7[[#Headers],[15/06/2018]],"','%d/%m/%Y'),",BB410,"),","('",Tabla7[[#This Row],[CONTADOR]],"',STR_TO_DATE('",Tabla7[[#Headers],[15/07/2018]],"','%d/%m/%Y'),",BC410,"),","('",Tabla7[[#This Row],[CONTADOR]],"',STR_TO_DATE('",Tabla7[[#Headers],[15/08/2018]],"','%d/%m/%Y'),",BD410,"),","('",Tabla7[[#This Row],[CONTADOR]],"',STR_TO_DATE('",Tabla7[[#Headers],[15/09/2018]],"','%d/%m/%Y'),",BE410,"),","('",Tabla7[[#This Row],[CONTADOR]],"',STR_TO_DATE('",Tabla7[[#Headers],[15/10/2018]],"','%d/%m/%Y'),",BF410,"),","('",Tabla7[[#This Row],[CONTADOR]],"',STR_TO_DATE('",Tabla7[[#Headers],[15/11/2018]],"','%d/%m/%Y'),",BG410,"),","('",Tabla7[[#This Row],[CONTADOR]],"',STR_TO_DATE('",Tabla7[[#Headers],[15/12/2018]],"','%d/%m/%Y'),",BH410,");")</f>
        <v>insert into lecturas values ('181156',STR_TO_DATE('31/12/2017','%d/%m/%Y'),180752),('181156',STR_TO_DATE('15/01/2018','%d/%m/%Y'),181479),('181156',STR_TO_DATE('15/02/2018','%d/%m/%Y'),182716),('181156',STR_TO_DATE('15/03/2018','%d/%m/%Y'),183670),('181156',STR_TO_DATE('15/04/2018','%d/%m/%Y'),184632),('181156',STR_TO_DATE('15/05/2018','%d/%m/%Y'),185500),('181156',STR_TO_DATE('15/06/2018','%d/%m/%Y'),186278),('181156',STR_TO_DATE('15/07/2018','%d/%m/%Y'),187034),('181156',STR_TO_DATE('15/08/2018','%d/%m/%Y'),187654),('181156',STR_TO_DATE('15/09/2018','%d/%m/%Y'),188510),('181156',STR_TO_DATE('15/10/2018','%d/%m/%Y'),189361),('181156',STR_TO_DATE('15/11/2018','%d/%m/%Y'),190453),('181156',STR_TO_DATE('15/12/2018','%d/%m/%Y'),191660);</v>
      </c>
    </row>
    <row r="411" spans="1:68" ht="18" customHeight="1" x14ac:dyDescent="0.25">
      <c r="A411" s="241" t="s">
        <v>19</v>
      </c>
      <c r="B411" s="60"/>
      <c r="C411" s="342">
        <v>181183</v>
      </c>
      <c r="D411" s="60" t="s">
        <v>272</v>
      </c>
      <c r="E411" s="258">
        <v>39446</v>
      </c>
      <c r="F411" s="2" t="s">
        <v>250</v>
      </c>
      <c r="G411" s="2" t="s">
        <v>775</v>
      </c>
      <c r="H411" s="2" t="s">
        <v>282</v>
      </c>
      <c r="I411" s="2"/>
      <c r="J411" s="2">
        <v>246035</v>
      </c>
      <c r="K411" s="274">
        <v>247440</v>
      </c>
      <c r="L411" s="2">
        <v>249827</v>
      </c>
      <c r="M411" s="311">
        <v>251694</v>
      </c>
      <c r="N411" s="311">
        <v>253625</v>
      </c>
      <c r="O411" s="311">
        <v>255290</v>
      </c>
      <c r="P411" s="311">
        <v>256701</v>
      </c>
      <c r="Q411" s="2">
        <v>258124</v>
      </c>
      <c r="R411" s="2">
        <v>259804</v>
      </c>
      <c r="S411" s="311">
        <v>262238</v>
      </c>
      <c r="T411" s="311">
        <v>264189</v>
      </c>
      <c r="U411" s="492">
        <v>266315</v>
      </c>
      <c r="V411" s="492">
        <v>268639</v>
      </c>
      <c r="W411" s="2"/>
      <c r="X411" s="2"/>
      <c r="Y411" s="2">
        <f t="shared" si="151"/>
        <v>1405</v>
      </c>
      <c r="Z411" s="2">
        <f t="shared" si="152"/>
        <v>2387</v>
      </c>
      <c r="AA411" s="2">
        <f t="shared" si="150"/>
        <v>1867</v>
      </c>
      <c r="AB411" s="2">
        <f t="shared" si="149"/>
        <v>1931</v>
      </c>
      <c r="AC411" s="2">
        <f t="shared" si="153"/>
        <v>1665</v>
      </c>
      <c r="AD411" s="2">
        <f t="shared" si="154"/>
        <v>1411</v>
      </c>
      <c r="AE411" s="2">
        <f t="shared" si="155"/>
        <v>1423</v>
      </c>
      <c r="AF411" s="2">
        <f t="shared" si="156"/>
        <v>1680</v>
      </c>
      <c r="AG411" s="2">
        <f t="shared" si="157"/>
        <v>2434</v>
      </c>
      <c r="AH411" s="2">
        <f t="shared" si="158"/>
        <v>1951</v>
      </c>
      <c r="AI411" s="2">
        <f t="shared" si="159"/>
        <v>2126</v>
      </c>
      <c r="AJ411" s="2">
        <f t="shared" si="160"/>
        <v>2324</v>
      </c>
      <c r="AK411" s="406">
        <v>1</v>
      </c>
      <c r="AL411" s="274">
        <f t="shared" ca="1" si="145"/>
        <v>253625</v>
      </c>
      <c r="AM411" s="311">
        <f t="shared" ca="1" si="146"/>
        <v>255290</v>
      </c>
      <c r="AN411" s="274">
        <f ca="1">IF(AND(Tabla7[[#This Row],[UltLec]]&lt;&gt;0,Tabla7[[#This Row],[PenLect]]&lt;&gt;0),(AM411-AL411)*Tabla7[[#This Row],[RT]],"N/A")</f>
        <v>1665</v>
      </c>
      <c r="AO411" s="273" t="s">
        <v>862</v>
      </c>
      <c r="AP411" s="392" t="s">
        <v>1190</v>
      </c>
      <c r="AQ411" s="392" t="s">
        <v>1189</v>
      </c>
      <c r="AR411" s="407">
        <f t="shared" si="147"/>
        <v>0</v>
      </c>
      <c r="AT411" s="2">
        <f t="shared" ca="1" si="148"/>
        <v>0.86224754013464522</v>
      </c>
      <c r="AV411">
        <f>IF(ISBLANK(Tabla7[[#This Row],[31/12/2017]]),0,Tabla7[[#This Row],[31/12/2017]])</f>
        <v>246035</v>
      </c>
      <c r="AW411">
        <f>IF(ISBLANK(Tabla7[[#This Row],[15/01/2018]]),0,Tabla7[[#This Row],[15/01/2018]])</f>
        <v>247440</v>
      </c>
      <c r="AX411">
        <f>IF(ISBLANK(Tabla7[[#This Row],[15/02/2018]]),0,Tabla7[[#This Row],[15/02/2018]])</f>
        <v>249827</v>
      </c>
      <c r="AY411">
        <f>IF(ISBLANK(Tabla7[[#This Row],[15/03/2018]]),0,Tabla7[[#This Row],[15/03/2018]])</f>
        <v>251694</v>
      </c>
      <c r="AZ411">
        <f>IF(ISBLANK(Tabla7[[#This Row],[15/04/2018]]),0,Tabla7[[#This Row],[15/04/2018]])</f>
        <v>253625</v>
      </c>
      <c r="BA411">
        <f>IF(ISBLANK(Tabla7[[#This Row],[15/05/2018]]),0,Tabla7[[#This Row],[15/05/2018]])</f>
        <v>255290</v>
      </c>
      <c r="BB411">
        <f>IF(ISBLANK(Tabla7[[#This Row],[15/06/2018]]),0,Tabla7[[#This Row],[15/06/2018]])</f>
        <v>256701</v>
      </c>
      <c r="BC411">
        <f>IF(ISBLANK(Tabla7[[#This Row],[15/07/2018]]),0,Tabla7[[#This Row],[15/07/2018]])</f>
        <v>258124</v>
      </c>
      <c r="BD411">
        <f>IF(ISBLANK(Tabla7[[#This Row],[15/08/2018]]),0,Tabla7[[#This Row],[15/08/2018]])</f>
        <v>259804</v>
      </c>
      <c r="BE411">
        <f>IF(ISBLANK(Tabla7[[#This Row],[15/09/2018]]),0,Tabla7[[#This Row],[15/09/2018]])</f>
        <v>262238</v>
      </c>
      <c r="BF411">
        <f>IF(ISBLANK(Tabla7[[#This Row],[15/10/2018]]),0,Tabla7[[#This Row],[15/10/2018]])</f>
        <v>264189</v>
      </c>
      <c r="BG411">
        <f>IF(ISBLANK(Tabla7[[#This Row],[15/11/2018]]),0,Tabla7[[#This Row],[15/11/2018]])</f>
        <v>266315</v>
      </c>
      <c r="BH411">
        <f>IF(ISBLANK(Tabla7[[#This Row],[15/12/2018]]),0,Tabla7[[#This Row],[15/12/2018]])</f>
        <v>268639</v>
      </c>
      <c r="BI411">
        <f>IF(ISBLANK(Tabla7[[#This Row],[28/12/2018]]),0,Tabla7[[#This Row],[28/12/2018]])</f>
        <v>0</v>
      </c>
      <c r="BN41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('181183','V','VCT44','39446','VALENCIA TERMINAL EUROPA','EN CT (11)','TORRE 4406','');</v>
      </c>
      <c r="BO411" t="s">
        <v>243</v>
      </c>
      <c r="BP411" s="632" t="str">
        <f>CONCATENATE("insert into lecturas values ","('",Tabla7[[#This Row],[CONTADOR]],"',STR_TO_DATE('",Tabla7[[#Headers],[31/12/2017]],"','%d/%m/%Y'),",AV411,"),","('",Tabla7[[#This Row],[CONTADOR]],"',STR_TO_DATE('",Tabla7[[#Headers],[15/01/2018]],"','%d/%m/%Y'),",AW411,"),","('",Tabla7[[#This Row],[CONTADOR]],"',STR_TO_DATE('",Tabla7[[#Headers],[15/02/2018]],"','%d/%m/%Y'),",AX411,"),","('",Tabla7[[#This Row],[CONTADOR]],"',STR_TO_DATE('",Tabla7[[#Headers],[15/03/2018]],"','%d/%m/%Y'),",AY411,"),","('",Tabla7[[#This Row],[CONTADOR]],"',STR_TO_DATE('",Tabla7[[#Headers],[15/04/2018]],"','%d/%m/%Y'),",AZ411,"),","('",Tabla7[[#This Row],[CONTADOR]],"',STR_TO_DATE('",Tabla7[[#Headers],[15/05/2018]],"','%d/%m/%Y'),",BA411,"),","('",Tabla7[[#This Row],[CONTADOR]],"',STR_TO_DATE('",Tabla7[[#Headers],[15/06/2018]],"','%d/%m/%Y'),",BB411,"),","('",Tabla7[[#This Row],[CONTADOR]],"',STR_TO_DATE('",Tabla7[[#Headers],[15/07/2018]],"','%d/%m/%Y'),",BC411,"),","('",Tabla7[[#This Row],[CONTADOR]],"',STR_TO_DATE('",Tabla7[[#Headers],[15/08/2018]],"','%d/%m/%Y'),",BD411,"),","('",Tabla7[[#This Row],[CONTADOR]],"',STR_TO_DATE('",Tabla7[[#Headers],[15/09/2018]],"','%d/%m/%Y'),",BE411,"),","('",Tabla7[[#This Row],[CONTADOR]],"',STR_TO_DATE('",Tabla7[[#Headers],[15/10/2018]],"','%d/%m/%Y'),",BF411,"),","('",Tabla7[[#This Row],[CONTADOR]],"',STR_TO_DATE('",Tabla7[[#Headers],[15/11/2018]],"','%d/%m/%Y'),",BG411,"),","('",Tabla7[[#This Row],[CONTADOR]],"',STR_TO_DATE('",Tabla7[[#Headers],[15/12/2018]],"','%d/%m/%Y'),",BH411,");")</f>
        <v>insert into lecturas values ('181183',STR_TO_DATE('31/12/2017','%d/%m/%Y'),246035),('181183',STR_TO_DATE('15/01/2018','%d/%m/%Y'),247440),('181183',STR_TO_DATE('15/02/2018','%d/%m/%Y'),249827),('181183',STR_TO_DATE('15/03/2018','%d/%m/%Y'),251694),('181183',STR_TO_DATE('15/04/2018','%d/%m/%Y'),253625),('181183',STR_TO_DATE('15/05/2018','%d/%m/%Y'),255290),('181183',STR_TO_DATE('15/06/2018','%d/%m/%Y'),256701),('181183',STR_TO_DATE('15/07/2018','%d/%m/%Y'),258124),('181183',STR_TO_DATE('15/08/2018','%d/%m/%Y'),259804),('181183',STR_TO_DATE('15/09/2018','%d/%m/%Y'),262238),('181183',STR_TO_DATE('15/10/2018','%d/%m/%Y'),264189),('181183',STR_TO_DATE('15/11/2018','%d/%m/%Y'),266315),('181183',STR_TO_DATE('15/12/2018','%d/%m/%Y'),268639);</v>
      </c>
    </row>
    <row r="412" spans="1:68" ht="18" customHeight="1" x14ac:dyDescent="0.25">
      <c r="A412" s="241" t="s">
        <v>19</v>
      </c>
      <c r="B412" s="60"/>
      <c r="C412" s="342">
        <v>181237</v>
      </c>
      <c r="D412" s="60" t="s">
        <v>272</v>
      </c>
      <c r="E412" s="258">
        <v>39447</v>
      </c>
      <c r="F412" s="2" t="s">
        <v>250</v>
      </c>
      <c r="G412" s="2" t="s">
        <v>776</v>
      </c>
      <c r="H412" s="2" t="s">
        <v>283</v>
      </c>
      <c r="I412" s="2"/>
      <c r="J412" s="2">
        <v>227595</v>
      </c>
      <c r="K412" s="274">
        <v>229125</v>
      </c>
      <c r="L412" s="2">
        <v>231725</v>
      </c>
      <c r="M412" s="311">
        <v>233785</v>
      </c>
      <c r="N412" s="311">
        <v>235905</v>
      </c>
      <c r="O412" s="311">
        <v>237773</v>
      </c>
      <c r="P412" s="311">
        <v>239320</v>
      </c>
      <c r="Q412" s="2">
        <v>240900</v>
      </c>
      <c r="R412" s="2">
        <v>241227</v>
      </c>
      <c r="S412" s="311">
        <v>241232</v>
      </c>
      <c r="T412" s="311">
        <v>241232</v>
      </c>
      <c r="U412" s="492">
        <v>242219</v>
      </c>
      <c r="V412" s="492">
        <v>244475</v>
      </c>
      <c r="W412" s="2"/>
      <c r="X412" s="2"/>
      <c r="Y412" s="2">
        <f t="shared" si="151"/>
        <v>1530</v>
      </c>
      <c r="Z412" s="2">
        <f t="shared" si="152"/>
        <v>2600</v>
      </c>
      <c r="AA412" s="2">
        <f t="shared" si="150"/>
        <v>2060</v>
      </c>
      <c r="AB412" s="2">
        <f t="shared" si="149"/>
        <v>2120</v>
      </c>
      <c r="AC412" s="2">
        <f t="shared" si="153"/>
        <v>1868</v>
      </c>
      <c r="AD412" s="2">
        <f t="shared" si="154"/>
        <v>1547</v>
      </c>
      <c r="AE412" s="2">
        <f t="shared" si="155"/>
        <v>1580</v>
      </c>
      <c r="AF412" s="2">
        <f t="shared" si="156"/>
        <v>327</v>
      </c>
      <c r="AG412" s="2">
        <f t="shared" si="157"/>
        <v>5</v>
      </c>
      <c r="AH412" s="2">
        <f t="shared" si="158"/>
        <v>0</v>
      </c>
      <c r="AI412" s="2">
        <f t="shared" si="159"/>
        <v>987</v>
      </c>
      <c r="AJ412" s="2">
        <f t="shared" si="160"/>
        <v>2256</v>
      </c>
      <c r="AK412" s="406">
        <v>1</v>
      </c>
      <c r="AL412" s="274">
        <f t="shared" ca="1" si="145"/>
        <v>235905</v>
      </c>
      <c r="AM412" s="311">
        <f t="shared" ca="1" si="146"/>
        <v>237773</v>
      </c>
      <c r="AN412" s="274">
        <f ca="1">IF(AND(Tabla7[[#This Row],[UltLec]]&lt;&gt;0,Tabla7[[#This Row],[PenLect]]&lt;&gt;0),(AM412-AL412)*Tabla7[[#This Row],[RT]],"N/A")</f>
        <v>1868</v>
      </c>
      <c r="AO412" s="273" t="s">
        <v>862</v>
      </c>
      <c r="AP412" s="392" t="s">
        <v>1190</v>
      </c>
      <c r="AQ412" s="392" t="s">
        <v>1189</v>
      </c>
      <c r="AR412" s="407">
        <f t="shared" si="147"/>
        <v>0</v>
      </c>
      <c r="AT412" s="2">
        <f t="shared" ca="1" si="148"/>
        <v>0.88113207547169814</v>
      </c>
      <c r="AV412">
        <f>IF(ISBLANK(Tabla7[[#This Row],[31/12/2017]]),0,Tabla7[[#This Row],[31/12/2017]])</f>
        <v>227595</v>
      </c>
      <c r="AW412">
        <f>IF(ISBLANK(Tabla7[[#This Row],[15/01/2018]]),0,Tabla7[[#This Row],[15/01/2018]])</f>
        <v>229125</v>
      </c>
      <c r="AX412">
        <f>IF(ISBLANK(Tabla7[[#This Row],[15/02/2018]]),0,Tabla7[[#This Row],[15/02/2018]])</f>
        <v>231725</v>
      </c>
      <c r="AY412">
        <f>IF(ISBLANK(Tabla7[[#This Row],[15/03/2018]]),0,Tabla7[[#This Row],[15/03/2018]])</f>
        <v>233785</v>
      </c>
      <c r="AZ412">
        <f>IF(ISBLANK(Tabla7[[#This Row],[15/04/2018]]),0,Tabla7[[#This Row],[15/04/2018]])</f>
        <v>235905</v>
      </c>
      <c r="BA412">
        <f>IF(ISBLANK(Tabla7[[#This Row],[15/05/2018]]),0,Tabla7[[#This Row],[15/05/2018]])</f>
        <v>237773</v>
      </c>
      <c r="BB412">
        <f>IF(ISBLANK(Tabla7[[#This Row],[15/06/2018]]),0,Tabla7[[#This Row],[15/06/2018]])</f>
        <v>239320</v>
      </c>
      <c r="BC412">
        <f>IF(ISBLANK(Tabla7[[#This Row],[15/07/2018]]),0,Tabla7[[#This Row],[15/07/2018]])</f>
        <v>240900</v>
      </c>
      <c r="BD412">
        <f>IF(ISBLANK(Tabla7[[#This Row],[15/08/2018]]),0,Tabla7[[#This Row],[15/08/2018]])</f>
        <v>241227</v>
      </c>
      <c r="BE412">
        <f>IF(ISBLANK(Tabla7[[#This Row],[15/09/2018]]),0,Tabla7[[#This Row],[15/09/2018]])</f>
        <v>241232</v>
      </c>
      <c r="BF412">
        <f>IF(ISBLANK(Tabla7[[#This Row],[15/10/2018]]),0,Tabla7[[#This Row],[15/10/2018]])</f>
        <v>241232</v>
      </c>
      <c r="BG412">
        <f>IF(ISBLANK(Tabla7[[#This Row],[15/11/2018]]),0,Tabla7[[#This Row],[15/11/2018]])</f>
        <v>242219</v>
      </c>
      <c r="BH412">
        <f>IF(ISBLANK(Tabla7[[#This Row],[15/12/2018]]),0,Tabla7[[#This Row],[15/12/2018]])</f>
        <v>244475</v>
      </c>
      <c r="BI412">
        <f>IF(ISBLANK(Tabla7[[#This Row],[28/12/2018]]),0,Tabla7[[#This Row],[28/12/2018]])</f>
        <v>0</v>
      </c>
      <c r="BN41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('181237','V','VCT44','39447','VALENCIA TERMINAL EUROPA','EN CT (12)','TORRE 4407','');</v>
      </c>
      <c r="BO412" t="s">
        <v>243</v>
      </c>
      <c r="BP412" s="632" t="str">
        <f>CONCATENATE("insert into lecturas values ","('",Tabla7[[#This Row],[CONTADOR]],"',STR_TO_DATE('",Tabla7[[#Headers],[31/12/2017]],"','%d/%m/%Y'),",AV412,"),","('",Tabla7[[#This Row],[CONTADOR]],"',STR_TO_DATE('",Tabla7[[#Headers],[15/01/2018]],"','%d/%m/%Y'),",AW412,"),","('",Tabla7[[#This Row],[CONTADOR]],"',STR_TO_DATE('",Tabla7[[#Headers],[15/02/2018]],"','%d/%m/%Y'),",AX412,"),","('",Tabla7[[#This Row],[CONTADOR]],"',STR_TO_DATE('",Tabla7[[#Headers],[15/03/2018]],"','%d/%m/%Y'),",AY412,"),","('",Tabla7[[#This Row],[CONTADOR]],"',STR_TO_DATE('",Tabla7[[#Headers],[15/04/2018]],"','%d/%m/%Y'),",AZ412,"),","('",Tabla7[[#This Row],[CONTADOR]],"',STR_TO_DATE('",Tabla7[[#Headers],[15/05/2018]],"','%d/%m/%Y'),",BA412,"),","('",Tabla7[[#This Row],[CONTADOR]],"',STR_TO_DATE('",Tabla7[[#Headers],[15/06/2018]],"','%d/%m/%Y'),",BB412,"),","('",Tabla7[[#This Row],[CONTADOR]],"',STR_TO_DATE('",Tabla7[[#Headers],[15/07/2018]],"','%d/%m/%Y'),",BC412,"),","('",Tabla7[[#This Row],[CONTADOR]],"',STR_TO_DATE('",Tabla7[[#Headers],[15/08/2018]],"','%d/%m/%Y'),",BD412,"),","('",Tabla7[[#This Row],[CONTADOR]],"',STR_TO_DATE('",Tabla7[[#Headers],[15/09/2018]],"','%d/%m/%Y'),",BE412,"),","('",Tabla7[[#This Row],[CONTADOR]],"',STR_TO_DATE('",Tabla7[[#Headers],[15/10/2018]],"','%d/%m/%Y'),",BF412,"),","('",Tabla7[[#This Row],[CONTADOR]],"',STR_TO_DATE('",Tabla7[[#Headers],[15/11/2018]],"','%d/%m/%Y'),",BG412,"),","('",Tabla7[[#This Row],[CONTADOR]],"',STR_TO_DATE('",Tabla7[[#Headers],[15/12/2018]],"','%d/%m/%Y'),",BH412,");")</f>
        <v>insert into lecturas values ('181237',STR_TO_DATE('31/12/2017','%d/%m/%Y'),227595),('181237',STR_TO_DATE('15/01/2018','%d/%m/%Y'),229125),('181237',STR_TO_DATE('15/02/2018','%d/%m/%Y'),231725),('181237',STR_TO_DATE('15/03/2018','%d/%m/%Y'),233785),('181237',STR_TO_DATE('15/04/2018','%d/%m/%Y'),235905),('181237',STR_TO_DATE('15/05/2018','%d/%m/%Y'),237773),('181237',STR_TO_DATE('15/06/2018','%d/%m/%Y'),239320),('181237',STR_TO_DATE('15/07/2018','%d/%m/%Y'),240900),('181237',STR_TO_DATE('15/08/2018','%d/%m/%Y'),241227),('181237',STR_TO_DATE('15/09/2018','%d/%m/%Y'),241232),('181237',STR_TO_DATE('15/10/2018','%d/%m/%Y'),241232),('181237',STR_TO_DATE('15/11/2018','%d/%m/%Y'),242219),('181237',STR_TO_DATE('15/12/2018','%d/%m/%Y'),244475);</v>
      </c>
    </row>
    <row r="413" spans="1:68" ht="18" customHeight="1" x14ac:dyDescent="0.25">
      <c r="A413" s="241" t="s">
        <v>19</v>
      </c>
      <c r="B413" s="60"/>
      <c r="C413" s="342">
        <v>181317</v>
      </c>
      <c r="D413" s="60" t="s">
        <v>272</v>
      </c>
      <c r="E413" s="258">
        <v>39296</v>
      </c>
      <c r="F413" s="2" t="s">
        <v>250</v>
      </c>
      <c r="G413" s="2" t="s">
        <v>782</v>
      </c>
      <c r="H413" s="2" t="s">
        <v>276</v>
      </c>
      <c r="I413" s="2"/>
      <c r="J413" s="2">
        <v>123618</v>
      </c>
      <c r="K413" s="274">
        <v>124873</v>
      </c>
      <c r="L413" s="2">
        <v>127033</v>
      </c>
      <c r="M413" s="311">
        <v>128855</v>
      </c>
      <c r="N413" s="311">
        <v>130487</v>
      </c>
      <c r="O413" s="311">
        <v>132052</v>
      </c>
      <c r="P413" s="311">
        <v>133438</v>
      </c>
      <c r="Q413" s="275">
        <v>134831</v>
      </c>
      <c r="R413" s="274">
        <v>136236</v>
      </c>
      <c r="S413" s="311">
        <v>138268</v>
      </c>
      <c r="T413" s="311">
        <v>141276</v>
      </c>
      <c r="U413" s="492">
        <v>145149</v>
      </c>
      <c r="V413" s="492">
        <v>149308</v>
      </c>
      <c r="W413" s="2"/>
      <c r="X413" s="2"/>
      <c r="Y413" s="2">
        <f t="shared" si="151"/>
        <v>1255</v>
      </c>
      <c r="Z413" s="2">
        <f t="shared" si="152"/>
        <v>2160</v>
      </c>
      <c r="AA413" s="2">
        <f t="shared" si="150"/>
        <v>1822</v>
      </c>
      <c r="AB413" s="2">
        <f t="shared" si="149"/>
        <v>1632</v>
      </c>
      <c r="AC413" s="2">
        <f t="shared" si="153"/>
        <v>1565</v>
      </c>
      <c r="AD413" s="2">
        <f t="shared" si="154"/>
        <v>1386</v>
      </c>
      <c r="AE413" s="2">
        <f t="shared" si="155"/>
        <v>1393</v>
      </c>
      <c r="AF413" s="2">
        <f t="shared" si="156"/>
        <v>1405</v>
      </c>
      <c r="AG413" s="2">
        <f t="shared" si="157"/>
        <v>2032</v>
      </c>
      <c r="AH413" s="2">
        <f t="shared" si="158"/>
        <v>3008</v>
      </c>
      <c r="AI413" s="2">
        <f t="shared" si="159"/>
        <v>3873</v>
      </c>
      <c r="AJ413" s="2">
        <f t="shared" si="160"/>
        <v>4159</v>
      </c>
      <c r="AK413" s="406">
        <v>1</v>
      </c>
      <c r="AL413" s="274">
        <f t="shared" ca="1" si="145"/>
        <v>130487</v>
      </c>
      <c r="AM413" s="311">
        <f t="shared" ca="1" si="146"/>
        <v>132052</v>
      </c>
      <c r="AN413" s="274">
        <f ca="1">IF(AND(Tabla7[[#This Row],[UltLec]]&lt;&gt;0,Tabla7[[#This Row],[PenLect]]&lt;&gt;0),(AM413-AL413)*Tabla7[[#This Row],[RT]],"N/A")</f>
        <v>1565</v>
      </c>
      <c r="AO413" s="273" t="s">
        <v>862</v>
      </c>
      <c r="AP413" s="392" t="s">
        <v>1190</v>
      </c>
      <c r="AQ413" s="392" t="s">
        <v>1189</v>
      </c>
      <c r="AR413" s="407">
        <f t="shared" si="147"/>
        <v>0</v>
      </c>
      <c r="AT413" s="2">
        <f t="shared" ca="1" si="148"/>
        <v>0.95894607843137258</v>
      </c>
      <c r="AV413">
        <f>IF(ISBLANK(Tabla7[[#This Row],[31/12/2017]]),0,Tabla7[[#This Row],[31/12/2017]])</f>
        <v>123618</v>
      </c>
      <c r="AW413">
        <f>IF(ISBLANK(Tabla7[[#This Row],[15/01/2018]]),0,Tabla7[[#This Row],[15/01/2018]])</f>
        <v>124873</v>
      </c>
      <c r="AX413">
        <f>IF(ISBLANK(Tabla7[[#This Row],[15/02/2018]]),0,Tabla7[[#This Row],[15/02/2018]])</f>
        <v>127033</v>
      </c>
      <c r="AY413">
        <f>IF(ISBLANK(Tabla7[[#This Row],[15/03/2018]]),0,Tabla7[[#This Row],[15/03/2018]])</f>
        <v>128855</v>
      </c>
      <c r="AZ413">
        <f>IF(ISBLANK(Tabla7[[#This Row],[15/04/2018]]),0,Tabla7[[#This Row],[15/04/2018]])</f>
        <v>130487</v>
      </c>
      <c r="BA413">
        <f>IF(ISBLANK(Tabla7[[#This Row],[15/05/2018]]),0,Tabla7[[#This Row],[15/05/2018]])</f>
        <v>132052</v>
      </c>
      <c r="BB413">
        <f>IF(ISBLANK(Tabla7[[#This Row],[15/06/2018]]),0,Tabla7[[#This Row],[15/06/2018]])</f>
        <v>133438</v>
      </c>
      <c r="BC413">
        <f>IF(ISBLANK(Tabla7[[#This Row],[15/07/2018]]),0,Tabla7[[#This Row],[15/07/2018]])</f>
        <v>134831</v>
      </c>
      <c r="BD413">
        <f>IF(ISBLANK(Tabla7[[#This Row],[15/08/2018]]),0,Tabla7[[#This Row],[15/08/2018]])</f>
        <v>136236</v>
      </c>
      <c r="BE413">
        <f>IF(ISBLANK(Tabla7[[#This Row],[15/09/2018]]),0,Tabla7[[#This Row],[15/09/2018]])</f>
        <v>138268</v>
      </c>
      <c r="BF413">
        <f>IF(ISBLANK(Tabla7[[#This Row],[15/10/2018]]),0,Tabla7[[#This Row],[15/10/2018]])</f>
        <v>141276</v>
      </c>
      <c r="BG413">
        <f>IF(ISBLANK(Tabla7[[#This Row],[15/11/2018]]),0,Tabla7[[#This Row],[15/11/2018]])</f>
        <v>145149</v>
      </c>
      <c r="BH413">
        <f>IF(ISBLANK(Tabla7[[#This Row],[15/12/2018]]),0,Tabla7[[#This Row],[15/12/2018]])</f>
        <v>149308</v>
      </c>
      <c r="BI413">
        <f>IF(ISBLANK(Tabla7[[#This Row],[28/12/2018]]),0,Tabla7[[#This Row],[28/12/2018]])</f>
        <v>0</v>
      </c>
      <c r="BN41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('181317','V','VCT44','39296','VALENCIA TERMINAL EUROPA','EN CT (05)','TORRE4402','');</v>
      </c>
      <c r="BO413" t="s">
        <v>243</v>
      </c>
      <c r="BP413" s="632" t="str">
        <f>CONCATENATE("insert into lecturas values ","('",Tabla7[[#This Row],[CONTADOR]],"',STR_TO_DATE('",Tabla7[[#Headers],[31/12/2017]],"','%d/%m/%Y'),",AV413,"),","('",Tabla7[[#This Row],[CONTADOR]],"',STR_TO_DATE('",Tabla7[[#Headers],[15/01/2018]],"','%d/%m/%Y'),",AW413,"),","('",Tabla7[[#This Row],[CONTADOR]],"',STR_TO_DATE('",Tabla7[[#Headers],[15/02/2018]],"','%d/%m/%Y'),",AX413,"),","('",Tabla7[[#This Row],[CONTADOR]],"',STR_TO_DATE('",Tabla7[[#Headers],[15/03/2018]],"','%d/%m/%Y'),",AY413,"),","('",Tabla7[[#This Row],[CONTADOR]],"',STR_TO_DATE('",Tabla7[[#Headers],[15/04/2018]],"','%d/%m/%Y'),",AZ413,"),","('",Tabla7[[#This Row],[CONTADOR]],"',STR_TO_DATE('",Tabla7[[#Headers],[15/05/2018]],"','%d/%m/%Y'),",BA413,"),","('",Tabla7[[#This Row],[CONTADOR]],"',STR_TO_DATE('",Tabla7[[#Headers],[15/06/2018]],"','%d/%m/%Y'),",BB413,"),","('",Tabla7[[#This Row],[CONTADOR]],"',STR_TO_DATE('",Tabla7[[#Headers],[15/07/2018]],"','%d/%m/%Y'),",BC413,"),","('",Tabla7[[#This Row],[CONTADOR]],"',STR_TO_DATE('",Tabla7[[#Headers],[15/08/2018]],"','%d/%m/%Y'),",BD413,"),","('",Tabla7[[#This Row],[CONTADOR]],"',STR_TO_DATE('",Tabla7[[#Headers],[15/09/2018]],"','%d/%m/%Y'),",BE413,"),","('",Tabla7[[#This Row],[CONTADOR]],"',STR_TO_DATE('",Tabla7[[#Headers],[15/10/2018]],"','%d/%m/%Y'),",BF413,"),","('",Tabla7[[#This Row],[CONTADOR]],"',STR_TO_DATE('",Tabla7[[#Headers],[15/11/2018]],"','%d/%m/%Y'),",BG413,"),","('",Tabla7[[#This Row],[CONTADOR]],"',STR_TO_DATE('",Tabla7[[#Headers],[15/12/2018]],"','%d/%m/%Y'),",BH413,");")</f>
        <v>insert into lecturas values ('181317',STR_TO_DATE('31/12/2017','%d/%m/%Y'),123618),('181317',STR_TO_DATE('15/01/2018','%d/%m/%Y'),124873),('181317',STR_TO_DATE('15/02/2018','%d/%m/%Y'),127033),('181317',STR_TO_DATE('15/03/2018','%d/%m/%Y'),128855),('181317',STR_TO_DATE('15/04/2018','%d/%m/%Y'),130487),('181317',STR_TO_DATE('15/05/2018','%d/%m/%Y'),132052),('181317',STR_TO_DATE('15/06/2018','%d/%m/%Y'),133438),('181317',STR_TO_DATE('15/07/2018','%d/%m/%Y'),134831),('181317',STR_TO_DATE('15/08/2018','%d/%m/%Y'),136236),('181317',STR_TO_DATE('15/09/2018','%d/%m/%Y'),138268),('181317',STR_TO_DATE('15/10/2018','%d/%m/%Y'),141276),('181317',STR_TO_DATE('15/11/2018','%d/%m/%Y'),145149),('181317',STR_TO_DATE('15/12/2018','%d/%m/%Y'),149308);</v>
      </c>
    </row>
    <row r="414" spans="1:68" ht="18" customHeight="1" x14ac:dyDescent="0.25">
      <c r="A414" s="241" t="s">
        <v>19</v>
      </c>
      <c r="B414" s="60"/>
      <c r="C414" s="342">
        <v>181320</v>
      </c>
      <c r="D414" s="60" t="s">
        <v>272</v>
      </c>
      <c r="E414" s="258">
        <v>39297</v>
      </c>
      <c r="F414" s="2" t="s">
        <v>250</v>
      </c>
      <c r="G414" s="2" t="s">
        <v>783</v>
      </c>
      <c r="H414" s="2" t="s">
        <v>277</v>
      </c>
      <c r="I414" s="2"/>
      <c r="J414" s="2">
        <v>159455</v>
      </c>
      <c r="K414" s="274">
        <v>161361</v>
      </c>
      <c r="L414" s="2">
        <v>164077</v>
      </c>
      <c r="M414" s="311">
        <v>166342</v>
      </c>
      <c r="N414" s="311">
        <v>168228</v>
      </c>
      <c r="O414" s="311">
        <v>169802</v>
      </c>
      <c r="P414" s="311">
        <v>171201</v>
      </c>
      <c r="Q414" s="2">
        <v>172494</v>
      </c>
      <c r="R414" s="2">
        <v>173672</v>
      </c>
      <c r="S414" s="311">
        <v>176072</v>
      </c>
      <c r="T414" s="311">
        <v>178539</v>
      </c>
      <c r="U414" s="492">
        <v>181759</v>
      </c>
      <c r="V414" s="492">
        <v>185146</v>
      </c>
      <c r="W414" s="2"/>
      <c r="X414" s="2"/>
      <c r="Y414" s="2">
        <f t="shared" si="151"/>
        <v>1906</v>
      </c>
      <c r="Z414" s="2">
        <f t="shared" si="152"/>
        <v>2716</v>
      </c>
      <c r="AA414" s="2">
        <f t="shared" si="150"/>
        <v>2265</v>
      </c>
      <c r="AB414" s="2">
        <f t="shared" si="149"/>
        <v>1886</v>
      </c>
      <c r="AC414" s="2">
        <f t="shared" si="153"/>
        <v>1574</v>
      </c>
      <c r="AD414" s="2">
        <f t="shared" si="154"/>
        <v>1399</v>
      </c>
      <c r="AE414" s="2">
        <f t="shared" si="155"/>
        <v>1293</v>
      </c>
      <c r="AF414" s="2">
        <f t="shared" si="156"/>
        <v>1178</v>
      </c>
      <c r="AG414" s="2">
        <f t="shared" si="157"/>
        <v>2400</v>
      </c>
      <c r="AH414" s="2">
        <f t="shared" si="158"/>
        <v>2467</v>
      </c>
      <c r="AI414" s="2">
        <f t="shared" si="159"/>
        <v>3220</v>
      </c>
      <c r="AJ414" s="2">
        <f t="shared" si="160"/>
        <v>3387</v>
      </c>
      <c r="AK414" s="406">
        <v>1</v>
      </c>
      <c r="AL414" s="274">
        <f t="shared" ca="1" si="145"/>
        <v>168228</v>
      </c>
      <c r="AM414" s="311">
        <f t="shared" ca="1" si="146"/>
        <v>169802</v>
      </c>
      <c r="AN414" s="274">
        <f ca="1">IF(AND(Tabla7[[#This Row],[UltLec]]&lt;&gt;0,Tabla7[[#This Row],[PenLect]]&lt;&gt;0),(AM414-AL414)*Tabla7[[#This Row],[RT]],"N/A")</f>
        <v>1574</v>
      </c>
      <c r="AO414" s="273" t="s">
        <v>862</v>
      </c>
      <c r="AP414" s="392" t="s">
        <v>1190</v>
      </c>
      <c r="AQ414" s="392" t="s">
        <v>1189</v>
      </c>
      <c r="AR414" s="407">
        <f t="shared" si="147"/>
        <v>0</v>
      </c>
      <c r="AT414" s="2">
        <f t="shared" ca="1" si="148"/>
        <v>0.83457051961823969</v>
      </c>
      <c r="AV414">
        <f>IF(ISBLANK(Tabla7[[#This Row],[31/12/2017]]),0,Tabla7[[#This Row],[31/12/2017]])</f>
        <v>159455</v>
      </c>
      <c r="AW414">
        <f>IF(ISBLANK(Tabla7[[#This Row],[15/01/2018]]),0,Tabla7[[#This Row],[15/01/2018]])</f>
        <v>161361</v>
      </c>
      <c r="AX414">
        <f>IF(ISBLANK(Tabla7[[#This Row],[15/02/2018]]),0,Tabla7[[#This Row],[15/02/2018]])</f>
        <v>164077</v>
      </c>
      <c r="AY414">
        <f>IF(ISBLANK(Tabla7[[#This Row],[15/03/2018]]),0,Tabla7[[#This Row],[15/03/2018]])</f>
        <v>166342</v>
      </c>
      <c r="AZ414">
        <f>IF(ISBLANK(Tabla7[[#This Row],[15/04/2018]]),0,Tabla7[[#This Row],[15/04/2018]])</f>
        <v>168228</v>
      </c>
      <c r="BA414">
        <f>IF(ISBLANK(Tabla7[[#This Row],[15/05/2018]]),0,Tabla7[[#This Row],[15/05/2018]])</f>
        <v>169802</v>
      </c>
      <c r="BB414">
        <f>IF(ISBLANK(Tabla7[[#This Row],[15/06/2018]]),0,Tabla7[[#This Row],[15/06/2018]])</f>
        <v>171201</v>
      </c>
      <c r="BC414">
        <f>IF(ISBLANK(Tabla7[[#This Row],[15/07/2018]]),0,Tabla7[[#This Row],[15/07/2018]])</f>
        <v>172494</v>
      </c>
      <c r="BD414">
        <f>IF(ISBLANK(Tabla7[[#This Row],[15/08/2018]]),0,Tabla7[[#This Row],[15/08/2018]])</f>
        <v>173672</v>
      </c>
      <c r="BE414">
        <f>IF(ISBLANK(Tabla7[[#This Row],[15/09/2018]]),0,Tabla7[[#This Row],[15/09/2018]])</f>
        <v>176072</v>
      </c>
      <c r="BF414">
        <f>IF(ISBLANK(Tabla7[[#This Row],[15/10/2018]]),0,Tabla7[[#This Row],[15/10/2018]])</f>
        <v>178539</v>
      </c>
      <c r="BG414">
        <f>IF(ISBLANK(Tabla7[[#This Row],[15/11/2018]]),0,Tabla7[[#This Row],[15/11/2018]])</f>
        <v>181759</v>
      </c>
      <c r="BH414">
        <f>IF(ISBLANK(Tabla7[[#This Row],[15/12/2018]]),0,Tabla7[[#This Row],[15/12/2018]])</f>
        <v>185146</v>
      </c>
      <c r="BI414">
        <f>IF(ISBLANK(Tabla7[[#This Row],[28/12/2018]]),0,Tabla7[[#This Row],[28/12/2018]])</f>
        <v>0</v>
      </c>
      <c r="BN41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('181320','V','VCT44','39297','VALENCIA TERMINAL EUROPA','EN CT (06)','TORRE4403','');</v>
      </c>
      <c r="BO414" t="s">
        <v>243</v>
      </c>
      <c r="BP414" s="632" t="str">
        <f>CONCATENATE("insert into lecturas values ","('",Tabla7[[#This Row],[CONTADOR]],"',STR_TO_DATE('",Tabla7[[#Headers],[31/12/2017]],"','%d/%m/%Y'),",AV414,"),","('",Tabla7[[#This Row],[CONTADOR]],"',STR_TO_DATE('",Tabla7[[#Headers],[15/01/2018]],"','%d/%m/%Y'),",AW414,"),","('",Tabla7[[#This Row],[CONTADOR]],"',STR_TO_DATE('",Tabla7[[#Headers],[15/02/2018]],"','%d/%m/%Y'),",AX414,"),","('",Tabla7[[#This Row],[CONTADOR]],"',STR_TO_DATE('",Tabla7[[#Headers],[15/03/2018]],"','%d/%m/%Y'),",AY414,"),","('",Tabla7[[#This Row],[CONTADOR]],"',STR_TO_DATE('",Tabla7[[#Headers],[15/04/2018]],"','%d/%m/%Y'),",AZ414,"),","('",Tabla7[[#This Row],[CONTADOR]],"',STR_TO_DATE('",Tabla7[[#Headers],[15/05/2018]],"','%d/%m/%Y'),",BA414,"),","('",Tabla7[[#This Row],[CONTADOR]],"',STR_TO_DATE('",Tabla7[[#Headers],[15/06/2018]],"','%d/%m/%Y'),",BB414,"),","('",Tabla7[[#This Row],[CONTADOR]],"',STR_TO_DATE('",Tabla7[[#Headers],[15/07/2018]],"','%d/%m/%Y'),",BC414,"),","('",Tabla7[[#This Row],[CONTADOR]],"',STR_TO_DATE('",Tabla7[[#Headers],[15/08/2018]],"','%d/%m/%Y'),",BD414,"),","('",Tabla7[[#This Row],[CONTADOR]],"',STR_TO_DATE('",Tabla7[[#Headers],[15/09/2018]],"','%d/%m/%Y'),",BE414,"),","('",Tabla7[[#This Row],[CONTADOR]],"',STR_TO_DATE('",Tabla7[[#Headers],[15/10/2018]],"','%d/%m/%Y'),",BF414,"),","('",Tabla7[[#This Row],[CONTADOR]],"',STR_TO_DATE('",Tabla7[[#Headers],[15/11/2018]],"','%d/%m/%Y'),",BG414,"),","('",Tabla7[[#This Row],[CONTADOR]],"',STR_TO_DATE('",Tabla7[[#Headers],[15/12/2018]],"','%d/%m/%Y'),",BH414,");")</f>
        <v>insert into lecturas values ('181320',STR_TO_DATE('31/12/2017','%d/%m/%Y'),159455),('181320',STR_TO_DATE('15/01/2018','%d/%m/%Y'),161361),('181320',STR_TO_DATE('15/02/2018','%d/%m/%Y'),164077),('181320',STR_TO_DATE('15/03/2018','%d/%m/%Y'),166342),('181320',STR_TO_DATE('15/04/2018','%d/%m/%Y'),168228),('181320',STR_TO_DATE('15/05/2018','%d/%m/%Y'),169802),('181320',STR_TO_DATE('15/06/2018','%d/%m/%Y'),171201),('181320',STR_TO_DATE('15/07/2018','%d/%m/%Y'),172494),('181320',STR_TO_DATE('15/08/2018','%d/%m/%Y'),173672),('181320',STR_TO_DATE('15/09/2018','%d/%m/%Y'),176072),('181320',STR_TO_DATE('15/10/2018','%d/%m/%Y'),178539),('181320',STR_TO_DATE('15/11/2018','%d/%m/%Y'),181759),('181320',STR_TO_DATE('15/12/2018','%d/%m/%Y'),185146);</v>
      </c>
    </row>
    <row r="415" spans="1:68" ht="18" customHeight="1" x14ac:dyDescent="0.25">
      <c r="A415" s="241" t="s">
        <v>19</v>
      </c>
      <c r="B415" s="60"/>
      <c r="C415" s="342">
        <v>181321</v>
      </c>
      <c r="D415" s="60" t="s">
        <v>272</v>
      </c>
      <c r="E415" s="258">
        <v>39448</v>
      </c>
      <c r="F415" s="274" t="s">
        <v>250</v>
      </c>
      <c r="G415" s="274" t="s">
        <v>777</v>
      </c>
      <c r="H415" s="274" t="s">
        <v>284</v>
      </c>
      <c r="I415" s="274"/>
      <c r="J415" s="274">
        <v>278850</v>
      </c>
      <c r="K415" s="311">
        <v>280753</v>
      </c>
      <c r="L415" s="274">
        <v>284051</v>
      </c>
      <c r="M415" s="311">
        <v>286629</v>
      </c>
      <c r="N415" s="311">
        <v>289262</v>
      </c>
      <c r="O415" s="311">
        <v>291629</v>
      </c>
      <c r="P415" s="311">
        <v>293740</v>
      </c>
      <c r="Q415" s="274">
        <v>293871</v>
      </c>
      <c r="R415" s="274">
        <v>298007</v>
      </c>
      <c r="S415" s="311">
        <v>300822</v>
      </c>
      <c r="T415" s="311">
        <v>303290</v>
      </c>
      <c r="U415" s="311">
        <v>306470</v>
      </c>
      <c r="V415" s="311">
        <v>309818</v>
      </c>
      <c r="W415" s="274"/>
      <c r="X415" s="274"/>
      <c r="Y415" s="274">
        <f t="shared" si="151"/>
        <v>1903</v>
      </c>
      <c r="Z415" s="274">
        <f t="shared" si="152"/>
        <v>3298</v>
      </c>
      <c r="AA415" s="274">
        <f t="shared" si="150"/>
        <v>2578</v>
      </c>
      <c r="AB415" s="274">
        <f t="shared" si="149"/>
        <v>2633</v>
      </c>
      <c r="AC415" s="274">
        <f t="shared" si="153"/>
        <v>2367</v>
      </c>
      <c r="AD415" s="274">
        <f t="shared" si="154"/>
        <v>2111</v>
      </c>
      <c r="AE415" s="274">
        <f t="shared" si="155"/>
        <v>131</v>
      </c>
      <c r="AF415" s="274">
        <f t="shared" si="156"/>
        <v>4136</v>
      </c>
      <c r="AG415" s="274">
        <f t="shared" si="157"/>
        <v>2815</v>
      </c>
      <c r="AH415" s="274">
        <f t="shared" si="158"/>
        <v>2468</v>
      </c>
      <c r="AI415" s="274">
        <f t="shared" si="159"/>
        <v>3180</v>
      </c>
      <c r="AJ415" s="274">
        <f t="shared" si="160"/>
        <v>3348</v>
      </c>
      <c r="AK415" s="406">
        <v>1</v>
      </c>
      <c r="AL415" s="274">
        <f t="shared" ca="1" si="145"/>
        <v>289262</v>
      </c>
      <c r="AM415" s="311">
        <f t="shared" ca="1" si="146"/>
        <v>291629</v>
      </c>
      <c r="AN415" s="274">
        <f ca="1">IF(AND(Tabla7[[#This Row],[UltLec]]&lt;&gt;0,Tabla7[[#This Row],[PenLect]]&lt;&gt;0),(AM415-AL415)*Tabla7[[#This Row],[RT]],"N/A")</f>
        <v>2367</v>
      </c>
      <c r="AO415" s="273" t="s">
        <v>862</v>
      </c>
      <c r="AP415" s="392" t="s">
        <v>1190</v>
      </c>
      <c r="AQ415" s="392" t="s">
        <v>1189</v>
      </c>
      <c r="AR415" s="407">
        <f t="shared" si="147"/>
        <v>0</v>
      </c>
      <c r="AT415" s="2">
        <f t="shared" ca="1" si="148"/>
        <v>0.8989745537409799</v>
      </c>
      <c r="AV415">
        <f>IF(ISBLANK(Tabla7[[#This Row],[31/12/2017]]),0,Tabla7[[#This Row],[31/12/2017]])</f>
        <v>278850</v>
      </c>
      <c r="AW415">
        <f>IF(ISBLANK(Tabla7[[#This Row],[15/01/2018]]),0,Tabla7[[#This Row],[15/01/2018]])</f>
        <v>280753</v>
      </c>
      <c r="AX415">
        <f>IF(ISBLANK(Tabla7[[#This Row],[15/02/2018]]),0,Tabla7[[#This Row],[15/02/2018]])</f>
        <v>284051</v>
      </c>
      <c r="AY415">
        <f>IF(ISBLANK(Tabla7[[#This Row],[15/03/2018]]),0,Tabla7[[#This Row],[15/03/2018]])</f>
        <v>286629</v>
      </c>
      <c r="AZ415">
        <f>IF(ISBLANK(Tabla7[[#This Row],[15/04/2018]]),0,Tabla7[[#This Row],[15/04/2018]])</f>
        <v>289262</v>
      </c>
      <c r="BA415">
        <f>IF(ISBLANK(Tabla7[[#This Row],[15/05/2018]]),0,Tabla7[[#This Row],[15/05/2018]])</f>
        <v>291629</v>
      </c>
      <c r="BB415">
        <f>IF(ISBLANK(Tabla7[[#This Row],[15/06/2018]]),0,Tabla7[[#This Row],[15/06/2018]])</f>
        <v>293740</v>
      </c>
      <c r="BC415">
        <f>IF(ISBLANK(Tabla7[[#This Row],[15/07/2018]]),0,Tabla7[[#This Row],[15/07/2018]])</f>
        <v>293871</v>
      </c>
      <c r="BD415">
        <f>IF(ISBLANK(Tabla7[[#This Row],[15/08/2018]]),0,Tabla7[[#This Row],[15/08/2018]])</f>
        <v>298007</v>
      </c>
      <c r="BE415">
        <f>IF(ISBLANK(Tabla7[[#This Row],[15/09/2018]]),0,Tabla7[[#This Row],[15/09/2018]])</f>
        <v>300822</v>
      </c>
      <c r="BF415">
        <f>IF(ISBLANK(Tabla7[[#This Row],[15/10/2018]]),0,Tabla7[[#This Row],[15/10/2018]])</f>
        <v>303290</v>
      </c>
      <c r="BG415">
        <f>IF(ISBLANK(Tabla7[[#This Row],[15/11/2018]]),0,Tabla7[[#This Row],[15/11/2018]])</f>
        <v>306470</v>
      </c>
      <c r="BH415">
        <f>IF(ISBLANK(Tabla7[[#This Row],[15/12/2018]]),0,Tabla7[[#This Row],[15/12/2018]])</f>
        <v>309818</v>
      </c>
      <c r="BI415">
        <f>IF(ISBLANK(Tabla7[[#This Row],[28/12/2018]]),0,Tabla7[[#This Row],[28/12/2018]])</f>
        <v>0</v>
      </c>
      <c r="BN41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('181321','V','VCT44','39448','VALENCIA TERMINAL EUROPA','EN CT (13)','TORRE 4408','');</v>
      </c>
      <c r="BO415" t="s">
        <v>243</v>
      </c>
      <c r="BP415" s="632" t="str">
        <f>CONCATENATE("insert into lecturas values ","('",Tabla7[[#This Row],[CONTADOR]],"',STR_TO_DATE('",Tabla7[[#Headers],[31/12/2017]],"','%d/%m/%Y'),",AV415,"),","('",Tabla7[[#This Row],[CONTADOR]],"',STR_TO_DATE('",Tabla7[[#Headers],[15/01/2018]],"','%d/%m/%Y'),",AW415,"),","('",Tabla7[[#This Row],[CONTADOR]],"',STR_TO_DATE('",Tabla7[[#Headers],[15/02/2018]],"','%d/%m/%Y'),",AX415,"),","('",Tabla7[[#This Row],[CONTADOR]],"',STR_TO_DATE('",Tabla7[[#Headers],[15/03/2018]],"','%d/%m/%Y'),",AY415,"),","('",Tabla7[[#This Row],[CONTADOR]],"',STR_TO_DATE('",Tabla7[[#Headers],[15/04/2018]],"','%d/%m/%Y'),",AZ415,"),","('",Tabla7[[#This Row],[CONTADOR]],"',STR_TO_DATE('",Tabla7[[#Headers],[15/05/2018]],"','%d/%m/%Y'),",BA415,"),","('",Tabla7[[#This Row],[CONTADOR]],"',STR_TO_DATE('",Tabla7[[#Headers],[15/06/2018]],"','%d/%m/%Y'),",BB415,"),","('",Tabla7[[#This Row],[CONTADOR]],"',STR_TO_DATE('",Tabla7[[#Headers],[15/07/2018]],"','%d/%m/%Y'),",BC415,"),","('",Tabla7[[#This Row],[CONTADOR]],"',STR_TO_DATE('",Tabla7[[#Headers],[15/08/2018]],"','%d/%m/%Y'),",BD415,"),","('",Tabla7[[#This Row],[CONTADOR]],"',STR_TO_DATE('",Tabla7[[#Headers],[15/09/2018]],"','%d/%m/%Y'),",BE415,"),","('",Tabla7[[#This Row],[CONTADOR]],"',STR_TO_DATE('",Tabla7[[#Headers],[15/10/2018]],"','%d/%m/%Y'),",BF415,"),","('",Tabla7[[#This Row],[CONTADOR]],"',STR_TO_DATE('",Tabla7[[#Headers],[15/11/2018]],"','%d/%m/%Y'),",BG415,"),","('",Tabla7[[#This Row],[CONTADOR]],"',STR_TO_DATE('",Tabla7[[#Headers],[15/12/2018]],"','%d/%m/%Y'),",BH415,");")</f>
        <v>insert into lecturas values ('181321',STR_TO_DATE('31/12/2017','%d/%m/%Y'),278850),('181321',STR_TO_DATE('15/01/2018','%d/%m/%Y'),280753),('181321',STR_TO_DATE('15/02/2018','%d/%m/%Y'),284051),('181321',STR_TO_DATE('15/03/2018','%d/%m/%Y'),286629),('181321',STR_TO_DATE('15/04/2018','%d/%m/%Y'),289262),('181321',STR_TO_DATE('15/05/2018','%d/%m/%Y'),291629),('181321',STR_TO_DATE('15/06/2018','%d/%m/%Y'),293740),('181321',STR_TO_DATE('15/07/2018','%d/%m/%Y'),293871),('181321',STR_TO_DATE('15/08/2018','%d/%m/%Y'),298007),('181321',STR_TO_DATE('15/09/2018','%d/%m/%Y'),300822),('181321',STR_TO_DATE('15/10/2018','%d/%m/%Y'),303290),('181321',STR_TO_DATE('15/11/2018','%d/%m/%Y'),306470),('181321',STR_TO_DATE('15/12/2018','%d/%m/%Y'),309818);</v>
      </c>
    </row>
    <row r="416" spans="1:68" ht="18" customHeight="1" x14ac:dyDescent="0.25">
      <c r="A416" s="241" t="s">
        <v>19</v>
      </c>
      <c r="B416" s="60"/>
      <c r="C416" s="342">
        <v>181345</v>
      </c>
      <c r="D416" s="60" t="s">
        <v>272</v>
      </c>
      <c r="E416" s="258">
        <v>39294</v>
      </c>
      <c r="F416" s="2" t="s">
        <v>250</v>
      </c>
      <c r="G416" s="2" t="s">
        <v>781</v>
      </c>
      <c r="H416" s="2" t="s">
        <v>275</v>
      </c>
      <c r="I416" s="2"/>
      <c r="J416" s="2">
        <v>178526</v>
      </c>
      <c r="K416" s="274">
        <v>181136</v>
      </c>
      <c r="L416" s="274">
        <v>185605</v>
      </c>
      <c r="M416" s="311">
        <v>189306</v>
      </c>
      <c r="N416" s="311">
        <v>192584</v>
      </c>
      <c r="O416" s="311">
        <v>195693</v>
      </c>
      <c r="P416" s="311">
        <v>198344</v>
      </c>
      <c r="Q416" s="307">
        <v>200852</v>
      </c>
      <c r="R416" s="274">
        <v>203097</v>
      </c>
      <c r="S416" s="311">
        <v>206919</v>
      </c>
      <c r="T416" s="311">
        <v>208678</v>
      </c>
      <c r="U416" s="492">
        <v>212095</v>
      </c>
      <c r="V416" s="492">
        <v>215676</v>
      </c>
      <c r="W416" s="2"/>
      <c r="X416" s="2"/>
      <c r="Y416" s="2">
        <f t="shared" si="151"/>
        <v>2610</v>
      </c>
      <c r="Z416" s="2">
        <f t="shared" si="152"/>
        <v>4469</v>
      </c>
      <c r="AA416" s="2">
        <f t="shared" si="150"/>
        <v>3701</v>
      </c>
      <c r="AB416" s="2">
        <f t="shared" si="149"/>
        <v>3278</v>
      </c>
      <c r="AC416" s="2">
        <f t="shared" si="153"/>
        <v>3109</v>
      </c>
      <c r="AD416" s="2">
        <f t="shared" si="154"/>
        <v>2651</v>
      </c>
      <c r="AE416" s="2">
        <f t="shared" si="155"/>
        <v>2508</v>
      </c>
      <c r="AF416" s="2">
        <f t="shared" si="156"/>
        <v>2245</v>
      </c>
      <c r="AG416" s="2">
        <f t="shared" si="157"/>
        <v>3822</v>
      </c>
      <c r="AH416" s="2">
        <f t="shared" si="158"/>
        <v>1759</v>
      </c>
      <c r="AI416" s="2">
        <f t="shared" si="159"/>
        <v>3417</v>
      </c>
      <c r="AJ416" s="2">
        <f t="shared" si="160"/>
        <v>3581</v>
      </c>
      <c r="AK416" s="406">
        <v>1</v>
      </c>
      <c r="AL416" s="274">
        <f t="shared" ca="1" si="145"/>
        <v>192584</v>
      </c>
      <c r="AM416" s="311">
        <f t="shared" ca="1" si="146"/>
        <v>195693</v>
      </c>
      <c r="AN416" s="274">
        <f ca="1">IF(AND(Tabla7[[#This Row],[UltLec]]&lt;&gt;0,Tabla7[[#This Row],[PenLect]]&lt;&gt;0),(AM416-AL416)*Tabla7[[#This Row],[RT]],"N/A")</f>
        <v>3109</v>
      </c>
      <c r="AO416" s="273" t="s">
        <v>862</v>
      </c>
      <c r="AP416" s="392" t="s">
        <v>1190</v>
      </c>
      <c r="AQ416" s="392" t="s">
        <v>1189</v>
      </c>
      <c r="AR416" s="407">
        <f t="shared" si="147"/>
        <v>0</v>
      </c>
      <c r="AT416" s="2">
        <f t="shared" ca="1" si="148"/>
        <v>0.94844417327638808</v>
      </c>
      <c r="AV416">
        <f>IF(ISBLANK(Tabla7[[#This Row],[31/12/2017]]),0,Tabla7[[#This Row],[31/12/2017]])</f>
        <v>178526</v>
      </c>
      <c r="AW416">
        <f>IF(ISBLANK(Tabla7[[#This Row],[15/01/2018]]),0,Tabla7[[#This Row],[15/01/2018]])</f>
        <v>181136</v>
      </c>
      <c r="AX416">
        <f>IF(ISBLANK(Tabla7[[#This Row],[15/02/2018]]),0,Tabla7[[#This Row],[15/02/2018]])</f>
        <v>185605</v>
      </c>
      <c r="AY416">
        <f>IF(ISBLANK(Tabla7[[#This Row],[15/03/2018]]),0,Tabla7[[#This Row],[15/03/2018]])</f>
        <v>189306</v>
      </c>
      <c r="AZ416">
        <f>IF(ISBLANK(Tabla7[[#This Row],[15/04/2018]]),0,Tabla7[[#This Row],[15/04/2018]])</f>
        <v>192584</v>
      </c>
      <c r="BA416">
        <f>IF(ISBLANK(Tabla7[[#This Row],[15/05/2018]]),0,Tabla7[[#This Row],[15/05/2018]])</f>
        <v>195693</v>
      </c>
      <c r="BB416">
        <f>IF(ISBLANK(Tabla7[[#This Row],[15/06/2018]]),0,Tabla7[[#This Row],[15/06/2018]])</f>
        <v>198344</v>
      </c>
      <c r="BC416">
        <f>IF(ISBLANK(Tabla7[[#This Row],[15/07/2018]]),0,Tabla7[[#This Row],[15/07/2018]])</f>
        <v>200852</v>
      </c>
      <c r="BD416">
        <f>IF(ISBLANK(Tabla7[[#This Row],[15/08/2018]]),0,Tabla7[[#This Row],[15/08/2018]])</f>
        <v>203097</v>
      </c>
      <c r="BE416">
        <f>IF(ISBLANK(Tabla7[[#This Row],[15/09/2018]]),0,Tabla7[[#This Row],[15/09/2018]])</f>
        <v>206919</v>
      </c>
      <c r="BF416">
        <f>IF(ISBLANK(Tabla7[[#This Row],[15/10/2018]]),0,Tabla7[[#This Row],[15/10/2018]])</f>
        <v>208678</v>
      </c>
      <c r="BG416">
        <f>IF(ISBLANK(Tabla7[[#This Row],[15/11/2018]]),0,Tabla7[[#This Row],[15/11/2018]])</f>
        <v>212095</v>
      </c>
      <c r="BH416">
        <f>IF(ISBLANK(Tabla7[[#This Row],[15/12/2018]]),0,Tabla7[[#This Row],[15/12/2018]])</f>
        <v>215676</v>
      </c>
      <c r="BI416">
        <f>IF(ISBLANK(Tabla7[[#This Row],[28/12/2018]]),0,Tabla7[[#This Row],[28/12/2018]])</f>
        <v>0</v>
      </c>
      <c r="BN41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('181345','V','VCT44','39294','VALENCIA TERMINAL EUROPA','EN CT (04)','TORRE 4401','');</v>
      </c>
      <c r="BO416" t="s">
        <v>243</v>
      </c>
      <c r="BP416" s="632" t="str">
        <f>CONCATENATE("insert into lecturas values ","('",Tabla7[[#This Row],[CONTADOR]],"',STR_TO_DATE('",Tabla7[[#Headers],[31/12/2017]],"','%d/%m/%Y'),",AV416,"),","('",Tabla7[[#This Row],[CONTADOR]],"',STR_TO_DATE('",Tabla7[[#Headers],[15/01/2018]],"','%d/%m/%Y'),",AW416,"),","('",Tabla7[[#This Row],[CONTADOR]],"',STR_TO_DATE('",Tabla7[[#Headers],[15/02/2018]],"','%d/%m/%Y'),",AX416,"),","('",Tabla7[[#This Row],[CONTADOR]],"',STR_TO_DATE('",Tabla7[[#Headers],[15/03/2018]],"','%d/%m/%Y'),",AY416,"),","('",Tabla7[[#This Row],[CONTADOR]],"',STR_TO_DATE('",Tabla7[[#Headers],[15/04/2018]],"','%d/%m/%Y'),",AZ416,"),","('",Tabla7[[#This Row],[CONTADOR]],"',STR_TO_DATE('",Tabla7[[#Headers],[15/05/2018]],"','%d/%m/%Y'),",BA416,"),","('",Tabla7[[#This Row],[CONTADOR]],"',STR_TO_DATE('",Tabla7[[#Headers],[15/06/2018]],"','%d/%m/%Y'),",BB416,"),","('",Tabla7[[#This Row],[CONTADOR]],"',STR_TO_DATE('",Tabla7[[#Headers],[15/07/2018]],"','%d/%m/%Y'),",BC416,"),","('",Tabla7[[#This Row],[CONTADOR]],"',STR_TO_DATE('",Tabla7[[#Headers],[15/08/2018]],"','%d/%m/%Y'),",BD416,"),","('",Tabla7[[#This Row],[CONTADOR]],"',STR_TO_DATE('",Tabla7[[#Headers],[15/09/2018]],"','%d/%m/%Y'),",BE416,"),","('",Tabla7[[#This Row],[CONTADOR]],"',STR_TO_DATE('",Tabla7[[#Headers],[15/10/2018]],"','%d/%m/%Y'),",BF416,"),","('",Tabla7[[#This Row],[CONTADOR]],"',STR_TO_DATE('",Tabla7[[#Headers],[15/11/2018]],"','%d/%m/%Y'),",BG416,"),","('",Tabla7[[#This Row],[CONTADOR]],"',STR_TO_DATE('",Tabla7[[#Headers],[15/12/2018]],"','%d/%m/%Y'),",BH416,");")</f>
        <v>insert into lecturas values ('181345',STR_TO_DATE('31/12/2017','%d/%m/%Y'),178526),('181345',STR_TO_DATE('15/01/2018','%d/%m/%Y'),181136),('181345',STR_TO_DATE('15/02/2018','%d/%m/%Y'),185605),('181345',STR_TO_DATE('15/03/2018','%d/%m/%Y'),189306),('181345',STR_TO_DATE('15/04/2018','%d/%m/%Y'),192584),('181345',STR_TO_DATE('15/05/2018','%d/%m/%Y'),195693),('181345',STR_TO_DATE('15/06/2018','%d/%m/%Y'),198344),('181345',STR_TO_DATE('15/07/2018','%d/%m/%Y'),200852),('181345',STR_TO_DATE('15/08/2018','%d/%m/%Y'),203097),('181345',STR_TO_DATE('15/09/2018','%d/%m/%Y'),206919),('181345',STR_TO_DATE('15/10/2018','%d/%m/%Y'),208678),('181345',STR_TO_DATE('15/11/2018','%d/%m/%Y'),212095),('181345',STR_TO_DATE('15/12/2018','%d/%m/%Y'),215676);</v>
      </c>
    </row>
    <row r="417" spans="1:68" ht="18" customHeight="1" x14ac:dyDescent="0.25">
      <c r="A417" s="241" t="s">
        <v>19</v>
      </c>
      <c r="B417" s="60"/>
      <c r="C417" s="342">
        <v>181795</v>
      </c>
      <c r="D417" s="60" t="s">
        <v>272</v>
      </c>
      <c r="E417" s="258">
        <v>39298</v>
      </c>
      <c r="F417" s="2" t="s">
        <v>250</v>
      </c>
      <c r="G417" s="2" t="s">
        <v>784</v>
      </c>
      <c r="H417" s="2" t="s">
        <v>278</v>
      </c>
      <c r="I417" s="2"/>
      <c r="J417" s="2">
        <v>171381</v>
      </c>
      <c r="K417" s="274">
        <v>173133</v>
      </c>
      <c r="L417" s="274">
        <v>176154</v>
      </c>
      <c r="M417" s="311">
        <v>178660</v>
      </c>
      <c r="N417" s="311">
        <v>180895</v>
      </c>
      <c r="O417" s="311">
        <v>183033</v>
      </c>
      <c r="P417" s="311">
        <v>184912</v>
      </c>
      <c r="Q417" s="274">
        <v>186709</v>
      </c>
      <c r="R417" s="274">
        <v>188510</v>
      </c>
      <c r="S417" s="311">
        <v>190855</v>
      </c>
      <c r="T417" s="311">
        <v>192897</v>
      </c>
      <c r="U417" s="492">
        <v>195470</v>
      </c>
      <c r="V417" s="492">
        <v>197979</v>
      </c>
      <c r="W417" s="2"/>
      <c r="X417" s="2"/>
      <c r="Y417" s="2">
        <f t="shared" si="151"/>
        <v>1752</v>
      </c>
      <c r="Z417" s="2">
        <f t="shared" si="152"/>
        <v>3021</v>
      </c>
      <c r="AA417" s="2">
        <f t="shared" si="150"/>
        <v>2506</v>
      </c>
      <c r="AB417" s="2">
        <f t="shared" si="149"/>
        <v>2235</v>
      </c>
      <c r="AC417" s="2">
        <f t="shared" si="153"/>
        <v>2138</v>
      </c>
      <c r="AD417" s="2">
        <f t="shared" si="154"/>
        <v>1879</v>
      </c>
      <c r="AE417" s="2">
        <f t="shared" si="155"/>
        <v>1797</v>
      </c>
      <c r="AF417" s="2">
        <f t="shared" si="156"/>
        <v>1801</v>
      </c>
      <c r="AG417" s="2">
        <f t="shared" si="157"/>
        <v>2345</v>
      </c>
      <c r="AH417" s="2">
        <f t="shared" si="158"/>
        <v>2042</v>
      </c>
      <c r="AI417" s="2">
        <f t="shared" si="159"/>
        <v>2573</v>
      </c>
      <c r="AJ417" s="2">
        <f t="shared" si="160"/>
        <v>2509</v>
      </c>
      <c r="AK417" s="406">
        <v>1</v>
      </c>
      <c r="AL417" s="274">
        <f t="shared" ca="1" si="145"/>
        <v>180895</v>
      </c>
      <c r="AM417" s="311">
        <f t="shared" ca="1" si="146"/>
        <v>183033</v>
      </c>
      <c r="AN417" s="274">
        <f ca="1">IF(AND(Tabla7[[#This Row],[UltLec]]&lt;&gt;0,Tabla7[[#This Row],[PenLect]]&lt;&gt;0),(AM417-AL417)*Tabla7[[#This Row],[RT]],"N/A")</f>
        <v>2138</v>
      </c>
      <c r="AO417" s="403" t="s">
        <v>862</v>
      </c>
      <c r="AP417" s="392" t="s">
        <v>1190</v>
      </c>
      <c r="AQ417" s="392" t="s">
        <v>1189</v>
      </c>
      <c r="AR417" s="407">
        <f t="shared" si="147"/>
        <v>0</v>
      </c>
      <c r="AT417" s="2">
        <f t="shared" ca="1" si="148"/>
        <v>0.9565995525727069</v>
      </c>
      <c r="AV417">
        <f>IF(ISBLANK(Tabla7[[#This Row],[31/12/2017]]),0,Tabla7[[#This Row],[31/12/2017]])</f>
        <v>171381</v>
      </c>
      <c r="AW417">
        <f>IF(ISBLANK(Tabla7[[#This Row],[15/01/2018]]),0,Tabla7[[#This Row],[15/01/2018]])</f>
        <v>173133</v>
      </c>
      <c r="AX417">
        <f>IF(ISBLANK(Tabla7[[#This Row],[15/02/2018]]),0,Tabla7[[#This Row],[15/02/2018]])</f>
        <v>176154</v>
      </c>
      <c r="AY417">
        <f>IF(ISBLANK(Tabla7[[#This Row],[15/03/2018]]),0,Tabla7[[#This Row],[15/03/2018]])</f>
        <v>178660</v>
      </c>
      <c r="AZ417">
        <f>IF(ISBLANK(Tabla7[[#This Row],[15/04/2018]]),0,Tabla7[[#This Row],[15/04/2018]])</f>
        <v>180895</v>
      </c>
      <c r="BA417">
        <f>IF(ISBLANK(Tabla7[[#This Row],[15/05/2018]]),0,Tabla7[[#This Row],[15/05/2018]])</f>
        <v>183033</v>
      </c>
      <c r="BB417">
        <f>IF(ISBLANK(Tabla7[[#This Row],[15/06/2018]]),0,Tabla7[[#This Row],[15/06/2018]])</f>
        <v>184912</v>
      </c>
      <c r="BC417">
        <f>IF(ISBLANK(Tabla7[[#This Row],[15/07/2018]]),0,Tabla7[[#This Row],[15/07/2018]])</f>
        <v>186709</v>
      </c>
      <c r="BD417">
        <f>IF(ISBLANK(Tabla7[[#This Row],[15/08/2018]]),0,Tabla7[[#This Row],[15/08/2018]])</f>
        <v>188510</v>
      </c>
      <c r="BE417">
        <f>IF(ISBLANK(Tabla7[[#This Row],[15/09/2018]]),0,Tabla7[[#This Row],[15/09/2018]])</f>
        <v>190855</v>
      </c>
      <c r="BF417">
        <f>IF(ISBLANK(Tabla7[[#This Row],[15/10/2018]]),0,Tabla7[[#This Row],[15/10/2018]])</f>
        <v>192897</v>
      </c>
      <c r="BG417">
        <f>IF(ISBLANK(Tabla7[[#This Row],[15/11/2018]]),0,Tabla7[[#This Row],[15/11/2018]])</f>
        <v>195470</v>
      </c>
      <c r="BH417">
        <f>IF(ISBLANK(Tabla7[[#This Row],[15/12/2018]]),0,Tabla7[[#This Row],[15/12/2018]])</f>
        <v>197979</v>
      </c>
      <c r="BI417">
        <f>IF(ISBLANK(Tabla7[[#This Row],[28/12/2018]]),0,Tabla7[[#This Row],[28/12/2018]])</f>
        <v>0</v>
      </c>
      <c r="BN41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('181795','V','VCT44','39298','VALENCIA TERMINAL EUROPA','EN CT (07)','TORRE4404','');</v>
      </c>
      <c r="BO417" t="s">
        <v>243</v>
      </c>
      <c r="BP417" s="632" t="str">
        <f>CONCATENATE("insert into lecturas values ","('",Tabla7[[#This Row],[CONTADOR]],"',STR_TO_DATE('",Tabla7[[#Headers],[31/12/2017]],"','%d/%m/%Y'),",AV417,"),","('",Tabla7[[#This Row],[CONTADOR]],"',STR_TO_DATE('",Tabla7[[#Headers],[15/01/2018]],"','%d/%m/%Y'),",AW417,"),","('",Tabla7[[#This Row],[CONTADOR]],"',STR_TO_DATE('",Tabla7[[#Headers],[15/02/2018]],"','%d/%m/%Y'),",AX417,"),","('",Tabla7[[#This Row],[CONTADOR]],"',STR_TO_DATE('",Tabla7[[#Headers],[15/03/2018]],"','%d/%m/%Y'),",AY417,"),","('",Tabla7[[#This Row],[CONTADOR]],"',STR_TO_DATE('",Tabla7[[#Headers],[15/04/2018]],"','%d/%m/%Y'),",AZ417,"),","('",Tabla7[[#This Row],[CONTADOR]],"',STR_TO_DATE('",Tabla7[[#Headers],[15/05/2018]],"','%d/%m/%Y'),",BA417,"),","('",Tabla7[[#This Row],[CONTADOR]],"',STR_TO_DATE('",Tabla7[[#Headers],[15/06/2018]],"','%d/%m/%Y'),",BB417,"),","('",Tabla7[[#This Row],[CONTADOR]],"',STR_TO_DATE('",Tabla7[[#Headers],[15/07/2018]],"','%d/%m/%Y'),",BC417,"),","('",Tabla7[[#This Row],[CONTADOR]],"',STR_TO_DATE('",Tabla7[[#Headers],[15/08/2018]],"','%d/%m/%Y'),",BD417,"),","('",Tabla7[[#This Row],[CONTADOR]],"',STR_TO_DATE('",Tabla7[[#Headers],[15/09/2018]],"','%d/%m/%Y'),",BE417,"),","('",Tabla7[[#This Row],[CONTADOR]],"',STR_TO_DATE('",Tabla7[[#Headers],[15/10/2018]],"','%d/%m/%Y'),",BF417,"),","('",Tabla7[[#This Row],[CONTADOR]],"',STR_TO_DATE('",Tabla7[[#Headers],[15/11/2018]],"','%d/%m/%Y'),",BG417,"),","('",Tabla7[[#This Row],[CONTADOR]],"',STR_TO_DATE('",Tabla7[[#Headers],[15/12/2018]],"','%d/%m/%Y'),",BH417,");")</f>
        <v>insert into lecturas values ('181795',STR_TO_DATE('31/12/2017','%d/%m/%Y'),171381),('181795',STR_TO_DATE('15/01/2018','%d/%m/%Y'),173133),('181795',STR_TO_DATE('15/02/2018','%d/%m/%Y'),176154),('181795',STR_TO_DATE('15/03/2018','%d/%m/%Y'),178660),('181795',STR_TO_DATE('15/04/2018','%d/%m/%Y'),180895),('181795',STR_TO_DATE('15/05/2018','%d/%m/%Y'),183033),('181795',STR_TO_DATE('15/06/2018','%d/%m/%Y'),184912),('181795',STR_TO_DATE('15/07/2018','%d/%m/%Y'),186709),('181795',STR_TO_DATE('15/08/2018','%d/%m/%Y'),188510),('181795',STR_TO_DATE('15/09/2018','%d/%m/%Y'),190855),('181795',STR_TO_DATE('15/10/2018','%d/%m/%Y'),192897),('181795',STR_TO_DATE('15/11/2018','%d/%m/%Y'),195470),('181795',STR_TO_DATE('15/12/2018','%d/%m/%Y'),197979);</v>
      </c>
    </row>
    <row r="418" spans="1:68" ht="18" customHeight="1" x14ac:dyDescent="0.25">
      <c r="A418" s="241" t="s">
        <v>19</v>
      </c>
      <c r="B418" s="60"/>
      <c r="C418" s="342">
        <v>349452</v>
      </c>
      <c r="D418" s="60" t="s">
        <v>272</v>
      </c>
      <c r="E418" s="258">
        <v>39449</v>
      </c>
      <c r="F418" s="2" t="s">
        <v>250</v>
      </c>
      <c r="G418" s="2" t="s">
        <v>785</v>
      </c>
      <c r="H418" s="2" t="s">
        <v>279</v>
      </c>
      <c r="I418" s="2"/>
      <c r="J418" s="2">
        <v>33845</v>
      </c>
      <c r="K418" s="274">
        <v>35861</v>
      </c>
      <c r="L418" s="274">
        <v>37445</v>
      </c>
      <c r="M418" s="311">
        <v>37445</v>
      </c>
      <c r="N418" s="311">
        <v>37445</v>
      </c>
      <c r="O418" s="311">
        <v>37445</v>
      </c>
      <c r="P418" s="311">
        <v>37445</v>
      </c>
      <c r="Q418" s="274">
        <v>37445</v>
      </c>
      <c r="R418" s="274">
        <v>37445</v>
      </c>
      <c r="S418" s="311">
        <v>39299</v>
      </c>
      <c r="T418" s="311">
        <v>41129</v>
      </c>
      <c r="U418" s="492">
        <v>43499</v>
      </c>
      <c r="V418" s="492">
        <v>45995</v>
      </c>
      <c r="W418" s="2"/>
      <c r="X418" s="2"/>
      <c r="Y418" s="2">
        <f t="shared" si="151"/>
        <v>2016</v>
      </c>
      <c r="Z418" s="2">
        <f t="shared" si="152"/>
        <v>1584</v>
      </c>
      <c r="AA418" s="2">
        <f t="shared" si="150"/>
        <v>0</v>
      </c>
      <c r="AB418" s="2">
        <f t="shared" si="149"/>
        <v>0</v>
      </c>
      <c r="AC418" s="2">
        <f t="shared" si="153"/>
        <v>0</v>
      </c>
      <c r="AD418" s="2">
        <f t="shared" si="154"/>
        <v>0</v>
      </c>
      <c r="AE418" s="2">
        <f t="shared" si="155"/>
        <v>0</v>
      </c>
      <c r="AF418" s="2">
        <f t="shared" si="156"/>
        <v>0</v>
      </c>
      <c r="AG418" s="2">
        <f t="shared" si="157"/>
        <v>1854</v>
      </c>
      <c r="AH418" s="2">
        <f t="shared" si="158"/>
        <v>1830</v>
      </c>
      <c r="AI418" s="2">
        <f t="shared" si="159"/>
        <v>2370</v>
      </c>
      <c r="AJ418" s="2">
        <f t="shared" si="160"/>
        <v>2496</v>
      </c>
      <c r="AK418" s="406">
        <v>1</v>
      </c>
      <c r="AL418" s="274">
        <f t="shared" ca="1" si="145"/>
        <v>37445</v>
      </c>
      <c r="AM418" s="311">
        <f t="shared" ca="1" si="146"/>
        <v>37445</v>
      </c>
      <c r="AN418" s="274">
        <f ca="1">IF(AND(Tabla7[[#This Row],[UltLec]]&lt;&gt;0,Tabla7[[#This Row],[PenLect]]&lt;&gt;0),(AM418-AL418)*Tabla7[[#This Row],[RT]],"N/A")</f>
        <v>0</v>
      </c>
      <c r="AO418" s="273" t="s">
        <v>862</v>
      </c>
      <c r="AP418" s="392" t="s">
        <v>1190</v>
      </c>
      <c r="AQ418" s="392" t="s">
        <v>1189</v>
      </c>
      <c r="AR418" s="407">
        <f t="shared" si="147"/>
        <v>0</v>
      </c>
      <c r="AT418" s="2" t="str">
        <f t="shared" ca="1" si="148"/>
        <v>0</v>
      </c>
      <c r="AV418">
        <f>IF(ISBLANK(Tabla7[[#This Row],[31/12/2017]]),0,Tabla7[[#This Row],[31/12/2017]])</f>
        <v>33845</v>
      </c>
      <c r="AW418">
        <f>IF(ISBLANK(Tabla7[[#This Row],[15/01/2018]]),0,Tabla7[[#This Row],[15/01/2018]])</f>
        <v>35861</v>
      </c>
      <c r="AX418">
        <f>IF(ISBLANK(Tabla7[[#This Row],[15/02/2018]]),0,Tabla7[[#This Row],[15/02/2018]])</f>
        <v>37445</v>
      </c>
      <c r="AY418">
        <f>IF(ISBLANK(Tabla7[[#This Row],[15/03/2018]]),0,Tabla7[[#This Row],[15/03/2018]])</f>
        <v>37445</v>
      </c>
      <c r="AZ418">
        <f>IF(ISBLANK(Tabla7[[#This Row],[15/04/2018]]),0,Tabla7[[#This Row],[15/04/2018]])</f>
        <v>37445</v>
      </c>
      <c r="BA418">
        <f>IF(ISBLANK(Tabla7[[#This Row],[15/05/2018]]),0,Tabla7[[#This Row],[15/05/2018]])</f>
        <v>37445</v>
      </c>
      <c r="BB418">
        <f>IF(ISBLANK(Tabla7[[#This Row],[15/06/2018]]),0,Tabla7[[#This Row],[15/06/2018]])</f>
        <v>37445</v>
      </c>
      <c r="BC418">
        <f>IF(ISBLANK(Tabla7[[#This Row],[15/07/2018]]),0,Tabla7[[#This Row],[15/07/2018]])</f>
        <v>37445</v>
      </c>
      <c r="BD418">
        <f>IF(ISBLANK(Tabla7[[#This Row],[15/08/2018]]),0,Tabla7[[#This Row],[15/08/2018]])</f>
        <v>37445</v>
      </c>
      <c r="BE418">
        <f>IF(ISBLANK(Tabla7[[#This Row],[15/09/2018]]),0,Tabla7[[#This Row],[15/09/2018]])</f>
        <v>39299</v>
      </c>
      <c r="BF418">
        <f>IF(ISBLANK(Tabla7[[#This Row],[15/10/2018]]),0,Tabla7[[#This Row],[15/10/2018]])</f>
        <v>41129</v>
      </c>
      <c r="BG418">
        <f>IF(ISBLANK(Tabla7[[#This Row],[15/11/2018]]),0,Tabla7[[#This Row],[15/11/2018]])</f>
        <v>43499</v>
      </c>
      <c r="BH418">
        <f>IF(ISBLANK(Tabla7[[#This Row],[15/12/2018]]),0,Tabla7[[#This Row],[15/12/2018]])</f>
        <v>45995</v>
      </c>
      <c r="BI418">
        <f>IF(ISBLANK(Tabla7[[#This Row],[28/12/2018]]),0,Tabla7[[#This Row],[28/12/2018]])</f>
        <v>0</v>
      </c>
      <c r="BN41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('349452','V','VCT44','39449','VALENCIA TERMINAL EUROPA','EN CT (08)','TORRE 4409','');</v>
      </c>
      <c r="BO418" t="s">
        <v>243</v>
      </c>
      <c r="BP418" s="632" t="str">
        <f>CONCATENATE("insert into lecturas values ","('",Tabla7[[#This Row],[CONTADOR]],"',STR_TO_DATE('",Tabla7[[#Headers],[31/12/2017]],"','%d/%m/%Y'),",AV418,"),","('",Tabla7[[#This Row],[CONTADOR]],"',STR_TO_DATE('",Tabla7[[#Headers],[15/01/2018]],"','%d/%m/%Y'),",AW418,"),","('",Tabla7[[#This Row],[CONTADOR]],"',STR_TO_DATE('",Tabla7[[#Headers],[15/02/2018]],"','%d/%m/%Y'),",AX418,"),","('",Tabla7[[#This Row],[CONTADOR]],"',STR_TO_DATE('",Tabla7[[#Headers],[15/03/2018]],"','%d/%m/%Y'),",AY418,"),","('",Tabla7[[#This Row],[CONTADOR]],"',STR_TO_DATE('",Tabla7[[#Headers],[15/04/2018]],"','%d/%m/%Y'),",AZ418,"),","('",Tabla7[[#This Row],[CONTADOR]],"',STR_TO_DATE('",Tabla7[[#Headers],[15/05/2018]],"','%d/%m/%Y'),",BA418,"),","('",Tabla7[[#This Row],[CONTADOR]],"',STR_TO_DATE('",Tabla7[[#Headers],[15/06/2018]],"','%d/%m/%Y'),",BB418,"),","('",Tabla7[[#This Row],[CONTADOR]],"',STR_TO_DATE('",Tabla7[[#Headers],[15/07/2018]],"','%d/%m/%Y'),",BC418,"),","('",Tabla7[[#This Row],[CONTADOR]],"',STR_TO_DATE('",Tabla7[[#Headers],[15/08/2018]],"','%d/%m/%Y'),",BD418,"),","('",Tabla7[[#This Row],[CONTADOR]],"',STR_TO_DATE('",Tabla7[[#Headers],[15/09/2018]],"','%d/%m/%Y'),",BE418,"),","('",Tabla7[[#This Row],[CONTADOR]],"',STR_TO_DATE('",Tabla7[[#Headers],[15/10/2018]],"','%d/%m/%Y'),",BF418,"),","('",Tabla7[[#This Row],[CONTADOR]],"',STR_TO_DATE('",Tabla7[[#Headers],[15/11/2018]],"','%d/%m/%Y'),",BG418,"),","('",Tabla7[[#This Row],[CONTADOR]],"',STR_TO_DATE('",Tabla7[[#Headers],[15/12/2018]],"','%d/%m/%Y'),",BH418,");")</f>
        <v>insert into lecturas values ('349452',STR_TO_DATE('31/12/2017','%d/%m/%Y'),33845),('349452',STR_TO_DATE('15/01/2018','%d/%m/%Y'),35861),('349452',STR_TO_DATE('15/02/2018','%d/%m/%Y'),37445),('349452',STR_TO_DATE('15/03/2018','%d/%m/%Y'),37445),('349452',STR_TO_DATE('15/04/2018','%d/%m/%Y'),37445),('349452',STR_TO_DATE('15/05/2018','%d/%m/%Y'),37445),('349452',STR_TO_DATE('15/06/2018','%d/%m/%Y'),37445),('349452',STR_TO_DATE('15/07/2018','%d/%m/%Y'),37445),('349452',STR_TO_DATE('15/08/2018','%d/%m/%Y'),37445),('349452',STR_TO_DATE('15/09/2018','%d/%m/%Y'),39299),('349452',STR_TO_DATE('15/10/2018','%d/%m/%Y'),41129),('349452',STR_TO_DATE('15/11/2018','%d/%m/%Y'),43499),('349452',STR_TO_DATE('15/12/2018','%d/%m/%Y'),45995);</v>
      </c>
    </row>
    <row r="419" spans="1:68" ht="18" customHeight="1" x14ac:dyDescent="0.25">
      <c r="A419" s="241" t="s">
        <v>19</v>
      </c>
      <c r="B419" s="60"/>
      <c r="C419" s="342">
        <v>357873</v>
      </c>
      <c r="D419" s="60" t="s">
        <v>272</v>
      </c>
      <c r="E419" s="258">
        <v>39450</v>
      </c>
      <c r="F419" s="2" t="s">
        <v>250</v>
      </c>
      <c r="G419" s="2" t="s">
        <v>786</v>
      </c>
      <c r="H419" s="2" t="s">
        <v>280</v>
      </c>
      <c r="I419" s="2"/>
      <c r="J419" s="2">
        <v>5319</v>
      </c>
      <c r="K419" s="274">
        <v>5319</v>
      </c>
      <c r="L419" s="274">
        <v>5319</v>
      </c>
      <c r="M419" s="311">
        <v>5319</v>
      </c>
      <c r="N419" s="311">
        <v>5319</v>
      </c>
      <c r="O419" s="311">
        <v>5319</v>
      </c>
      <c r="P419" s="311">
        <v>5319</v>
      </c>
      <c r="Q419" s="274">
        <v>5319</v>
      </c>
      <c r="R419" s="274">
        <v>5319</v>
      </c>
      <c r="S419" s="311">
        <v>5699</v>
      </c>
      <c r="T419" s="311">
        <v>8279</v>
      </c>
      <c r="U419" s="492">
        <v>11588</v>
      </c>
      <c r="V419" s="492">
        <v>15153</v>
      </c>
      <c r="W419" s="2"/>
      <c r="X419" s="2"/>
      <c r="Y419" s="2">
        <f t="shared" si="151"/>
        <v>0</v>
      </c>
      <c r="Z419" s="2">
        <f t="shared" si="152"/>
        <v>0</v>
      </c>
      <c r="AA419" s="2">
        <f t="shared" si="150"/>
        <v>0</v>
      </c>
      <c r="AB419" s="2">
        <f t="shared" si="149"/>
        <v>0</v>
      </c>
      <c r="AC419" s="2">
        <f t="shared" si="153"/>
        <v>0</v>
      </c>
      <c r="AD419" s="2">
        <f t="shared" si="154"/>
        <v>0</v>
      </c>
      <c r="AE419" s="2">
        <f t="shared" si="155"/>
        <v>0</v>
      </c>
      <c r="AF419" s="2">
        <f t="shared" si="156"/>
        <v>0</v>
      </c>
      <c r="AG419" s="2">
        <f t="shared" si="157"/>
        <v>380</v>
      </c>
      <c r="AH419" s="2">
        <f t="shared" si="158"/>
        <v>2580</v>
      </c>
      <c r="AI419" s="2">
        <f t="shared" si="159"/>
        <v>3309</v>
      </c>
      <c r="AJ419" s="2">
        <f t="shared" si="160"/>
        <v>3565</v>
      </c>
      <c r="AK419" s="406">
        <v>1</v>
      </c>
      <c r="AL419" s="274">
        <f t="shared" ca="1" si="145"/>
        <v>5319</v>
      </c>
      <c r="AM419" s="311">
        <f t="shared" ca="1" si="146"/>
        <v>5319</v>
      </c>
      <c r="AN419" s="274">
        <f ca="1">IF(AND(Tabla7[[#This Row],[UltLec]]&lt;&gt;0,Tabla7[[#This Row],[PenLect]]&lt;&gt;0),(AM419-AL419)*Tabla7[[#This Row],[RT]],"N/A")</f>
        <v>0</v>
      </c>
      <c r="AO419" s="273" t="s">
        <v>862</v>
      </c>
      <c r="AP419" s="392" t="s">
        <v>1190</v>
      </c>
      <c r="AQ419" s="392" t="s">
        <v>1189</v>
      </c>
      <c r="AR419" s="407">
        <f t="shared" si="147"/>
        <v>0</v>
      </c>
      <c r="AT419" s="2" t="str">
        <f t="shared" ca="1" si="148"/>
        <v>0</v>
      </c>
      <c r="AV419">
        <f>IF(ISBLANK(Tabla7[[#This Row],[31/12/2017]]),0,Tabla7[[#This Row],[31/12/2017]])</f>
        <v>5319</v>
      </c>
      <c r="AW419">
        <f>IF(ISBLANK(Tabla7[[#This Row],[15/01/2018]]),0,Tabla7[[#This Row],[15/01/2018]])</f>
        <v>5319</v>
      </c>
      <c r="AX419">
        <f>IF(ISBLANK(Tabla7[[#This Row],[15/02/2018]]),0,Tabla7[[#This Row],[15/02/2018]])</f>
        <v>5319</v>
      </c>
      <c r="AY419">
        <f>IF(ISBLANK(Tabla7[[#This Row],[15/03/2018]]),0,Tabla7[[#This Row],[15/03/2018]])</f>
        <v>5319</v>
      </c>
      <c r="AZ419">
        <f>IF(ISBLANK(Tabla7[[#This Row],[15/04/2018]]),0,Tabla7[[#This Row],[15/04/2018]])</f>
        <v>5319</v>
      </c>
      <c r="BA419">
        <f>IF(ISBLANK(Tabla7[[#This Row],[15/05/2018]]),0,Tabla7[[#This Row],[15/05/2018]])</f>
        <v>5319</v>
      </c>
      <c r="BB419">
        <f>IF(ISBLANK(Tabla7[[#This Row],[15/06/2018]]),0,Tabla7[[#This Row],[15/06/2018]])</f>
        <v>5319</v>
      </c>
      <c r="BC419">
        <f>IF(ISBLANK(Tabla7[[#This Row],[15/07/2018]]),0,Tabla7[[#This Row],[15/07/2018]])</f>
        <v>5319</v>
      </c>
      <c r="BD419">
        <f>IF(ISBLANK(Tabla7[[#This Row],[15/08/2018]]),0,Tabla7[[#This Row],[15/08/2018]])</f>
        <v>5319</v>
      </c>
      <c r="BE419">
        <f>IF(ISBLANK(Tabla7[[#This Row],[15/09/2018]]),0,Tabla7[[#This Row],[15/09/2018]])</f>
        <v>5699</v>
      </c>
      <c r="BF419">
        <f>IF(ISBLANK(Tabla7[[#This Row],[15/10/2018]]),0,Tabla7[[#This Row],[15/10/2018]])</f>
        <v>8279</v>
      </c>
      <c r="BG419">
        <f>IF(ISBLANK(Tabla7[[#This Row],[15/11/2018]]),0,Tabla7[[#This Row],[15/11/2018]])</f>
        <v>11588</v>
      </c>
      <c r="BH419">
        <f>IF(ISBLANK(Tabla7[[#This Row],[15/12/2018]]),0,Tabla7[[#This Row],[15/12/2018]])</f>
        <v>15153</v>
      </c>
      <c r="BI419">
        <f>IF(ISBLANK(Tabla7[[#This Row],[28/12/2018]]),0,Tabla7[[#This Row],[28/12/2018]])</f>
        <v>0</v>
      </c>
      <c r="BN41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('357873','V','VCT44','39450','VALENCIA TERMINAL EUROPA','EN CT (09)','TORRE 4410','');</v>
      </c>
      <c r="BO419" t="s">
        <v>243</v>
      </c>
      <c r="BP419" s="632" t="str">
        <f>CONCATENATE("insert into lecturas values ","('",Tabla7[[#This Row],[CONTADOR]],"',STR_TO_DATE('",Tabla7[[#Headers],[31/12/2017]],"','%d/%m/%Y'),",AV419,"),","('",Tabla7[[#This Row],[CONTADOR]],"',STR_TO_DATE('",Tabla7[[#Headers],[15/01/2018]],"','%d/%m/%Y'),",AW419,"),","('",Tabla7[[#This Row],[CONTADOR]],"',STR_TO_DATE('",Tabla7[[#Headers],[15/02/2018]],"','%d/%m/%Y'),",AX419,"),","('",Tabla7[[#This Row],[CONTADOR]],"',STR_TO_DATE('",Tabla7[[#Headers],[15/03/2018]],"','%d/%m/%Y'),",AY419,"),","('",Tabla7[[#This Row],[CONTADOR]],"',STR_TO_DATE('",Tabla7[[#Headers],[15/04/2018]],"','%d/%m/%Y'),",AZ419,"),","('",Tabla7[[#This Row],[CONTADOR]],"',STR_TO_DATE('",Tabla7[[#Headers],[15/05/2018]],"','%d/%m/%Y'),",BA419,"),","('",Tabla7[[#This Row],[CONTADOR]],"',STR_TO_DATE('",Tabla7[[#Headers],[15/06/2018]],"','%d/%m/%Y'),",BB419,"),","('",Tabla7[[#This Row],[CONTADOR]],"',STR_TO_DATE('",Tabla7[[#Headers],[15/07/2018]],"','%d/%m/%Y'),",BC419,"),","('",Tabla7[[#This Row],[CONTADOR]],"',STR_TO_DATE('",Tabla7[[#Headers],[15/08/2018]],"','%d/%m/%Y'),",BD419,"),","('",Tabla7[[#This Row],[CONTADOR]],"',STR_TO_DATE('",Tabla7[[#Headers],[15/09/2018]],"','%d/%m/%Y'),",BE419,"),","('",Tabla7[[#This Row],[CONTADOR]],"',STR_TO_DATE('",Tabla7[[#Headers],[15/10/2018]],"','%d/%m/%Y'),",BF419,"),","('",Tabla7[[#This Row],[CONTADOR]],"',STR_TO_DATE('",Tabla7[[#Headers],[15/11/2018]],"','%d/%m/%Y'),",BG419,"),","('",Tabla7[[#This Row],[CONTADOR]],"',STR_TO_DATE('",Tabla7[[#Headers],[15/12/2018]],"','%d/%m/%Y'),",BH419,");")</f>
        <v>insert into lecturas values ('357873',STR_TO_DATE('31/12/2017','%d/%m/%Y'),5319),('357873',STR_TO_DATE('15/01/2018','%d/%m/%Y'),5319),('357873',STR_TO_DATE('15/02/2018','%d/%m/%Y'),5319),('357873',STR_TO_DATE('15/03/2018','%d/%m/%Y'),5319),('357873',STR_TO_DATE('15/04/2018','%d/%m/%Y'),5319),('357873',STR_TO_DATE('15/05/2018','%d/%m/%Y'),5319),('357873',STR_TO_DATE('15/06/2018','%d/%m/%Y'),5319),('357873',STR_TO_DATE('15/07/2018','%d/%m/%Y'),5319),('357873',STR_TO_DATE('15/08/2018','%d/%m/%Y'),5319),('357873',STR_TO_DATE('15/09/2018','%d/%m/%Y'),5699),('357873',STR_TO_DATE('15/10/2018','%d/%m/%Y'),8279),('357873',STR_TO_DATE('15/11/2018','%d/%m/%Y'),11588),('357873',STR_TO_DATE('15/12/2018','%d/%m/%Y'),15153);</v>
      </c>
    </row>
    <row r="420" spans="1:68" ht="18" customHeight="1" x14ac:dyDescent="0.25">
      <c r="A420" s="241" t="s">
        <v>19</v>
      </c>
      <c r="B420" s="60"/>
      <c r="C420" s="342">
        <v>357875</v>
      </c>
      <c r="D420" s="60" t="s">
        <v>272</v>
      </c>
      <c r="E420" s="258">
        <v>39454</v>
      </c>
      <c r="F420" s="2" t="s">
        <v>250</v>
      </c>
      <c r="G420" s="2" t="s">
        <v>778</v>
      </c>
      <c r="H420" s="2" t="s">
        <v>285</v>
      </c>
      <c r="I420" s="2"/>
      <c r="J420" s="2">
        <v>14035</v>
      </c>
      <c r="K420" s="274">
        <v>14035</v>
      </c>
      <c r="L420" s="274">
        <v>14035</v>
      </c>
      <c r="M420" s="311">
        <v>14035</v>
      </c>
      <c r="N420" s="311">
        <v>14035</v>
      </c>
      <c r="O420" s="311">
        <v>14035</v>
      </c>
      <c r="P420" s="311">
        <v>14035</v>
      </c>
      <c r="Q420" s="491">
        <v>14035</v>
      </c>
      <c r="R420" s="274">
        <v>14035</v>
      </c>
      <c r="S420" s="311">
        <v>16672</v>
      </c>
      <c r="T420" s="311">
        <v>19293</v>
      </c>
      <c r="U420" s="492">
        <v>22689</v>
      </c>
      <c r="V420" s="492">
        <v>26303</v>
      </c>
      <c r="W420" s="2"/>
      <c r="X420" s="2"/>
      <c r="Y420" s="2">
        <f t="shared" si="151"/>
        <v>0</v>
      </c>
      <c r="Z420" s="2">
        <f t="shared" si="152"/>
        <v>0</v>
      </c>
      <c r="AA420" s="2">
        <f t="shared" si="150"/>
        <v>0</v>
      </c>
      <c r="AB420" s="2">
        <f t="shared" si="149"/>
        <v>0</v>
      </c>
      <c r="AC420" s="2">
        <f t="shared" si="153"/>
        <v>0</v>
      </c>
      <c r="AD420" s="2">
        <f t="shared" si="154"/>
        <v>0</v>
      </c>
      <c r="AE420" s="2">
        <f t="shared" si="155"/>
        <v>0</v>
      </c>
      <c r="AF420" s="2">
        <f t="shared" si="156"/>
        <v>0</v>
      </c>
      <c r="AG420" s="2">
        <f t="shared" si="157"/>
        <v>2637</v>
      </c>
      <c r="AH420" s="2">
        <f t="shared" si="158"/>
        <v>2621</v>
      </c>
      <c r="AI420" s="2">
        <f t="shared" si="159"/>
        <v>3396</v>
      </c>
      <c r="AJ420" s="2">
        <f t="shared" si="160"/>
        <v>3614</v>
      </c>
      <c r="AK420" s="406">
        <v>1</v>
      </c>
      <c r="AL420" s="274">
        <f t="shared" ca="1" si="145"/>
        <v>14035</v>
      </c>
      <c r="AM420" s="311">
        <f t="shared" ca="1" si="146"/>
        <v>14035</v>
      </c>
      <c r="AN420" s="274">
        <f ca="1">IF(AND(Tabla7[[#This Row],[UltLec]]&lt;&gt;0,Tabla7[[#This Row],[PenLect]]&lt;&gt;0),(AM420-AL420)*Tabla7[[#This Row],[RT]],"N/A")</f>
        <v>0</v>
      </c>
      <c r="AO420" s="273" t="s">
        <v>862</v>
      </c>
      <c r="AP420" s="392" t="s">
        <v>1190</v>
      </c>
      <c r="AQ420" s="392" t="s">
        <v>1189</v>
      </c>
      <c r="AR420" s="407">
        <f t="shared" si="147"/>
        <v>0</v>
      </c>
      <c r="AT420" s="2" t="str">
        <f t="shared" ca="1" si="148"/>
        <v>0</v>
      </c>
      <c r="AV420">
        <f>IF(ISBLANK(Tabla7[[#This Row],[31/12/2017]]),0,Tabla7[[#This Row],[31/12/2017]])</f>
        <v>14035</v>
      </c>
      <c r="AW420">
        <f>IF(ISBLANK(Tabla7[[#This Row],[15/01/2018]]),0,Tabla7[[#This Row],[15/01/2018]])</f>
        <v>14035</v>
      </c>
      <c r="AX420">
        <f>IF(ISBLANK(Tabla7[[#This Row],[15/02/2018]]),0,Tabla7[[#This Row],[15/02/2018]])</f>
        <v>14035</v>
      </c>
      <c r="AY420">
        <f>IF(ISBLANK(Tabla7[[#This Row],[15/03/2018]]),0,Tabla7[[#This Row],[15/03/2018]])</f>
        <v>14035</v>
      </c>
      <c r="AZ420">
        <f>IF(ISBLANK(Tabla7[[#This Row],[15/04/2018]]),0,Tabla7[[#This Row],[15/04/2018]])</f>
        <v>14035</v>
      </c>
      <c r="BA420">
        <f>IF(ISBLANK(Tabla7[[#This Row],[15/05/2018]]),0,Tabla7[[#This Row],[15/05/2018]])</f>
        <v>14035</v>
      </c>
      <c r="BB420">
        <f>IF(ISBLANK(Tabla7[[#This Row],[15/06/2018]]),0,Tabla7[[#This Row],[15/06/2018]])</f>
        <v>14035</v>
      </c>
      <c r="BC420">
        <f>IF(ISBLANK(Tabla7[[#This Row],[15/07/2018]]),0,Tabla7[[#This Row],[15/07/2018]])</f>
        <v>14035</v>
      </c>
      <c r="BD420">
        <f>IF(ISBLANK(Tabla7[[#This Row],[15/08/2018]]),0,Tabla7[[#This Row],[15/08/2018]])</f>
        <v>14035</v>
      </c>
      <c r="BE420">
        <f>IF(ISBLANK(Tabla7[[#This Row],[15/09/2018]]),0,Tabla7[[#This Row],[15/09/2018]])</f>
        <v>16672</v>
      </c>
      <c r="BF420">
        <f>IF(ISBLANK(Tabla7[[#This Row],[15/10/2018]]),0,Tabla7[[#This Row],[15/10/2018]])</f>
        <v>19293</v>
      </c>
      <c r="BG420">
        <f>IF(ISBLANK(Tabla7[[#This Row],[15/11/2018]]),0,Tabla7[[#This Row],[15/11/2018]])</f>
        <v>22689</v>
      </c>
      <c r="BH420">
        <f>IF(ISBLANK(Tabla7[[#This Row],[15/12/2018]]),0,Tabla7[[#This Row],[15/12/2018]])</f>
        <v>26303</v>
      </c>
      <c r="BI420">
        <f>IF(ISBLANK(Tabla7[[#This Row],[28/12/2018]]),0,Tabla7[[#This Row],[28/12/2018]])</f>
        <v>0</v>
      </c>
      <c r="BN42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('357875','V','VCT44','39454','VALENCIA TERMINAL EUROPA','EN CT (01)','TORRE 4411','');</v>
      </c>
      <c r="BO420" t="s">
        <v>243</v>
      </c>
      <c r="BP420" s="632" t="str">
        <f>CONCATENATE("insert into lecturas values ","('",Tabla7[[#This Row],[CONTADOR]],"',STR_TO_DATE('",Tabla7[[#Headers],[31/12/2017]],"','%d/%m/%Y'),",AV420,"),","('",Tabla7[[#This Row],[CONTADOR]],"',STR_TO_DATE('",Tabla7[[#Headers],[15/01/2018]],"','%d/%m/%Y'),",AW420,"),","('",Tabla7[[#This Row],[CONTADOR]],"',STR_TO_DATE('",Tabla7[[#Headers],[15/02/2018]],"','%d/%m/%Y'),",AX420,"),","('",Tabla7[[#This Row],[CONTADOR]],"',STR_TO_DATE('",Tabla7[[#Headers],[15/03/2018]],"','%d/%m/%Y'),",AY420,"),","('",Tabla7[[#This Row],[CONTADOR]],"',STR_TO_DATE('",Tabla7[[#Headers],[15/04/2018]],"','%d/%m/%Y'),",AZ420,"),","('",Tabla7[[#This Row],[CONTADOR]],"',STR_TO_DATE('",Tabla7[[#Headers],[15/05/2018]],"','%d/%m/%Y'),",BA420,"),","('",Tabla7[[#This Row],[CONTADOR]],"',STR_TO_DATE('",Tabla7[[#Headers],[15/06/2018]],"','%d/%m/%Y'),",BB420,"),","('",Tabla7[[#This Row],[CONTADOR]],"',STR_TO_DATE('",Tabla7[[#Headers],[15/07/2018]],"','%d/%m/%Y'),",BC420,"),","('",Tabla7[[#This Row],[CONTADOR]],"',STR_TO_DATE('",Tabla7[[#Headers],[15/08/2018]],"','%d/%m/%Y'),",BD420,"),","('",Tabla7[[#This Row],[CONTADOR]],"',STR_TO_DATE('",Tabla7[[#Headers],[15/09/2018]],"','%d/%m/%Y'),",BE420,"),","('",Tabla7[[#This Row],[CONTADOR]],"',STR_TO_DATE('",Tabla7[[#Headers],[15/10/2018]],"','%d/%m/%Y'),",BF420,"),","('",Tabla7[[#This Row],[CONTADOR]],"',STR_TO_DATE('",Tabla7[[#Headers],[15/11/2018]],"','%d/%m/%Y'),",BG420,"),","('",Tabla7[[#This Row],[CONTADOR]],"',STR_TO_DATE('",Tabla7[[#Headers],[15/12/2018]],"','%d/%m/%Y'),",BH420,");")</f>
        <v>insert into lecturas values ('357875',STR_TO_DATE('31/12/2017','%d/%m/%Y'),14035),('357875',STR_TO_DATE('15/01/2018','%d/%m/%Y'),14035),('357875',STR_TO_DATE('15/02/2018','%d/%m/%Y'),14035),('357875',STR_TO_DATE('15/03/2018','%d/%m/%Y'),14035),('357875',STR_TO_DATE('15/04/2018','%d/%m/%Y'),14035),('357875',STR_TO_DATE('15/05/2018','%d/%m/%Y'),14035),('357875',STR_TO_DATE('15/06/2018','%d/%m/%Y'),14035),('357875',STR_TO_DATE('15/07/2018','%d/%m/%Y'),14035),('357875',STR_TO_DATE('15/08/2018','%d/%m/%Y'),14035),('357875',STR_TO_DATE('15/09/2018','%d/%m/%Y'),16672),('357875',STR_TO_DATE('15/10/2018','%d/%m/%Y'),19293),('357875',STR_TO_DATE('15/11/2018','%d/%m/%Y'),22689),('357875',STR_TO_DATE('15/12/2018','%d/%m/%Y'),26303);</v>
      </c>
    </row>
    <row r="421" spans="1:68" ht="18" customHeight="1" x14ac:dyDescent="0.25">
      <c r="A421" s="241" t="s">
        <v>19</v>
      </c>
      <c r="B421" s="60"/>
      <c r="C421" s="342">
        <v>358168</v>
      </c>
      <c r="D421" s="60" t="s">
        <v>272</v>
      </c>
      <c r="E421" s="258">
        <v>39457</v>
      </c>
      <c r="F421" s="2" t="s">
        <v>250</v>
      </c>
      <c r="G421" s="2" t="s">
        <v>779</v>
      </c>
      <c r="H421" s="2" t="s">
        <v>286</v>
      </c>
      <c r="I421" s="2"/>
      <c r="J421" s="2">
        <v>27454</v>
      </c>
      <c r="K421" s="274">
        <v>29204</v>
      </c>
      <c r="L421" s="274">
        <v>32213</v>
      </c>
      <c r="M421" s="311">
        <v>34728</v>
      </c>
      <c r="N421" s="311">
        <v>36973</v>
      </c>
      <c r="O421" s="311">
        <v>39136</v>
      </c>
      <c r="P421" s="311">
        <v>41060</v>
      </c>
      <c r="Q421" s="307">
        <v>42997</v>
      </c>
      <c r="R421" s="274">
        <v>44576</v>
      </c>
      <c r="S421" s="311">
        <v>46147</v>
      </c>
      <c r="T421" s="311">
        <v>48232</v>
      </c>
      <c r="U421" s="492">
        <v>50580</v>
      </c>
      <c r="V421" s="492">
        <v>53053</v>
      </c>
      <c r="W421" s="2"/>
      <c r="X421" s="2"/>
      <c r="Y421" s="2">
        <f t="shared" si="151"/>
        <v>1750</v>
      </c>
      <c r="Z421" s="2">
        <f t="shared" si="152"/>
        <v>3009</v>
      </c>
      <c r="AA421" s="2">
        <f t="shared" si="150"/>
        <v>2515</v>
      </c>
      <c r="AB421" s="2">
        <f t="shared" si="149"/>
        <v>2245</v>
      </c>
      <c r="AC421" s="2">
        <f t="shared" si="153"/>
        <v>2163</v>
      </c>
      <c r="AD421" s="2">
        <f t="shared" si="154"/>
        <v>1924</v>
      </c>
      <c r="AE421" s="2">
        <f t="shared" si="155"/>
        <v>1937</v>
      </c>
      <c r="AF421" s="2">
        <f t="shared" si="156"/>
        <v>1579</v>
      </c>
      <c r="AG421" s="2">
        <f t="shared" si="157"/>
        <v>1571</v>
      </c>
      <c r="AH421" s="2">
        <f t="shared" si="158"/>
        <v>2085</v>
      </c>
      <c r="AI421" s="2">
        <f t="shared" si="159"/>
        <v>2348</v>
      </c>
      <c r="AJ421" s="2">
        <f t="shared" si="160"/>
        <v>2473</v>
      </c>
      <c r="AK421" s="406">
        <v>1</v>
      </c>
      <c r="AL421" s="274">
        <f t="shared" ca="1" si="145"/>
        <v>36973</v>
      </c>
      <c r="AM421" s="311">
        <f t="shared" ca="1" si="146"/>
        <v>39136</v>
      </c>
      <c r="AN421" s="274">
        <f ca="1">IF(AND(Tabla7[[#This Row],[UltLec]]&lt;&gt;0,Tabla7[[#This Row],[PenLect]]&lt;&gt;0),(AM421-AL421)*Tabla7[[#This Row],[RT]],"N/A")</f>
        <v>2163</v>
      </c>
      <c r="AO421" s="273" t="s">
        <v>862</v>
      </c>
      <c r="AP421" s="392" t="s">
        <v>1190</v>
      </c>
      <c r="AQ421" s="392" t="s">
        <v>1189</v>
      </c>
      <c r="AR421" s="407">
        <f t="shared" si="147"/>
        <v>0</v>
      </c>
      <c r="AT421" s="2">
        <f t="shared" ca="1" si="148"/>
        <v>0.96347438752783965</v>
      </c>
      <c r="AV421">
        <f>IF(ISBLANK(Tabla7[[#This Row],[31/12/2017]]),0,Tabla7[[#This Row],[31/12/2017]])</f>
        <v>27454</v>
      </c>
      <c r="AW421">
        <f>IF(ISBLANK(Tabla7[[#This Row],[15/01/2018]]),0,Tabla7[[#This Row],[15/01/2018]])</f>
        <v>29204</v>
      </c>
      <c r="AX421">
        <f>IF(ISBLANK(Tabla7[[#This Row],[15/02/2018]]),0,Tabla7[[#This Row],[15/02/2018]])</f>
        <v>32213</v>
      </c>
      <c r="AY421">
        <f>IF(ISBLANK(Tabla7[[#This Row],[15/03/2018]]),0,Tabla7[[#This Row],[15/03/2018]])</f>
        <v>34728</v>
      </c>
      <c r="AZ421">
        <f>IF(ISBLANK(Tabla7[[#This Row],[15/04/2018]]),0,Tabla7[[#This Row],[15/04/2018]])</f>
        <v>36973</v>
      </c>
      <c r="BA421">
        <f>IF(ISBLANK(Tabla7[[#This Row],[15/05/2018]]),0,Tabla7[[#This Row],[15/05/2018]])</f>
        <v>39136</v>
      </c>
      <c r="BB421">
        <f>IF(ISBLANK(Tabla7[[#This Row],[15/06/2018]]),0,Tabla7[[#This Row],[15/06/2018]])</f>
        <v>41060</v>
      </c>
      <c r="BC421">
        <f>IF(ISBLANK(Tabla7[[#This Row],[15/07/2018]]),0,Tabla7[[#This Row],[15/07/2018]])</f>
        <v>42997</v>
      </c>
      <c r="BD421">
        <f>IF(ISBLANK(Tabla7[[#This Row],[15/08/2018]]),0,Tabla7[[#This Row],[15/08/2018]])</f>
        <v>44576</v>
      </c>
      <c r="BE421">
        <f>IF(ISBLANK(Tabla7[[#This Row],[15/09/2018]]),0,Tabla7[[#This Row],[15/09/2018]])</f>
        <v>46147</v>
      </c>
      <c r="BF421">
        <f>IF(ISBLANK(Tabla7[[#This Row],[15/10/2018]]),0,Tabla7[[#This Row],[15/10/2018]])</f>
        <v>48232</v>
      </c>
      <c r="BG421">
        <f>IF(ISBLANK(Tabla7[[#This Row],[15/11/2018]]),0,Tabla7[[#This Row],[15/11/2018]])</f>
        <v>50580</v>
      </c>
      <c r="BH421">
        <f>IF(ISBLANK(Tabla7[[#This Row],[15/12/2018]]),0,Tabla7[[#This Row],[15/12/2018]])</f>
        <v>53053</v>
      </c>
      <c r="BI421">
        <f>IF(ISBLANK(Tabla7[[#This Row],[28/12/2018]]),0,Tabla7[[#This Row],[28/12/2018]])</f>
        <v>0</v>
      </c>
      <c r="BN42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('358168','V','VCT44','39457','VALENCIA TERMINAL EUROPA','EN CT (02)','TORRE 4412','');</v>
      </c>
      <c r="BO421" t="s">
        <v>243</v>
      </c>
      <c r="BP421" s="632" t="str">
        <f>CONCATENATE("insert into lecturas values ","('",Tabla7[[#This Row],[CONTADOR]],"',STR_TO_DATE('",Tabla7[[#Headers],[31/12/2017]],"','%d/%m/%Y'),",AV421,"),","('",Tabla7[[#This Row],[CONTADOR]],"',STR_TO_DATE('",Tabla7[[#Headers],[15/01/2018]],"','%d/%m/%Y'),",AW421,"),","('",Tabla7[[#This Row],[CONTADOR]],"',STR_TO_DATE('",Tabla7[[#Headers],[15/02/2018]],"','%d/%m/%Y'),",AX421,"),","('",Tabla7[[#This Row],[CONTADOR]],"',STR_TO_DATE('",Tabla7[[#Headers],[15/03/2018]],"','%d/%m/%Y'),",AY421,"),","('",Tabla7[[#This Row],[CONTADOR]],"',STR_TO_DATE('",Tabla7[[#Headers],[15/04/2018]],"','%d/%m/%Y'),",AZ421,"),","('",Tabla7[[#This Row],[CONTADOR]],"',STR_TO_DATE('",Tabla7[[#Headers],[15/05/2018]],"','%d/%m/%Y'),",BA421,"),","('",Tabla7[[#This Row],[CONTADOR]],"',STR_TO_DATE('",Tabla7[[#Headers],[15/06/2018]],"','%d/%m/%Y'),",BB421,"),","('",Tabla7[[#This Row],[CONTADOR]],"',STR_TO_DATE('",Tabla7[[#Headers],[15/07/2018]],"','%d/%m/%Y'),",BC421,"),","('",Tabla7[[#This Row],[CONTADOR]],"',STR_TO_DATE('",Tabla7[[#Headers],[15/08/2018]],"','%d/%m/%Y'),",BD421,"),","('",Tabla7[[#This Row],[CONTADOR]],"',STR_TO_DATE('",Tabla7[[#Headers],[15/09/2018]],"','%d/%m/%Y'),",BE421,"),","('",Tabla7[[#This Row],[CONTADOR]],"',STR_TO_DATE('",Tabla7[[#Headers],[15/10/2018]],"','%d/%m/%Y'),",BF421,"),","('",Tabla7[[#This Row],[CONTADOR]],"',STR_TO_DATE('",Tabla7[[#Headers],[15/11/2018]],"','%d/%m/%Y'),",BG421,"),","('",Tabla7[[#This Row],[CONTADOR]],"',STR_TO_DATE('",Tabla7[[#Headers],[15/12/2018]],"','%d/%m/%Y'),",BH421,");")</f>
        <v>insert into lecturas values ('358168',STR_TO_DATE('31/12/2017','%d/%m/%Y'),27454),('358168',STR_TO_DATE('15/01/2018','%d/%m/%Y'),29204),('358168',STR_TO_DATE('15/02/2018','%d/%m/%Y'),32213),('358168',STR_TO_DATE('15/03/2018','%d/%m/%Y'),34728),('358168',STR_TO_DATE('15/04/2018','%d/%m/%Y'),36973),('358168',STR_TO_DATE('15/05/2018','%d/%m/%Y'),39136),('358168',STR_TO_DATE('15/06/2018','%d/%m/%Y'),41060),('358168',STR_TO_DATE('15/07/2018','%d/%m/%Y'),42997),('358168',STR_TO_DATE('15/08/2018','%d/%m/%Y'),44576),('358168',STR_TO_DATE('15/09/2018','%d/%m/%Y'),46147),('358168',STR_TO_DATE('15/10/2018','%d/%m/%Y'),48232),('358168',STR_TO_DATE('15/11/2018','%d/%m/%Y'),50580),('358168',STR_TO_DATE('15/12/2018','%d/%m/%Y'),53053);</v>
      </c>
    </row>
    <row r="422" spans="1:68" ht="18" customHeight="1" x14ac:dyDescent="0.25">
      <c r="A422" s="241" t="s">
        <v>19</v>
      </c>
      <c r="B422" s="60"/>
      <c r="C422" s="342">
        <v>359329</v>
      </c>
      <c r="D422" s="60" t="s">
        <v>272</v>
      </c>
      <c r="E422" s="258">
        <v>39458</v>
      </c>
      <c r="F422" s="2" t="s">
        <v>250</v>
      </c>
      <c r="G422" s="2" t="s">
        <v>780</v>
      </c>
      <c r="H422" s="2" t="s">
        <v>287</v>
      </c>
      <c r="I422" s="2"/>
      <c r="J422" s="2">
        <v>31282</v>
      </c>
      <c r="K422" s="274">
        <v>33279</v>
      </c>
      <c r="L422" s="274">
        <v>36724</v>
      </c>
      <c r="M422" s="311">
        <v>39604</v>
      </c>
      <c r="N422" s="311">
        <v>42172</v>
      </c>
      <c r="O422" s="311">
        <v>44647</v>
      </c>
      <c r="P422" s="311">
        <v>46844</v>
      </c>
      <c r="Q422" s="307">
        <v>49057</v>
      </c>
      <c r="R422" s="274">
        <v>51276</v>
      </c>
      <c r="S422" s="311">
        <v>54154</v>
      </c>
      <c r="T422" s="311">
        <v>56680</v>
      </c>
      <c r="U422" s="492">
        <v>59960</v>
      </c>
      <c r="V422" s="492">
        <v>63427</v>
      </c>
      <c r="W422" s="2"/>
      <c r="X422" s="2"/>
      <c r="Y422" s="2">
        <f t="shared" si="151"/>
        <v>1997</v>
      </c>
      <c r="Z422" s="2">
        <f t="shared" si="152"/>
        <v>3445</v>
      </c>
      <c r="AA422" s="2">
        <f t="shared" si="150"/>
        <v>2880</v>
      </c>
      <c r="AB422" s="2">
        <f t="shared" si="149"/>
        <v>2568</v>
      </c>
      <c r="AC422" s="2">
        <f t="shared" si="153"/>
        <v>2475</v>
      </c>
      <c r="AD422" s="2">
        <f t="shared" si="154"/>
        <v>2197</v>
      </c>
      <c r="AE422" s="2">
        <f t="shared" si="155"/>
        <v>2213</v>
      </c>
      <c r="AF422" s="2">
        <f t="shared" si="156"/>
        <v>2219</v>
      </c>
      <c r="AG422" s="2">
        <f t="shared" si="157"/>
        <v>2878</v>
      </c>
      <c r="AH422" s="2">
        <f t="shared" si="158"/>
        <v>2526</v>
      </c>
      <c r="AI422" s="2">
        <f t="shared" si="159"/>
        <v>3280</v>
      </c>
      <c r="AJ422" s="2">
        <f t="shared" si="160"/>
        <v>3467</v>
      </c>
      <c r="AK422" s="406">
        <v>1</v>
      </c>
      <c r="AL422" s="274">
        <f t="shared" ca="1" si="145"/>
        <v>42172</v>
      </c>
      <c r="AM422" s="311">
        <f t="shared" ca="1" si="146"/>
        <v>44647</v>
      </c>
      <c r="AN422" s="274">
        <f ca="1">IF(AND(Tabla7[[#This Row],[UltLec]]&lt;&gt;0,Tabla7[[#This Row],[PenLect]]&lt;&gt;0),(AM422-AL422)*Tabla7[[#This Row],[RT]],"N/A")</f>
        <v>2475</v>
      </c>
      <c r="AO422" s="273" t="s">
        <v>862</v>
      </c>
      <c r="AP422" s="392" t="s">
        <v>1190</v>
      </c>
      <c r="AQ422" s="392" t="s">
        <v>1189</v>
      </c>
      <c r="AR422" s="407">
        <f t="shared" si="147"/>
        <v>0</v>
      </c>
      <c r="AT422" s="2">
        <f t="shared" ca="1" si="148"/>
        <v>0.96378504672897192</v>
      </c>
      <c r="AV422">
        <f>IF(ISBLANK(Tabla7[[#This Row],[31/12/2017]]),0,Tabla7[[#This Row],[31/12/2017]])</f>
        <v>31282</v>
      </c>
      <c r="AW422">
        <f>IF(ISBLANK(Tabla7[[#This Row],[15/01/2018]]),0,Tabla7[[#This Row],[15/01/2018]])</f>
        <v>33279</v>
      </c>
      <c r="AX422">
        <f>IF(ISBLANK(Tabla7[[#This Row],[15/02/2018]]),0,Tabla7[[#This Row],[15/02/2018]])</f>
        <v>36724</v>
      </c>
      <c r="AY422">
        <f>IF(ISBLANK(Tabla7[[#This Row],[15/03/2018]]),0,Tabla7[[#This Row],[15/03/2018]])</f>
        <v>39604</v>
      </c>
      <c r="AZ422">
        <f>IF(ISBLANK(Tabla7[[#This Row],[15/04/2018]]),0,Tabla7[[#This Row],[15/04/2018]])</f>
        <v>42172</v>
      </c>
      <c r="BA422">
        <f>IF(ISBLANK(Tabla7[[#This Row],[15/05/2018]]),0,Tabla7[[#This Row],[15/05/2018]])</f>
        <v>44647</v>
      </c>
      <c r="BB422">
        <f>IF(ISBLANK(Tabla7[[#This Row],[15/06/2018]]),0,Tabla7[[#This Row],[15/06/2018]])</f>
        <v>46844</v>
      </c>
      <c r="BC422">
        <f>IF(ISBLANK(Tabla7[[#This Row],[15/07/2018]]),0,Tabla7[[#This Row],[15/07/2018]])</f>
        <v>49057</v>
      </c>
      <c r="BD422">
        <f>IF(ISBLANK(Tabla7[[#This Row],[15/08/2018]]),0,Tabla7[[#This Row],[15/08/2018]])</f>
        <v>51276</v>
      </c>
      <c r="BE422">
        <f>IF(ISBLANK(Tabla7[[#This Row],[15/09/2018]]),0,Tabla7[[#This Row],[15/09/2018]])</f>
        <v>54154</v>
      </c>
      <c r="BF422">
        <f>IF(ISBLANK(Tabla7[[#This Row],[15/10/2018]]),0,Tabla7[[#This Row],[15/10/2018]])</f>
        <v>56680</v>
      </c>
      <c r="BG422">
        <f>IF(ISBLANK(Tabla7[[#This Row],[15/11/2018]]),0,Tabla7[[#This Row],[15/11/2018]])</f>
        <v>59960</v>
      </c>
      <c r="BH422">
        <f>IF(ISBLANK(Tabla7[[#This Row],[15/12/2018]]),0,Tabla7[[#This Row],[15/12/2018]])</f>
        <v>63427</v>
      </c>
      <c r="BI422">
        <f>IF(ISBLANK(Tabla7[[#This Row],[28/12/2018]]),0,Tabla7[[#This Row],[28/12/2018]])</f>
        <v>0</v>
      </c>
      <c r="BN42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('359329','V','VCT44','39458','VALENCIA TERMINAL EUROPA','EN CT (03)','TORRE 4413','');</v>
      </c>
      <c r="BO422" t="s">
        <v>243</v>
      </c>
      <c r="BP422" s="632" t="str">
        <f>CONCATENATE("insert into lecturas values ","('",Tabla7[[#This Row],[CONTADOR]],"',STR_TO_DATE('",Tabla7[[#Headers],[31/12/2017]],"','%d/%m/%Y'),",AV422,"),","('",Tabla7[[#This Row],[CONTADOR]],"',STR_TO_DATE('",Tabla7[[#Headers],[15/01/2018]],"','%d/%m/%Y'),",AW422,"),","('",Tabla7[[#This Row],[CONTADOR]],"',STR_TO_DATE('",Tabla7[[#Headers],[15/02/2018]],"','%d/%m/%Y'),",AX422,"),","('",Tabla7[[#This Row],[CONTADOR]],"',STR_TO_DATE('",Tabla7[[#Headers],[15/03/2018]],"','%d/%m/%Y'),",AY422,"),","('",Tabla7[[#This Row],[CONTADOR]],"',STR_TO_DATE('",Tabla7[[#Headers],[15/04/2018]],"','%d/%m/%Y'),",AZ422,"),","('",Tabla7[[#This Row],[CONTADOR]],"',STR_TO_DATE('",Tabla7[[#Headers],[15/05/2018]],"','%d/%m/%Y'),",BA422,"),","('",Tabla7[[#This Row],[CONTADOR]],"',STR_TO_DATE('",Tabla7[[#Headers],[15/06/2018]],"','%d/%m/%Y'),",BB422,"),","('",Tabla7[[#This Row],[CONTADOR]],"',STR_TO_DATE('",Tabla7[[#Headers],[15/07/2018]],"','%d/%m/%Y'),",BC422,"),","('",Tabla7[[#This Row],[CONTADOR]],"',STR_TO_DATE('",Tabla7[[#Headers],[15/08/2018]],"','%d/%m/%Y'),",BD422,"),","('",Tabla7[[#This Row],[CONTADOR]],"',STR_TO_DATE('",Tabla7[[#Headers],[15/09/2018]],"','%d/%m/%Y'),",BE422,"),","('",Tabla7[[#This Row],[CONTADOR]],"',STR_TO_DATE('",Tabla7[[#Headers],[15/10/2018]],"','%d/%m/%Y'),",BF422,"),","('",Tabla7[[#This Row],[CONTADOR]],"',STR_TO_DATE('",Tabla7[[#Headers],[15/11/2018]],"','%d/%m/%Y'),",BG422,"),","('",Tabla7[[#This Row],[CONTADOR]],"',STR_TO_DATE('",Tabla7[[#Headers],[15/12/2018]],"','%d/%m/%Y'),",BH422,");")</f>
        <v>insert into lecturas values ('359329',STR_TO_DATE('31/12/2017','%d/%m/%Y'),31282),('359329',STR_TO_DATE('15/01/2018','%d/%m/%Y'),33279),('359329',STR_TO_DATE('15/02/2018','%d/%m/%Y'),36724),('359329',STR_TO_DATE('15/03/2018','%d/%m/%Y'),39604),('359329',STR_TO_DATE('15/04/2018','%d/%m/%Y'),42172),('359329',STR_TO_DATE('15/05/2018','%d/%m/%Y'),44647),('359329',STR_TO_DATE('15/06/2018','%d/%m/%Y'),46844),('359329',STR_TO_DATE('15/07/2018','%d/%m/%Y'),49057),('359329',STR_TO_DATE('15/08/2018','%d/%m/%Y'),51276),('359329',STR_TO_DATE('15/09/2018','%d/%m/%Y'),54154),('359329',STR_TO_DATE('15/10/2018','%d/%m/%Y'),56680),('359329',STR_TO_DATE('15/11/2018','%d/%m/%Y'),59960),('359329',STR_TO_DATE('15/12/2018','%d/%m/%Y'),63427);</v>
      </c>
    </row>
    <row r="423" spans="1:68" ht="18" customHeight="1" x14ac:dyDescent="0.25">
      <c r="A423" s="241" t="s">
        <v>19</v>
      </c>
      <c r="B423" s="60">
        <v>601</v>
      </c>
      <c r="C423" s="342" t="s">
        <v>273</v>
      </c>
      <c r="D423" s="60" t="s">
        <v>272</v>
      </c>
      <c r="E423" s="258">
        <v>39267</v>
      </c>
      <c r="F423" s="2" t="s">
        <v>274</v>
      </c>
      <c r="G423" s="2" t="s">
        <v>262</v>
      </c>
      <c r="H423" s="2"/>
      <c r="I423" s="2"/>
      <c r="J423" s="274">
        <v>18246</v>
      </c>
      <c r="K423" s="274">
        <v>18246</v>
      </c>
      <c r="L423" s="2">
        <v>18247</v>
      </c>
      <c r="M423" s="311">
        <v>18248</v>
      </c>
      <c r="N423" s="311">
        <v>18252</v>
      </c>
      <c r="O423" s="311">
        <v>18253</v>
      </c>
      <c r="P423" s="311">
        <v>18583</v>
      </c>
      <c r="Q423" s="307">
        <v>18907</v>
      </c>
      <c r="R423" s="2">
        <v>19115</v>
      </c>
      <c r="S423" s="311">
        <v>19144</v>
      </c>
      <c r="T423" s="311">
        <v>19166</v>
      </c>
      <c r="U423" s="492">
        <v>19184</v>
      </c>
      <c r="V423" s="492">
        <v>19203</v>
      </c>
      <c r="W423" s="274"/>
      <c r="X423" s="2"/>
      <c r="Y423" s="2">
        <f t="shared" si="151"/>
        <v>0</v>
      </c>
      <c r="Z423" s="2">
        <f t="shared" si="152"/>
        <v>1</v>
      </c>
      <c r="AA423" s="2">
        <f t="shared" si="150"/>
        <v>1</v>
      </c>
      <c r="AB423" s="2">
        <f t="shared" si="149"/>
        <v>4</v>
      </c>
      <c r="AC423" s="2">
        <f t="shared" si="153"/>
        <v>1</v>
      </c>
      <c r="AD423" s="2">
        <f t="shared" si="154"/>
        <v>330</v>
      </c>
      <c r="AE423" s="2">
        <f t="shared" si="155"/>
        <v>324</v>
      </c>
      <c r="AF423" s="2">
        <f t="shared" si="156"/>
        <v>208</v>
      </c>
      <c r="AG423" s="2">
        <f t="shared" si="157"/>
        <v>29</v>
      </c>
      <c r="AH423" s="2">
        <f t="shared" si="158"/>
        <v>22</v>
      </c>
      <c r="AI423" s="2">
        <f t="shared" si="159"/>
        <v>18</v>
      </c>
      <c r="AJ423" s="2">
        <f t="shared" si="160"/>
        <v>19</v>
      </c>
      <c r="AK423" s="406">
        <v>1</v>
      </c>
      <c r="AL423" s="274">
        <f t="shared" ca="1" si="145"/>
        <v>18252</v>
      </c>
      <c r="AM423" s="311">
        <f t="shared" ca="1" si="146"/>
        <v>18253</v>
      </c>
      <c r="AN423" s="274">
        <f ca="1">IF(AND(Tabla7[[#This Row],[UltLec]]&lt;&gt;0,Tabla7[[#This Row],[PenLect]]&lt;&gt;0),(AM423-AL423)*Tabla7[[#This Row],[RT]],"N/A")</f>
        <v>1</v>
      </c>
      <c r="AO423" s="273" t="s">
        <v>862</v>
      </c>
      <c r="AP423" s="392" t="s">
        <v>1190</v>
      </c>
      <c r="AQ423" s="392" t="s">
        <v>1189</v>
      </c>
      <c r="AR423" s="407">
        <f t="shared" si="147"/>
        <v>0</v>
      </c>
      <c r="AT423" s="2">
        <f t="shared" ca="1" si="148"/>
        <v>0.25</v>
      </c>
      <c r="AV423">
        <f>IF(ISBLANK(Tabla7[[#This Row],[31/12/2017]]),0,Tabla7[[#This Row],[31/12/2017]])</f>
        <v>18246</v>
      </c>
      <c r="AW423">
        <f>IF(ISBLANK(Tabla7[[#This Row],[15/01/2018]]),0,Tabla7[[#This Row],[15/01/2018]])</f>
        <v>18246</v>
      </c>
      <c r="AX423">
        <f>IF(ISBLANK(Tabla7[[#This Row],[15/02/2018]]),0,Tabla7[[#This Row],[15/02/2018]])</f>
        <v>18247</v>
      </c>
      <c r="AY423">
        <f>IF(ISBLANK(Tabla7[[#This Row],[15/03/2018]]),0,Tabla7[[#This Row],[15/03/2018]])</f>
        <v>18248</v>
      </c>
      <c r="AZ423">
        <f>IF(ISBLANK(Tabla7[[#This Row],[15/04/2018]]),0,Tabla7[[#This Row],[15/04/2018]])</f>
        <v>18252</v>
      </c>
      <c r="BA423">
        <f>IF(ISBLANK(Tabla7[[#This Row],[15/05/2018]]),0,Tabla7[[#This Row],[15/05/2018]])</f>
        <v>18253</v>
      </c>
      <c r="BB423">
        <f>IF(ISBLANK(Tabla7[[#This Row],[15/06/2018]]),0,Tabla7[[#This Row],[15/06/2018]])</f>
        <v>18583</v>
      </c>
      <c r="BC423">
        <f>IF(ISBLANK(Tabla7[[#This Row],[15/07/2018]]),0,Tabla7[[#This Row],[15/07/2018]])</f>
        <v>18907</v>
      </c>
      <c r="BD423">
        <f>IF(ISBLANK(Tabla7[[#This Row],[15/08/2018]]),0,Tabla7[[#This Row],[15/08/2018]])</f>
        <v>19115</v>
      </c>
      <c r="BE423">
        <f>IF(ISBLANK(Tabla7[[#This Row],[15/09/2018]]),0,Tabla7[[#This Row],[15/09/2018]])</f>
        <v>19144</v>
      </c>
      <c r="BF423">
        <f>IF(ISBLANK(Tabla7[[#This Row],[15/10/2018]]),0,Tabla7[[#This Row],[15/10/2018]])</f>
        <v>19166</v>
      </c>
      <c r="BG423">
        <f>IF(ISBLANK(Tabla7[[#This Row],[15/11/2018]]),0,Tabla7[[#This Row],[15/11/2018]])</f>
        <v>19184</v>
      </c>
      <c r="BH423">
        <f>IF(ISBLANK(Tabla7[[#This Row],[15/12/2018]]),0,Tabla7[[#This Row],[15/12/2018]])</f>
        <v>19203</v>
      </c>
      <c r="BI423">
        <f>IF(ISBLANK(Tabla7[[#This Row],[28/12/2018]]),0,Tabla7[[#This Row],[28/12/2018]])</f>
        <v>0</v>
      </c>
      <c r="BN42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('LW00044304','V','VCT44','39267','VALENCIA TERMINAL EUROPA ',' EN CT','','');</v>
      </c>
      <c r="BO423" t="s">
        <v>243</v>
      </c>
      <c r="BP423" s="632" t="str">
        <f>CONCATENATE("insert into lecturas values ","('",Tabla7[[#This Row],[CONTADOR]],"',STR_TO_DATE('",Tabla7[[#Headers],[31/12/2017]],"','%d/%m/%Y'),",AV423,"),","('",Tabla7[[#This Row],[CONTADOR]],"',STR_TO_DATE('",Tabla7[[#Headers],[15/01/2018]],"','%d/%m/%Y'),",AW423,"),","('",Tabla7[[#This Row],[CONTADOR]],"',STR_TO_DATE('",Tabla7[[#Headers],[15/02/2018]],"','%d/%m/%Y'),",AX423,"),","('",Tabla7[[#This Row],[CONTADOR]],"',STR_TO_DATE('",Tabla7[[#Headers],[15/03/2018]],"','%d/%m/%Y'),",AY423,"),","('",Tabla7[[#This Row],[CONTADOR]],"',STR_TO_DATE('",Tabla7[[#Headers],[15/04/2018]],"','%d/%m/%Y'),",AZ423,"),","('",Tabla7[[#This Row],[CONTADOR]],"',STR_TO_DATE('",Tabla7[[#Headers],[15/05/2018]],"','%d/%m/%Y'),",BA423,"),","('",Tabla7[[#This Row],[CONTADOR]],"',STR_TO_DATE('",Tabla7[[#Headers],[15/06/2018]],"','%d/%m/%Y'),",BB423,"),","('",Tabla7[[#This Row],[CONTADOR]],"',STR_TO_DATE('",Tabla7[[#Headers],[15/07/2018]],"','%d/%m/%Y'),",BC423,"),","('",Tabla7[[#This Row],[CONTADOR]],"',STR_TO_DATE('",Tabla7[[#Headers],[15/08/2018]],"','%d/%m/%Y'),",BD423,"),","('",Tabla7[[#This Row],[CONTADOR]],"',STR_TO_DATE('",Tabla7[[#Headers],[15/09/2018]],"','%d/%m/%Y'),",BE423,"),","('",Tabla7[[#This Row],[CONTADOR]],"',STR_TO_DATE('",Tabla7[[#Headers],[15/10/2018]],"','%d/%m/%Y'),",BF423,"),","('",Tabla7[[#This Row],[CONTADOR]],"',STR_TO_DATE('",Tabla7[[#Headers],[15/11/2018]],"','%d/%m/%Y'),",BG423,"),","('",Tabla7[[#This Row],[CONTADOR]],"',STR_TO_DATE('",Tabla7[[#Headers],[15/12/2018]],"','%d/%m/%Y'),",BH423,");")</f>
        <v>insert into lecturas values ('LW00044304',STR_TO_DATE('31/12/2017','%d/%m/%Y'),18246),('LW00044304',STR_TO_DATE('15/01/2018','%d/%m/%Y'),18246),('LW00044304',STR_TO_DATE('15/02/2018','%d/%m/%Y'),18247),('LW00044304',STR_TO_DATE('15/03/2018','%d/%m/%Y'),18248),('LW00044304',STR_TO_DATE('15/04/2018','%d/%m/%Y'),18252),('LW00044304',STR_TO_DATE('15/05/2018','%d/%m/%Y'),18253),('LW00044304',STR_TO_DATE('15/06/2018','%d/%m/%Y'),18583),('LW00044304',STR_TO_DATE('15/07/2018','%d/%m/%Y'),18907),('LW00044304',STR_TO_DATE('15/08/2018','%d/%m/%Y'),19115),('LW00044304',STR_TO_DATE('15/09/2018','%d/%m/%Y'),19144),('LW00044304',STR_TO_DATE('15/10/2018','%d/%m/%Y'),19166),('LW00044304',STR_TO_DATE('15/11/2018','%d/%m/%Y'),19184),('LW00044304',STR_TO_DATE('15/12/2018','%d/%m/%Y'),19203);</v>
      </c>
    </row>
    <row r="424" spans="1:68" ht="18" customHeight="1" x14ac:dyDescent="0.25">
      <c r="A424" s="241" t="s">
        <v>19</v>
      </c>
      <c r="B424" s="60">
        <v>1387</v>
      </c>
      <c r="C424" s="342" t="s">
        <v>428</v>
      </c>
      <c r="D424" s="60" t="s">
        <v>288</v>
      </c>
      <c r="E424" s="258">
        <v>39020</v>
      </c>
      <c r="F424" s="2" t="s">
        <v>454</v>
      </c>
      <c r="G424" s="2" t="s">
        <v>982</v>
      </c>
      <c r="H424" s="2" t="s">
        <v>870</v>
      </c>
      <c r="I424" s="2"/>
      <c r="J424" s="2">
        <v>18895</v>
      </c>
      <c r="K424" s="274">
        <v>19094</v>
      </c>
      <c r="L424" s="2">
        <v>19461</v>
      </c>
      <c r="M424" s="311">
        <v>19765</v>
      </c>
      <c r="N424" s="311">
        <v>19933</v>
      </c>
      <c r="O424" s="311">
        <v>19976</v>
      </c>
      <c r="P424" s="311">
        <v>20019</v>
      </c>
      <c r="Q424" s="2">
        <v>20153</v>
      </c>
      <c r="R424" s="274">
        <v>20281</v>
      </c>
      <c r="S424" s="311">
        <v>20418</v>
      </c>
      <c r="T424" s="311">
        <v>20536</v>
      </c>
      <c r="U424" s="311">
        <v>20747</v>
      </c>
      <c r="V424" s="492">
        <v>21057</v>
      </c>
      <c r="W424" s="2"/>
      <c r="X424" s="2"/>
      <c r="Y424" s="2">
        <f t="shared" si="151"/>
        <v>199</v>
      </c>
      <c r="Z424" s="2">
        <f t="shared" si="152"/>
        <v>367</v>
      </c>
      <c r="AA424" s="2">
        <f t="shared" si="150"/>
        <v>304</v>
      </c>
      <c r="AB424" s="2">
        <f t="shared" si="149"/>
        <v>168</v>
      </c>
      <c r="AC424" s="2">
        <f t="shared" si="153"/>
        <v>43</v>
      </c>
      <c r="AD424" s="2">
        <f t="shared" si="154"/>
        <v>43</v>
      </c>
      <c r="AE424" s="2">
        <f t="shared" si="155"/>
        <v>134</v>
      </c>
      <c r="AF424" s="2">
        <f t="shared" si="156"/>
        <v>128</v>
      </c>
      <c r="AG424" s="2">
        <f t="shared" si="157"/>
        <v>137</v>
      </c>
      <c r="AH424" s="2">
        <f t="shared" si="158"/>
        <v>118</v>
      </c>
      <c r="AI424" s="2">
        <f t="shared" si="159"/>
        <v>211</v>
      </c>
      <c r="AJ424" s="2">
        <f t="shared" si="160"/>
        <v>310</v>
      </c>
      <c r="AK424" s="406">
        <v>1</v>
      </c>
      <c r="AL424" s="274">
        <f t="shared" ca="1" si="145"/>
        <v>19933</v>
      </c>
      <c r="AM424" s="311">
        <f t="shared" ca="1" si="146"/>
        <v>19976</v>
      </c>
      <c r="AN424" s="274">
        <f ca="1">IF(AND(Tabla7[[#This Row],[UltLec]]&lt;&gt;0,Tabla7[[#This Row],[PenLect]]&lt;&gt;0),(AM424-AL424)*Tabla7[[#This Row],[RT]],"N/A")</f>
        <v>43</v>
      </c>
      <c r="AO424" s="273" t="s">
        <v>862</v>
      </c>
      <c r="AP424" s="392" t="s">
        <v>1190</v>
      </c>
      <c r="AQ424" s="392" t="s">
        <v>1193</v>
      </c>
      <c r="AR424" s="407">
        <f t="shared" si="147"/>
        <v>0</v>
      </c>
      <c r="AT424" s="2">
        <f t="shared" ca="1" si="148"/>
        <v>0.25595238095238093</v>
      </c>
      <c r="AV424">
        <f>IF(ISBLANK(Tabla7[[#This Row],[31/12/2017]]),0,Tabla7[[#This Row],[31/12/2017]])</f>
        <v>18895</v>
      </c>
      <c r="AW424">
        <f>IF(ISBLANK(Tabla7[[#This Row],[15/01/2018]]),0,Tabla7[[#This Row],[15/01/2018]])</f>
        <v>19094</v>
      </c>
      <c r="AX424">
        <f>IF(ISBLANK(Tabla7[[#This Row],[15/02/2018]]),0,Tabla7[[#This Row],[15/02/2018]])</f>
        <v>19461</v>
      </c>
      <c r="AY424">
        <f>IF(ISBLANK(Tabla7[[#This Row],[15/03/2018]]),0,Tabla7[[#This Row],[15/03/2018]])</f>
        <v>19765</v>
      </c>
      <c r="AZ424">
        <f>IF(ISBLANK(Tabla7[[#This Row],[15/04/2018]]),0,Tabla7[[#This Row],[15/04/2018]])</f>
        <v>19933</v>
      </c>
      <c r="BA424">
        <f>IF(ISBLANK(Tabla7[[#This Row],[15/05/2018]]),0,Tabla7[[#This Row],[15/05/2018]])</f>
        <v>19976</v>
      </c>
      <c r="BB424">
        <f>IF(ISBLANK(Tabla7[[#This Row],[15/06/2018]]),0,Tabla7[[#This Row],[15/06/2018]])</f>
        <v>20019</v>
      </c>
      <c r="BC424">
        <f>IF(ISBLANK(Tabla7[[#This Row],[15/07/2018]]),0,Tabla7[[#This Row],[15/07/2018]])</f>
        <v>20153</v>
      </c>
      <c r="BD424">
        <f>IF(ISBLANK(Tabla7[[#This Row],[15/08/2018]]),0,Tabla7[[#This Row],[15/08/2018]])</f>
        <v>20281</v>
      </c>
      <c r="BE424">
        <f>IF(ISBLANK(Tabla7[[#This Row],[15/09/2018]]),0,Tabla7[[#This Row],[15/09/2018]])</f>
        <v>20418</v>
      </c>
      <c r="BF424">
        <f>IF(ISBLANK(Tabla7[[#This Row],[15/10/2018]]),0,Tabla7[[#This Row],[15/10/2018]])</f>
        <v>20536</v>
      </c>
      <c r="BG424">
        <f>IF(ISBLANK(Tabla7[[#This Row],[15/11/2018]]),0,Tabla7[[#This Row],[15/11/2018]])</f>
        <v>20747</v>
      </c>
      <c r="BH424">
        <f>IF(ISBLANK(Tabla7[[#This Row],[15/12/2018]]),0,Tabla7[[#This Row],[15/12/2018]])</f>
        <v>21057</v>
      </c>
      <c r="BI424">
        <f>IF(ISBLANK(Tabla7[[#This Row],[28/12/2018]]),0,Tabla7[[#This Row],[28/12/2018]])</f>
        <v>0</v>
      </c>
      <c r="BN42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('LW00014244','V','VCT45','39020','TERMINAL CONT. VACIOS','EN CENTRALIZACION (3)','DUPLICADO CON EL 39370','');</v>
      </c>
      <c r="BO424" t="s">
        <v>243</v>
      </c>
      <c r="BP424" s="632" t="str">
        <f>CONCATENATE("insert into lecturas values ","('",Tabla7[[#This Row],[CONTADOR]],"',STR_TO_DATE('",Tabla7[[#Headers],[31/12/2017]],"','%d/%m/%Y'),",AV424,"),","('",Tabla7[[#This Row],[CONTADOR]],"',STR_TO_DATE('",Tabla7[[#Headers],[15/01/2018]],"','%d/%m/%Y'),",AW424,"),","('",Tabla7[[#This Row],[CONTADOR]],"',STR_TO_DATE('",Tabla7[[#Headers],[15/02/2018]],"','%d/%m/%Y'),",AX424,"),","('",Tabla7[[#This Row],[CONTADOR]],"',STR_TO_DATE('",Tabla7[[#Headers],[15/03/2018]],"','%d/%m/%Y'),",AY424,"),","('",Tabla7[[#This Row],[CONTADOR]],"',STR_TO_DATE('",Tabla7[[#Headers],[15/04/2018]],"','%d/%m/%Y'),",AZ424,"),","('",Tabla7[[#This Row],[CONTADOR]],"',STR_TO_DATE('",Tabla7[[#Headers],[15/05/2018]],"','%d/%m/%Y'),",BA424,"),","('",Tabla7[[#This Row],[CONTADOR]],"',STR_TO_DATE('",Tabla7[[#Headers],[15/06/2018]],"','%d/%m/%Y'),",BB424,"),","('",Tabla7[[#This Row],[CONTADOR]],"',STR_TO_DATE('",Tabla7[[#Headers],[15/07/2018]],"','%d/%m/%Y'),",BC424,"),","('",Tabla7[[#This Row],[CONTADOR]],"',STR_TO_DATE('",Tabla7[[#Headers],[15/08/2018]],"','%d/%m/%Y'),",BD424,"),","('",Tabla7[[#This Row],[CONTADOR]],"',STR_TO_DATE('",Tabla7[[#Headers],[15/09/2018]],"','%d/%m/%Y'),",BE424,"),","('",Tabla7[[#This Row],[CONTADOR]],"',STR_TO_DATE('",Tabla7[[#Headers],[15/10/2018]],"','%d/%m/%Y'),",BF424,"),","('",Tabla7[[#This Row],[CONTADOR]],"',STR_TO_DATE('",Tabla7[[#Headers],[15/11/2018]],"','%d/%m/%Y'),",BG424,"),","('",Tabla7[[#This Row],[CONTADOR]],"',STR_TO_DATE('",Tabla7[[#Headers],[15/12/2018]],"','%d/%m/%Y'),",BH424,");")</f>
        <v>insert into lecturas values ('LW00014244',STR_TO_DATE('31/12/2017','%d/%m/%Y'),18895),('LW00014244',STR_TO_DATE('15/01/2018','%d/%m/%Y'),19094),('LW00014244',STR_TO_DATE('15/02/2018','%d/%m/%Y'),19461),('LW00014244',STR_TO_DATE('15/03/2018','%d/%m/%Y'),19765),('LW00014244',STR_TO_DATE('15/04/2018','%d/%m/%Y'),19933),('LW00014244',STR_TO_DATE('15/05/2018','%d/%m/%Y'),19976),('LW00014244',STR_TO_DATE('15/06/2018','%d/%m/%Y'),20019),('LW00014244',STR_TO_DATE('15/07/2018','%d/%m/%Y'),20153),('LW00014244',STR_TO_DATE('15/08/2018','%d/%m/%Y'),20281),('LW00014244',STR_TO_DATE('15/09/2018','%d/%m/%Y'),20418),('LW00014244',STR_TO_DATE('15/10/2018','%d/%m/%Y'),20536),('LW00014244',STR_TO_DATE('15/11/2018','%d/%m/%Y'),20747),('LW00014244',STR_TO_DATE('15/12/2018','%d/%m/%Y'),21057);</v>
      </c>
    </row>
    <row r="425" spans="1:68" ht="18" customHeight="1" x14ac:dyDescent="0.25">
      <c r="A425" s="372" t="s">
        <v>1196</v>
      </c>
      <c r="B425" s="60">
        <v>1387</v>
      </c>
      <c r="C425" s="373" t="s">
        <v>428</v>
      </c>
      <c r="D425" s="374" t="s">
        <v>288</v>
      </c>
      <c r="E425" s="375">
        <v>39370</v>
      </c>
      <c r="F425" s="376" t="s">
        <v>454</v>
      </c>
      <c r="G425" s="376" t="s">
        <v>101</v>
      </c>
      <c r="H425" s="376"/>
      <c r="I425" s="376"/>
      <c r="J425" s="377"/>
      <c r="K425" s="383"/>
      <c r="L425" s="376"/>
      <c r="M425" s="376"/>
      <c r="N425" s="376"/>
      <c r="O425" s="376"/>
      <c r="P425" s="376"/>
      <c r="Q425" s="376"/>
      <c r="R425" s="376"/>
      <c r="S425" s="376"/>
      <c r="T425" s="376"/>
      <c r="U425" s="519"/>
      <c r="V425" s="377"/>
      <c r="W425" s="377"/>
      <c r="X425" s="376"/>
      <c r="Y425" s="376" t="str">
        <f t="shared" si="151"/>
        <v/>
      </c>
      <c r="Z425" s="376" t="str">
        <f t="shared" si="152"/>
        <v/>
      </c>
      <c r="AA425" s="376" t="str">
        <f t="shared" si="150"/>
        <v/>
      </c>
      <c r="AB425" s="376" t="str">
        <f t="shared" si="149"/>
        <v/>
      </c>
      <c r="AC425" s="376" t="str">
        <f t="shared" si="153"/>
        <v/>
      </c>
      <c r="AD425" s="376" t="str">
        <f t="shared" si="154"/>
        <v/>
      </c>
      <c r="AE425" s="376" t="str">
        <f t="shared" si="155"/>
        <v/>
      </c>
      <c r="AF425" s="376" t="str">
        <f t="shared" si="156"/>
        <v/>
      </c>
      <c r="AG425" s="376" t="str">
        <f t="shared" si="157"/>
        <v/>
      </c>
      <c r="AH425" s="376" t="str">
        <f t="shared" si="158"/>
        <v/>
      </c>
      <c r="AI425" s="376" t="str">
        <f t="shared" si="159"/>
        <v/>
      </c>
      <c r="AJ425" s="376" t="str">
        <f t="shared" si="160"/>
        <v/>
      </c>
      <c r="AK425" s="408">
        <v>1</v>
      </c>
      <c r="AL425" s="377">
        <f t="shared" ca="1" si="145"/>
        <v>0</v>
      </c>
      <c r="AM425" s="383">
        <f t="shared" ca="1" si="146"/>
        <v>0</v>
      </c>
      <c r="AN425" s="377" t="str">
        <f ca="1">IF(AND(Tabla7[[#This Row],[UltLec]]&lt;&gt;0,Tabla7[[#This Row],[PenLect]]&lt;&gt;0),(AM425-AL425)*Tabla7[[#This Row],[RT]],"N/A")</f>
        <v>N/A</v>
      </c>
      <c r="AO425" s="380" t="s">
        <v>1281</v>
      </c>
      <c r="AP425" s="433" t="s">
        <v>1190</v>
      </c>
      <c r="AQ425" s="433" t="s">
        <v>1193</v>
      </c>
      <c r="AR425" s="409">
        <f t="shared" si="147"/>
        <v>0</v>
      </c>
      <c r="AT425" s="2" t="e">
        <f t="shared" ca="1" si="148"/>
        <v>#VALUE!</v>
      </c>
      <c r="AV425">
        <f>IF(ISBLANK(Tabla7[[#This Row],[31/12/2017]]),0,Tabla7[[#This Row],[31/12/2017]])</f>
        <v>0</v>
      </c>
      <c r="AW425">
        <f>IF(ISBLANK(Tabla7[[#This Row],[15/01/2018]]),0,Tabla7[[#This Row],[15/01/2018]])</f>
        <v>0</v>
      </c>
      <c r="AX425">
        <f>IF(ISBLANK(Tabla7[[#This Row],[15/02/2018]]),0,Tabla7[[#This Row],[15/02/2018]])</f>
        <v>0</v>
      </c>
      <c r="AY425">
        <f>IF(ISBLANK(Tabla7[[#This Row],[15/03/2018]]),0,Tabla7[[#This Row],[15/03/2018]])</f>
        <v>0</v>
      </c>
      <c r="AZ425">
        <f>IF(ISBLANK(Tabla7[[#This Row],[15/04/2018]]),0,Tabla7[[#This Row],[15/04/2018]])</f>
        <v>0</v>
      </c>
      <c r="BA425">
        <f>IF(ISBLANK(Tabla7[[#This Row],[15/05/2018]]),0,Tabla7[[#This Row],[15/05/2018]])</f>
        <v>0</v>
      </c>
      <c r="BB425">
        <f>IF(ISBLANK(Tabla7[[#This Row],[15/06/2018]]),0,Tabla7[[#This Row],[15/06/2018]])</f>
        <v>0</v>
      </c>
      <c r="BC425">
        <f>IF(ISBLANK(Tabla7[[#This Row],[15/07/2018]]),0,Tabla7[[#This Row],[15/07/2018]])</f>
        <v>0</v>
      </c>
      <c r="BD425">
        <f>IF(ISBLANK(Tabla7[[#This Row],[15/08/2018]]),0,Tabla7[[#This Row],[15/08/2018]])</f>
        <v>0</v>
      </c>
      <c r="BE425">
        <f>IF(ISBLANK(Tabla7[[#This Row],[15/09/2018]]),0,Tabla7[[#This Row],[15/09/2018]])</f>
        <v>0</v>
      </c>
      <c r="BF425">
        <f>IF(ISBLANK(Tabla7[[#This Row],[15/10/2018]]),0,Tabla7[[#This Row],[15/10/2018]])</f>
        <v>0</v>
      </c>
      <c r="BG425">
        <f>IF(ISBLANK(Tabla7[[#This Row],[15/11/2018]]),0,Tabla7[[#This Row],[15/11/2018]])</f>
        <v>0</v>
      </c>
      <c r="BH425">
        <f>IF(ISBLANK(Tabla7[[#This Row],[15/12/2018]]),0,Tabla7[[#This Row],[15/12/2018]])</f>
        <v>0</v>
      </c>
      <c r="BI425">
        <f>IF(ISBLANK(Tabla7[[#This Row],[28/12/2018]]),0,Tabla7[[#This Row],[28/12/2018]])</f>
        <v>0</v>
      </c>
      <c r="BN42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('LW00014244','VBAJA','VCT45','39370','TERMINAL CONT. VACIOS','EN CENTRALIZACION','','');</v>
      </c>
      <c r="BO425" t="s">
        <v>243</v>
      </c>
      <c r="BP425" s="632" t="str">
        <f>CONCATENATE("insert into lecturas values ","('",Tabla7[[#This Row],[CONTADOR]],"',STR_TO_DATE('",Tabla7[[#Headers],[31/12/2017]],"','%d/%m/%Y'),",AV425,"),","('",Tabla7[[#This Row],[CONTADOR]],"',STR_TO_DATE('",Tabla7[[#Headers],[15/01/2018]],"','%d/%m/%Y'),",AW425,"),","('",Tabla7[[#This Row],[CONTADOR]],"',STR_TO_DATE('",Tabla7[[#Headers],[15/02/2018]],"','%d/%m/%Y'),",AX425,"),","('",Tabla7[[#This Row],[CONTADOR]],"',STR_TO_DATE('",Tabla7[[#Headers],[15/03/2018]],"','%d/%m/%Y'),",AY425,"),","('",Tabla7[[#This Row],[CONTADOR]],"',STR_TO_DATE('",Tabla7[[#Headers],[15/04/2018]],"','%d/%m/%Y'),",AZ425,"),","('",Tabla7[[#This Row],[CONTADOR]],"',STR_TO_DATE('",Tabla7[[#Headers],[15/05/2018]],"','%d/%m/%Y'),",BA425,"),","('",Tabla7[[#This Row],[CONTADOR]],"',STR_TO_DATE('",Tabla7[[#Headers],[15/06/2018]],"','%d/%m/%Y'),",BB425,"),","('",Tabla7[[#This Row],[CONTADOR]],"',STR_TO_DATE('",Tabla7[[#Headers],[15/07/2018]],"','%d/%m/%Y'),",BC425,"),","('",Tabla7[[#This Row],[CONTADOR]],"',STR_TO_DATE('",Tabla7[[#Headers],[15/08/2018]],"','%d/%m/%Y'),",BD425,"),","('",Tabla7[[#This Row],[CONTADOR]],"',STR_TO_DATE('",Tabla7[[#Headers],[15/09/2018]],"','%d/%m/%Y'),",BE425,"),","('",Tabla7[[#This Row],[CONTADOR]],"',STR_TO_DATE('",Tabla7[[#Headers],[15/10/2018]],"','%d/%m/%Y'),",BF425,"),","('",Tabla7[[#This Row],[CONTADOR]],"',STR_TO_DATE('",Tabla7[[#Headers],[15/11/2018]],"','%d/%m/%Y'),",BG425,"),","('",Tabla7[[#This Row],[CONTADOR]],"',STR_TO_DATE('",Tabla7[[#Headers],[15/12/2018]],"','%d/%m/%Y'),",BH425,");")</f>
        <v>insert into lecturas values ('LW00014244',STR_TO_DATE('31/12/2017','%d/%m/%Y'),0),('LW00014244',STR_TO_DATE('15/01/2018','%d/%m/%Y'),0),('LW00014244',STR_TO_DATE('15/02/2018','%d/%m/%Y'),0),('LW00014244',STR_TO_DATE('15/03/2018','%d/%m/%Y'),0),('LW00014244',STR_TO_DATE('15/04/2018','%d/%m/%Y'),0),('LW00014244',STR_TO_DATE('15/05/2018','%d/%m/%Y'),0),('LW00014244',STR_TO_DATE('15/06/2018','%d/%m/%Y'),0),('LW00014244',STR_TO_DATE('15/07/2018','%d/%m/%Y'),0),('LW00014244',STR_TO_DATE('15/08/2018','%d/%m/%Y'),0),('LW00014244',STR_TO_DATE('15/09/2018','%d/%m/%Y'),0),('LW00014244',STR_TO_DATE('15/10/2018','%d/%m/%Y'),0),('LW00014244',STR_TO_DATE('15/11/2018','%d/%m/%Y'),0),('LW00014244',STR_TO_DATE('15/12/2018','%d/%m/%Y'),0);</v>
      </c>
    </row>
    <row r="426" spans="1:68" ht="18" customHeight="1" x14ac:dyDescent="0.25">
      <c r="A426" s="241" t="s">
        <v>19</v>
      </c>
      <c r="B426" s="60"/>
      <c r="C426" s="342" t="s">
        <v>697</v>
      </c>
      <c r="D426" s="60" t="s">
        <v>288</v>
      </c>
      <c r="E426" s="258">
        <v>140</v>
      </c>
      <c r="F426" s="274" t="s">
        <v>21</v>
      </c>
      <c r="G426" s="274" t="s">
        <v>983</v>
      </c>
      <c r="H426" s="274" t="s">
        <v>698</v>
      </c>
      <c r="I426" s="2"/>
      <c r="J426" s="2">
        <v>9367</v>
      </c>
      <c r="K426" s="274">
        <v>9738</v>
      </c>
      <c r="L426" s="2">
        <v>9792</v>
      </c>
      <c r="M426" s="311">
        <v>9799</v>
      </c>
      <c r="N426" s="311">
        <v>9807</v>
      </c>
      <c r="O426" s="311">
        <v>10315</v>
      </c>
      <c r="P426" s="1">
        <v>10315</v>
      </c>
      <c r="Q426" s="2">
        <v>10326</v>
      </c>
      <c r="R426" s="274">
        <v>10584</v>
      </c>
      <c r="S426" s="311">
        <v>12376</v>
      </c>
      <c r="T426" s="311">
        <v>12377</v>
      </c>
      <c r="U426" s="311">
        <v>12383</v>
      </c>
      <c r="V426" s="492">
        <v>13229</v>
      </c>
      <c r="W426" s="2"/>
      <c r="X426" s="2"/>
      <c r="Y426" s="2">
        <f t="shared" si="151"/>
        <v>371</v>
      </c>
      <c r="Z426" s="2">
        <f t="shared" si="152"/>
        <v>54</v>
      </c>
      <c r="AA426" s="2">
        <f t="shared" si="150"/>
        <v>7</v>
      </c>
      <c r="AB426" s="2">
        <f t="shared" ref="AB426:AB444" si="161">IF(OR(ISBLANK(N426),ISBLANK(M426)),"",IF(AND(N426&gt;=M426,N426-M426&lt;=N426),(N426-M426)*$AK426,"!!!!"))</f>
        <v>8</v>
      </c>
      <c r="AC426" s="2">
        <f t="shared" si="153"/>
        <v>508</v>
      </c>
      <c r="AD426" s="2">
        <f t="shared" si="154"/>
        <v>0</v>
      </c>
      <c r="AE426" s="2">
        <f t="shared" si="155"/>
        <v>11</v>
      </c>
      <c r="AF426" s="2">
        <f t="shared" si="156"/>
        <v>258</v>
      </c>
      <c r="AG426" s="2">
        <f t="shared" si="157"/>
        <v>1792</v>
      </c>
      <c r="AH426" s="2">
        <f t="shared" si="158"/>
        <v>1</v>
      </c>
      <c r="AI426" s="2">
        <f t="shared" si="159"/>
        <v>6</v>
      </c>
      <c r="AJ426" s="2">
        <f t="shared" si="160"/>
        <v>846</v>
      </c>
      <c r="AK426" s="406">
        <v>1</v>
      </c>
      <c r="AL426" s="274">
        <f t="shared" ca="1" si="145"/>
        <v>9807</v>
      </c>
      <c r="AM426" s="311">
        <f t="shared" ca="1" si="146"/>
        <v>10315</v>
      </c>
      <c r="AN426" s="274">
        <f ca="1">IF(AND(Tabla7[[#This Row],[UltLec]]&lt;&gt;0,Tabla7[[#This Row],[PenLect]]&lt;&gt;0),(AM426-AL426)*Tabla7[[#This Row],[RT]],"N/A")</f>
        <v>508</v>
      </c>
      <c r="AO426" s="273" t="s">
        <v>862</v>
      </c>
      <c r="AP426" s="392" t="s">
        <v>1190</v>
      </c>
      <c r="AQ426" s="392" t="s">
        <v>1189</v>
      </c>
      <c r="AR426" s="407">
        <f t="shared" si="147"/>
        <v>0</v>
      </c>
      <c r="AT426" s="2">
        <f t="shared" ca="1" si="148"/>
        <v>63.5</v>
      </c>
      <c r="AV426">
        <f>IF(ISBLANK(Tabla7[[#This Row],[31/12/2017]]),0,Tabla7[[#This Row],[31/12/2017]])</f>
        <v>9367</v>
      </c>
      <c r="AW426">
        <f>IF(ISBLANK(Tabla7[[#This Row],[15/01/2018]]),0,Tabla7[[#This Row],[15/01/2018]])</f>
        <v>9738</v>
      </c>
      <c r="AX426">
        <f>IF(ISBLANK(Tabla7[[#This Row],[15/02/2018]]),0,Tabla7[[#This Row],[15/02/2018]])</f>
        <v>9792</v>
      </c>
      <c r="AY426">
        <f>IF(ISBLANK(Tabla7[[#This Row],[15/03/2018]]),0,Tabla7[[#This Row],[15/03/2018]])</f>
        <v>9799</v>
      </c>
      <c r="AZ426">
        <f>IF(ISBLANK(Tabla7[[#This Row],[15/04/2018]]),0,Tabla7[[#This Row],[15/04/2018]])</f>
        <v>9807</v>
      </c>
      <c r="BA426">
        <f>IF(ISBLANK(Tabla7[[#This Row],[15/05/2018]]),0,Tabla7[[#This Row],[15/05/2018]])</f>
        <v>10315</v>
      </c>
      <c r="BB426">
        <f>IF(ISBLANK(Tabla7[[#This Row],[15/06/2018]]),0,Tabla7[[#This Row],[15/06/2018]])</f>
        <v>10315</v>
      </c>
      <c r="BC426">
        <f>IF(ISBLANK(Tabla7[[#This Row],[15/07/2018]]),0,Tabla7[[#This Row],[15/07/2018]])</f>
        <v>10326</v>
      </c>
      <c r="BD426">
        <f>IF(ISBLANK(Tabla7[[#This Row],[15/08/2018]]),0,Tabla7[[#This Row],[15/08/2018]])</f>
        <v>10584</v>
      </c>
      <c r="BE426">
        <f>IF(ISBLANK(Tabla7[[#This Row],[15/09/2018]]),0,Tabla7[[#This Row],[15/09/2018]])</f>
        <v>12376</v>
      </c>
      <c r="BF426">
        <f>IF(ISBLANK(Tabla7[[#This Row],[15/10/2018]]),0,Tabla7[[#This Row],[15/10/2018]])</f>
        <v>12377</v>
      </c>
      <c r="BG426">
        <f>IF(ISBLANK(Tabla7[[#This Row],[15/11/2018]]),0,Tabla7[[#This Row],[15/11/2018]])</f>
        <v>12383</v>
      </c>
      <c r="BH426">
        <f>IF(ISBLANK(Tabla7[[#This Row],[15/12/2018]]),0,Tabla7[[#This Row],[15/12/2018]])</f>
        <v>13229</v>
      </c>
      <c r="BI426">
        <f>IF(ISBLANK(Tabla7[[#This Row],[28/12/2018]]),0,Tabla7[[#This Row],[28/12/2018]])</f>
        <v>0</v>
      </c>
      <c r="BN42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('LW000181319','V','VCT45','140','APV','EN CENTRALIZACION (2)','NAVE TMS (ALMACEN XITA)','');</v>
      </c>
      <c r="BO426" t="s">
        <v>243</v>
      </c>
      <c r="BP426" s="632" t="str">
        <f>CONCATENATE("insert into lecturas values ","('",Tabla7[[#This Row],[CONTADOR]],"',STR_TO_DATE('",Tabla7[[#Headers],[31/12/2017]],"','%d/%m/%Y'),",AV426,"),","('",Tabla7[[#This Row],[CONTADOR]],"',STR_TO_DATE('",Tabla7[[#Headers],[15/01/2018]],"','%d/%m/%Y'),",AW426,"),","('",Tabla7[[#This Row],[CONTADOR]],"',STR_TO_DATE('",Tabla7[[#Headers],[15/02/2018]],"','%d/%m/%Y'),",AX426,"),","('",Tabla7[[#This Row],[CONTADOR]],"',STR_TO_DATE('",Tabla7[[#Headers],[15/03/2018]],"','%d/%m/%Y'),",AY426,"),","('",Tabla7[[#This Row],[CONTADOR]],"',STR_TO_DATE('",Tabla7[[#Headers],[15/04/2018]],"','%d/%m/%Y'),",AZ426,"),","('",Tabla7[[#This Row],[CONTADOR]],"',STR_TO_DATE('",Tabla7[[#Headers],[15/05/2018]],"','%d/%m/%Y'),",BA426,"),","('",Tabla7[[#This Row],[CONTADOR]],"',STR_TO_DATE('",Tabla7[[#Headers],[15/06/2018]],"','%d/%m/%Y'),",BB426,"),","('",Tabla7[[#This Row],[CONTADOR]],"',STR_TO_DATE('",Tabla7[[#Headers],[15/07/2018]],"','%d/%m/%Y'),",BC426,"),","('",Tabla7[[#This Row],[CONTADOR]],"',STR_TO_DATE('",Tabla7[[#Headers],[15/08/2018]],"','%d/%m/%Y'),",BD426,"),","('",Tabla7[[#This Row],[CONTADOR]],"',STR_TO_DATE('",Tabla7[[#Headers],[15/09/2018]],"','%d/%m/%Y'),",BE426,"),","('",Tabla7[[#This Row],[CONTADOR]],"',STR_TO_DATE('",Tabla7[[#Headers],[15/10/2018]],"','%d/%m/%Y'),",BF426,"),","('",Tabla7[[#This Row],[CONTADOR]],"',STR_TO_DATE('",Tabla7[[#Headers],[15/11/2018]],"','%d/%m/%Y'),",BG426,"),","('",Tabla7[[#This Row],[CONTADOR]],"',STR_TO_DATE('",Tabla7[[#Headers],[15/12/2018]],"','%d/%m/%Y'),",BH426,");")</f>
        <v>insert into lecturas values ('LW000181319',STR_TO_DATE('31/12/2017','%d/%m/%Y'),9367),('LW000181319',STR_TO_DATE('15/01/2018','%d/%m/%Y'),9738),('LW000181319',STR_TO_DATE('15/02/2018','%d/%m/%Y'),9792),('LW000181319',STR_TO_DATE('15/03/2018','%d/%m/%Y'),9799),('LW000181319',STR_TO_DATE('15/04/2018','%d/%m/%Y'),9807),('LW000181319',STR_TO_DATE('15/05/2018','%d/%m/%Y'),10315),('LW000181319',STR_TO_DATE('15/06/2018','%d/%m/%Y'),10315),('LW000181319',STR_TO_DATE('15/07/2018','%d/%m/%Y'),10326),('LW000181319',STR_TO_DATE('15/08/2018','%d/%m/%Y'),10584),('LW000181319',STR_TO_DATE('15/09/2018','%d/%m/%Y'),12376),('LW000181319',STR_TO_DATE('15/10/2018','%d/%m/%Y'),12377),('LW000181319',STR_TO_DATE('15/11/2018','%d/%m/%Y'),12383),('LW000181319',STR_TO_DATE('15/12/2018','%d/%m/%Y'),13229);</v>
      </c>
    </row>
    <row r="427" spans="1:68" ht="18" customHeight="1" x14ac:dyDescent="0.25">
      <c r="A427" s="241" t="s">
        <v>19</v>
      </c>
      <c r="B427" s="60">
        <v>274</v>
      </c>
      <c r="C427" s="342" t="s">
        <v>294</v>
      </c>
      <c r="D427" s="60" t="s">
        <v>288</v>
      </c>
      <c r="E427" s="258">
        <v>39131</v>
      </c>
      <c r="F427" s="2" t="s">
        <v>295</v>
      </c>
      <c r="G427" s="2" t="s">
        <v>991</v>
      </c>
      <c r="H427" s="2"/>
      <c r="I427" s="2"/>
      <c r="J427" s="2">
        <v>578776</v>
      </c>
      <c r="K427" s="2">
        <v>580525</v>
      </c>
      <c r="L427" s="2">
        <v>583695</v>
      </c>
      <c r="M427" s="311">
        <v>586566</v>
      </c>
      <c r="N427" s="311">
        <v>589860</v>
      </c>
      <c r="O427" s="311">
        <v>593141</v>
      </c>
      <c r="P427" s="1">
        <v>596515</v>
      </c>
      <c r="Q427" s="2">
        <v>600440</v>
      </c>
      <c r="R427" s="2">
        <v>604071</v>
      </c>
      <c r="S427" s="311">
        <v>607963</v>
      </c>
      <c r="T427" s="311">
        <v>611417</v>
      </c>
      <c r="U427" s="492">
        <v>615083</v>
      </c>
      <c r="V427" s="492">
        <v>618678</v>
      </c>
      <c r="W427" s="2"/>
      <c r="X427" s="2"/>
      <c r="Y427" s="2">
        <f t="shared" si="151"/>
        <v>1749</v>
      </c>
      <c r="Z427" s="2">
        <f t="shared" si="152"/>
        <v>3170</v>
      </c>
      <c r="AA427" s="2">
        <f t="shared" ref="AA427:AA444" si="162">IF(OR(ISBLANK(M427),ISBLANK(L427)),"",IF(AND(M427&gt;=L427,M427-L427&lt;=M427),(M427-L427)*$AK427,"!!!!"))</f>
        <v>2871</v>
      </c>
      <c r="AB427" s="2">
        <f t="shared" si="161"/>
        <v>3294</v>
      </c>
      <c r="AC427" s="2">
        <f t="shared" si="153"/>
        <v>3281</v>
      </c>
      <c r="AD427" s="2">
        <f t="shared" si="154"/>
        <v>3374</v>
      </c>
      <c r="AE427" s="2">
        <f t="shared" si="155"/>
        <v>3925</v>
      </c>
      <c r="AF427" s="2">
        <f t="shared" si="156"/>
        <v>3631</v>
      </c>
      <c r="AG427" s="2">
        <f t="shared" si="157"/>
        <v>3892</v>
      </c>
      <c r="AH427" s="2">
        <f t="shared" si="158"/>
        <v>3454</v>
      </c>
      <c r="AI427" s="2">
        <f t="shared" si="159"/>
        <v>3666</v>
      </c>
      <c r="AJ427" s="2">
        <f t="shared" si="160"/>
        <v>3595</v>
      </c>
      <c r="AK427" s="406">
        <v>1</v>
      </c>
      <c r="AL427" s="274">
        <f t="shared" ca="1" si="145"/>
        <v>589860</v>
      </c>
      <c r="AM427" s="311">
        <f t="shared" ca="1" si="146"/>
        <v>593141</v>
      </c>
      <c r="AN427" s="274">
        <f ca="1">IF(AND(Tabla7[[#This Row],[UltLec]]&lt;&gt;0,Tabla7[[#This Row],[PenLect]]&lt;&gt;0),(AM427-AL427)*Tabla7[[#This Row],[RT]],"N/A")</f>
        <v>3281</v>
      </c>
      <c r="AO427" s="273" t="s">
        <v>862</v>
      </c>
      <c r="AP427" s="392" t="s">
        <v>1190</v>
      </c>
      <c r="AQ427" s="392" t="s">
        <v>1189</v>
      </c>
      <c r="AR427" s="407">
        <f t="shared" si="147"/>
        <v>0</v>
      </c>
      <c r="AT427" s="2">
        <f t="shared" ca="1" si="148"/>
        <v>0.99605343047966</v>
      </c>
      <c r="AV427">
        <f>IF(ISBLANK(Tabla7[[#This Row],[31/12/2017]]),0,Tabla7[[#This Row],[31/12/2017]])</f>
        <v>578776</v>
      </c>
      <c r="AW427">
        <f>IF(ISBLANK(Tabla7[[#This Row],[15/01/2018]]),0,Tabla7[[#This Row],[15/01/2018]])</f>
        <v>580525</v>
      </c>
      <c r="AX427">
        <f>IF(ISBLANK(Tabla7[[#This Row],[15/02/2018]]),0,Tabla7[[#This Row],[15/02/2018]])</f>
        <v>583695</v>
      </c>
      <c r="AY427">
        <f>IF(ISBLANK(Tabla7[[#This Row],[15/03/2018]]),0,Tabla7[[#This Row],[15/03/2018]])</f>
        <v>586566</v>
      </c>
      <c r="AZ427">
        <f>IF(ISBLANK(Tabla7[[#This Row],[15/04/2018]]),0,Tabla7[[#This Row],[15/04/2018]])</f>
        <v>589860</v>
      </c>
      <c r="BA427">
        <f>IF(ISBLANK(Tabla7[[#This Row],[15/05/2018]]),0,Tabla7[[#This Row],[15/05/2018]])</f>
        <v>593141</v>
      </c>
      <c r="BB427">
        <f>IF(ISBLANK(Tabla7[[#This Row],[15/06/2018]]),0,Tabla7[[#This Row],[15/06/2018]])</f>
        <v>596515</v>
      </c>
      <c r="BC427">
        <f>IF(ISBLANK(Tabla7[[#This Row],[15/07/2018]]),0,Tabla7[[#This Row],[15/07/2018]])</f>
        <v>600440</v>
      </c>
      <c r="BD427">
        <f>IF(ISBLANK(Tabla7[[#This Row],[15/08/2018]]),0,Tabla7[[#This Row],[15/08/2018]])</f>
        <v>604071</v>
      </c>
      <c r="BE427">
        <f>IF(ISBLANK(Tabla7[[#This Row],[15/09/2018]]),0,Tabla7[[#This Row],[15/09/2018]])</f>
        <v>607963</v>
      </c>
      <c r="BF427">
        <f>IF(ISBLANK(Tabla7[[#This Row],[15/10/2018]]),0,Tabla7[[#This Row],[15/10/2018]])</f>
        <v>611417</v>
      </c>
      <c r="BG427">
        <f>IF(ISBLANK(Tabla7[[#This Row],[15/11/2018]]),0,Tabla7[[#This Row],[15/11/2018]])</f>
        <v>615083</v>
      </c>
      <c r="BH427">
        <f>IF(ISBLANK(Tabla7[[#This Row],[15/12/2018]]),0,Tabla7[[#This Row],[15/12/2018]])</f>
        <v>618678</v>
      </c>
      <c r="BI427">
        <f>IF(ISBLANK(Tabla7[[#This Row],[28/12/2018]]),0,Tabla7[[#This Row],[28/12/2018]])</f>
        <v>0</v>
      </c>
      <c r="BN42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('LW00042440','V','VCT45','39131','VODAFONE ESPAÑA','EN CENTRALIZACION (5)','','');</v>
      </c>
      <c r="BO427" t="s">
        <v>243</v>
      </c>
      <c r="BP427" s="632" t="str">
        <f>CONCATENATE("insert into lecturas values ","('",Tabla7[[#This Row],[CONTADOR]],"',STR_TO_DATE('",Tabla7[[#Headers],[31/12/2017]],"','%d/%m/%Y'),",AV427,"),","('",Tabla7[[#This Row],[CONTADOR]],"',STR_TO_DATE('",Tabla7[[#Headers],[15/01/2018]],"','%d/%m/%Y'),",AW427,"),","('",Tabla7[[#This Row],[CONTADOR]],"',STR_TO_DATE('",Tabla7[[#Headers],[15/02/2018]],"','%d/%m/%Y'),",AX427,"),","('",Tabla7[[#This Row],[CONTADOR]],"',STR_TO_DATE('",Tabla7[[#Headers],[15/03/2018]],"','%d/%m/%Y'),",AY427,"),","('",Tabla7[[#This Row],[CONTADOR]],"',STR_TO_DATE('",Tabla7[[#Headers],[15/04/2018]],"','%d/%m/%Y'),",AZ427,"),","('",Tabla7[[#This Row],[CONTADOR]],"',STR_TO_DATE('",Tabla7[[#Headers],[15/05/2018]],"','%d/%m/%Y'),",BA427,"),","('",Tabla7[[#This Row],[CONTADOR]],"',STR_TO_DATE('",Tabla7[[#Headers],[15/06/2018]],"','%d/%m/%Y'),",BB427,"),","('",Tabla7[[#This Row],[CONTADOR]],"',STR_TO_DATE('",Tabla7[[#Headers],[15/07/2018]],"','%d/%m/%Y'),",BC427,"),","('",Tabla7[[#This Row],[CONTADOR]],"',STR_TO_DATE('",Tabla7[[#Headers],[15/08/2018]],"','%d/%m/%Y'),",BD427,"),","('",Tabla7[[#This Row],[CONTADOR]],"',STR_TO_DATE('",Tabla7[[#Headers],[15/09/2018]],"','%d/%m/%Y'),",BE427,"),","('",Tabla7[[#This Row],[CONTADOR]],"',STR_TO_DATE('",Tabla7[[#Headers],[15/10/2018]],"','%d/%m/%Y'),",BF427,"),","('",Tabla7[[#This Row],[CONTADOR]],"',STR_TO_DATE('",Tabla7[[#Headers],[15/11/2018]],"','%d/%m/%Y'),",BG427,"),","('",Tabla7[[#This Row],[CONTADOR]],"',STR_TO_DATE('",Tabla7[[#Headers],[15/12/2018]],"','%d/%m/%Y'),",BH427,");")</f>
        <v>insert into lecturas values ('LW00042440',STR_TO_DATE('31/12/2017','%d/%m/%Y'),578776),('LW00042440',STR_TO_DATE('15/01/2018','%d/%m/%Y'),580525),('LW00042440',STR_TO_DATE('15/02/2018','%d/%m/%Y'),583695),('LW00042440',STR_TO_DATE('15/03/2018','%d/%m/%Y'),586566),('LW00042440',STR_TO_DATE('15/04/2018','%d/%m/%Y'),589860),('LW00042440',STR_TO_DATE('15/05/2018','%d/%m/%Y'),593141),('LW00042440',STR_TO_DATE('15/06/2018','%d/%m/%Y'),596515),('LW00042440',STR_TO_DATE('15/07/2018','%d/%m/%Y'),600440),('LW00042440',STR_TO_DATE('15/08/2018','%d/%m/%Y'),604071),('LW00042440',STR_TO_DATE('15/09/2018','%d/%m/%Y'),607963),('LW00042440',STR_TO_DATE('15/10/2018','%d/%m/%Y'),611417),('LW00042440',STR_TO_DATE('15/11/2018','%d/%m/%Y'),615083),('LW00042440',STR_TO_DATE('15/12/2018','%d/%m/%Y'),618678);</v>
      </c>
    </row>
    <row r="428" spans="1:68" ht="18" customHeight="1" x14ac:dyDescent="0.25">
      <c r="A428" s="241" t="s">
        <v>19</v>
      </c>
      <c r="B428" s="60"/>
      <c r="C428" s="342" t="s">
        <v>696</v>
      </c>
      <c r="D428" s="60" t="s">
        <v>288</v>
      </c>
      <c r="E428" s="258">
        <v>140</v>
      </c>
      <c r="F428" s="274" t="s">
        <v>747</v>
      </c>
      <c r="G428" s="274" t="s">
        <v>987</v>
      </c>
      <c r="H428" s="2"/>
      <c r="I428" s="2"/>
      <c r="J428" s="2">
        <v>86923</v>
      </c>
      <c r="K428" s="274">
        <v>87080</v>
      </c>
      <c r="L428" s="2">
        <v>87370</v>
      </c>
      <c r="M428" s="311">
        <v>87620</v>
      </c>
      <c r="N428" s="311">
        <v>87879</v>
      </c>
      <c r="O428" s="311">
        <v>88177</v>
      </c>
      <c r="P428" s="1">
        <v>88512</v>
      </c>
      <c r="Q428" s="2">
        <v>88910</v>
      </c>
      <c r="R428" s="274">
        <v>89318</v>
      </c>
      <c r="S428" s="311">
        <v>89733</v>
      </c>
      <c r="T428" s="311">
        <v>90094</v>
      </c>
      <c r="U428" s="492">
        <v>90447</v>
      </c>
      <c r="V428" s="492">
        <v>90767</v>
      </c>
      <c r="W428" s="2"/>
      <c r="X428" s="2"/>
      <c r="Y428" s="2">
        <f t="shared" si="151"/>
        <v>157</v>
      </c>
      <c r="Z428" s="2">
        <f t="shared" si="152"/>
        <v>290</v>
      </c>
      <c r="AA428" s="2">
        <f t="shared" si="162"/>
        <v>250</v>
      </c>
      <c r="AB428" s="2">
        <f t="shared" si="161"/>
        <v>259</v>
      </c>
      <c r="AC428" s="2">
        <f t="shared" si="153"/>
        <v>298</v>
      </c>
      <c r="AD428" s="2">
        <f t="shared" si="154"/>
        <v>335</v>
      </c>
      <c r="AE428" s="2">
        <f t="shared" si="155"/>
        <v>398</v>
      </c>
      <c r="AF428" s="2">
        <f t="shared" si="156"/>
        <v>408</v>
      </c>
      <c r="AG428" s="2">
        <f t="shared" si="157"/>
        <v>415</v>
      </c>
      <c r="AH428" s="2">
        <f t="shared" si="158"/>
        <v>361</v>
      </c>
      <c r="AI428" s="2">
        <f t="shared" si="159"/>
        <v>353</v>
      </c>
      <c r="AJ428" s="2">
        <f t="shared" si="160"/>
        <v>320</v>
      </c>
      <c r="AK428" s="406">
        <v>1</v>
      </c>
      <c r="AL428" s="274">
        <f t="shared" ca="1" si="145"/>
        <v>87879</v>
      </c>
      <c r="AM428" s="311">
        <f t="shared" ca="1" si="146"/>
        <v>88177</v>
      </c>
      <c r="AN428" s="274">
        <f ca="1">IF(AND(Tabla7[[#This Row],[UltLec]]&lt;&gt;0,Tabla7[[#This Row],[PenLect]]&lt;&gt;0),(AM428-AL428)*Tabla7[[#This Row],[RT]],"N/A")</f>
        <v>298</v>
      </c>
      <c r="AO428" s="273" t="s">
        <v>862</v>
      </c>
      <c r="AP428" s="392" t="s">
        <v>1190</v>
      </c>
      <c r="AQ428" s="392" t="s">
        <v>1189</v>
      </c>
      <c r="AR428" s="407">
        <f t="shared" si="147"/>
        <v>0</v>
      </c>
      <c r="AT428" s="2">
        <f t="shared" ca="1" si="148"/>
        <v>1.1505791505791505</v>
      </c>
      <c r="AV428">
        <f>IF(ISBLANK(Tabla7[[#This Row],[31/12/2017]]),0,Tabla7[[#This Row],[31/12/2017]])</f>
        <v>86923</v>
      </c>
      <c r="AW428">
        <f>IF(ISBLANK(Tabla7[[#This Row],[15/01/2018]]),0,Tabla7[[#This Row],[15/01/2018]])</f>
        <v>87080</v>
      </c>
      <c r="AX428">
        <f>IF(ISBLANK(Tabla7[[#This Row],[15/02/2018]]),0,Tabla7[[#This Row],[15/02/2018]])</f>
        <v>87370</v>
      </c>
      <c r="AY428">
        <f>IF(ISBLANK(Tabla7[[#This Row],[15/03/2018]]),0,Tabla7[[#This Row],[15/03/2018]])</f>
        <v>87620</v>
      </c>
      <c r="AZ428">
        <f>IF(ISBLANK(Tabla7[[#This Row],[15/04/2018]]),0,Tabla7[[#This Row],[15/04/2018]])</f>
        <v>87879</v>
      </c>
      <c r="BA428">
        <f>IF(ISBLANK(Tabla7[[#This Row],[15/05/2018]]),0,Tabla7[[#This Row],[15/05/2018]])</f>
        <v>88177</v>
      </c>
      <c r="BB428">
        <f>IF(ISBLANK(Tabla7[[#This Row],[15/06/2018]]),0,Tabla7[[#This Row],[15/06/2018]])</f>
        <v>88512</v>
      </c>
      <c r="BC428">
        <f>IF(ISBLANK(Tabla7[[#This Row],[15/07/2018]]),0,Tabla7[[#This Row],[15/07/2018]])</f>
        <v>88910</v>
      </c>
      <c r="BD428">
        <f>IF(ISBLANK(Tabla7[[#This Row],[15/08/2018]]),0,Tabla7[[#This Row],[15/08/2018]])</f>
        <v>89318</v>
      </c>
      <c r="BE428">
        <f>IF(ISBLANK(Tabla7[[#This Row],[15/09/2018]]),0,Tabla7[[#This Row],[15/09/2018]])</f>
        <v>89733</v>
      </c>
      <c r="BF428">
        <f>IF(ISBLANK(Tabla7[[#This Row],[15/10/2018]]),0,Tabla7[[#This Row],[15/10/2018]])</f>
        <v>90094</v>
      </c>
      <c r="BG428">
        <f>IF(ISBLANK(Tabla7[[#This Row],[15/11/2018]]),0,Tabla7[[#This Row],[15/11/2018]])</f>
        <v>90447</v>
      </c>
      <c r="BH428">
        <f>IF(ISBLANK(Tabla7[[#This Row],[15/12/2018]]),0,Tabla7[[#This Row],[15/12/2018]])</f>
        <v>90767</v>
      </c>
      <c r="BI428">
        <f>IF(ISBLANK(Tabla7[[#This Row],[28/12/2018]]),0,Tabla7[[#This Row],[28/12/2018]])</f>
        <v>0</v>
      </c>
      <c r="BN42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('LW00043120','V','VCT45','140','APV RACK','EN CENTRALIZACION (7)','','');</v>
      </c>
      <c r="BO428" t="s">
        <v>243</v>
      </c>
      <c r="BP428" s="632" t="str">
        <f>CONCATENATE("insert into lecturas values ","('",Tabla7[[#This Row],[CONTADOR]],"',STR_TO_DATE('",Tabla7[[#Headers],[31/12/2017]],"','%d/%m/%Y'),",AV428,"),","('",Tabla7[[#This Row],[CONTADOR]],"',STR_TO_DATE('",Tabla7[[#Headers],[15/01/2018]],"','%d/%m/%Y'),",AW428,"),","('",Tabla7[[#This Row],[CONTADOR]],"',STR_TO_DATE('",Tabla7[[#Headers],[15/02/2018]],"','%d/%m/%Y'),",AX428,"),","('",Tabla7[[#This Row],[CONTADOR]],"',STR_TO_DATE('",Tabla7[[#Headers],[15/03/2018]],"','%d/%m/%Y'),",AY428,"),","('",Tabla7[[#This Row],[CONTADOR]],"',STR_TO_DATE('",Tabla7[[#Headers],[15/04/2018]],"','%d/%m/%Y'),",AZ428,"),","('",Tabla7[[#This Row],[CONTADOR]],"',STR_TO_DATE('",Tabla7[[#Headers],[15/05/2018]],"','%d/%m/%Y'),",BA428,"),","('",Tabla7[[#This Row],[CONTADOR]],"',STR_TO_DATE('",Tabla7[[#Headers],[15/06/2018]],"','%d/%m/%Y'),",BB428,"),","('",Tabla7[[#This Row],[CONTADOR]],"',STR_TO_DATE('",Tabla7[[#Headers],[15/07/2018]],"','%d/%m/%Y'),",BC428,"),","('",Tabla7[[#This Row],[CONTADOR]],"',STR_TO_DATE('",Tabla7[[#Headers],[15/08/2018]],"','%d/%m/%Y'),",BD428,"),","('",Tabla7[[#This Row],[CONTADOR]],"',STR_TO_DATE('",Tabla7[[#Headers],[15/09/2018]],"','%d/%m/%Y'),",BE428,"),","('",Tabla7[[#This Row],[CONTADOR]],"',STR_TO_DATE('",Tabla7[[#Headers],[15/10/2018]],"','%d/%m/%Y'),",BF428,"),","('",Tabla7[[#This Row],[CONTADOR]],"',STR_TO_DATE('",Tabla7[[#Headers],[15/11/2018]],"','%d/%m/%Y'),",BG428,"),","('",Tabla7[[#This Row],[CONTADOR]],"',STR_TO_DATE('",Tabla7[[#Headers],[15/12/2018]],"','%d/%m/%Y'),",BH428,");")</f>
        <v>insert into lecturas values ('LW00043120',STR_TO_DATE('31/12/2017','%d/%m/%Y'),86923),('LW00043120',STR_TO_DATE('15/01/2018','%d/%m/%Y'),87080),('LW00043120',STR_TO_DATE('15/02/2018','%d/%m/%Y'),87370),('LW00043120',STR_TO_DATE('15/03/2018','%d/%m/%Y'),87620),('LW00043120',STR_TO_DATE('15/04/2018','%d/%m/%Y'),87879),('LW00043120',STR_TO_DATE('15/05/2018','%d/%m/%Y'),88177),('LW00043120',STR_TO_DATE('15/06/2018','%d/%m/%Y'),88512),('LW00043120',STR_TO_DATE('15/07/2018','%d/%m/%Y'),88910),('LW00043120',STR_TO_DATE('15/08/2018','%d/%m/%Y'),89318),('LW00043120',STR_TO_DATE('15/09/2018','%d/%m/%Y'),89733),('LW00043120',STR_TO_DATE('15/10/2018','%d/%m/%Y'),90094),('LW00043120',STR_TO_DATE('15/11/2018','%d/%m/%Y'),90447),('LW00043120',STR_TO_DATE('15/12/2018','%d/%m/%Y'),90767);</v>
      </c>
    </row>
    <row r="429" spans="1:68" ht="18" customHeight="1" x14ac:dyDescent="0.25">
      <c r="A429" s="241" t="s">
        <v>19</v>
      </c>
      <c r="B429" s="60"/>
      <c r="C429" s="342" t="s">
        <v>968</v>
      </c>
      <c r="D429" s="60" t="s">
        <v>288</v>
      </c>
      <c r="E429" s="258">
        <v>140</v>
      </c>
      <c r="F429" s="274" t="s">
        <v>969</v>
      </c>
      <c r="G429" s="274" t="s">
        <v>984</v>
      </c>
      <c r="H429" s="2" t="s">
        <v>970</v>
      </c>
      <c r="I429" s="2"/>
      <c r="J429" s="2">
        <v>213744</v>
      </c>
      <c r="K429" s="274">
        <v>214067</v>
      </c>
      <c r="L429" s="2">
        <v>214695</v>
      </c>
      <c r="M429" s="311">
        <v>215414</v>
      </c>
      <c r="N429" s="311">
        <v>215414</v>
      </c>
      <c r="O429" s="311">
        <v>216553</v>
      </c>
      <c r="P429" s="1">
        <v>217237</v>
      </c>
      <c r="Q429" s="2">
        <v>217859</v>
      </c>
      <c r="R429" s="274">
        <v>218514</v>
      </c>
      <c r="S429" s="311">
        <v>219366</v>
      </c>
      <c r="T429" s="311">
        <v>220536</v>
      </c>
      <c r="U429" s="492">
        <v>222552</v>
      </c>
      <c r="V429" s="492">
        <v>223967</v>
      </c>
      <c r="W429" s="2"/>
      <c r="X429" s="2"/>
      <c r="Y429" s="2">
        <f t="shared" si="151"/>
        <v>323</v>
      </c>
      <c r="Z429" s="2">
        <f t="shared" si="152"/>
        <v>628</v>
      </c>
      <c r="AA429" s="2">
        <f t="shared" si="162"/>
        <v>719</v>
      </c>
      <c r="AB429" s="2">
        <f t="shared" si="161"/>
        <v>0</v>
      </c>
      <c r="AC429" s="2">
        <f t="shared" si="153"/>
        <v>1139</v>
      </c>
      <c r="AD429" s="2">
        <f t="shared" si="154"/>
        <v>684</v>
      </c>
      <c r="AE429" s="2">
        <f t="shared" si="155"/>
        <v>622</v>
      </c>
      <c r="AF429" s="2">
        <f t="shared" si="156"/>
        <v>655</v>
      </c>
      <c r="AG429" s="2">
        <f t="shared" si="157"/>
        <v>852</v>
      </c>
      <c r="AH429" s="2">
        <f t="shared" si="158"/>
        <v>1170</v>
      </c>
      <c r="AI429" s="2">
        <f t="shared" si="159"/>
        <v>2016</v>
      </c>
      <c r="AJ429" s="2">
        <f t="shared" si="160"/>
        <v>1415</v>
      </c>
      <c r="AK429" s="406">
        <v>1</v>
      </c>
      <c r="AL429" s="412">
        <f t="shared" ca="1" si="145"/>
        <v>215414</v>
      </c>
      <c r="AM429" s="311">
        <f t="shared" ca="1" si="146"/>
        <v>216553</v>
      </c>
      <c r="AN429" s="274">
        <f ca="1">IF(AND(Tabla7[[#This Row],[UltLec]]&lt;&gt;0,Tabla7[[#This Row],[PenLect]]&lt;&gt;0),(AM429-AL429)*Tabla7[[#This Row],[RT]],"N/A")</f>
        <v>1139</v>
      </c>
      <c r="AO429" s="273" t="s">
        <v>862</v>
      </c>
      <c r="AP429" s="392" t="s">
        <v>1190</v>
      </c>
      <c r="AQ429" s="392" t="s">
        <v>1189</v>
      </c>
      <c r="AR429" s="407">
        <f t="shared" si="147"/>
        <v>0</v>
      </c>
      <c r="AT429" s="2" t="str">
        <f t="shared" ca="1" si="148"/>
        <v>0</v>
      </c>
      <c r="AV429">
        <f>IF(ISBLANK(Tabla7[[#This Row],[31/12/2017]]),0,Tabla7[[#This Row],[31/12/2017]])</f>
        <v>213744</v>
      </c>
      <c r="AW429">
        <f>IF(ISBLANK(Tabla7[[#This Row],[15/01/2018]]),0,Tabla7[[#This Row],[15/01/2018]])</f>
        <v>214067</v>
      </c>
      <c r="AX429">
        <f>IF(ISBLANK(Tabla7[[#This Row],[15/02/2018]]),0,Tabla7[[#This Row],[15/02/2018]])</f>
        <v>214695</v>
      </c>
      <c r="AY429">
        <f>IF(ISBLANK(Tabla7[[#This Row],[15/03/2018]]),0,Tabla7[[#This Row],[15/03/2018]])</f>
        <v>215414</v>
      </c>
      <c r="AZ429">
        <f>IF(ISBLANK(Tabla7[[#This Row],[15/04/2018]]),0,Tabla7[[#This Row],[15/04/2018]])</f>
        <v>215414</v>
      </c>
      <c r="BA429">
        <f>IF(ISBLANK(Tabla7[[#This Row],[15/05/2018]]),0,Tabla7[[#This Row],[15/05/2018]])</f>
        <v>216553</v>
      </c>
      <c r="BB429">
        <f>IF(ISBLANK(Tabla7[[#This Row],[15/06/2018]]),0,Tabla7[[#This Row],[15/06/2018]])</f>
        <v>217237</v>
      </c>
      <c r="BC429">
        <f>IF(ISBLANK(Tabla7[[#This Row],[15/07/2018]]),0,Tabla7[[#This Row],[15/07/2018]])</f>
        <v>217859</v>
      </c>
      <c r="BD429">
        <f>IF(ISBLANK(Tabla7[[#This Row],[15/08/2018]]),0,Tabla7[[#This Row],[15/08/2018]])</f>
        <v>218514</v>
      </c>
      <c r="BE429">
        <f>IF(ISBLANK(Tabla7[[#This Row],[15/09/2018]]),0,Tabla7[[#This Row],[15/09/2018]])</f>
        <v>219366</v>
      </c>
      <c r="BF429">
        <f>IF(ISBLANK(Tabla7[[#This Row],[15/10/2018]]),0,Tabla7[[#This Row],[15/10/2018]])</f>
        <v>220536</v>
      </c>
      <c r="BG429">
        <f>IF(ISBLANK(Tabla7[[#This Row],[15/11/2018]]),0,Tabla7[[#This Row],[15/11/2018]])</f>
        <v>222552</v>
      </c>
      <c r="BH429">
        <f>IF(ISBLANK(Tabla7[[#This Row],[15/12/2018]]),0,Tabla7[[#This Row],[15/12/2018]])</f>
        <v>223967</v>
      </c>
      <c r="BI429">
        <f>IF(ISBLANK(Tabla7[[#This Row],[28/12/2018]]),0,Tabla7[[#This Row],[28/12/2018]])</f>
        <v>0</v>
      </c>
      <c r="BN42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('LW00044275','V','VCT45','140','BOMBA POZO','EN CENTRALIZACION (6)','CUADRO ALIMENTACION FRENTE VCT45 EN HORNACINA ROTONDA','');</v>
      </c>
      <c r="BO429" t="s">
        <v>243</v>
      </c>
      <c r="BP429" s="632" t="str">
        <f>CONCATENATE("insert into lecturas values ","('",Tabla7[[#This Row],[CONTADOR]],"',STR_TO_DATE('",Tabla7[[#Headers],[31/12/2017]],"','%d/%m/%Y'),",AV429,"),","('",Tabla7[[#This Row],[CONTADOR]],"',STR_TO_DATE('",Tabla7[[#Headers],[15/01/2018]],"','%d/%m/%Y'),",AW429,"),","('",Tabla7[[#This Row],[CONTADOR]],"',STR_TO_DATE('",Tabla7[[#Headers],[15/02/2018]],"','%d/%m/%Y'),",AX429,"),","('",Tabla7[[#This Row],[CONTADOR]],"',STR_TO_DATE('",Tabla7[[#Headers],[15/03/2018]],"','%d/%m/%Y'),",AY429,"),","('",Tabla7[[#This Row],[CONTADOR]],"',STR_TO_DATE('",Tabla7[[#Headers],[15/04/2018]],"','%d/%m/%Y'),",AZ429,"),","('",Tabla7[[#This Row],[CONTADOR]],"',STR_TO_DATE('",Tabla7[[#Headers],[15/05/2018]],"','%d/%m/%Y'),",BA429,"),","('",Tabla7[[#This Row],[CONTADOR]],"',STR_TO_DATE('",Tabla7[[#Headers],[15/06/2018]],"','%d/%m/%Y'),",BB429,"),","('",Tabla7[[#This Row],[CONTADOR]],"',STR_TO_DATE('",Tabla7[[#Headers],[15/07/2018]],"','%d/%m/%Y'),",BC429,"),","('",Tabla7[[#This Row],[CONTADOR]],"',STR_TO_DATE('",Tabla7[[#Headers],[15/08/2018]],"','%d/%m/%Y'),",BD429,"),","('",Tabla7[[#This Row],[CONTADOR]],"',STR_TO_DATE('",Tabla7[[#Headers],[15/09/2018]],"','%d/%m/%Y'),",BE429,"),","('",Tabla7[[#This Row],[CONTADOR]],"',STR_TO_DATE('",Tabla7[[#Headers],[15/10/2018]],"','%d/%m/%Y'),",BF429,"),","('",Tabla7[[#This Row],[CONTADOR]],"',STR_TO_DATE('",Tabla7[[#Headers],[15/11/2018]],"','%d/%m/%Y'),",BG429,"),","('",Tabla7[[#This Row],[CONTADOR]],"',STR_TO_DATE('",Tabla7[[#Headers],[15/12/2018]],"','%d/%m/%Y'),",BH429,");")</f>
        <v>insert into lecturas values ('LW00044275',STR_TO_DATE('31/12/2017','%d/%m/%Y'),213744),('LW00044275',STR_TO_DATE('15/01/2018','%d/%m/%Y'),214067),('LW00044275',STR_TO_DATE('15/02/2018','%d/%m/%Y'),214695),('LW00044275',STR_TO_DATE('15/03/2018','%d/%m/%Y'),215414),('LW00044275',STR_TO_DATE('15/04/2018','%d/%m/%Y'),215414),('LW00044275',STR_TO_DATE('15/05/2018','%d/%m/%Y'),216553),('LW00044275',STR_TO_DATE('15/06/2018','%d/%m/%Y'),217237),('LW00044275',STR_TO_DATE('15/07/2018','%d/%m/%Y'),217859),('LW00044275',STR_TO_DATE('15/08/2018','%d/%m/%Y'),218514),('LW00044275',STR_TO_DATE('15/09/2018','%d/%m/%Y'),219366),('LW00044275',STR_TO_DATE('15/10/2018','%d/%m/%Y'),220536),('LW00044275',STR_TO_DATE('15/11/2018','%d/%m/%Y'),222552),('LW00044275',STR_TO_DATE('15/12/2018','%d/%m/%Y'),223967);</v>
      </c>
    </row>
    <row r="430" spans="1:68" ht="18" customHeight="1" x14ac:dyDescent="0.25">
      <c r="A430" s="241" t="s">
        <v>19</v>
      </c>
      <c r="B430" s="60">
        <v>910</v>
      </c>
      <c r="C430" s="342" t="s">
        <v>291</v>
      </c>
      <c r="D430" s="60" t="s">
        <v>288</v>
      </c>
      <c r="E430" s="258">
        <v>39390</v>
      </c>
      <c r="F430" s="2" t="s">
        <v>292</v>
      </c>
      <c r="G430" s="2" t="s">
        <v>985</v>
      </c>
      <c r="H430" s="2"/>
      <c r="I430" s="2"/>
      <c r="J430" s="274">
        <v>24276</v>
      </c>
      <c r="K430" s="274">
        <v>24430</v>
      </c>
      <c r="L430" s="2">
        <v>24977</v>
      </c>
      <c r="M430" s="311">
        <v>24990</v>
      </c>
      <c r="N430" s="311">
        <v>25177</v>
      </c>
      <c r="O430" s="311">
        <v>25481</v>
      </c>
      <c r="P430" s="1">
        <v>25813</v>
      </c>
      <c r="Q430" s="274">
        <v>26268</v>
      </c>
      <c r="R430" s="2">
        <v>26739</v>
      </c>
      <c r="S430" s="311">
        <v>27184</v>
      </c>
      <c r="T430" s="311">
        <v>27550</v>
      </c>
      <c r="U430" s="492">
        <v>27907</v>
      </c>
      <c r="V430" s="492">
        <v>28673</v>
      </c>
      <c r="W430" s="274"/>
      <c r="X430" s="2"/>
      <c r="Y430" s="2">
        <f t="shared" si="151"/>
        <v>154</v>
      </c>
      <c r="Z430" s="2">
        <f t="shared" si="152"/>
        <v>547</v>
      </c>
      <c r="AA430" s="2">
        <f t="shared" si="162"/>
        <v>13</v>
      </c>
      <c r="AB430" s="2">
        <f t="shared" si="161"/>
        <v>187</v>
      </c>
      <c r="AC430" s="2">
        <f t="shared" si="153"/>
        <v>304</v>
      </c>
      <c r="AD430" s="2">
        <f t="shared" si="154"/>
        <v>332</v>
      </c>
      <c r="AE430" s="2">
        <f t="shared" si="155"/>
        <v>455</v>
      </c>
      <c r="AF430" s="2">
        <f t="shared" si="156"/>
        <v>471</v>
      </c>
      <c r="AG430" s="2">
        <f t="shared" si="157"/>
        <v>445</v>
      </c>
      <c r="AH430" s="2">
        <f t="shared" si="158"/>
        <v>366</v>
      </c>
      <c r="AI430" s="2">
        <f t="shared" si="159"/>
        <v>357</v>
      </c>
      <c r="AJ430" s="2">
        <f t="shared" si="160"/>
        <v>766</v>
      </c>
      <c r="AK430" s="406">
        <v>1</v>
      </c>
      <c r="AL430" s="274">
        <f t="shared" ca="1" si="145"/>
        <v>25177</v>
      </c>
      <c r="AM430" s="311">
        <f t="shared" ca="1" si="146"/>
        <v>25481</v>
      </c>
      <c r="AN430" s="274">
        <f ca="1">IF(AND(Tabla7[[#This Row],[UltLec]]&lt;&gt;0,Tabla7[[#This Row],[PenLect]]&lt;&gt;0),(AM430-AL430)*Tabla7[[#This Row],[RT]],"N/A")</f>
        <v>304</v>
      </c>
      <c r="AO430" s="273" t="s">
        <v>862</v>
      </c>
      <c r="AP430" s="392" t="s">
        <v>1190</v>
      </c>
      <c r="AQ430" s="392" t="s">
        <v>1193</v>
      </c>
      <c r="AR430" s="407">
        <f t="shared" si="147"/>
        <v>0</v>
      </c>
      <c r="AT430" s="2">
        <f t="shared" ca="1" si="148"/>
        <v>1.625668449197861</v>
      </c>
      <c r="AV430">
        <f>IF(ISBLANK(Tabla7[[#This Row],[31/12/2017]]),0,Tabla7[[#This Row],[31/12/2017]])</f>
        <v>24276</v>
      </c>
      <c r="AW430">
        <f>IF(ISBLANK(Tabla7[[#This Row],[15/01/2018]]),0,Tabla7[[#This Row],[15/01/2018]])</f>
        <v>24430</v>
      </c>
      <c r="AX430">
        <f>IF(ISBLANK(Tabla7[[#This Row],[15/02/2018]]),0,Tabla7[[#This Row],[15/02/2018]])</f>
        <v>24977</v>
      </c>
      <c r="AY430">
        <f>IF(ISBLANK(Tabla7[[#This Row],[15/03/2018]]),0,Tabla7[[#This Row],[15/03/2018]])</f>
        <v>24990</v>
      </c>
      <c r="AZ430">
        <f>IF(ISBLANK(Tabla7[[#This Row],[15/04/2018]]),0,Tabla7[[#This Row],[15/04/2018]])</f>
        <v>25177</v>
      </c>
      <c r="BA430">
        <f>IF(ISBLANK(Tabla7[[#This Row],[15/05/2018]]),0,Tabla7[[#This Row],[15/05/2018]])</f>
        <v>25481</v>
      </c>
      <c r="BB430">
        <f>IF(ISBLANK(Tabla7[[#This Row],[15/06/2018]]),0,Tabla7[[#This Row],[15/06/2018]])</f>
        <v>25813</v>
      </c>
      <c r="BC430">
        <f>IF(ISBLANK(Tabla7[[#This Row],[15/07/2018]]),0,Tabla7[[#This Row],[15/07/2018]])</f>
        <v>26268</v>
      </c>
      <c r="BD430">
        <f>IF(ISBLANK(Tabla7[[#This Row],[15/08/2018]]),0,Tabla7[[#This Row],[15/08/2018]])</f>
        <v>26739</v>
      </c>
      <c r="BE430">
        <f>IF(ISBLANK(Tabla7[[#This Row],[15/09/2018]]),0,Tabla7[[#This Row],[15/09/2018]])</f>
        <v>27184</v>
      </c>
      <c r="BF430">
        <f>IF(ISBLANK(Tabla7[[#This Row],[15/10/2018]]),0,Tabla7[[#This Row],[15/10/2018]])</f>
        <v>27550</v>
      </c>
      <c r="BG430">
        <f>IF(ISBLANK(Tabla7[[#This Row],[15/11/2018]]),0,Tabla7[[#This Row],[15/11/2018]])</f>
        <v>27907</v>
      </c>
      <c r="BH430">
        <f>IF(ISBLANK(Tabla7[[#This Row],[15/12/2018]]),0,Tabla7[[#This Row],[15/12/2018]])</f>
        <v>28673</v>
      </c>
      <c r="BI430">
        <f>IF(ISBLANK(Tabla7[[#This Row],[28/12/2018]]),0,Tabla7[[#This Row],[28/12/2018]])</f>
        <v>0</v>
      </c>
      <c r="BN43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('LW00112982','V','VCT45','39390','SALVADOR MONTALVA MARTÍNEZ','EN CENTRALIZACION (4)','','');</v>
      </c>
      <c r="BO430" t="s">
        <v>243</v>
      </c>
      <c r="BP430" s="632" t="str">
        <f>CONCATENATE("insert into lecturas values ","('",Tabla7[[#This Row],[CONTADOR]],"',STR_TO_DATE('",Tabla7[[#Headers],[31/12/2017]],"','%d/%m/%Y'),",AV430,"),","('",Tabla7[[#This Row],[CONTADOR]],"',STR_TO_DATE('",Tabla7[[#Headers],[15/01/2018]],"','%d/%m/%Y'),",AW430,"),","('",Tabla7[[#This Row],[CONTADOR]],"',STR_TO_DATE('",Tabla7[[#Headers],[15/02/2018]],"','%d/%m/%Y'),",AX430,"),","('",Tabla7[[#This Row],[CONTADOR]],"',STR_TO_DATE('",Tabla7[[#Headers],[15/03/2018]],"','%d/%m/%Y'),",AY430,"),","('",Tabla7[[#This Row],[CONTADOR]],"',STR_TO_DATE('",Tabla7[[#Headers],[15/04/2018]],"','%d/%m/%Y'),",AZ430,"),","('",Tabla7[[#This Row],[CONTADOR]],"',STR_TO_DATE('",Tabla7[[#Headers],[15/05/2018]],"','%d/%m/%Y'),",BA430,"),","('",Tabla7[[#This Row],[CONTADOR]],"',STR_TO_DATE('",Tabla7[[#Headers],[15/06/2018]],"','%d/%m/%Y'),",BB430,"),","('",Tabla7[[#This Row],[CONTADOR]],"',STR_TO_DATE('",Tabla7[[#Headers],[15/07/2018]],"','%d/%m/%Y'),",BC430,"),","('",Tabla7[[#This Row],[CONTADOR]],"',STR_TO_DATE('",Tabla7[[#Headers],[15/08/2018]],"','%d/%m/%Y'),",BD430,"),","('",Tabla7[[#This Row],[CONTADOR]],"',STR_TO_DATE('",Tabla7[[#Headers],[15/09/2018]],"','%d/%m/%Y'),",BE430,"),","('",Tabla7[[#This Row],[CONTADOR]],"',STR_TO_DATE('",Tabla7[[#Headers],[15/10/2018]],"','%d/%m/%Y'),",BF430,"),","('",Tabla7[[#This Row],[CONTADOR]],"',STR_TO_DATE('",Tabla7[[#Headers],[15/11/2018]],"','%d/%m/%Y'),",BG430,"),","('",Tabla7[[#This Row],[CONTADOR]],"',STR_TO_DATE('",Tabla7[[#Headers],[15/12/2018]],"','%d/%m/%Y'),",BH430,");")</f>
        <v>insert into lecturas values ('LW00112982',STR_TO_DATE('31/12/2017','%d/%m/%Y'),24276),('LW00112982',STR_TO_DATE('15/01/2018','%d/%m/%Y'),24430),('LW00112982',STR_TO_DATE('15/02/2018','%d/%m/%Y'),24977),('LW00112982',STR_TO_DATE('15/03/2018','%d/%m/%Y'),24990),('LW00112982',STR_TO_DATE('15/04/2018','%d/%m/%Y'),25177),('LW00112982',STR_TO_DATE('15/05/2018','%d/%m/%Y'),25481),('LW00112982',STR_TO_DATE('15/06/2018','%d/%m/%Y'),25813),('LW00112982',STR_TO_DATE('15/07/2018','%d/%m/%Y'),26268),('LW00112982',STR_TO_DATE('15/08/2018','%d/%m/%Y'),26739),('LW00112982',STR_TO_DATE('15/09/2018','%d/%m/%Y'),27184),('LW00112982',STR_TO_DATE('15/10/2018','%d/%m/%Y'),27550),('LW00112982',STR_TO_DATE('15/11/2018','%d/%m/%Y'),27907),('LW00112982',STR_TO_DATE('15/12/2018','%d/%m/%Y'),28673);</v>
      </c>
    </row>
    <row r="431" spans="1:68" ht="18" customHeight="1" x14ac:dyDescent="0.25">
      <c r="A431" s="241" t="s">
        <v>19</v>
      </c>
      <c r="B431" s="60">
        <v>5449</v>
      </c>
      <c r="C431" s="342" t="s">
        <v>289</v>
      </c>
      <c r="D431" s="60" t="s">
        <v>288</v>
      </c>
      <c r="E431" s="258">
        <v>39006</v>
      </c>
      <c r="F431" s="2" t="s">
        <v>290</v>
      </c>
      <c r="G431" s="2" t="s">
        <v>990</v>
      </c>
      <c r="H431" s="2"/>
      <c r="I431" s="2"/>
      <c r="J431" s="2">
        <v>54790</v>
      </c>
      <c r="K431" s="274">
        <v>55272</v>
      </c>
      <c r="L431" s="2">
        <v>56389</v>
      </c>
      <c r="M431" s="311">
        <v>57120</v>
      </c>
      <c r="N431" s="311">
        <v>57615</v>
      </c>
      <c r="O431" s="311">
        <v>58006</v>
      </c>
      <c r="P431" s="1">
        <v>58477</v>
      </c>
      <c r="Q431" s="274">
        <v>59319</v>
      </c>
      <c r="R431" s="2">
        <v>60335</v>
      </c>
      <c r="S431" s="311">
        <v>61023</v>
      </c>
      <c r="T431" s="311">
        <v>61486</v>
      </c>
      <c r="U431" s="492">
        <v>62008</v>
      </c>
      <c r="V431" s="492">
        <v>62683</v>
      </c>
      <c r="W431" s="2"/>
      <c r="X431" s="2"/>
      <c r="Y431" s="2">
        <f t="shared" si="151"/>
        <v>482</v>
      </c>
      <c r="Z431" s="2">
        <f t="shared" si="152"/>
        <v>1117</v>
      </c>
      <c r="AA431" s="2">
        <f t="shared" si="162"/>
        <v>731</v>
      </c>
      <c r="AB431" s="2">
        <f t="shared" si="161"/>
        <v>495</v>
      </c>
      <c r="AC431" s="2">
        <f t="shared" si="153"/>
        <v>391</v>
      </c>
      <c r="AD431" s="2">
        <f t="shared" si="154"/>
        <v>471</v>
      </c>
      <c r="AE431" s="2">
        <f t="shared" si="155"/>
        <v>842</v>
      </c>
      <c r="AF431" s="2">
        <f t="shared" si="156"/>
        <v>1016</v>
      </c>
      <c r="AG431" s="2">
        <f t="shared" si="157"/>
        <v>688</v>
      </c>
      <c r="AH431" s="2">
        <f t="shared" si="158"/>
        <v>463</v>
      </c>
      <c r="AI431" s="2">
        <f t="shared" si="159"/>
        <v>522</v>
      </c>
      <c r="AJ431" s="2">
        <f t="shared" si="160"/>
        <v>675</v>
      </c>
      <c r="AK431" s="406">
        <v>1</v>
      </c>
      <c r="AL431" s="274">
        <f t="shared" ca="1" si="145"/>
        <v>57615</v>
      </c>
      <c r="AM431" s="311">
        <f t="shared" ca="1" si="146"/>
        <v>58006</v>
      </c>
      <c r="AN431" s="274">
        <f ca="1">IF(AND(Tabla7[[#This Row],[UltLec]]&lt;&gt;0,Tabla7[[#This Row],[PenLect]]&lt;&gt;0),(AM431-AL431)*Tabla7[[#This Row],[RT]],"N/A")</f>
        <v>391</v>
      </c>
      <c r="AO431" s="273" t="s">
        <v>862</v>
      </c>
      <c r="AP431" s="392" t="s">
        <v>1190</v>
      </c>
      <c r="AQ431" s="392" t="s">
        <v>1189</v>
      </c>
      <c r="AR431" s="407">
        <f t="shared" si="147"/>
        <v>0</v>
      </c>
      <c r="AT431" s="2">
        <f t="shared" ca="1" si="148"/>
        <v>0.78989898989898988</v>
      </c>
      <c r="AV431">
        <f>IF(ISBLANK(Tabla7[[#This Row],[31/12/2017]]),0,Tabla7[[#This Row],[31/12/2017]])</f>
        <v>54790</v>
      </c>
      <c r="AW431">
        <f>IF(ISBLANK(Tabla7[[#This Row],[15/01/2018]]),0,Tabla7[[#This Row],[15/01/2018]])</f>
        <v>55272</v>
      </c>
      <c r="AX431">
        <f>IF(ISBLANK(Tabla7[[#This Row],[15/02/2018]]),0,Tabla7[[#This Row],[15/02/2018]])</f>
        <v>56389</v>
      </c>
      <c r="AY431">
        <f>IF(ISBLANK(Tabla7[[#This Row],[15/03/2018]]),0,Tabla7[[#This Row],[15/03/2018]])</f>
        <v>57120</v>
      </c>
      <c r="AZ431">
        <f>IF(ISBLANK(Tabla7[[#This Row],[15/04/2018]]),0,Tabla7[[#This Row],[15/04/2018]])</f>
        <v>57615</v>
      </c>
      <c r="BA431">
        <f>IF(ISBLANK(Tabla7[[#This Row],[15/05/2018]]),0,Tabla7[[#This Row],[15/05/2018]])</f>
        <v>58006</v>
      </c>
      <c r="BB431">
        <f>IF(ISBLANK(Tabla7[[#This Row],[15/06/2018]]),0,Tabla7[[#This Row],[15/06/2018]])</f>
        <v>58477</v>
      </c>
      <c r="BC431">
        <f>IF(ISBLANK(Tabla7[[#This Row],[15/07/2018]]),0,Tabla7[[#This Row],[15/07/2018]])</f>
        <v>59319</v>
      </c>
      <c r="BD431">
        <f>IF(ISBLANK(Tabla7[[#This Row],[15/08/2018]]),0,Tabla7[[#This Row],[15/08/2018]])</f>
        <v>60335</v>
      </c>
      <c r="BE431">
        <f>IF(ISBLANK(Tabla7[[#This Row],[15/09/2018]]),0,Tabla7[[#This Row],[15/09/2018]])</f>
        <v>61023</v>
      </c>
      <c r="BF431">
        <f>IF(ISBLANK(Tabla7[[#This Row],[15/10/2018]]),0,Tabla7[[#This Row],[15/10/2018]])</f>
        <v>61486</v>
      </c>
      <c r="BG431">
        <f>IF(ISBLANK(Tabla7[[#This Row],[15/11/2018]]),0,Tabla7[[#This Row],[15/11/2018]])</f>
        <v>62008</v>
      </c>
      <c r="BH431">
        <f>IF(ISBLANK(Tabla7[[#This Row],[15/12/2018]]),0,Tabla7[[#This Row],[15/12/2018]])</f>
        <v>62683</v>
      </c>
      <c r="BI431">
        <f>IF(ISBLANK(Tabla7[[#This Row],[28/12/2018]]),0,Tabla7[[#This Row],[28/12/2018]])</f>
        <v>0</v>
      </c>
      <c r="BN43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('LW00181215','V','VCT45','39006','VARESER','EN CENTRALIZACION (1)','','');</v>
      </c>
      <c r="BO431" t="s">
        <v>243</v>
      </c>
      <c r="BP431" s="632" t="str">
        <f>CONCATENATE("insert into lecturas values ","('",Tabla7[[#This Row],[CONTADOR]],"',STR_TO_DATE('",Tabla7[[#Headers],[31/12/2017]],"','%d/%m/%Y'),",AV431,"),","('",Tabla7[[#This Row],[CONTADOR]],"',STR_TO_DATE('",Tabla7[[#Headers],[15/01/2018]],"','%d/%m/%Y'),",AW431,"),","('",Tabla7[[#This Row],[CONTADOR]],"',STR_TO_DATE('",Tabla7[[#Headers],[15/02/2018]],"','%d/%m/%Y'),",AX431,"),","('",Tabla7[[#This Row],[CONTADOR]],"',STR_TO_DATE('",Tabla7[[#Headers],[15/03/2018]],"','%d/%m/%Y'),",AY431,"),","('",Tabla7[[#This Row],[CONTADOR]],"',STR_TO_DATE('",Tabla7[[#Headers],[15/04/2018]],"','%d/%m/%Y'),",AZ431,"),","('",Tabla7[[#This Row],[CONTADOR]],"',STR_TO_DATE('",Tabla7[[#Headers],[15/05/2018]],"','%d/%m/%Y'),",BA431,"),","('",Tabla7[[#This Row],[CONTADOR]],"',STR_TO_DATE('",Tabla7[[#Headers],[15/06/2018]],"','%d/%m/%Y'),",BB431,"),","('",Tabla7[[#This Row],[CONTADOR]],"',STR_TO_DATE('",Tabla7[[#Headers],[15/07/2018]],"','%d/%m/%Y'),",BC431,"),","('",Tabla7[[#This Row],[CONTADOR]],"',STR_TO_DATE('",Tabla7[[#Headers],[15/08/2018]],"','%d/%m/%Y'),",BD431,"),","('",Tabla7[[#This Row],[CONTADOR]],"',STR_TO_DATE('",Tabla7[[#Headers],[15/09/2018]],"','%d/%m/%Y'),",BE431,"),","('",Tabla7[[#This Row],[CONTADOR]],"',STR_TO_DATE('",Tabla7[[#Headers],[15/10/2018]],"','%d/%m/%Y'),",BF431,"),","('",Tabla7[[#This Row],[CONTADOR]],"',STR_TO_DATE('",Tabla7[[#Headers],[15/11/2018]],"','%d/%m/%Y'),",BG431,"),","('",Tabla7[[#This Row],[CONTADOR]],"',STR_TO_DATE('",Tabla7[[#Headers],[15/12/2018]],"','%d/%m/%Y'),",BH431,");")</f>
        <v>insert into lecturas values ('LW00181215',STR_TO_DATE('31/12/2017','%d/%m/%Y'),54790),('LW00181215',STR_TO_DATE('15/01/2018','%d/%m/%Y'),55272),('LW00181215',STR_TO_DATE('15/02/2018','%d/%m/%Y'),56389),('LW00181215',STR_TO_DATE('15/03/2018','%d/%m/%Y'),57120),('LW00181215',STR_TO_DATE('15/04/2018','%d/%m/%Y'),57615),('LW00181215',STR_TO_DATE('15/05/2018','%d/%m/%Y'),58006),('LW00181215',STR_TO_DATE('15/06/2018','%d/%m/%Y'),58477),('LW00181215',STR_TO_DATE('15/07/2018','%d/%m/%Y'),59319),('LW00181215',STR_TO_DATE('15/08/2018','%d/%m/%Y'),60335),('LW00181215',STR_TO_DATE('15/09/2018','%d/%m/%Y'),61023),('LW00181215',STR_TO_DATE('15/10/2018','%d/%m/%Y'),61486),('LW00181215',STR_TO_DATE('15/11/2018','%d/%m/%Y'),62008),('LW00181215',STR_TO_DATE('15/12/2018','%d/%m/%Y'),62683);</v>
      </c>
    </row>
    <row r="432" spans="1:68" ht="18" customHeight="1" x14ac:dyDescent="0.25">
      <c r="A432" s="241" t="s">
        <v>740</v>
      </c>
      <c r="B432" s="60"/>
      <c r="C432" s="342" t="s">
        <v>1241</v>
      </c>
      <c r="D432" s="60" t="s">
        <v>288</v>
      </c>
      <c r="E432" s="258">
        <v>30000</v>
      </c>
      <c r="F432" s="2" t="s">
        <v>742</v>
      </c>
      <c r="G432" s="2"/>
      <c r="H432" s="2"/>
      <c r="I432" s="2"/>
      <c r="J432" s="2">
        <v>1074846</v>
      </c>
      <c r="K432" s="274">
        <v>1082467</v>
      </c>
      <c r="L432" s="2">
        <v>1095180</v>
      </c>
      <c r="M432" s="311">
        <v>1105892</v>
      </c>
      <c r="N432" s="311">
        <v>1116739</v>
      </c>
      <c r="O432" s="311">
        <v>1126831</v>
      </c>
      <c r="P432" s="1">
        <v>1136418</v>
      </c>
      <c r="Q432" s="2">
        <v>1147225</v>
      </c>
      <c r="R432" s="2">
        <v>1158475</v>
      </c>
      <c r="S432" s="311">
        <v>1171773</v>
      </c>
      <c r="T432" s="311">
        <v>1183151</v>
      </c>
      <c r="U432" s="492">
        <v>1197064</v>
      </c>
      <c r="V432" s="492">
        <v>746636</v>
      </c>
      <c r="W432" s="2"/>
      <c r="X432" s="2"/>
      <c r="Y432" s="2">
        <f t="shared" si="151"/>
        <v>7621</v>
      </c>
      <c r="Z432" s="2">
        <f t="shared" si="152"/>
        <v>12713</v>
      </c>
      <c r="AA432" s="2">
        <f t="shared" si="162"/>
        <v>10712</v>
      </c>
      <c r="AB432" s="2">
        <f t="shared" si="161"/>
        <v>10847</v>
      </c>
      <c r="AC432" s="2">
        <f t="shared" si="153"/>
        <v>10092</v>
      </c>
      <c r="AD432" s="2">
        <f t="shared" si="154"/>
        <v>9587</v>
      </c>
      <c r="AE432" s="2">
        <f t="shared" si="155"/>
        <v>10807</v>
      </c>
      <c r="AF432" s="2">
        <f t="shared" si="156"/>
        <v>11250</v>
      </c>
      <c r="AG432" s="2">
        <f t="shared" si="157"/>
        <v>13298</v>
      </c>
      <c r="AH432" s="2">
        <f t="shared" si="158"/>
        <v>11378</v>
      </c>
      <c r="AI432" s="2">
        <f t="shared" si="159"/>
        <v>13913</v>
      </c>
      <c r="AJ432" s="2" t="str">
        <f t="shared" si="160"/>
        <v>!!!!</v>
      </c>
      <c r="AK432" s="406">
        <v>1</v>
      </c>
      <c r="AL432" s="274">
        <f t="shared" ca="1" si="145"/>
        <v>1116739</v>
      </c>
      <c r="AM432" s="311">
        <f t="shared" ca="1" si="146"/>
        <v>1126831</v>
      </c>
      <c r="AN432" s="274">
        <f ca="1">IF(AND(Tabla7[[#This Row],[UltLec]]&lt;&gt;0,Tabla7[[#This Row],[PenLect]]&lt;&gt;0),(AM432-AL432)*Tabla7[[#This Row],[RT]],"N/A")</f>
        <v>10092</v>
      </c>
      <c r="AO432" s="273" t="s">
        <v>862</v>
      </c>
      <c r="AP432" s="392" t="s">
        <v>1191</v>
      </c>
      <c r="AQ432" s="392" t="s">
        <v>818</v>
      </c>
      <c r="AR432" s="407">
        <f t="shared" si="147"/>
        <v>1</v>
      </c>
      <c r="AT432" s="2">
        <f t="shared" ca="1" si="148"/>
        <v>0.93039550106020097</v>
      </c>
      <c r="AV432">
        <f>IF(ISBLANK(Tabla7[[#This Row],[31/12/2017]]),0,Tabla7[[#This Row],[31/12/2017]])</f>
        <v>1074846</v>
      </c>
      <c r="AW432">
        <f>IF(ISBLANK(Tabla7[[#This Row],[15/01/2018]]),0,Tabla7[[#This Row],[15/01/2018]])</f>
        <v>1082467</v>
      </c>
      <c r="AX432">
        <f>IF(ISBLANK(Tabla7[[#This Row],[15/02/2018]]),0,Tabla7[[#This Row],[15/02/2018]])</f>
        <v>1095180</v>
      </c>
      <c r="AY432">
        <f>IF(ISBLANK(Tabla7[[#This Row],[15/03/2018]]),0,Tabla7[[#This Row],[15/03/2018]])</f>
        <v>1105892</v>
      </c>
      <c r="AZ432">
        <f>IF(ISBLANK(Tabla7[[#This Row],[15/04/2018]]),0,Tabla7[[#This Row],[15/04/2018]])</f>
        <v>1116739</v>
      </c>
      <c r="BA432">
        <f>IF(ISBLANK(Tabla7[[#This Row],[15/05/2018]]),0,Tabla7[[#This Row],[15/05/2018]])</f>
        <v>1126831</v>
      </c>
      <c r="BB432">
        <f>IF(ISBLANK(Tabla7[[#This Row],[15/06/2018]]),0,Tabla7[[#This Row],[15/06/2018]])</f>
        <v>1136418</v>
      </c>
      <c r="BC432">
        <f>IF(ISBLANK(Tabla7[[#This Row],[15/07/2018]]),0,Tabla7[[#This Row],[15/07/2018]])</f>
        <v>1147225</v>
      </c>
      <c r="BD432">
        <f>IF(ISBLANK(Tabla7[[#This Row],[15/08/2018]]),0,Tabla7[[#This Row],[15/08/2018]])</f>
        <v>1158475</v>
      </c>
      <c r="BE432">
        <f>IF(ISBLANK(Tabla7[[#This Row],[15/09/2018]]),0,Tabla7[[#This Row],[15/09/2018]])</f>
        <v>1171773</v>
      </c>
      <c r="BF432">
        <f>IF(ISBLANK(Tabla7[[#This Row],[15/10/2018]]),0,Tabla7[[#This Row],[15/10/2018]])</f>
        <v>1183151</v>
      </c>
      <c r="BG432">
        <f>IF(ISBLANK(Tabla7[[#This Row],[15/11/2018]]),0,Tabla7[[#This Row],[15/11/2018]])</f>
        <v>1197064</v>
      </c>
      <c r="BH432">
        <f>IF(ISBLANK(Tabla7[[#This Row],[15/12/2018]]),0,Tabla7[[#This Row],[15/12/2018]])</f>
        <v>746636</v>
      </c>
      <c r="BI432">
        <f>IF(ISBLANK(Tabla7[[#This Row],[28/12/2018]]),0,Tabla7[[#This Row],[28/12/2018]])</f>
        <v>0</v>
      </c>
      <c r="BN43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('PM43F201AF','VTOT','VCT45','30000','TOTALIZADOR','','','');</v>
      </c>
      <c r="BO432" t="s">
        <v>243</v>
      </c>
      <c r="BP432" s="632" t="str">
        <f>CONCATENATE("insert into lecturas values ","('",Tabla7[[#This Row],[CONTADOR]],"',STR_TO_DATE('",Tabla7[[#Headers],[31/12/2017]],"','%d/%m/%Y'),",AV432,"),","('",Tabla7[[#This Row],[CONTADOR]],"',STR_TO_DATE('",Tabla7[[#Headers],[15/01/2018]],"','%d/%m/%Y'),",AW432,"),","('",Tabla7[[#This Row],[CONTADOR]],"',STR_TO_DATE('",Tabla7[[#Headers],[15/02/2018]],"','%d/%m/%Y'),",AX432,"),","('",Tabla7[[#This Row],[CONTADOR]],"',STR_TO_DATE('",Tabla7[[#Headers],[15/03/2018]],"','%d/%m/%Y'),",AY432,"),","('",Tabla7[[#This Row],[CONTADOR]],"',STR_TO_DATE('",Tabla7[[#Headers],[15/04/2018]],"','%d/%m/%Y'),",AZ432,"),","('",Tabla7[[#This Row],[CONTADOR]],"',STR_TO_DATE('",Tabla7[[#Headers],[15/05/2018]],"','%d/%m/%Y'),",BA432,"),","('",Tabla7[[#This Row],[CONTADOR]],"',STR_TO_DATE('",Tabla7[[#Headers],[15/06/2018]],"','%d/%m/%Y'),",BB432,"),","('",Tabla7[[#This Row],[CONTADOR]],"',STR_TO_DATE('",Tabla7[[#Headers],[15/07/2018]],"','%d/%m/%Y'),",BC432,"),","('",Tabla7[[#This Row],[CONTADOR]],"',STR_TO_DATE('",Tabla7[[#Headers],[15/08/2018]],"','%d/%m/%Y'),",BD432,"),","('",Tabla7[[#This Row],[CONTADOR]],"',STR_TO_DATE('",Tabla7[[#Headers],[15/09/2018]],"','%d/%m/%Y'),",BE432,"),","('",Tabla7[[#This Row],[CONTADOR]],"',STR_TO_DATE('",Tabla7[[#Headers],[15/10/2018]],"','%d/%m/%Y'),",BF432,"),","('",Tabla7[[#This Row],[CONTADOR]],"',STR_TO_DATE('",Tabla7[[#Headers],[15/11/2018]],"','%d/%m/%Y'),",BG432,"),","('",Tabla7[[#This Row],[CONTADOR]],"',STR_TO_DATE('",Tabla7[[#Headers],[15/12/2018]],"','%d/%m/%Y'),",BH432,");")</f>
        <v>insert into lecturas values ('PM43F201AF',STR_TO_DATE('31/12/2017','%d/%m/%Y'),1074846),('PM43F201AF',STR_TO_DATE('15/01/2018','%d/%m/%Y'),1082467),('PM43F201AF',STR_TO_DATE('15/02/2018','%d/%m/%Y'),1095180),('PM43F201AF',STR_TO_DATE('15/03/2018','%d/%m/%Y'),1105892),('PM43F201AF',STR_TO_DATE('15/04/2018','%d/%m/%Y'),1116739),('PM43F201AF',STR_TO_DATE('15/05/2018','%d/%m/%Y'),1126831),('PM43F201AF',STR_TO_DATE('15/06/2018','%d/%m/%Y'),1136418),('PM43F201AF',STR_TO_DATE('15/07/2018','%d/%m/%Y'),1147225),('PM43F201AF',STR_TO_DATE('15/08/2018','%d/%m/%Y'),1158475),('PM43F201AF',STR_TO_DATE('15/09/2018','%d/%m/%Y'),1171773),('PM43F201AF',STR_TO_DATE('15/10/2018','%d/%m/%Y'),1183151),('PM43F201AF',STR_TO_DATE('15/11/2018','%d/%m/%Y'),1197064),('PM43F201AF',STR_TO_DATE('15/12/2018','%d/%m/%Y'),746636);</v>
      </c>
    </row>
    <row r="433" spans="1:68" ht="18" customHeight="1" x14ac:dyDescent="0.25">
      <c r="A433" s="241" t="s">
        <v>19</v>
      </c>
      <c r="B433" s="60"/>
      <c r="C433" s="342" t="s">
        <v>1258</v>
      </c>
      <c r="D433" s="60" t="s">
        <v>288</v>
      </c>
      <c r="E433" s="258">
        <v>131</v>
      </c>
      <c r="F433" s="2" t="s">
        <v>455</v>
      </c>
      <c r="G433" s="2" t="s">
        <v>47</v>
      </c>
      <c r="H433" s="2"/>
      <c r="I433" s="2" t="s">
        <v>1058</v>
      </c>
      <c r="J433" s="2">
        <v>449304</v>
      </c>
      <c r="K433" s="311">
        <v>453315</v>
      </c>
      <c r="L433" s="311">
        <v>460134</v>
      </c>
      <c r="M433" s="311">
        <v>465155</v>
      </c>
      <c r="N433" s="311">
        <v>470408</v>
      </c>
      <c r="O433" s="311">
        <v>475050</v>
      </c>
      <c r="P433" s="1">
        <v>479121</v>
      </c>
      <c r="Q433" s="2">
        <v>483282</v>
      </c>
      <c r="R433" s="2">
        <v>487406</v>
      </c>
      <c r="S433" s="311">
        <v>492504</v>
      </c>
      <c r="T433" s="311">
        <v>497670</v>
      </c>
      <c r="U433" s="492">
        <v>504098</v>
      </c>
      <c r="V433" s="492">
        <v>510984</v>
      </c>
      <c r="W433" s="2"/>
      <c r="X433" s="2"/>
      <c r="Y433" s="2">
        <f t="shared" si="151"/>
        <v>4011</v>
      </c>
      <c r="Z433" s="2">
        <f t="shared" si="152"/>
        <v>6819</v>
      </c>
      <c r="AA433" s="2">
        <f t="shared" si="162"/>
        <v>5021</v>
      </c>
      <c r="AB433" s="2">
        <f t="shared" si="161"/>
        <v>5253</v>
      </c>
      <c r="AC433" s="2">
        <f t="shared" si="153"/>
        <v>4642</v>
      </c>
      <c r="AD433" s="2">
        <f t="shared" si="154"/>
        <v>4071</v>
      </c>
      <c r="AE433" s="2">
        <f t="shared" si="155"/>
        <v>4161</v>
      </c>
      <c r="AF433" s="2">
        <f t="shared" si="156"/>
        <v>4124</v>
      </c>
      <c r="AG433" s="2">
        <f t="shared" si="157"/>
        <v>5098</v>
      </c>
      <c r="AH433" s="2">
        <f t="shared" si="158"/>
        <v>5166</v>
      </c>
      <c r="AI433" s="2">
        <f t="shared" si="159"/>
        <v>6428</v>
      </c>
      <c r="AJ433" s="2">
        <f t="shared" si="160"/>
        <v>6886</v>
      </c>
      <c r="AK433" s="406">
        <v>1</v>
      </c>
      <c r="AL433" s="274">
        <f t="shared" ca="1" si="145"/>
        <v>470408</v>
      </c>
      <c r="AM433" s="311">
        <f t="shared" ca="1" si="146"/>
        <v>475050</v>
      </c>
      <c r="AN433" s="274">
        <f ca="1">IF(AND(Tabla7[[#This Row],[UltLec]]&lt;&gt;0,Tabla7[[#This Row],[PenLect]]&lt;&gt;0),(AM433-AL433)*Tabla7[[#This Row],[RT]],"N/A")</f>
        <v>4642</v>
      </c>
      <c r="AO433" s="273" t="s">
        <v>862</v>
      </c>
      <c r="AP433" s="392" t="s">
        <v>1191</v>
      </c>
      <c r="AQ433" s="392" t="s">
        <v>818</v>
      </c>
      <c r="AR433" s="407">
        <f t="shared" si="147"/>
        <v>0</v>
      </c>
      <c r="AT433" s="2">
        <f t="shared" ca="1" si="148"/>
        <v>0.88368551304016751</v>
      </c>
      <c r="AV433">
        <f>IF(ISBLANK(Tabla7[[#This Row],[31/12/2017]]),0,Tabla7[[#This Row],[31/12/2017]])</f>
        <v>449304</v>
      </c>
      <c r="AW433">
        <f>IF(ISBLANK(Tabla7[[#This Row],[15/01/2018]]),0,Tabla7[[#This Row],[15/01/2018]])</f>
        <v>453315</v>
      </c>
      <c r="AX433">
        <f>IF(ISBLANK(Tabla7[[#This Row],[15/02/2018]]),0,Tabla7[[#This Row],[15/02/2018]])</f>
        <v>460134</v>
      </c>
      <c r="AY433">
        <f>IF(ISBLANK(Tabla7[[#This Row],[15/03/2018]]),0,Tabla7[[#This Row],[15/03/2018]])</f>
        <v>465155</v>
      </c>
      <c r="AZ433">
        <f>IF(ISBLANK(Tabla7[[#This Row],[15/04/2018]]),0,Tabla7[[#This Row],[15/04/2018]])</f>
        <v>470408</v>
      </c>
      <c r="BA433">
        <f>IF(ISBLANK(Tabla7[[#This Row],[15/05/2018]]),0,Tabla7[[#This Row],[15/05/2018]])</f>
        <v>475050</v>
      </c>
      <c r="BB433">
        <f>IF(ISBLANK(Tabla7[[#This Row],[15/06/2018]]),0,Tabla7[[#This Row],[15/06/2018]])</f>
        <v>479121</v>
      </c>
      <c r="BC433">
        <f>IF(ISBLANK(Tabla7[[#This Row],[15/07/2018]]),0,Tabla7[[#This Row],[15/07/2018]])</f>
        <v>483282</v>
      </c>
      <c r="BD433">
        <f>IF(ISBLANK(Tabla7[[#This Row],[15/08/2018]]),0,Tabla7[[#This Row],[15/08/2018]])</f>
        <v>487406</v>
      </c>
      <c r="BE433">
        <f>IF(ISBLANK(Tabla7[[#This Row],[15/09/2018]]),0,Tabla7[[#This Row],[15/09/2018]])</f>
        <v>492504</v>
      </c>
      <c r="BF433">
        <f>IF(ISBLANK(Tabla7[[#This Row],[15/10/2018]]),0,Tabla7[[#This Row],[15/10/2018]])</f>
        <v>497670</v>
      </c>
      <c r="BG433">
        <f>IF(ISBLANK(Tabla7[[#This Row],[15/11/2018]]),0,Tabla7[[#This Row],[15/11/2018]])</f>
        <v>504098</v>
      </c>
      <c r="BH433">
        <f>IF(ISBLANK(Tabla7[[#This Row],[15/12/2018]]),0,Tabla7[[#This Row],[15/12/2018]])</f>
        <v>510984</v>
      </c>
      <c r="BI433">
        <f>IF(ISBLANK(Tabla7[[#This Row],[28/12/2018]]),0,Tabla7[[#This Row],[28/12/2018]])</f>
        <v>0</v>
      </c>
      <c r="BN43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('PM4AA7B262','V','VCT45','131','APV ALUMBRADO VIALES','INTERIOR CT','','Posible SN 4AA76262');</v>
      </c>
      <c r="BO433" t="s">
        <v>243</v>
      </c>
      <c r="BP433" s="632" t="str">
        <f>CONCATENATE("insert into lecturas values ","('",Tabla7[[#This Row],[CONTADOR]],"',STR_TO_DATE('",Tabla7[[#Headers],[31/12/2017]],"','%d/%m/%Y'),",AV433,"),","('",Tabla7[[#This Row],[CONTADOR]],"',STR_TO_DATE('",Tabla7[[#Headers],[15/01/2018]],"','%d/%m/%Y'),",AW433,"),","('",Tabla7[[#This Row],[CONTADOR]],"',STR_TO_DATE('",Tabla7[[#Headers],[15/02/2018]],"','%d/%m/%Y'),",AX433,"),","('",Tabla7[[#This Row],[CONTADOR]],"',STR_TO_DATE('",Tabla7[[#Headers],[15/03/2018]],"','%d/%m/%Y'),",AY433,"),","('",Tabla7[[#This Row],[CONTADOR]],"',STR_TO_DATE('",Tabla7[[#Headers],[15/04/2018]],"','%d/%m/%Y'),",AZ433,"),","('",Tabla7[[#This Row],[CONTADOR]],"',STR_TO_DATE('",Tabla7[[#Headers],[15/05/2018]],"','%d/%m/%Y'),",BA433,"),","('",Tabla7[[#This Row],[CONTADOR]],"',STR_TO_DATE('",Tabla7[[#Headers],[15/06/2018]],"','%d/%m/%Y'),",BB433,"),","('",Tabla7[[#This Row],[CONTADOR]],"',STR_TO_DATE('",Tabla7[[#Headers],[15/07/2018]],"','%d/%m/%Y'),",BC433,"),","('",Tabla7[[#This Row],[CONTADOR]],"',STR_TO_DATE('",Tabla7[[#Headers],[15/08/2018]],"','%d/%m/%Y'),",BD433,"),","('",Tabla7[[#This Row],[CONTADOR]],"',STR_TO_DATE('",Tabla7[[#Headers],[15/09/2018]],"','%d/%m/%Y'),",BE433,"),","('",Tabla7[[#This Row],[CONTADOR]],"',STR_TO_DATE('",Tabla7[[#Headers],[15/10/2018]],"','%d/%m/%Y'),",BF433,"),","('",Tabla7[[#This Row],[CONTADOR]],"',STR_TO_DATE('",Tabla7[[#Headers],[15/11/2018]],"','%d/%m/%Y'),",BG433,"),","('",Tabla7[[#This Row],[CONTADOR]],"',STR_TO_DATE('",Tabla7[[#Headers],[15/12/2018]],"','%d/%m/%Y'),",BH433,");")</f>
        <v>insert into lecturas values ('PM4AA7B262',STR_TO_DATE('31/12/2017','%d/%m/%Y'),449304),('PM4AA7B262',STR_TO_DATE('15/01/2018','%d/%m/%Y'),453315),('PM4AA7B262',STR_TO_DATE('15/02/2018','%d/%m/%Y'),460134),('PM4AA7B262',STR_TO_DATE('15/03/2018','%d/%m/%Y'),465155),('PM4AA7B262',STR_TO_DATE('15/04/2018','%d/%m/%Y'),470408),('PM4AA7B262',STR_TO_DATE('15/05/2018','%d/%m/%Y'),475050),('PM4AA7B262',STR_TO_DATE('15/06/2018','%d/%m/%Y'),479121),('PM4AA7B262',STR_TO_DATE('15/07/2018','%d/%m/%Y'),483282),('PM4AA7B262',STR_TO_DATE('15/08/2018','%d/%m/%Y'),487406),('PM4AA7B262',STR_TO_DATE('15/09/2018','%d/%m/%Y'),492504),('PM4AA7B262',STR_TO_DATE('15/10/2018','%d/%m/%Y'),497670),('PM4AA7B262',STR_TO_DATE('15/11/2018','%d/%m/%Y'),504098),('PM4AA7B262',STR_TO_DATE('15/12/2018','%d/%m/%Y'),510984);</v>
      </c>
    </row>
    <row r="434" spans="1:68" ht="18" customHeight="1" x14ac:dyDescent="0.25">
      <c r="A434" s="372" t="s">
        <v>1196</v>
      </c>
      <c r="B434" s="60"/>
      <c r="C434" s="342">
        <v>1014100108</v>
      </c>
      <c r="D434" s="374" t="s">
        <v>296</v>
      </c>
      <c r="E434" s="375">
        <v>39384</v>
      </c>
      <c r="F434" s="376" t="s">
        <v>736</v>
      </c>
      <c r="G434" s="376" t="s">
        <v>47</v>
      </c>
      <c r="H434" s="376"/>
      <c r="I434" s="376"/>
      <c r="J434" s="383">
        <v>0</v>
      </c>
      <c r="K434" s="383"/>
      <c r="L434" s="383"/>
      <c r="M434" s="383"/>
      <c r="N434" s="383"/>
      <c r="O434" s="383"/>
      <c r="P434" s="383"/>
      <c r="Q434" s="383"/>
      <c r="R434" s="383"/>
      <c r="S434" s="383"/>
      <c r="T434" s="383"/>
      <c r="U434" s="383"/>
      <c r="V434" s="383"/>
      <c r="W434" s="383"/>
      <c r="X434" s="376"/>
      <c r="Y434" s="376" t="str">
        <f t="shared" si="151"/>
        <v/>
      </c>
      <c r="Z434" s="376" t="str">
        <f t="shared" si="152"/>
        <v/>
      </c>
      <c r="AA434" s="376" t="str">
        <f t="shared" si="162"/>
        <v/>
      </c>
      <c r="AB434" s="376" t="str">
        <f t="shared" si="161"/>
        <v/>
      </c>
      <c r="AC434" s="376" t="str">
        <f t="shared" si="153"/>
        <v/>
      </c>
      <c r="AD434" s="376" t="str">
        <f t="shared" si="154"/>
        <v/>
      </c>
      <c r="AE434" s="376" t="str">
        <f t="shared" si="155"/>
        <v/>
      </c>
      <c r="AF434" s="376" t="str">
        <f t="shared" si="156"/>
        <v/>
      </c>
      <c r="AG434" s="376" t="str">
        <f t="shared" si="157"/>
        <v/>
      </c>
      <c r="AH434" s="376" t="str">
        <f t="shared" si="158"/>
        <v/>
      </c>
      <c r="AI434" s="376" t="str">
        <f t="shared" si="159"/>
        <v/>
      </c>
      <c r="AJ434" s="376" t="str">
        <f t="shared" si="160"/>
        <v/>
      </c>
      <c r="AK434" s="408">
        <v>1</v>
      </c>
      <c r="AL434" s="377">
        <f t="shared" ca="1" si="145"/>
        <v>0</v>
      </c>
      <c r="AM434" s="383">
        <f t="shared" ca="1" si="146"/>
        <v>0</v>
      </c>
      <c r="AN434" s="377" t="str">
        <f ca="1">IF(AND(Tabla7[[#This Row],[UltLec]]&lt;&gt;0,Tabla7[[#This Row],[PenLect]]&lt;&gt;0),(AM434-AL434)*Tabla7[[#This Row],[RT]],"N/A")</f>
        <v>N/A</v>
      </c>
      <c r="AO434" s="380" t="s">
        <v>1281</v>
      </c>
      <c r="AP434" s="433" t="s">
        <v>1190</v>
      </c>
      <c r="AQ434" s="433" t="s">
        <v>1189</v>
      </c>
      <c r="AR434" s="409">
        <f t="shared" si="147"/>
        <v>0</v>
      </c>
      <c r="AT434" s="2" t="e">
        <f t="shared" ca="1" si="148"/>
        <v>#VALUE!</v>
      </c>
      <c r="AV434">
        <f>IF(ISBLANK(Tabla7[[#This Row],[31/12/2017]]),0,Tabla7[[#This Row],[31/12/2017]])</f>
        <v>0</v>
      </c>
      <c r="AW434">
        <f>IF(ISBLANK(Tabla7[[#This Row],[15/01/2018]]),0,Tabla7[[#This Row],[15/01/2018]])</f>
        <v>0</v>
      </c>
      <c r="AX434">
        <f>IF(ISBLANK(Tabla7[[#This Row],[15/02/2018]]),0,Tabla7[[#This Row],[15/02/2018]])</f>
        <v>0</v>
      </c>
      <c r="AY434">
        <f>IF(ISBLANK(Tabla7[[#This Row],[15/03/2018]]),0,Tabla7[[#This Row],[15/03/2018]])</f>
        <v>0</v>
      </c>
      <c r="AZ434">
        <f>IF(ISBLANK(Tabla7[[#This Row],[15/04/2018]]),0,Tabla7[[#This Row],[15/04/2018]])</f>
        <v>0</v>
      </c>
      <c r="BA434">
        <f>IF(ISBLANK(Tabla7[[#This Row],[15/05/2018]]),0,Tabla7[[#This Row],[15/05/2018]])</f>
        <v>0</v>
      </c>
      <c r="BB434">
        <f>IF(ISBLANK(Tabla7[[#This Row],[15/06/2018]]),0,Tabla7[[#This Row],[15/06/2018]])</f>
        <v>0</v>
      </c>
      <c r="BC434">
        <f>IF(ISBLANK(Tabla7[[#This Row],[15/07/2018]]),0,Tabla7[[#This Row],[15/07/2018]])</f>
        <v>0</v>
      </c>
      <c r="BD434">
        <f>IF(ISBLANK(Tabla7[[#This Row],[15/08/2018]]),0,Tabla7[[#This Row],[15/08/2018]])</f>
        <v>0</v>
      </c>
      <c r="BE434">
        <f>IF(ISBLANK(Tabla7[[#This Row],[15/09/2018]]),0,Tabla7[[#This Row],[15/09/2018]])</f>
        <v>0</v>
      </c>
      <c r="BF434">
        <f>IF(ISBLANK(Tabla7[[#This Row],[15/10/2018]]),0,Tabla7[[#This Row],[15/10/2018]])</f>
        <v>0</v>
      </c>
      <c r="BG434">
        <f>IF(ISBLANK(Tabla7[[#This Row],[15/11/2018]]),0,Tabla7[[#This Row],[15/11/2018]])</f>
        <v>0</v>
      </c>
      <c r="BH434">
        <f>IF(ISBLANK(Tabla7[[#This Row],[15/12/2018]]),0,Tabla7[[#This Row],[15/12/2018]])</f>
        <v>0</v>
      </c>
      <c r="BI434">
        <f>IF(ISBLANK(Tabla7[[#This Row],[28/12/2018]]),0,Tabla7[[#This Row],[28/12/2018]])</f>
        <v>0</v>
      </c>
      <c r="BN43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('1014100108','VBAJA','VCT50','39384','UTE SOLER','INTERIOR CT','','');</v>
      </c>
      <c r="BO434" t="s">
        <v>243</v>
      </c>
      <c r="BP434" s="632" t="str">
        <f>CONCATENATE("insert into lecturas values ","('",Tabla7[[#This Row],[CONTADOR]],"',STR_TO_DATE('",Tabla7[[#Headers],[31/12/2017]],"','%d/%m/%Y'),",AV434,"),","('",Tabla7[[#This Row],[CONTADOR]],"',STR_TO_DATE('",Tabla7[[#Headers],[15/01/2018]],"','%d/%m/%Y'),",AW434,"),","('",Tabla7[[#This Row],[CONTADOR]],"',STR_TO_DATE('",Tabla7[[#Headers],[15/02/2018]],"','%d/%m/%Y'),",AX434,"),","('",Tabla7[[#This Row],[CONTADOR]],"',STR_TO_DATE('",Tabla7[[#Headers],[15/03/2018]],"','%d/%m/%Y'),",AY434,"),","('",Tabla7[[#This Row],[CONTADOR]],"',STR_TO_DATE('",Tabla7[[#Headers],[15/04/2018]],"','%d/%m/%Y'),",AZ434,"),","('",Tabla7[[#This Row],[CONTADOR]],"',STR_TO_DATE('",Tabla7[[#Headers],[15/05/2018]],"','%d/%m/%Y'),",BA434,"),","('",Tabla7[[#This Row],[CONTADOR]],"',STR_TO_DATE('",Tabla7[[#Headers],[15/06/2018]],"','%d/%m/%Y'),",BB434,"),","('",Tabla7[[#This Row],[CONTADOR]],"',STR_TO_DATE('",Tabla7[[#Headers],[15/07/2018]],"','%d/%m/%Y'),",BC434,"),","('",Tabla7[[#This Row],[CONTADOR]],"',STR_TO_DATE('",Tabla7[[#Headers],[15/08/2018]],"','%d/%m/%Y'),",BD434,"),","('",Tabla7[[#This Row],[CONTADOR]],"',STR_TO_DATE('",Tabla7[[#Headers],[15/09/2018]],"','%d/%m/%Y'),",BE434,"),","('",Tabla7[[#This Row],[CONTADOR]],"',STR_TO_DATE('",Tabla7[[#Headers],[15/10/2018]],"','%d/%m/%Y'),",BF434,"),","('",Tabla7[[#This Row],[CONTADOR]],"',STR_TO_DATE('",Tabla7[[#Headers],[15/11/2018]],"','%d/%m/%Y'),",BG434,"),","('",Tabla7[[#This Row],[CONTADOR]],"',STR_TO_DATE('",Tabla7[[#Headers],[15/12/2018]],"','%d/%m/%Y'),",BH434,");")</f>
        <v>insert into lecturas values ('1014100108',STR_TO_DATE('31/12/2017','%d/%m/%Y'),0),('1014100108',STR_TO_DATE('15/01/2018','%d/%m/%Y'),0),('1014100108',STR_TO_DATE('15/02/2018','%d/%m/%Y'),0),('1014100108',STR_TO_DATE('15/03/2018','%d/%m/%Y'),0),('1014100108',STR_TO_DATE('15/04/2018','%d/%m/%Y'),0),('1014100108',STR_TO_DATE('15/05/2018','%d/%m/%Y'),0),('1014100108',STR_TO_DATE('15/06/2018','%d/%m/%Y'),0),('1014100108',STR_TO_DATE('15/07/2018','%d/%m/%Y'),0),('1014100108',STR_TO_DATE('15/08/2018','%d/%m/%Y'),0),('1014100108',STR_TO_DATE('15/09/2018','%d/%m/%Y'),0),('1014100108',STR_TO_DATE('15/10/2018','%d/%m/%Y'),0),('1014100108',STR_TO_DATE('15/11/2018','%d/%m/%Y'),0),('1014100108',STR_TO_DATE('15/12/2018','%d/%m/%Y'),0);</v>
      </c>
    </row>
    <row r="435" spans="1:68" ht="18" customHeight="1" x14ac:dyDescent="0.25">
      <c r="A435" s="241" t="s">
        <v>19</v>
      </c>
      <c r="B435" s="315">
        <v>1181</v>
      </c>
      <c r="C435" s="342">
        <v>1014100108</v>
      </c>
      <c r="D435" s="60" t="s">
        <v>296</v>
      </c>
      <c r="E435" s="258">
        <v>39505</v>
      </c>
      <c r="F435" s="275" t="s">
        <v>297</v>
      </c>
      <c r="G435" s="275" t="s">
        <v>47</v>
      </c>
      <c r="H435" s="275"/>
      <c r="I435" s="275"/>
      <c r="J435" s="307">
        <v>67261</v>
      </c>
      <c r="K435" s="307">
        <v>67649</v>
      </c>
      <c r="L435" s="353">
        <v>68235</v>
      </c>
      <c r="M435" s="311">
        <v>68750</v>
      </c>
      <c r="N435" s="311">
        <v>68843</v>
      </c>
      <c r="O435" s="311">
        <v>68854</v>
      </c>
      <c r="P435" s="242">
        <v>69982</v>
      </c>
      <c r="Q435" s="275">
        <v>69992</v>
      </c>
      <c r="R435" s="313">
        <v>69002</v>
      </c>
      <c r="S435" s="311">
        <v>69013</v>
      </c>
      <c r="T435" s="311">
        <v>69021</v>
      </c>
      <c r="U435" s="311">
        <v>69032</v>
      </c>
      <c r="V435" s="492">
        <v>69032</v>
      </c>
      <c r="W435" s="307"/>
      <c r="X435" s="275"/>
      <c r="Y435" s="275">
        <f t="shared" si="151"/>
        <v>388</v>
      </c>
      <c r="Z435" s="275">
        <f t="shared" si="152"/>
        <v>586</v>
      </c>
      <c r="AA435" s="275">
        <f t="shared" si="162"/>
        <v>515</v>
      </c>
      <c r="AB435" s="275">
        <f t="shared" si="161"/>
        <v>93</v>
      </c>
      <c r="AC435" s="275">
        <f t="shared" si="153"/>
        <v>11</v>
      </c>
      <c r="AD435" s="275">
        <f t="shared" si="154"/>
        <v>1128</v>
      </c>
      <c r="AE435" s="275">
        <f t="shared" si="155"/>
        <v>10</v>
      </c>
      <c r="AF435" s="275" t="str">
        <f t="shared" si="156"/>
        <v>!!!!</v>
      </c>
      <c r="AG435" s="275">
        <f t="shared" si="157"/>
        <v>11</v>
      </c>
      <c r="AH435" s="275">
        <f t="shared" si="158"/>
        <v>8</v>
      </c>
      <c r="AI435" s="275">
        <f t="shared" si="159"/>
        <v>11</v>
      </c>
      <c r="AJ435" s="275">
        <f t="shared" si="160"/>
        <v>0</v>
      </c>
      <c r="AK435" s="420">
        <v>1</v>
      </c>
      <c r="AL435" s="307">
        <f t="shared" ca="1" si="145"/>
        <v>68843</v>
      </c>
      <c r="AM435" s="353">
        <f t="shared" ca="1" si="146"/>
        <v>68854</v>
      </c>
      <c r="AN435" s="307">
        <f ca="1">IF(AND(Tabla7[[#This Row],[UltLec]]&lt;&gt;0,Tabla7[[#This Row],[PenLect]]&lt;&gt;0),(AM435-AL435)*Tabla7[[#This Row],[RT]],"N/A")</f>
        <v>11</v>
      </c>
      <c r="AO435" s="273" t="s">
        <v>862</v>
      </c>
      <c r="AP435" s="392" t="s">
        <v>1190</v>
      </c>
      <c r="AQ435" s="392" t="s">
        <v>1189</v>
      </c>
      <c r="AR435" s="422">
        <f t="shared" si="147"/>
        <v>1</v>
      </c>
      <c r="AT435" s="2">
        <f t="shared" ca="1" si="148"/>
        <v>0.11827956989247312</v>
      </c>
      <c r="AV435">
        <f>IF(ISBLANK(Tabla7[[#This Row],[31/12/2017]]),0,Tabla7[[#This Row],[31/12/2017]])</f>
        <v>67261</v>
      </c>
      <c r="AW435">
        <f>IF(ISBLANK(Tabla7[[#This Row],[15/01/2018]]),0,Tabla7[[#This Row],[15/01/2018]])</f>
        <v>67649</v>
      </c>
      <c r="AX435">
        <f>IF(ISBLANK(Tabla7[[#This Row],[15/02/2018]]),0,Tabla7[[#This Row],[15/02/2018]])</f>
        <v>68235</v>
      </c>
      <c r="AY435">
        <f>IF(ISBLANK(Tabla7[[#This Row],[15/03/2018]]),0,Tabla7[[#This Row],[15/03/2018]])</f>
        <v>68750</v>
      </c>
      <c r="AZ435">
        <f>IF(ISBLANK(Tabla7[[#This Row],[15/04/2018]]),0,Tabla7[[#This Row],[15/04/2018]])</f>
        <v>68843</v>
      </c>
      <c r="BA435">
        <f>IF(ISBLANK(Tabla7[[#This Row],[15/05/2018]]),0,Tabla7[[#This Row],[15/05/2018]])</f>
        <v>68854</v>
      </c>
      <c r="BB435">
        <f>IF(ISBLANK(Tabla7[[#This Row],[15/06/2018]]),0,Tabla7[[#This Row],[15/06/2018]])</f>
        <v>69982</v>
      </c>
      <c r="BC435">
        <f>IF(ISBLANK(Tabla7[[#This Row],[15/07/2018]]),0,Tabla7[[#This Row],[15/07/2018]])</f>
        <v>69992</v>
      </c>
      <c r="BD435">
        <f>IF(ISBLANK(Tabla7[[#This Row],[15/08/2018]]),0,Tabla7[[#This Row],[15/08/2018]])</f>
        <v>69002</v>
      </c>
      <c r="BE435">
        <f>IF(ISBLANK(Tabla7[[#This Row],[15/09/2018]]),0,Tabla7[[#This Row],[15/09/2018]])</f>
        <v>69013</v>
      </c>
      <c r="BF435">
        <f>IF(ISBLANK(Tabla7[[#This Row],[15/10/2018]]),0,Tabla7[[#This Row],[15/10/2018]])</f>
        <v>69021</v>
      </c>
      <c r="BG435">
        <f>IF(ISBLANK(Tabla7[[#This Row],[15/11/2018]]),0,Tabla7[[#This Row],[15/11/2018]])</f>
        <v>69032</v>
      </c>
      <c r="BH435">
        <f>IF(ISBLANK(Tabla7[[#This Row],[15/12/2018]]),0,Tabla7[[#This Row],[15/12/2018]])</f>
        <v>69032</v>
      </c>
      <c r="BI435">
        <f>IF(ISBLANK(Tabla7[[#This Row],[28/12/2018]]),0,Tabla7[[#This Row],[28/12/2018]])</f>
        <v>0</v>
      </c>
      <c r="BN43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('1014100108','V','VCT50','39505','SACYR CONSTRUCCIÓN','INTERIOR CT','','');</v>
      </c>
      <c r="BO435" t="s">
        <v>243</v>
      </c>
      <c r="BP435" s="632" t="str">
        <f>CONCATENATE("insert into lecturas values ","('",Tabla7[[#This Row],[CONTADOR]],"',STR_TO_DATE('",Tabla7[[#Headers],[31/12/2017]],"','%d/%m/%Y'),",AV435,"),","('",Tabla7[[#This Row],[CONTADOR]],"',STR_TO_DATE('",Tabla7[[#Headers],[15/01/2018]],"','%d/%m/%Y'),",AW435,"),","('",Tabla7[[#This Row],[CONTADOR]],"',STR_TO_DATE('",Tabla7[[#Headers],[15/02/2018]],"','%d/%m/%Y'),",AX435,"),","('",Tabla7[[#This Row],[CONTADOR]],"',STR_TO_DATE('",Tabla7[[#Headers],[15/03/2018]],"','%d/%m/%Y'),",AY435,"),","('",Tabla7[[#This Row],[CONTADOR]],"',STR_TO_DATE('",Tabla7[[#Headers],[15/04/2018]],"','%d/%m/%Y'),",AZ435,"),","('",Tabla7[[#This Row],[CONTADOR]],"',STR_TO_DATE('",Tabla7[[#Headers],[15/05/2018]],"','%d/%m/%Y'),",BA435,"),","('",Tabla7[[#This Row],[CONTADOR]],"',STR_TO_DATE('",Tabla7[[#Headers],[15/06/2018]],"','%d/%m/%Y'),",BB435,"),","('",Tabla7[[#This Row],[CONTADOR]],"',STR_TO_DATE('",Tabla7[[#Headers],[15/07/2018]],"','%d/%m/%Y'),",BC435,"),","('",Tabla7[[#This Row],[CONTADOR]],"',STR_TO_DATE('",Tabla7[[#Headers],[15/08/2018]],"','%d/%m/%Y'),",BD435,"),","('",Tabla7[[#This Row],[CONTADOR]],"',STR_TO_DATE('",Tabla7[[#Headers],[15/09/2018]],"','%d/%m/%Y'),",BE435,"),","('",Tabla7[[#This Row],[CONTADOR]],"',STR_TO_DATE('",Tabla7[[#Headers],[15/10/2018]],"','%d/%m/%Y'),",BF435,"),","('",Tabla7[[#This Row],[CONTADOR]],"',STR_TO_DATE('",Tabla7[[#Headers],[15/11/2018]],"','%d/%m/%Y'),",BG435,"),","('",Tabla7[[#This Row],[CONTADOR]],"',STR_TO_DATE('",Tabla7[[#Headers],[15/12/2018]],"','%d/%m/%Y'),",BH435,");")</f>
        <v>insert into lecturas values ('1014100108',STR_TO_DATE('31/12/2017','%d/%m/%Y'),67261),('1014100108',STR_TO_DATE('15/01/2018','%d/%m/%Y'),67649),('1014100108',STR_TO_DATE('15/02/2018','%d/%m/%Y'),68235),('1014100108',STR_TO_DATE('15/03/2018','%d/%m/%Y'),68750),('1014100108',STR_TO_DATE('15/04/2018','%d/%m/%Y'),68843),('1014100108',STR_TO_DATE('15/05/2018','%d/%m/%Y'),68854),('1014100108',STR_TO_DATE('15/06/2018','%d/%m/%Y'),69982),('1014100108',STR_TO_DATE('15/07/2018','%d/%m/%Y'),69992),('1014100108',STR_TO_DATE('15/08/2018','%d/%m/%Y'),69002),('1014100108',STR_TO_DATE('15/09/2018','%d/%m/%Y'),69013),('1014100108',STR_TO_DATE('15/10/2018','%d/%m/%Y'),69021),('1014100108',STR_TO_DATE('15/11/2018','%d/%m/%Y'),69032),('1014100108',STR_TO_DATE('15/12/2018','%d/%m/%Y'),69032);</v>
      </c>
    </row>
    <row r="436" spans="1:68" ht="18" customHeight="1" x14ac:dyDescent="0.25">
      <c r="A436" s="241" t="s">
        <v>740</v>
      </c>
      <c r="B436" s="60"/>
      <c r="C436" s="342" t="s">
        <v>1242</v>
      </c>
      <c r="D436" s="60" t="s">
        <v>296</v>
      </c>
      <c r="E436" s="258">
        <v>30000</v>
      </c>
      <c r="F436" s="2" t="s">
        <v>742</v>
      </c>
      <c r="G436" s="2" t="s">
        <v>63</v>
      </c>
      <c r="H436" s="2"/>
      <c r="I436" s="2"/>
      <c r="J436" s="2">
        <v>318464</v>
      </c>
      <c r="K436" s="274">
        <v>323256</v>
      </c>
      <c r="L436" s="311">
        <v>331428</v>
      </c>
      <c r="M436" s="311">
        <v>337426</v>
      </c>
      <c r="N436" s="311">
        <v>343335</v>
      </c>
      <c r="O436" s="311">
        <v>348704</v>
      </c>
      <c r="P436" s="1">
        <v>353680</v>
      </c>
      <c r="Q436" s="2">
        <v>358864</v>
      </c>
      <c r="R436" s="311">
        <v>364024</v>
      </c>
      <c r="S436" s="311">
        <v>370026</v>
      </c>
      <c r="T436" s="311">
        <v>377001</v>
      </c>
      <c r="U436" s="492">
        <v>383053</v>
      </c>
      <c r="V436" s="492"/>
      <c r="W436" s="2"/>
      <c r="X436" s="2"/>
      <c r="Y436" s="2">
        <f t="shared" si="151"/>
        <v>4792</v>
      </c>
      <c r="Z436" s="2">
        <f t="shared" si="152"/>
        <v>8172</v>
      </c>
      <c r="AA436" s="2">
        <f t="shared" si="162"/>
        <v>5998</v>
      </c>
      <c r="AB436" s="2">
        <f t="shared" si="161"/>
        <v>5909</v>
      </c>
      <c r="AC436" s="2">
        <f t="shared" si="153"/>
        <v>5369</v>
      </c>
      <c r="AD436" s="2">
        <f t="shared" si="154"/>
        <v>4976</v>
      </c>
      <c r="AE436" s="2">
        <f t="shared" si="155"/>
        <v>5184</v>
      </c>
      <c r="AF436" s="2">
        <f t="shared" si="156"/>
        <v>5160</v>
      </c>
      <c r="AG436" s="2">
        <f t="shared" si="157"/>
        <v>6002</v>
      </c>
      <c r="AH436" s="2">
        <f t="shared" si="158"/>
        <v>6975</v>
      </c>
      <c r="AI436" s="2">
        <f t="shared" si="159"/>
        <v>6052</v>
      </c>
      <c r="AJ436" s="2" t="str">
        <f t="shared" si="160"/>
        <v/>
      </c>
      <c r="AK436" s="406">
        <v>1</v>
      </c>
      <c r="AL436" s="274">
        <f t="shared" ca="1" si="145"/>
        <v>343335</v>
      </c>
      <c r="AM436" s="311">
        <f t="shared" ca="1" si="146"/>
        <v>348704</v>
      </c>
      <c r="AN436" s="274">
        <f ca="1">IF(AND(Tabla7[[#This Row],[UltLec]]&lt;&gt;0,Tabla7[[#This Row],[PenLect]]&lt;&gt;0),(AM436-AL436)*Tabla7[[#This Row],[RT]],"N/A")</f>
        <v>5369</v>
      </c>
      <c r="AO436" s="273" t="s">
        <v>862</v>
      </c>
      <c r="AP436" s="392" t="s">
        <v>1191</v>
      </c>
      <c r="AQ436" s="392" t="s">
        <v>818</v>
      </c>
      <c r="AR436" s="407">
        <f t="shared" si="147"/>
        <v>0</v>
      </c>
      <c r="AT436" s="2">
        <f t="shared" ca="1" si="148"/>
        <v>0.90861397867659499</v>
      </c>
      <c r="AV436">
        <f>IF(ISBLANK(Tabla7[[#This Row],[31/12/2017]]),0,Tabla7[[#This Row],[31/12/2017]])</f>
        <v>318464</v>
      </c>
      <c r="AW436">
        <f>IF(ISBLANK(Tabla7[[#This Row],[15/01/2018]]),0,Tabla7[[#This Row],[15/01/2018]])</f>
        <v>323256</v>
      </c>
      <c r="AX436">
        <f>IF(ISBLANK(Tabla7[[#This Row],[15/02/2018]]),0,Tabla7[[#This Row],[15/02/2018]])</f>
        <v>331428</v>
      </c>
      <c r="AY436">
        <f>IF(ISBLANK(Tabla7[[#This Row],[15/03/2018]]),0,Tabla7[[#This Row],[15/03/2018]])</f>
        <v>337426</v>
      </c>
      <c r="AZ436">
        <f>IF(ISBLANK(Tabla7[[#This Row],[15/04/2018]]),0,Tabla7[[#This Row],[15/04/2018]])</f>
        <v>343335</v>
      </c>
      <c r="BA436">
        <f>IF(ISBLANK(Tabla7[[#This Row],[15/05/2018]]),0,Tabla7[[#This Row],[15/05/2018]])</f>
        <v>348704</v>
      </c>
      <c r="BB436">
        <f>IF(ISBLANK(Tabla7[[#This Row],[15/06/2018]]),0,Tabla7[[#This Row],[15/06/2018]])</f>
        <v>353680</v>
      </c>
      <c r="BC436">
        <f>IF(ISBLANK(Tabla7[[#This Row],[15/07/2018]]),0,Tabla7[[#This Row],[15/07/2018]])</f>
        <v>358864</v>
      </c>
      <c r="BD436">
        <f>IF(ISBLANK(Tabla7[[#This Row],[15/08/2018]]),0,Tabla7[[#This Row],[15/08/2018]])</f>
        <v>364024</v>
      </c>
      <c r="BE436">
        <f>IF(ISBLANK(Tabla7[[#This Row],[15/09/2018]]),0,Tabla7[[#This Row],[15/09/2018]])</f>
        <v>370026</v>
      </c>
      <c r="BF436">
        <f>IF(ISBLANK(Tabla7[[#This Row],[15/10/2018]]),0,Tabla7[[#This Row],[15/10/2018]])</f>
        <v>377001</v>
      </c>
      <c r="BG436">
        <f>IF(ISBLANK(Tabla7[[#This Row],[15/11/2018]]),0,Tabla7[[#This Row],[15/11/2018]])</f>
        <v>383053</v>
      </c>
      <c r="BH436">
        <f>IF(ISBLANK(Tabla7[[#This Row],[15/12/2018]]),0,Tabla7[[#This Row],[15/12/2018]])</f>
        <v>0</v>
      </c>
      <c r="BI436">
        <f>IF(ISBLANK(Tabla7[[#This Row],[28/12/2018]]),0,Tabla7[[#This Row],[28/12/2018]])</f>
        <v>0</v>
      </c>
      <c r="BN43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('PM4E380252','VTOT','VCT50','30000','TOTALIZADOR','EN CT','','');</v>
      </c>
      <c r="BO436" t="s">
        <v>243</v>
      </c>
      <c r="BP436" s="632" t="str">
        <f>CONCATENATE("insert into lecturas values ","('",Tabla7[[#This Row],[CONTADOR]],"',STR_TO_DATE('",Tabla7[[#Headers],[31/12/2017]],"','%d/%m/%Y'),",AV436,"),","('",Tabla7[[#This Row],[CONTADOR]],"',STR_TO_DATE('",Tabla7[[#Headers],[15/01/2018]],"','%d/%m/%Y'),",AW436,"),","('",Tabla7[[#This Row],[CONTADOR]],"',STR_TO_DATE('",Tabla7[[#Headers],[15/02/2018]],"','%d/%m/%Y'),",AX436,"),","('",Tabla7[[#This Row],[CONTADOR]],"',STR_TO_DATE('",Tabla7[[#Headers],[15/03/2018]],"','%d/%m/%Y'),",AY436,"),","('",Tabla7[[#This Row],[CONTADOR]],"',STR_TO_DATE('",Tabla7[[#Headers],[15/04/2018]],"','%d/%m/%Y'),",AZ436,"),","('",Tabla7[[#This Row],[CONTADOR]],"',STR_TO_DATE('",Tabla7[[#Headers],[15/05/2018]],"','%d/%m/%Y'),",BA436,"),","('",Tabla7[[#This Row],[CONTADOR]],"',STR_TO_DATE('",Tabla7[[#Headers],[15/06/2018]],"','%d/%m/%Y'),",BB436,"),","('",Tabla7[[#This Row],[CONTADOR]],"',STR_TO_DATE('",Tabla7[[#Headers],[15/07/2018]],"','%d/%m/%Y'),",BC436,"),","('",Tabla7[[#This Row],[CONTADOR]],"',STR_TO_DATE('",Tabla7[[#Headers],[15/08/2018]],"','%d/%m/%Y'),",BD436,"),","('",Tabla7[[#This Row],[CONTADOR]],"',STR_TO_DATE('",Tabla7[[#Headers],[15/09/2018]],"','%d/%m/%Y'),",BE436,"),","('",Tabla7[[#This Row],[CONTADOR]],"',STR_TO_DATE('",Tabla7[[#Headers],[15/10/2018]],"','%d/%m/%Y'),",BF436,"),","('",Tabla7[[#This Row],[CONTADOR]],"',STR_TO_DATE('",Tabla7[[#Headers],[15/11/2018]],"','%d/%m/%Y'),",BG436,"),","('",Tabla7[[#This Row],[CONTADOR]],"',STR_TO_DATE('",Tabla7[[#Headers],[15/12/2018]],"','%d/%m/%Y'),",BH436,");")</f>
        <v>insert into lecturas values ('PM4E380252',STR_TO_DATE('31/12/2017','%d/%m/%Y'),318464),('PM4E380252',STR_TO_DATE('15/01/2018','%d/%m/%Y'),323256),('PM4E380252',STR_TO_DATE('15/02/2018','%d/%m/%Y'),331428),('PM4E380252',STR_TO_DATE('15/03/2018','%d/%m/%Y'),337426),('PM4E380252',STR_TO_DATE('15/04/2018','%d/%m/%Y'),343335),('PM4E380252',STR_TO_DATE('15/05/2018','%d/%m/%Y'),348704),('PM4E380252',STR_TO_DATE('15/06/2018','%d/%m/%Y'),353680),('PM4E380252',STR_TO_DATE('15/07/2018','%d/%m/%Y'),358864),('PM4E380252',STR_TO_DATE('15/08/2018','%d/%m/%Y'),364024),('PM4E380252',STR_TO_DATE('15/09/2018','%d/%m/%Y'),370026),('PM4E380252',STR_TO_DATE('15/10/2018','%d/%m/%Y'),377001),('PM4E380252',STR_TO_DATE('15/11/2018','%d/%m/%Y'),383053),('PM4E380252',STR_TO_DATE('15/12/2018','%d/%m/%Y'),0);</v>
      </c>
    </row>
    <row r="437" spans="1:68" ht="18" customHeight="1" x14ac:dyDescent="0.25">
      <c r="A437" s="241" t="s">
        <v>19</v>
      </c>
      <c r="B437" s="60">
        <v>1181</v>
      </c>
      <c r="C437" s="342" t="s">
        <v>1243</v>
      </c>
      <c r="D437" s="60" t="s">
        <v>296</v>
      </c>
      <c r="E437" s="258">
        <v>131</v>
      </c>
      <c r="F437" s="2" t="s">
        <v>455</v>
      </c>
      <c r="G437" s="2" t="s">
        <v>47</v>
      </c>
      <c r="H437" s="2"/>
      <c r="I437" s="2"/>
      <c r="J437" s="2">
        <v>215628</v>
      </c>
      <c r="K437" s="274">
        <v>219158</v>
      </c>
      <c r="L437" s="311">
        <v>225147</v>
      </c>
      <c r="M437" s="311">
        <v>229352</v>
      </c>
      <c r="N437" s="311">
        <v>234215</v>
      </c>
      <c r="O437" s="311">
        <v>237893</v>
      </c>
      <c r="P437" s="1">
        <v>241528</v>
      </c>
      <c r="Q437" s="274">
        <v>245267</v>
      </c>
      <c r="R437" s="311">
        <v>249007</v>
      </c>
      <c r="S437" s="311">
        <v>253479</v>
      </c>
      <c r="T437" s="311">
        <v>257665</v>
      </c>
      <c r="U437" s="492">
        <v>263526</v>
      </c>
      <c r="V437" s="492">
        <v>269543</v>
      </c>
      <c r="W437" s="2"/>
      <c r="X437" s="2"/>
      <c r="Y437" s="2">
        <f t="shared" si="151"/>
        <v>3530</v>
      </c>
      <c r="Z437" s="2">
        <f t="shared" si="152"/>
        <v>5989</v>
      </c>
      <c r="AA437" s="2">
        <f t="shared" si="162"/>
        <v>4205</v>
      </c>
      <c r="AB437" s="2">
        <f t="shared" si="161"/>
        <v>4863</v>
      </c>
      <c r="AC437" s="2">
        <f t="shared" si="153"/>
        <v>3678</v>
      </c>
      <c r="AD437" s="2">
        <f t="shared" si="154"/>
        <v>3635</v>
      </c>
      <c r="AE437" s="2">
        <f t="shared" si="155"/>
        <v>3739</v>
      </c>
      <c r="AF437" s="2">
        <f t="shared" si="156"/>
        <v>3740</v>
      </c>
      <c r="AG437" s="2">
        <f t="shared" si="157"/>
        <v>4472</v>
      </c>
      <c r="AH437" s="2">
        <f t="shared" si="158"/>
        <v>4186</v>
      </c>
      <c r="AI437" s="2">
        <f t="shared" si="159"/>
        <v>5861</v>
      </c>
      <c r="AJ437" s="2">
        <f t="shared" si="160"/>
        <v>6017</v>
      </c>
      <c r="AK437" s="406">
        <v>1</v>
      </c>
      <c r="AL437" s="274">
        <f t="shared" ca="1" si="145"/>
        <v>234215</v>
      </c>
      <c r="AM437" s="311">
        <f t="shared" ca="1" si="146"/>
        <v>237893</v>
      </c>
      <c r="AN437" s="274">
        <f ca="1">IF(AND(Tabla7[[#This Row],[UltLec]]&lt;&gt;0,Tabla7[[#This Row],[PenLect]]&lt;&gt;0),(AM437-AL437)*Tabla7[[#This Row],[RT]],"N/A")</f>
        <v>3678</v>
      </c>
      <c r="AO437" s="273" t="s">
        <v>862</v>
      </c>
      <c r="AP437" s="392" t="s">
        <v>1191</v>
      </c>
      <c r="AQ437" s="392" t="s">
        <v>818</v>
      </c>
      <c r="AR437" s="407">
        <f t="shared" si="147"/>
        <v>0</v>
      </c>
      <c r="AT437" s="2">
        <f t="shared" ca="1" si="148"/>
        <v>0.75632325724861194</v>
      </c>
      <c r="AV437">
        <f>IF(ISBLANK(Tabla7[[#This Row],[31/12/2017]]),0,Tabla7[[#This Row],[31/12/2017]])</f>
        <v>215628</v>
      </c>
      <c r="AW437">
        <f>IF(ISBLANK(Tabla7[[#This Row],[15/01/2018]]),0,Tabla7[[#This Row],[15/01/2018]])</f>
        <v>219158</v>
      </c>
      <c r="AX437">
        <f>IF(ISBLANK(Tabla7[[#This Row],[15/02/2018]]),0,Tabla7[[#This Row],[15/02/2018]])</f>
        <v>225147</v>
      </c>
      <c r="AY437">
        <f>IF(ISBLANK(Tabla7[[#This Row],[15/03/2018]]),0,Tabla7[[#This Row],[15/03/2018]])</f>
        <v>229352</v>
      </c>
      <c r="AZ437">
        <f>IF(ISBLANK(Tabla7[[#This Row],[15/04/2018]]),0,Tabla7[[#This Row],[15/04/2018]])</f>
        <v>234215</v>
      </c>
      <c r="BA437">
        <f>IF(ISBLANK(Tabla7[[#This Row],[15/05/2018]]),0,Tabla7[[#This Row],[15/05/2018]])</f>
        <v>237893</v>
      </c>
      <c r="BB437">
        <f>IF(ISBLANK(Tabla7[[#This Row],[15/06/2018]]),0,Tabla7[[#This Row],[15/06/2018]])</f>
        <v>241528</v>
      </c>
      <c r="BC437">
        <f>IF(ISBLANK(Tabla7[[#This Row],[15/07/2018]]),0,Tabla7[[#This Row],[15/07/2018]])</f>
        <v>245267</v>
      </c>
      <c r="BD437">
        <f>IF(ISBLANK(Tabla7[[#This Row],[15/08/2018]]),0,Tabla7[[#This Row],[15/08/2018]])</f>
        <v>249007</v>
      </c>
      <c r="BE437">
        <f>IF(ISBLANK(Tabla7[[#This Row],[15/09/2018]]),0,Tabla7[[#This Row],[15/09/2018]])</f>
        <v>253479</v>
      </c>
      <c r="BF437">
        <f>IF(ISBLANK(Tabla7[[#This Row],[15/10/2018]]),0,Tabla7[[#This Row],[15/10/2018]])</f>
        <v>257665</v>
      </c>
      <c r="BG437">
        <f>IF(ISBLANK(Tabla7[[#This Row],[15/11/2018]]),0,Tabla7[[#This Row],[15/11/2018]])</f>
        <v>263526</v>
      </c>
      <c r="BH437">
        <f>IF(ISBLANK(Tabla7[[#This Row],[15/12/2018]]),0,Tabla7[[#This Row],[15/12/2018]])</f>
        <v>269543</v>
      </c>
      <c r="BI437">
        <f>IF(ISBLANK(Tabla7[[#This Row],[28/12/2018]]),0,Tabla7[[#This Row],[28/12/2018]])</f>
        <v>0</v>
      </c>
      <c r="BN43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('PM4E396380','V','VCT50','131','APV ALUMBRADO VIALES','INTERIOR CT','','');</v>
      </c>
      <c r="BO437" t="s">
        <v>243</v>
      </c>
      <c r="BP437" s="632" t="str">
        <f>CONCATENATE("insert into lecturas values ","('",Tabla7[[#This Row],[CONTADOR]],"',STR_TO_DATE('",Tabla7[[#Headers],[31/12/2017]],"','%d/%m/%Y'),",AV437,"),","('",Tabla7[[#This Row],[CONTADOR]],"',STR_TO_DATE('",Tabla7[[#Headers],[15/01/2018]],"','%d/%m/%Y'),",AW437,"),","('",Tabla7[[#This Row],[CONTADOR]],"',STR_TO_DATE('",Tabla7[[#Headers],[15/02/2018]],"','%d/%m/%Y'),",AX437,"),","('",Tabla7[[#This Row],[CONTADOR]],"',STR_TO_DATE('",Tabla7[[#Headers],[15/03/2018]],"','%d/%m/%Y'),",AY437,"),","('",Tabla7[[#This Row],[CONTADOR]],"',STR_TO_DATE('",Tabla7[[#Headers],[15/04/2018]],"','%d/%m/%Y'),",AZ437,"),","('",Tabla7[[#This Row],[CONTADOR]],"',STR_TO_DATE('",Tabla7[[#Headers],[15/05/2018]],"','%d/%m/%Y'),",BA437,"),","('",Tabla7[[#This Row],[CONTADOR]],"',STR_TO_DATE('",Tabla7[[#Headers],[15/06/2018]],"','%d/%m/%Y'),",BB437,"),","('",Tabla7[[#This Row],[CONTADOR]],"',STR_TO_DATE('",Tabla7[[#Headers],[15/07/2018]],"','%d/%m/%Y'),",BC437,"),","('",Tabla7[[#This Row],[CONTADOR]],"',STR_TO_DATE('",Tabla7[[#Headers],[15/08/2018]],"','%d/%m/%Y'),",BD437,"),","('",Tabla7[[#This Row],[CONTADOR]],"',STR_TO_DATE('",Tabla7[[#Headers],[15/09/2018]],"','%d/%m/%Y'),",BE437,"),","('",Tabla7[[#This Row],[CONTADOR]],"',STR_TO_DATE('",Tabla7[[#Headers],[15/10/2018]],"','%d/%m/%Y'),",BF437,"),","('",Tabla7[[#This Row],[CONTADOR]],"',STR_TO_DATE('",Tabla7[[#Headers],[15/11/2018]],"','%d/%m/%Y'),",BG437,"),","('",Tabla7[[#This Row],[CONTADOR]],"',STR_TO_DATE('",Tabla7[[#Headers],[15/12/2018]],"','%d/%m/%Y'),",BH437,");")</f>
        <v>insert into lecturas values ('PM4E396380',STR_TO_DATE('31/12/2017','%d/%m/%Y'),215628),('PM4E396380',STR_TO_DATE('15/01/2018','%d/%m/%Y'),219158),('PM4E396380',STR_TO_DATE('15/02/2018','%d/%m/%Y'),225147),('PM4E396380',STR_TO_DATE('15/03/2018','%d/%m/%Y'),229352),('PM4E396380',STR_TO_DATE('15/04/2018','%d/%m/%Y'),234215),('PM4E396380',STR_TO_DATE('15/05/2018','%d/%m/%Y'),237893),('PM4E396380',STR_TO_DATE('15/06/2018','%d/%m/%Y'),241528),('PM4E396380',STR_TO_DATE('15/07/2018','%d/%m/%Y'),245267),('PM4E396380',STR_TO_DATE('15/08/2018','%d/%m/%Y'),249007),('PM4E396380',STR_TO_DATE('15/09/2018','%d/%m/%Y'),253479),('PM4E396380',STR_TO_DATE('15/10/2018','%d/%m/%Y'),257665),('PM4E396380',STR_TO_DATE('15/11/2018','%d/%m/%Y'),263526),('PM4E396380',STR_TO_DATE('15/12/2018','%d/%m/%Y'),269543);</v>
      </c>
    </row>
    <row r="438" spans="1:68" ht="18" customHeight="1" x14ac:dyDescent="0.25">
      <c r="A438" s="241" t="s">
        <v>19</v>
      </c>
      <c r="B438" s="60"/>
      <c r="C438" s="342" t="s">
        <v>1244</v>
      </c>
      <c r="D438" s="60" t="s">
        <v>296</v>
      </c>
      <c r="E438" s="258">
        <v>132</v>
      </c>
      <c r="F438" s="274" t="s">
        <v>737</v>
      </c>
      <c r="G438" s="274" t="s">
        <v>47</v>
      </c>
      <c r="H438" s="274"/>
      <c r="I438" s="274" t="s">
        <v>738</v>
      </c>
      <c r="J438" s="274">
        <v>12199</v>
      </c>
      <c r="K438" s="274">
        <v>12204</v>
      </c>
      <c r="L438" s="311">
        <v>12213</v>
      </c>
      <c r="M438" s="311">
        <v>12220</v>
      </c>
      <c r="N438" s="311">
        <v>12227</v>
      </c>
      <c r="O438" s="311">
        <v>12233</v>
      </c>
      <c r="P438" s="283">
        <v>12238</v>
      </c>
      <c r="Q438" s="274">
        <v>12244</v>
      </c>
      <c r="R438" s="311">
        <v>12249</v>
      </c>
      <c r="S438" s="311">
        <v>12256</v>
      </c>
      <c r="T438" s="311">
        <v>12262</v>
      </c>
      <c r="U438" s="311">
        <v>12272</v>
      </c>
      <c r="V438" s="311">
        <v>12281</v>
      </c>
      <c r="W438" s="274"/>
      <c r="X438" s="274"/>
      <c r="Y438" s="274">
        <f t="shared" si="151"/>
        <v>5</v>
      </c>
      <c r="Z438" s="274">
        <f t="shared" si="152"/>
        <v>9</v>
      </c>
      <c r="AA438" s="274">
        <f t="shared" si="162"/>
        <v>7</v>
      </c>
      <c r="AB438" s="274">
        <f t="shared" si="161"/>
        <v>7</v>
      </c>
      <c r="AC438" s="274">
        <f t="shared" si="153"/>
        <v>6</v>
      </c>
      <c r="AD438" s="274">
        <f t="shared" si="154"/>
        <v>5</v>
      </c>
      <c r="AE438" s="274">
        <f t="shared" si="155"/>
        <v>6</v>
      </c>
      <c r="AF438" s="274">
        <f t="shared" si="156"/>
        <v>5</v>
      </c>
      <c r="AG438" s="274">
        <f t="shared" si="157"/>
        <v>7</v>
      </c>
      <c r="AH438" s="274">
        <f t="shared" si="158"/>
        <v>6</v>
      </c>
      <c r="AI438" s="274">
        <f t="shared" si="159"/>
        <v>10</v>
      </c>
      <c r="AJ438" s="274">
        <f t="shared" si="160"/>
        <v>9</v>
      </c>
      <c r="AK438" s="406">
        <v>1</v>
      </c>
      <c r="AL438" s="274">
        <f t="shared" ca="1" si="145"/>
        <v>12227</v>
      </c>
      <c r="AM438" s="311">
        <f t="shared" ca="1" si="146"/>
        <v>12233</v>
      </c>
      <c r="AN438" s="274">
        <f ca="1">IF(AND(Tabla7[[#This Row],[UltLec]]&lt;&gt;0,Tabla7[[#This Row],[PenLect]]&lt;&gt;0),(AM438-AL438)*Tabla7[[#This Row],[RT]],"N/A")</f>
        <v>6</v>
      </c>
      <c r="AO438" s="273" t="s">
        <v>862</v>
      </c>
      <c r="AP438" s="441" t="s">
        <v>1191</v>
      </c>
      <c r="AQ438" s="441" t="s">
        <v>818</v>
      </c>
      <c r="AR438" s="407">
        <f t="shared" si="147"/>
        <v>0</v>
      </c>
      <c r="AT438" s="2">
        <f t="shared" ca="1" si="148"/>
        <v>0.8571428571428571</v>
      </c>
      <c r="AV438">
        <f>IF(ISBLANK(Tabla7[[#This Row],[31/12/2017]]),0,Tabla7[[#This Row],[31/12/2017]])</f>
        <v>12199</v>
      </c>
      <c r="AW438">
        <f>IF(ISBLANK(Tabla7[[#This Row],[15/01/2018]]),0,Tabla7[[#This Row],[15/01/2018]])</f>
        <v>12204</v>
      </c>
      <c r="AX438">
        <f>IF(ISBLANK(Tabla7[[#This Row],[15/02/2018]]),0,Tabla7[[#This Row],[15/02/2018]])</f>
        <v>12213</v>
      </c>
      <c r="AY438">
        <f>IF(ISBLANK(Tabla7[[#This Row],[15/03/2018]]),0,Tabla7[[#This Row],[15/03/2018]])</f>
        <v>12220</v>
      </c>
      <c r="AZ438">
        <f>IF(ISBLANK(Tabla7[[#This Row],[15/04/2018]]),0,Tabla7[[#This Row],[15/04/2018]])</f>
        <v>12227</v>
      </c>
      <c r="BA438">
        <f>IF(ISBLANK(Tabla7[[#This Row],[15/05/2018]]),0,Tabla7[[#This Row],[15/05/2018]])</f>
        <v>12233</v>
      </c>
      <c r="BB438">
        <f>IF(ISBLANK(Tabla7[[#This Row],[15/06/2018]]),0,Tabla7[[#This Row],[15/06/2018]])</f>
        <v>12238</v>
      </c>
      <c r="BC438">
        <f>IF(ISBLANK(Tabla7[[#This Row],[15/07/2018]]),0,Tabla7[[#This Row],[15/07/2018]])</f>
        <v>12244</v>
      </c>
      <c r="BD438">
        <f>IF(ISBLANK(Tabla7[[#This Row],[15/08/2018]]),0,Tabla7[[#This Row],[15/08/2018]])</f>
        <v>12249</v>
      </c>
      <c r="BE438">
        <f>IF(ISBLANK(Tabla7[[#This Row],[15/09/2018]]),0,Tabla7[[#This Row],[15/09/2018]])</f>
        <v>12256</v>
      </c>
      <c r="BF438">
        <f>IF(ISBLANK(Tabla7[[#This Row],[15/10/2018]]),0,Tabla7[[#This Row],[15/10/2018]])</f>
        <v>12262</v>
      </c>
      <c r="BG438">
        <f>IF(ISBLANK(Tabla7[[#This Row],[15/11/2018]]),0,Tabla7[[#This Row],[15/11/2018]])</f>
        <v>12272</v>
      </c>
      <c r="BH438">
        <f>IF(ISBLANK(Tabla7[[#This Row],[15/12/2018]]),0,Tabla7[[#This Row],[15/12/2018]])</f>
        <v>12281</v>
      </c>
      <c r="BI438">
        <f>IF(ISBLANK(Tabla7[[#This Row],[28/12/2018]]),0,Tabla7[[#This Row],[28/12/2018]])</f>
        <v>0</v>
      </c>
      <c r="BN43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('PM4E396383','V','VCT50','132','TORRES ALUMBRADO ENTRADA M. CRUCEROS','INTERIOR CT','','Descubierto con lectura amarilla el 22 de Marzo del 2017');</v>
      </c>
      <c r="BO438" t="s">
        <v>243</v>
      </c>
      <c r="BP438" s="632" t="str">
        <f>CONCATENATE("insert into lecturas values ","('",Tabla7[[#This Row],[CONTADOR]],"',STR_TO_DATE('",Tabla7[[#Headers],[31/12/2017]],"','%d/%m/%Y'),",AV438,"),","('",Tabla7[[#This Row],[CONTADOR]],"',STR_TO_DATE('",Tabla7[[#Headers],[15/01/2018]],"','%d/%m/%Y'),",AW438,"),","('",Tabla7[[#This Row],[CONTADOR]],"',STR_TO_DATE('",Tabla7[[#Headers],[15/02/2018]],"','%d/%m/%Y'),",AX438,"),","('",Tabla7[[#This Row],[CONTADOR]],"',STR_TO_DATE('",Tabla7[[#Headers],[15/03/2018]],"','%d/%m/%Y'),",AY438,"),","('",Tabla7[[#This Row],[CONTADOR]],"',STR_TO_DATE('",Tabla7[[#Headers],[15/04/2018]],"','%d/%m/%Y'),",AZ438,"),","('",Tabla7[[#This Row],[CONTADOR]],"',STR_TO_DATE('",Tabla7[[#Headers],[15/05/2018]],"','%d/%m/%Y'),",BA438,"),","('",Tabla7[[#This Row],[CONTADOR]],"',STR_TO_DATE('",Tabla7[[#Headers],[15/06/2018]],"','%d/%m/%Y'),",BB438,"),","('",Tabla7[[#This Row],[CONTADOR]],"',STR_TO_DATE('",Tabla7[[#Headers],[15/07/2018]],"','%d/%m/%Y'),",BC438,"),","('",Tabla7[[#This Row],[CONTADOR]],"',STR_TO_DATE('",Tabla7[[#Headers],[15/08/2018]],"','%d/%m/%Y'),",BD438,"),","('",Tabla7[[#This Row],[CONTADOR]],"',STR_TO_DATE('",Tabla7[[#Headers],[15/09/2018]],"','%d/%m/%Y'),",BE438,"),","('",Tabla7[[#This Row],[CONTADOR]],"',STR_TO_DATE('",Tabla7[[#Headers],[15/10/2018]],"','%d/%m/%Y'),",BF438,"),","('",Tabla7[[#This Row],[CONTADOR]],"',STR_TO_DATE('",Tabla7[[#Headers],[15/11/2018]],"','%d/%m/%Y'),",BG438,"),","('",Tabla7[[#This Row],[CONTADOR]],"',STR_TO_DATE('",Tabla7[[#Headers],[15/12/2018]],"','%d/%m/%Y'),",BH438,");")</f>
        <v>insert into lecturas values ('PM4E396383',STR_TO_DATE('31/12/2017','%d/%m/%Y'),12199),('PM4E396383',STR_TO_DATE('15/01/2018','%d/%m/%Y'),12204),('PM4E396383',STR_TO_DATE('15/02/2018','%d/%m/%Y'),12213),('PM4E396383',STR_TO_DATE('15/03/2018','%d/%m/%Y'),12220),('PM4E396383',STR_TO_DATE('15/04/2018','%d/%m/%Y'),12227),('PM4E396383',STR_TO_DATE('15/05/2018','%d/%m/%Y'),12233),('PM4E396383',STR_TO_DATE('15/06/2018','%d/%m/%Y'),12238),('PM4E396383',STR_TO_DATE('15/07/2018','%d/%m/%Y'),12244),('PM4E396383',STR_TO_DATE('15/08/2018','%d/%m/%Y'),12249),('PM4E396383',STR_TO_DATE('15/09/2018','%d/%m/%Y'),12256),('PM4E396383',STR_TO_DATE('15/10/2018','%d/%m/%Y'),12262),('PM4E396383',STR_TO_DATE('15/11/2018','%d/%m/%Y'),12272),('PM4E396383',STR_TO_DATE('15/12/2018','%d/%m/%Y'),12281);</v>
      </c>
    </row>
    <row r="439" spans="1:68" ht="18" customHeight="1" x14ac:dyDescent="0.25">
      <c r="A439" s="241" t="s">
        <v>19</v>
      </c>
      <c r="B439" s="60" t="s">
        <v>301</v>
      </c>
      <c r="C439" s="342">
        <v>114467100</v>
      </c>
      <c r="D439" s="60" t="s">
        <v>298</v>
      </c>
      <c r="E439" s="258">
        <v>39518</v>
      </c>
      <c r="F439" s="2" t="s">
        <v>996</v>
      </c>
      <c r="G439" s="2" t="s">
        <v>47</v>
      </c>
      <c r="H439" s="2" t="s">
        <v>303</v>
      </c>
      <c r="I439" s="2"/>
      <c r="J439" s="2">
        <v>60159</v>
      </c>
      <c r="K439" s="274">
        <v>61800</v>
      </c>
      <c r="L439" s="311">
        <v>64315</v>
      </c>
      <c r="M439" s="311">
        <v>66261</v>
      </c>
      <c r="N439" s="311">
        <v>68445</v>
      </c>
      <c r="O439" s="311">
        <v>70040</v>
      </c>
      <c r="P439" s="1">
        <v>71607</v>
      </c>
      <c r="Q439" s="274">
        <v>73220</v>
      </c>
      <c r="R439" s="311">
        <v>74836</v>
      </c>
      <c r="S439" s="311">
        <v>76771</v>
      </c>
      <c r="T439" s="311">
        <v>78863</v>
      </c>
      <c r="U439" s="492">
        <v>81026</v>
      </c>
      <c r="V439" s="492">
        <v>83754</v>
      </c>
      <c r="W439" s="2"/>
      <c r="X439" s="2"/>
      <c r="Y439" s="2">
        <f t="shared" si="151"/>
        <v>1641</v>
      </c>
      <c r="Z439" s="2">
        <f t="shared" si="152"/>
        <v>2515</v>
      </c>
      <c r="AA439" s="2">
        <f t="shared" si="162"/>
        <v>1946</v>
      </c>
      <c r="AB439" s="2">
        <f t="shared" si="161"/>
        <v>2184</v>
      </c>
      <c r="AC439" s="2">
        <f t="shared" si="153"/>
        <v>1595</v>
      </c>
      <c r="AD439" s="2">
        <f t="shared" si="154"/>
        <v>1567</v>
      </c>
      <c r="AE439" s="2">
        <f t="shared" si="155"/>
        <v>1613</v>
      </c>
      <c r="AF439" s="2">
        <f t="shared" si="156"/>
        <v>1616</v>
      </c>
      <c r="AG439" s="2">
        <f t="shared" si="157"/>
        <v>1935</v>
      </c>
      <c r="AH439" s="2">
        <f t="shared" si="158"/>
        <v>2092</v>
      </c>
      <c r="AI439" s="2">
        <f t="shared" si="159"/>
        <v>2163</v>
      </c>
      <c r="AJ439" s="2">
        <f t="shared" si="160"/>
        <v>2728</v>
      </c>
      <c r="AK439" s="406">
        <v>1</v>
      </c>
      <c r="AL439" s="274">
        <f t="shared" ca="1" si="145"/>
        <v>68445</v>
      </c>
      <c r="AM439" s="311">
        <f t="shared" ca="1" si="146"/>
        <v>70040</v>
      </c>
      <c r="AN439" s="274">
        <f ca="1">IF(AND(Tabla7[[#This Row],[UltLec]]&lt;&gt;0,Tabla7[[#This Row],[PenLect]]&lt;&gt;0),(AM439-AL439)*Tabla7[[#This Row],[RT]],"N/A")</f>
        <v>1595</v>
      </c>
      <c r="AO439" s="273" t="s">
        <v>862</v>
      </c>
      <c r="AP439" s="392" t="s">
        <v>1190</v>
      </c>
      <c r="AQ439" s="392" t="s">
        <v>1189</v>
      </c>
      <c r="AR439" s="407">
        <f t="shared" si="147"/>
        <v>0</v>
      </c>
      <c r="AT439" s="2">
        <f t="shared" ca="1" si="148"/>
        <v>0.73031135531135527</v>
      </c>
      <c r="AV439">
        <f>IF(ISBLANK(Tabla7[[#This Row],[31/12/2017]]),0,Tabla7[[#This Row],[31/12/2017]])</f>
        <v>60159</v>
      </c>
      <c r="AW439">
        <f>IF(ISBLANK(Tabla7[[#This Row],[15/01/2018]]),0,Tabla7[[#This Row],[15/01/2018]])</f>
        <v>61800</v>
      </c>
      <c r="AX439">
        <f>IF(ISBLANK(Tabla7[[#This Row],[15/02/2018]]),0,Tabla7[[#This Row],[15/02/2018]])</f>
        <v>64315</v>
      </c>
      <c r="AY439">
        <f>IF(ISBLANK(Tabla7[[#This Row],[15/03/2018]]),0,Tabla7[[#This Row],[15/03/2018]])</f>
        <v>66261</v>
      </c>
      <c r="AZ439">
        <f>IF(ISBLANK(Tabla7[[#This Row],[15/04/2018]]),0,Tabla7[[#This Row],[15/04/2018]])</f>
        <v>68445</v>
      </c>
      <c r="BA439">
        <f>IF(ISBLANK(Tabla7[[#This Row],[15/05/2018]]),0,Tabla7[[#This Row],[15/05/2018]])</f>
        <v>70040</v>
      </c>
      <c r="BB439">
        <f>IF(ISBLANK(Tabla7[[#This Row],[15/06/2018]]),0,Tabla7[[#This Row],[15/06/2018]])</f>
        <v>71607</v>
      </c>
      <c r="BC439">
        <f>IF(ISBLANK(Tabla7[[#This Row],[15/07/2018]]),0,Tabla7[[#This Row],[15/07/2018]])</f>
        <v>73220</v>
      </c>
      <c r="BD439">
        <f>IF(ISBLANK(Tabla7[[#This Row],[15/08/2018]]),0,Tabla7[[#This Row],[15/08/2018]])</f>
        <v>74836</v>
      </c>
      <c r="BE439">
        <f>IF(ISBLANK(Tabla7[[#This Row],[15/09/2018]]),0,Tabla7[[#This Row],[15/09/2018]])</f>
        <v>76771</v>
      </c>
      <c r="BF439">
        <f>IF(ISBLANK(Tabla7[[#This Row],[15/10/2018]]),0,Tabla7[[#This Row],[15/10/2018]])</f>
        <v>78863</v>
      </c>
      <c r="BG439">
        <f>IF(ISBLANK(Tabla7[[#This Row],[15/11/2018]]),0,Tabla7[[#This Row],[15/11/2018]])</f>
        <v>81026</v>
      </c>
      <c r="BH439">
        <f>IF(ISBLANK(Tabla7[[#This Row],[15/12/2018]]),0,Tabla7[[#This Row],[15/12/2018]])</f>
        <v>83754</v>
      </c>
      <c r="BI439">
        <f>IF(ISBLANK(Tabla7[[#This Row],[28/12/2018]]),0,Tabla7[[#This Row],[28/12/2018]])</f>
        <v>0</v>
      </c>
      <c r="BN43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('114467100','V','VCT51','39518','VALENCIA TERMINAL EUROPA, S.A. TORRE 5102','INTERIOR CT','Torre 5102','');</v>
      </c>
      <c r="BO439" t="s">
        <v>243</v>
      </c>
      <c r="BP439" s="632" t="str">
        <f>CONCATENATE("insert into lecturas values ","('",Tabla7[[#This Row],[CONTADOR]],"',STR_TO_DATE('",Tabla7[[#Headers],[31/12/2017]],"','%d/%m/%Y'),",AV439,"),","('",Tabla7[[#This Row],[CONTADOR]],"',STR_TO_DATE('",Tabla7[[#Headers],[15/01/2018]],"','%d/%m/%Y'),",AW439,"),","('",Tabla7[[#This Row],[CONTADOR]],"',STR_TO_DATE('",Tabla7[[#Headers],[15/02/2018]],"','%d/%m/%Y'),",AX439,"),","('",Tabla7[[#This Row],[CONTADOR]],"',STR_TO_DATE('",Tabla7[[#Headers],[15/03/2018]],"','%d/%m/%Y'),",AY439,"),","('",Tabla7[[#This Row],[CONTADOR]],"',STR_TO_DATE('",Tabla7[[#Headers],[15/04/2018]],"','%d/%m/%Y'),",AZ439,"),","('",Tabla7[[#This Row],[CONTADOR]],"',STR_TO_DATE('",Tabla7[[#Headers],[15/05/2018]],"','%d/%m/%Y'),",BA439,"),","('",Tabla7[[#This Row],[CONTADOR]],"',STR_TO_DATE('",Tabla7[[#Headers],[15/06/2018]],"','%d/%m/%Y'),",BB439,"),","('",Tabla7[[#This Row],[CONTADOR]],"',STR_TO_DATE('",Tabla7[[#Headers],[15/07/2018]],"','%d/%m/%Y'),",BC439,"),","('",Tabla7[[#This Row],[CONTADOR]],"',STR_TO_DATE('",Tabla7[[#Headers],[15/08/2018]],"','%d/%m/%Y'),",BD439,"),","('",Tabla7[[#This Row],[CONTADOR]],"',STR_TO_DATE('",Tabla7[[#Headers],[15/09/2018]],"','%d/%m/%Y'),",BE439,"),","('",Tabla7[[#This Row],[CONTADOR]],"',STR_TO_DATE('",Tabla7[[#Headers],[15/10/2018]],"','%d/%m/%Y'),",BF439,"),","('",Tabla7[[#This Row],[CONTADOR]],"',STR_TO_DATE('",Tabla7[[#Headers],[15/11/2018]],"','%d/%m/%Y'),",BG439,"),","('",Tabla7[[#This Row],[CONTADOR]],"',STR_TO_DATE('",Tabla7[[#Headers],[15/12/2018]],"','%d/%m/%Y'),",BH439,");")</f>
        <v>insert into lecturas values ('114467100',STR_TO_DATE('31/12/2017','%d/%m/%Y'),60159),('114467100',STR_TO_DATE('15/01/2018','%d/%m/%Y'),61800),('114467100',STR_TO_DATE('15/02/2018','%d/%m/%Y'),64315),('114467100',STR_TO_DATE('15/03/2018','%d/%m/%Y'),66261),('114467100',STR_TO_DATE('15/04/2018','%d/%m/%Y'),68445),('114467100',STR_TO_DATE('15/05/2018','%d/%m/%Y'),70040),('114467100',STR_TO_DATE('15/06/2018','%d/%m/%Y'),71607),('114467100',STR_TO_DATE('15/07/2018','%d/%m/%Y'),73220),('114467100',STR_TO_DATE('15/08/2018','%d/%m/%Y'),74836),('114467100',STR_TO_DATE('15/09/2018','%d/%m/%Y'),76771),('114467100',STR_TO_DATE('15/10/2018','%d/%m/%Y'),78863),('114467100',STR_TO_DATE('15/11/2018','%d/%m/%Y'),81026),('114467100',STR_TO_DATE('15/12/2018','%d/%m/%Y'),83754);</v>
      </c>
    </row>
    <row r="440" spans="1:68" ht="18" customHeight="1" x14ac:dyDescent="0.25">
      <c r="A440" s="241" t="s">
        <v>19</v>
      </c>
      <c r="B440" s="60" t="s">
        <v>301</v>
      </c>
      <c r="C440" s="342">
        <v>114467132</v>
      </c>
      <c r="D440" s="60" t="s">
        <v>298</v>
      </c>
      <c r="E440" s="258">
        <v>39519</v>
      </c>
      <c r="F440" s="2" t="s">
        <v>997</v>
      </c>
      <c r="G440" s="2" t="s">
        <v>47</v>
      </c>
      <c r="H440" s="2" t="s">
        <v>304</v>
      </c>
      <c r="I440" s="2"/>
      <c r="J440" s="2">
        <v>49601</v>
      </c>
      <c r="K440" s="274">
        <v>50799</v>
      </c>
      <c r="L440" s="311">
        <v>52958</v>
      </c>
      <c r="M440" s="311">
        <v>54625</v>
      </c>
      <c r="N440" s="311">
        <v>56503</v>
      </c>
      <c r="O440" s="311">
        <v>57876</v>
      </c>
      <c r="P440" s="1">
        <v>59220</v>
      </c>
      <c r="Q440" s="49">
        <v>60607</v>
      </c>
      <c r="R440" s="311">
        <v>61999</v>
      </c>
      <c r="S440" s="311">
        <v>63656</v>
      </c>
      <c r="T440" s="311">
        <v>65207</v>
      </c>
      <c r="U440" s="492">
        <v>67319</v>
      </c>
      <c r="V440" s="492">
        <v>69661</v>
      </c>
      <c r="W440" s="2"/>
      <c r="X440" s="2"/>
      <c r="Y440" s="2">
        <f t="shared" si="151"/>
        <v>1198</v>
      </c>
      <c r="Z440" s="2">
        <f t="shared" si="152"/>
        <v>2159</v>
      </c>
      <c r="AA440" s="2">
        <f t="shared" si="162"/>
        <v>1667</v>
      </c>
      <c r="AB440" s="2">
        <f t="shared" si="161"/>
        <v>1878</v>
      </c>
      <c r="AC440" s="2">
        <f t="shared" si="153"/>
        <v>1373</v>
      </c>
      <c r="AD440" s="2">
        <f t="shared" si="154"/>
        <v>1344</v>
      </c>
      <c r="AE440" s="2">
        <f t="shared" si="155"/>
        <v>1387</v>
      </c>
      <c r="AF440" s="2">
        <f t="shared" si="156"/>
        <v>1392</v>
      </c>
      <c r="AG440" s="2">
        <f t="shared" si="157"/>
        <v>1657</v>
      </c>
      <c r="AH440" s="2">
        <f t="shared" si="158"/>
        <v>1551</v>
      </c>
      <c r="AI440" s="2">
        <f t="shared" si="159"/>
        <v>2112</v>
      </c>
      <c r="AJ440" s="2">
        <f t="shared" si="160"/>
        <v>2342</v>
      </c>
      <c r="AK440" s="406">
        <v>1</v>
      </c>
      <c r="AL440" s="274">
        <f t="shared" ca="1" si="145"/>
        <v>56503</v>
      </c>
      <c r="AM440" s="311">
        <f t="shared" ca="1" si="146"/>
        <v>57876</v>
      </c>
      <c r="AN440" s="274">
        <f ca="1">IF(AND(Tabla7[[#This Row],[UltLec]]&lt;&gt;0,Tabla7[[#This Row],[PenLect]]&lt;&gt;0),(AM440-AL440)*Tabla7[[#This Row],[RT]],"N/A")</f>
        <v>1373</v>
      </c>
      <c r="AO440" s="273" t="s">
        <v>862</v>
      </c>
      <c r="AP440" s="392" t="s">
        <v>1190</v>
      </c>
      <c r="AQ440" s="392" t="s">
        <v>1189</v>
      </c>
      <c r="AR440" s="407">
        <f t="shared" si="147"/>
        <v>0</v>
      </c>
      <c r="AT440" s="2">
        <f t="shared" ca="1" si="148"/>
        <v>0.73109691160809376</v>
      </c>
      <c r="AV440">
        <f>IF(ISBLANK(Tabla7[[#This Row],[31/12/2017]]),0,Tabla7[[#This Row],[31/12/2017]])</f>
        <v>49601</v>
      </c>
      <c r="AW440">
        <f>IF(ISBLANK(Tabla7[[#This Row],[15/01/2018]]),0,Tabla7[[#This Row],[15/01/2018]])</f>
        <v>50799</v>
      </c>
      <c r="AX440">
        <f>IF(ISBLANK(Tabla7[[#This Row],[15/02/2018]]),0,Tabla7[[#This Row],[15/02/2018]])</f>
        <v>52958</v>
      </c>
      <c r="AY440">
        <f>IF(ISBLANK(Tabla7[[#This Row],[15/03/2018]]),0,Tabla7[[#This Row],[15/03/2018]])</f>
        <v>54625</v>
      </c>
      <c r="AZ440">
        <f>IF(ISBLANK(Tabla7[[#This Row],[15/04/2018]]),0,Tabla7[[#This Row],[15/04/2018]])</f>
        <v>56503</v>
      </c>
      <c r="BA440">
        <f>IF(ISBLANK(Tabla7[[#This Row],[15/05/2018]]),0,Tabla7[[#This Row],[15/05/2018]])</f>
        <v>57876</v>
      </c>
      <c r="BB440">
        <f>IF(ISBLANK(Tabla7[[#This Row],[15/06/2018]]),0,Tabla7[[#This Row],[15/06/2018]])</f>
        <v>59220</v>
      </c>
      <c r="BC440">
        <f>IF(ISBLANK(Tabla7[[#This Row],[15/07/2018]]),0,Tabla7[[#This Row],[15/07/2018]])</f>
        <v>60607</v>
      </c>
      <c r="BD440">
        <f>IF(ISBLANK(Tabla7[[#This Row],[15/08/2018]]),0,Tabla7[[#This Row],[15/08/2018]])</f>
        <v>61999</v>
      </c>
      <c r="BE440">
        <f>IF(ISBLANK(Tabla7[[#This Row],[15/09/2018]]),0,Tabla7[[#This Row],[15/09/2018]])</f>
        <v>63656</v>
      </c>
      <c r="BF440">
        <f>IF(ISBLANK(Tabla7[[#This Row],[15/10/2018]]),0,Tabla7[[#This Row],[15/10/2018]])</f>
        <v>65207</v>
      </c>
      <c r="BG440">
        <f>IF(ISBLANK(Tabla7[[#This Row],[15/11/2018]]),0,Tabla7[[#This Row],[15/11/2018]])</f>
        <v>67319</v>
      </c>
      <c r="BH440">
        <f>IF(ISBLANK(Tabla7[[#This Row],[15/12/2018]]),0,Tabla7[[#This Row],[15/12/2018]])</f>
        <v>69661</v>
      </c>
      <c r="BI440">
        <f>IF(ISBLANK(Tabla7[[#This Row],[28/12/2018]]),0,Tabla7[[#This Row],[28/12/2018]])</f>
        <v>0</v>
      </c>
      <c r="BN44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('114467132','V','VCT51','39519','VALENCIA TERMINAL EUROPA, S.A. TORRE 5104','INTERIOR CT','Torre 5104','');</v>
      </c>
      <c r="BO440" t="s">
        <v>243</v>
      </c>
      <c r="BP440" s="632" t="str">
        <f>CONCATENATE("insert into lecturas values ","('",Tabla7[[#This Row],[CONTADOR]],"',STR_TO_DATE('",Tabla7[[#Headers],[31/12/2017]],"','%d/%m/%Y'),",AV440,"),","('",Tabla7[[#This Row],[CONTADOR]],"',STR_TO_DATE('",Tabla7[[#Headers],[15/01/2018]],"','%d/%m/%Y'),",AW440,"),","('",Tabla7[[#This Row],[CONTADOR]],"',STR_TO_DATE('",Tabla7[[#Headers],[15/02/2018]],"','%d/%m/%Y'),",AX440,"),","('",Tabla7[[#This Row],[CONTADOR]],"',STR_TO_DATE('",Tabla7[[#Headers],[15/03/2018]],"','%d/%m/%Y'),",AY440,"),","('",Tabla7[[#This Row],[CONTADOR]],"',STR_TO_DATE('",Tabla7[[#Headers],[15/04/2018]],"','%d/%m/%Y'),",AZ440,"),","('",Tabla7[[#This Row],[CONTADOR]],"',STR_TO_DATE('",Tabla7[[#Headers],[15/05/2018]],"','%d/%m/%Y'),",BA440,"),","('",Tabla7[[#This Row],[CONTADOR]],"',STR_TO_DATE('",Tabla7[[#Headers],[15/06/2018]],"','%d/%m/%Y'),",BB440,"),","('",Tabla7[[#This Row],[CONTADOR]],"',STR_TO_DATE('",Tabla7[[#Headers],[15/07/2018]],"','%d/%m/%Y'),",BC440,"),","('",Tabla7[[#This Row],[CONTADOR]],"',STR_TO_DATE('",Tabla7[[#Headers],[15/08/2018]],"','%d/%m/%Y'),",BD440,"),","('",Tabla7[[#This Row],[CONTADOR]],"',STR_TO_DATE('",Tabla7[[#Headers],[15/09/2018]],"','%d/%m/%Y'),",BE440,"),","('",Tabla7[[#This Row],[CONTADOR]],"',STR_TO_DATE('",Tabla7[[#Headers],[15/10/2018]],"','%d/%m/%Y'),",BF440,"),","('",Tabla7[[#This Row],[CONTADOR]],"',STR_TO_DATE('",Tabla7[[#Headers],[15/11/2018]],"','%d/%m/%Y'),",BG440,"),","('",Tabla7[[#This Row],[CONTADOR]],"',STR_TO_DATE('",Tabla7[[#Headers],[15/12/2018]],"','%d/%m/%Y'),",BH440,");")</f>
        <v>insert into lecturas values ('114467132',STR_TO_DATE('31/12/2017','%d/%m/%Y'),49601),('114467132',STR_TO_DATE('15/01/2018','%d/%m/%Y'),50799),('114467132',STR_TO_DATE('15/02/2018','%d/%m/%Y'),52958),('114467132',STR_TO_DATE('15/03/2018','%d/%m/%Y'),54625),('114467132',STR_TO_DATE('15/04/2018','%d/%m/%Y'),56503),('114467132',STR_TO_DATE('15/05/2018','%d/%m/%Y'),57876),('114467132',STR_TO_DATE('15/06/2018','%d/%m/%Y'),59220),('114467132',STR_TO_DATE('15/07/2018','%d/%m/%Y'),60607),('114467132',STR_TO_DATE('15/08/2018','%d/%m/%Y'),61999),('114467132',STR_TO_DATE('15/09/2018','%d/%m/%Y'),63656),('114467132',STR_TO_DATE('15/10/2018','%d/%m/%Y'),65207),('114467132',STR_TO_DATE('15/11/2018','%d/%m/%Y'),67319),('114467132',STR_TO_DATE('15/12/2018','%d/%m/%Y'),69661);</v>
      </c>
    </row>
    <row r="441" spans="1:68" ht="18" customHeight="1" x14ac:dyDescent="0.25">
      <c r="A441" s="241" t="s">
        <v>19</v>
      </c>
      <c r="B441" s="60"/>
      <c r="C441" s="342">
        <v>114481072</v>
      </c>
      <c r="D441" s="60" t="s">
        <v>298</v>
      </c>
      <c r="E441" s="258">
        <v>132</v>
      </c>
      <c r="F441" s="274" t="s">
        <v>305</v>
      </c>
      <c r="G441" s="2" t="s">
        <v>47</v>
      </c>
      <c r="H441" s="2" t="s">
        <v>305</v>
      </c>
      <c r="I441" s="2"/>
      <c r="J441" s="2">
        <v>60195</v>
      </c>
      <c r="K441" s="274">
        <v>61544</v>
      </c>
      <c r="L441" s="311">
        <v>64045</v>
      </c>
      <c r="M441" s="311">
        <v>65977</v>
      </c>
      <c r="N441" s="311">
        <v>68136</v>
      </c>
      <c r="O441" s="311">
        <v>69710</v>
      </c>
      <c r="P441" s="1">
        <v>71254</v>
      </c>
      <c r="Q441" s="2">
        <v>72850</v>
      </c>
      <c r="R441" s="311">
        <v>74451</v>
      </c>
      <c r="S441" s="311">
        <v>76352</v>
      </c>
      <c r="T441" s="311">
        <v>78074</v>
      </c>
      <c r="U441" s="492">
        <v>80491</v>
      </c>
      <c r="V441" s="492">
        <v>83174</v>
      </c>
      <c r="W441" s="2"/>
      <c r="X441" s="2"/>
      <c r="Y441" s="2">
        <f t="shared" si="151"/>
        <v>1349</v>
      </c>
      <c r="Z441" s="2">
        <f t="shared" si="152"/>
        <v>2501</v>
      </c>
      <c r="AA441" s="2">
        <f t="shared" si="162"/>
        <v>1932</v>
      </c>
      <c r="AB441" s="2">
        <f t="shared" si="161"/>
        <v>2159</v>
      </c>
      <c r="AC441" s="2">
        <f t="shared" si="153"/>
        <v>1574</v>
      </c>
      <c r="AD441" s="2">
        <f t="shared" si="154"/>
        <v>1544</v>
      </c>
      <c r="AE441" s="2">
        <f t="shared" si="155"/>
        <v>1596</v>
      </c>
      <c r="AF441" s="2">
        <f t="shared" si="156"/>
        <v>1601</v>
      </c>
      <c r="AG441" s="2">
        <f t="shared" si="157"/>
        <v>1901</v>
      </c>
      <c r="AH441" s="2">
        <f t="shared" si="158"/>
        <v>1722</v>
      </c>
      <c r="AI441" s="2">
        <f t="shared" si="159"/>
        <v>2417</v>
      </c>
      <c r="AJ441" s="2">
        <f t="shared" si="160"/>
        <v>2683</v>
      </c>
      <c r="AK441" s="406">
        <v>1</v>
      </c>
      <c r="AL441" s="274">
        <f t="shared" ca="1" si="145"/>
        <v>68136</v>
      </c>
      <c r="AM441" s="311">
        <f t="shared" ca="1" si="146"/>
        <v>69710</v>
      </c>
      <c r="AN441" s="274">
        <f ca="1">IF(AND(Tabla7[[#This Row],[UltLec]]&lt;&gt;0,Tabla7[[#This Row],[PenLect]]&lt;&gt;0),(AM441-AL441)*Tabla7[[#This Row],[RT]],"N/A")</f>
        <v>1574</v>
      </c>
      <c r="AO441" s="273" t="s">
        <v>862</v>
      </c>
      <c r="AP441" s="392" t="s">
        <v>1190</v>
      </c>
      <c r="AQ441" s="392" t="s">
        <v>1189</v>
      </c>
      <c r="AR441" s="407">
        <f t="shared" si="147"/>
        <v>0</v>
      </c>
      <c r="AT441" s="2">
        <f t="shared" ca="1" si="148"/>
        <v>0.72904122278832795</v>
      </c>
      <c r="AV441">
        <f>IF(ISBLANK(Tabla7[[#This Row],[31/12/2017]]),0,Tabla7[[#This Row],[31/12/2017]])</f>
        <v>60195</v>
      </c>
      <c r="AW441">
        <f>IF(ISBLANK(Tabla7[[#This Row],[15/01/2018]]),0,Tabla7[[#This Row],[15/01/2018]])</f>
        <v>61544</v>
      </c>
      <c r="AX441">
        <f>IF(ISBLANK(Tabla7[[#This Row],[15/02/2018]]),0,Tabla7[[#This Row],[15/02/2018]])</f>
        <v>64045</v>
      </c>
      <c r="AY441">
        <f>IF(ISBLANK(Tabla7[[#This Row],[15/03/2018]]),0,Tabla7[[#This Row],[15/03/2018]])</f>
        <v>65977</v>
      </c>
      <c r="AZ441">
        <f>IF(ISBLANK(Tabla7[[#This Row],[15/04/2018]]),0,Tabla7[[#This Row],[15/04/2018]])</f>
        <v>68136</v>
      </c>
      <c r="BA441">
        <f>IF(ISBLANK(Tabla7[[#This Row],[15/05/2018]]),0,Tabla7[[#This Row],[15/05/2018]])</f>
        <v>69710</v>
      </c>
      <c r="BB441">
        <f>IF(ISBLANK(Tabla7[[#This Row],[15/06/2018]]),0,Tabla7[[#This Row],[15/06/2018]])</f>
        <v>71254</v>
      </c>
      <c r="BC441">
        <f>IF(ISBLANK(Tabla7[[#This Row],[15/07/2018]]),0,Tabla7[[#This Row],[15/07/2018]])</f>
        <v>72850</v>
      </c>
      <c r="BD441">
        <f>IF(ISBLANK(Tabla7[[#This Row],[15/08/2018]]),0,Tabla7[[#This Row],[15/08/2018]])</f>
        <v>74451</v>
      </c>
      <c r="BE441">
        <f>IF(ISBLANK(Tabla7[[#This Row],[15/09/2018]]),0,Tabla7[[#This Row],[15/09/2018]])</f>
        <v>76352</v>
      </c>
      <c r="BF441">
        <f>IF(ISBLANK(Tabla7[[#This Row],[15/10/2018]]),0,Tabla7[[#This Row],[15/10/2018]])</f>
        <v>78074</v>
      </c>
      <c r="BG441">
        <f>IF(ISBLANK(Tabla7[[#This Row],[15/11/2018]]),0,Tabla7[[#This Row],[15/11/2018]])</f>
        <v>80491</v>
      </c>
      <c r="BH441">
        <f>IF(ISBLANK(Tabla7[[#This Row],[15/12/2018]]),0,Tabla7[[#This Row],[15/12/2018]])</f>
        <v>83174</v>
      </c>
      <c r="BI441">
        <f>IF(ISBLANK(Tabla7[[#This Row],[28/12/2018]]),0,Tabla7[[#This Row],[28/12/2018]])</f>
        <v>0</v>
      </c>
      <c r="BN44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('114481072','V','VCT51','132','Torre 5103','INTERIOR CT','Torre 5103','');</v>
      </c>
      <c r="BO441" t="s">
        <v>243</v>
      </c>
      <c r="BP441" s="632" t="str">
        <f>CONCATENATE("insert into lecturas values ","('",Tabla7[[#This Row],[CONTADOR]],"',STR_TO_DATE('",Tabla7[[#Headers],[31/12/2017]],"','%d/%m/%Y'),",AV441,"),","('",Tabla7[[#This Row],[CONTADOR]],"',STR_TO_DATE('",Tabla7[[#Headers],[15/01/2018]],"','%d/%m/%Y'),",AW441,"),","('",Tabla7[[#This Row],[CONTADOR]],"',STR_TO_DATE('",Tabla7[[#Headers],[15/02/2018]],"','%d/%m/%Y'),",AX441,"),","('",Tabla7[[#This Row],[CONTADOR]],"',STR_TO_DATE('",Tabla7[[#Headers],[15/03/2018]],"','%d/%m/%Y'),",AY441,"),","('",Tabla7[[#This Row],[CONTADOR]],"',STR_TO_DATE('",Tabla7[[#Headers],[15/04/2018]],"','%d/%m/%Y'),",AZ441,"),","('",Tabla7[[#This Row],[CONTADOR]],"',STR_TO_DATE('",Tabla7[[#Headers],[15/05/2018]],"','%d/%m/%Y'),",BA441,"),","('",Tabla7[[#This Row],[CONTADOR]],"',STR_TO_DATE('",Tabla7[[#Headers],[15/06/2018]],"','%d/%m/%Y'),",BB441,"),","('",Tabla7[[#This Row],[CONTADOR]],"',STR_TO_DATE('",Tabla7[[#Headers],[15/07/2018]],"','%d/%m/%Y'),",BC441,"),","('",Tabla7[[#This Row],[CONTADOR]],"',STR_TO_DATE('",Tabla7[[#Headers],[15/08/2018]],"','%d/%m/%Y'),",BD441,"),","('",Tabla7[[#This Row],[CONTADOR]],"',STR_TO_DATE('",Tabla7[[#Headers],[15/09/2018]],"','%d/%m/%Y'),",BE441,"),","('",Tabla7[[#This Row],[CONTADOR]],"',STR_TO_DATE('",Tabla7[[#Headers],[15/10/2018]],"','%d/%m/%Y'),",BF441,"),","('",Tabla7[[#This Row],[CONTADOR]],"',STR_TO_DATE('",Tabla7[[#Headers],[15/11/2018]],"','%d/%m/%Y'),",BG441,"),","('",Tabla7[[#This Row],[CONTADOR]],"',STR_TO_DATE('",Tabla7[[#Headers],[15/12/2018]],"','%d/%m/%Y'),",BH441,");")</f>
        <v>insert into lecturas values ('114481072',STR_TO_DATE('31/12/2017','%d/%m/%Y'),60195),('114481072',STR_TO_DATE('15/01/2018','%d/%m/%Y'),61544),('114481072',STR_TO_DATE('15/02/2018','%d/%m/%Y'),64045),('114481072',STR_TO_DATE('15/03/2018','%d/%m/%Y'),65977),('114481072',STR_TO_DATE('15/04/2018','%d/%m/%Y'),68136),('114481072',STR_TO_DATE('15/05/2018','%d/%m/%Y'),69710),('114481072',STR_TO_DATE('15/06/2018','%d/%m/%Y'),71254),('114481072',STR_TO_DATE('15/07/2018','%d/%m/%Y'),72850),('114481072',STR_TO_DATE('15/08/2018','%d/%m/%Y'),74451),('114481072',STR_TO_DATE('15/09/2018','%d/%m/%Y'),76352),('114481072',STR_TO_DATE('15/10/2018','%d/%m/%Y'),78074),('114481072',STR_TO_DATE('15/11/2018','%d/%m/%Y'),80491),('114481072',STR_TO_DATE('15/12/2018','%d/%m/%Y'),83174);</v>
      </c>
    </row>
    <row r="442" spans="1:68" ht="18" customHeight="1" x14ac:dyDescent="0.25">
      <c r="A442" s="241" t="s">
        <v>19</v>
      </c>
      <c r="B442" s="60" t="s">
        <v>301</v>
      </c>
      <c r="C442" s="342">
        <v>114484080</v>
      </c>
      <c r="D442" s="60" t="s">
        <v>298</v>
      </c>
      <c r="E442" s="258">
        <v>39517</v>
      </c>
      <c r="F442" s="274" t="s">
        <v>998</v>
      </c>
      <c r="G442" s="274" t="s">
        <v>47</v>
      </c>
      <c r="H442" s="274" t="s">
        <v>302</v>
      </c>
      <c r="I442" s="2"/>
      <c r="J442" s="2">
        <v>58390</v>
      </c>
      <c r="K442" s="274">
        <v>61605</v>
      </c>
      <c r="L442" s="311">
        <v>64150</v>
      </c>
      <c r="M442" s="311">
        <v>66124</v>
      </c>
      <c r="N442" s="311">
        <v>68335</v>
      </c>
      <c r="O442" s="311">
        <v>69948</v>
      </c>
      <c r="P442" s="1">
        <v>71533</v>
      </c>
      <c r="Q442" s="274">
        <v>73168</v>
      </c>
      <c r="R442" s="311">
        <v>74809</v>
      </c>
      <c r="S442" s="311">
        <v>76770</v>
      </c>
      <c r="T442" s="311">
        <v>78610</v>
      </c>
      <c r="U442" s="492">
        <v>81098</v>
      </c>
      <c r="V442" s="492">
        <v>83369</v>
      </c>
      <c r="W442" s="2"/>
      <c r="X442" s="2"/>
      <c r="Y442" s="2">
        <f t="shared" ref="Y442:Y463" si="163">IF(OR(ISBLANK(K442),ISBLANK(J442)),"",IF(AND(K442&gt;=J442,K442-J442&lt;=K442),(K442-J442)*$AK442,"!!!!"))</f>
        <v>3215</v>
      </c>
      <c r="Z442" s="2">
        <f t="shared" ref="Z442:Z463" si="164">IF(OR(ISBLANK(L442),ISBLANK(K442)),"",IF(AND(L442&gt;=K442,L442-K442&lt;=L442),(L442-K442)*$AK442,"!!!!"))</f>
        <v>2545</v>
      </c>
      <c r="AA442" s="2">
        <f t="shared" si="162"/>
        <v>1974</v>
      </c>
      <c r="AB442" s="2">
        <f t="shared" si="161"/>
        <v>2211</v>
      </c>
      <c r="AC442" s="2">
        <f t="shared" ref="AC442:AC463" si="165">IF(OR(ISBLANK(O442),ISBLANK(N442)),"",IF(AND(O442&gt;=N442,O442-N442&lt;=O442),(O442-N442)*$AK442,"!!!!"))</f>
        <v>1613</v>
      </c>
      <c r="AD442" s="2">
        <f t="shared" ref="AD442:AD463" si="166">IF(OR(ISBLANK(P442),ISBLANK(O442)),"",IF(AND(P442&gt;=O442,P442-O442&lt;=P442),(P442-O442)*$AK442,"!!!!"))</f>
        <v>1585</v>
      </c>
      <c r="AE442" s="2">
        <f t="shared" ref="AE442:AE463" si="167">IF(OR(ISBLANK(Q442),ISBLANK(P442)),"",IF(AND(Q442&gt;=P442,Q442-P442&lt;=Q442),(Q442-P442)*$AK442,"!!!!"))</f>
        <v>1635</v>
      </c>
      <c r="AF442" s="2">
        <f t="shared" ref="AF442:AF463" si="168">IF(OR(ISBLANK(R442),ISBLANK(Q442)),"",IF(AND(R442&gt;=Q442,R442-Q442&lt;=R442),(R442-Q442)*$AK442,"!!!!"))</f>
        <v>1641</v>
      </c>
      <c r="AG442" s="2">
        <f t="shared" ref="AG442:AG463" si="169">IF(OR(ISBLANK(S442),ISBLANK(R442)),"",IF(AND(S442&gt;=R442,S442-R442&lt;=S442),(S442-R442)*$AK442,"!!!!"))</f>
        <v>1961</v>
      </c>
      <c r="AH442" s="2">
        <f t="shared" ref="AH442:AH463" si="170">IF(OR(ISBLANK(T442),ISBLANK(S442)),"",IF(AND(T442&gt;=S442,T442-S442&lt;=T442),(T442-S442)*$AK442,"!!!!"))</f>
        <v>1840</v>
      </c>
      <c r="AI442" s="2">
        <f t="shared" ref="AI442:AI463" si="171">IF(OR(ISBLANK(U442),ISBLANK(T442)),"",IF(AND(U442&gt;=T442,U442-T442&lt;=U442),(U442-T442)*$AK442,"!!!!"))</f>
        <v>2488</v>
      </c>
      <c r="AJ442" s="2">
        <f t="shared" ref="AJ442:AJ463" si="172">IF(OR(ISBLANK(V442),ISBLANK(U442)),"",IF(AND(V442&gt;=U442,V442-U442&lt;=V442),(V442-U442)*$AK442,"!!!!"))</f>
        <v>2271</v>
      </c>
      <c r="AK442" s="406">
        <v>1</v>
      </c>
      <c r="AL442" s="274">
        <f t="shared" ca="1" si="145"/>
        <v>68335</v>
      </c>
      <c r="AM442" s="311">
        <f t="shared" ca="1" si="146"/>
        <v>69948</v>
      </c>
      <c r="AN442" s="274">
        <f ca="1">IF(AND(Tabla7[[#This Row],[UltLec]]&lt;&gt;0,Tabla7[[#This Row],[PenLect]]&lt;&gt;0),(AM442-AL442)*Tabla7[[#This Row],[RT]],"N/A")</f>
        <v>1613</v>
      </c>
      <c r="AO442" s="273" t="s">
        <v>862</v>
      </c>
      <c r="AP442" s="392" t="s">
        <v>1190</v>
      </c>
      <c r="AQ442" s="392" t="s">
        <v>1189</v>
      </c>
      <c r="AR442" s="407">
        <f t="shared" si="147"/>
        <v>0</v>
      </c>
      <c r="AT442" s="2">
        <f t="shared" ca="1" si="148"/>
        <v>0.72953414744459522</v>
      </c>
      <c r="AV442">
        <f>IF(ISBLANK(Tabla7[[#This Row],[31/12/2017]]),0,Tabla7[[#This Row],[31/12/2017]])</f>
        <v>58390</v>
      </c>
      <c r="AW442">
        <f>IF(ISBLANK(Tabla7[[#This Row],[15/01/2018]]),0,Tabla7[[#This Row],[15/01/2018]])</f>
        <v>61605</v>
      </c>
      <c r="AX442">
        <f>IF(ISBLANK(Tabla7[[#This Row],[15/02/2018]]),0,Tabla7[[#This Row],[15/02/2018]])</f>
        <v>64150</v>
      </c>
      <c r="AY442">
        <f>IF(ISBLANK(Tabla7[[#This Row],[15/03/2018]]),0,Tabla7[[#This Row],[15/03/2018]])</f>
        <v>66124</v>
      </c>
      <c r="AZ442">
        <f>IF(ISBLANK(Tabla7[[#This Row],[15/04/2018]]),0,Tabla7[[#This Row],[15/04/2018]])</f>
        <v>68335</v>
      </c>
      <c r="BA442">
        <f>IF(ISBLANK(Tabla7[[#This Row],[15/05/2018]]),0,Tabla7[[#This Row],[15/05/2018]])</f>
        <v>69948</v>
      </c>
      <c r="BB442">
        <f>IF(ISBLANK(Tabla7[[#This Row],[15/06/2018]]),0,Tabla7[[#This Row],[15/06/2018]])</f>
        <v>71533</v>
      </c>
      <c r="BC442">
        <f>IF(ISBLANK(Tabla7[[#This Row],[15/07/2018]]),0,Tabla7[[#This Row],[15/07/2018]])</f>
        <v>73168</v>
      </c>
      <c r="BD442">
        <f>IF(ISBLANK(Tabla7[[#This Row],[15/08/2018]]),0,Tabla7[[#This Row],[15/08/2018]])</f>
        <v>74809</v>
      </c>
      <c r="BE442">
        <f>IF(ISBLANK(Tabla7[[#This Row],[15/09/2018]]),0,Tabla7[[#This Row],[15/09/2018]])</f>
        <v>76770</v>
      </c>
      <c r="BF442">
        <f>IF(ISBLANK(Tabla7[[#This Row],[15/10/2018]]),0,Tabla7[[#This Row],[15/10/2018]])</f>
        <v>78610</v>
      </c>
      <c r="BG442">
        <f>IF(ISBLANK(Tabla7[[#This Row],[15/11/2018]]),0,Tabla7[[#This Row],[15/11/2018]])</f>
        <v>81098</v>
      </c>
      <c r="BH442">
        <f>IF(ISBLANK(Tabla7[[#This Row],[15/12/2018]]),0,Tabla7[[#This Row],[15/12/2018]])</f>
        <v>83369</v>
      </c>
      <c r="BI442">
        <f>IF(ISBLANK(Tabla7[[#This Row],[28/12/2018]]),0,Tabla7[[#This Row],[28/12/2018]])</f>
        <v>0</v>
      </c>
      <c r="BN44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('114484080','V','VCT51','39517','VALENCIA TERMINAL EUROPA, S.A. TORRE 5101','INTERIOR CT','Torre 5101','');</v>
      </c>
      <c r="BO442" t="s">
        <v>243</v>
      </c>
      <c r="BP442" s="632" t="str">
        <f>CONCATENATE("insert into lecturas values ","('",Tabla7[[#This Row],[CONTADOR]],"',STR_TO_DATE('",Tabla7[[#Headers],[31/12/2017]],"','%d/%m/%Y'),",AV442,"),","('",Tabla7[[#This Row],[CONTADOR]],"',STR_TO_DATE('",Tabla7[[#Headers],[15/01/2018]],"','%d/%m/%Y'),",AW442,"),","('",Tabla7[[#This Row],[CONTADOR]],"',STR_TO_DATE('",Tabla7[[#Headers],[15/02/2018]],"','%d/%m/%Y'),",AX442,"),","('",Tabla7[[#This Row],[CONTADOR]],"',STR_TO_DATE('",Tabla7[[#Headers],[15/03/2018]],"','%d/%m/%Y'),",AY442,"),","('",Tabla7[[#This Row],[CONTADOR]],"',STR_TO_DATE('",Tabla7[[#Headers],[15/04/2018]],"','%d/%m/%Y'),",AZ442,"),","('",Tabla7[[#This Row],[CONTADOR]],"',STR_TO_DATE('",Tabla7[[#Headers],[15/05/2018]],"','%d/%m/%Y'),",BA442,"),","('",Tabla7[[#This Row],[CONTADOR]],"',STR_TO_DATE('",Tabla7[[#Headers],[15/06/2018]],"','%d/%m/%Y'),",BB442,"),","('",Tabla7[[#This Row],[CONTADOR]],"',STR_TO_DATE('",Tabla7[[#Headers],[15/07/2018]],"','%d/%m/%Y'),",BC442,"),","('",Tabla7[[#This Row],[CONTADOR]],"',STR_TO_DATE('",Tabla7[[#Headers],[15/08/2018]],"','%d/%m/%Y'),",BD442,"),","('",Tabla7[[#This Row],[CONTADOR]],"',STR_TO_DATE('",Tabla7[[#Headers],[15/09/2018]],"','%d/%m/%Y'),",BE442,"),","('",Tabla7[[#This Row],[CONTADOR]],"',STR_TO_DATE('",Tabla7[[#Headers],[15/10/2018]],"','%d/%m/%Y'),",BF442,"),","('",Tabla7[[#This Row],[CONTADOR]],"',STR_TO_DATE('",Tabla7[[#Headers],[15/11/2018]],"','%d/%m/%Y'),",BG442,"),","('",Tabla7[[#This Row],[CONTADOR]],"',STR_TO_DATE('",Tabla7[[#Headers],[15/12/2018]],"','%d/%m/%Y'),",BH442,");")</f>
        <v>insert into lecturas values ('114484080',STR_TO_DATE('31/12/2017','%d/%m/%Y'),58390),('114484080',STR_TO_DATE('15/01/2018','%d/%m/%Y'),61605),('114484080',STR_TO_DATE('15/02/2018','%d/%m/%Y'),64150),('114484080',STR_TO_DATE('15/03/2018','%d/%m/%Y'),66124),('114484080',STR_TO_DATE('15/04/2018','%d/%m/%Y'),68335),('114484080',STR_TO_DATE('15/05/2018','%d/%m/%Y'),69948),('114484080',STR_TO_DATE('15/06/2018','%d/%m/%Y'),71533),('114484080',STR_TO_DATE('15/07/2018','%d/%m/%Y'),73168),('114484080',STR_TO_DATE('15/08/2018','%d/%m/%Y'),74809),('114484080',STR_TO_DATE('15/09/2018','%d/%m/%Y'),76770),('114484080',STR_TO_DATE('15/10/2018','%d/%m/%Y'),78610),('114484080',STR_TO_DATE('15/11/2018','%d/%m/%Y'),81098),('114484080',STR_TO_DATE('15/12/2018','%d/%m/%Y'),83369);</v>
      </c>
    </row>
    <row r="443" spans="1:68" ht="18" customHeight="1" x14ac:dyDescent="0.25">
      <c r="A443" s="241" t="s">
        <v>19</v>
      </c>
      <c r="B443" s="60">
        <v>1178</v>
      </c>
      <c r="C443" s="342" t="s">
        <v>299</v>
      </c>
      <c r="D443" s="60" t="s">
        <v>298</v>
      </c>
      <c r="E443" s="272">
        <v>39504</v>
      </c>
      <c r="F443" s="2" t="s">
        <v>146</v>
      </c>
      <c r="G443" s="2" t="s">
        <v>47</v>
      </c>
      <c r="H443" s="2" t="s">
        <v>300</v>
      </c>
      <c r="I443" s="2"/>
      <c r="J443" s="2">
        <v>14823</v>
      </c>
      <c r="K443" s="274">
        <v>14847</v>
      </c>
      <c r="L443" s="311">
        <v>14852</v>
      </c>
      <c r="M443" s="311">
        <v>14853</v>
      </c>
      <c r="N443" s="311">
        <v>14853</v>
      </c>
      <c r="O443" s="311">
        <v>14853</v>
      </c>
      <c r="P443" s="1">
        <v>14853</v>
      </c>
      <c r="Q443" s="2">
        <v>14853</v>
      </c>
      <c r="R443" s="311">
        <v>14853</v>
      </c>
      <c r="S443" s="311">
        <v>14853</v>
      </c>
      <c r="T443" s="311">
        <v>14853</v>
      </c>
      <c r="U443" s="492">
        <v>14853</v>
      </c>
      <c r="V443" s="492">
        <v>14853</v>
      </c>
      <c r="W443" s="2"/>
      <c r="X443" s="2"/>
      <c r="Y443" s="2">
        <f t="shared" si="163"/>
        <v>24</v>
      </c>
      <c r="Z443" s="2">
        <f t="shared" si="164"/>
        <v>5</v>
      </c>
      <c r="AA443" s="2">
        <f t="shared" si="162"/>
        <v>1</v>
      </c>
      <c r="AB443" s="2">
        <f t="shared" si="161"/>
        <v>0</v>
      </c>
      <c r="AC443" s="2">
        <f t="shared" si="165"/>
        <v>0</v>
      </c>
      <c r="AD443" s="2">
        <f t="shared" si="166"/>
        <v>0</v>
      </c>
      <c r="AE443" s="2">
        <f t="shared" si="167"/>
        <v>0</v>
      </c>
      <c r="AF443" s="2">
        <f t="shared" si="168"/>
        <v>0</v>
      </c>
      <c r="AG443" s="2">
        <f t="shared" si="169"/>
        <v>0</v>
      </c>
      <c r="AH443" s="2">
        <f t="shared" si="170"/>
        <v>0</v>
      </c>
      <c r="AI443" s="2">
        <f t="shared" si="171"/>
        <v>0</v>
      </c>
      <c r="AJ443" s="2">
        <f t="shared" si="172"/>
        <v>0</v>
      </c>
      <c r="AK443" s="406">
        <v>1</v>
      </c>
      <c r="AL443" s="274">
        <f t="shared" ca="1" si="145"/>
        <v>14853</v>
      </c>
      <c r="AM443" s="311">
        <f t="shared" ca="1" si="146"/>
        <v>14853</v>
      </c>
      <c r="AN443" s="274">
        <f ca="1">IF(AND(Tabla7[[#This Row],[UltLec]]&lt;&gt;0,Tabla7[[#This Row],[PenLect]]&lt;&gt;0),(AM443-AL443)*Tabla7[[#This Row],[RT]],"N/A")</f>
        <v>0</v>
      </c>
      <c r="AO443" s="273" t="s">
        <v>862</v>
      </c>
      <c r="AP443" s="392" t="s">
        <v>1190</v>
      </c>
      <c r="AQ443" s="392" t="s">
        <v>1189</v>
      </c>
      <c r="AR443" s="407">
        <f t="shared" si="147"/>
        <v>0</v>
      </c>
      <c r="AT443" s="2" t="str">
        <f t="shared" ca="1" si="148"/>
        <v>0</v>
      </c>
      <c r="AV443">
        <f>IF(ISBLANK(Tabla7[[#This Row],[31/12/2017]]),0,Tabla7[[#This Row],[31/12/2017]])</f>
        <v>14823</v>
      </c>
      <c r="AW443">
        <f>IF(ISBLANK(Tabla7[[#This Row],[15/01/2018]]),0,Tabla7[[#This Row],[15/01/2018]])</f>
        <v>14847</v>
      </c>
      <c r="AX443">
        <f>IF(ISBLANK(Tabla7[[#This Row],[15/02/2018]]),0,Tabla7[[#This Row],[15/02/2018]])</f>
        <v>14852</v>
      </c>
      <c r="AY443">
        <f>IF(ISBLANK(Tabla7[[#This Row],[15/03/2018]]),0,Tabla7[[#This Row],[15/03/2018]])</f>
        <v>14853</v>
      </c>
      <c r="AZ443">
        <f>IF(ISBLANK(Tabla7[[#This Row],[15/04/2018]]),0,Tabla7[[#This Row],[15/04/2018]])</f>
        <v>14853</v>
      </c>
      <c r="BA443">
        <f>IF(ISBLANK(Tabla7[[#This Row],[15/05/2018]]),0,Tabla7[[#This Row],[15/05/2018]])</f>
        <v>14853</v>
      </c>
      <c r="BB443">
        <f>IF(ISBLANK(Tabla7[[#This Row],[15/06/2018]]),0,Tabla7[[#This Row],[15/06/2018]])</f>
        <v>14853</v>
      </c>
      <c r="BC443">
        <f>IF(ISBLANK(Tabla7[[#This Row],[15/07/2018]]),0,Tabla7[[#This Row],[15/07/2018]])</f>
        <v>14853</v>
      </c>
      <c r="BD443">
        <f>IF(ISBLANK(Tabla7[[#This Row],[15/08/2018]]),0,Tabla7[[#This Row],[15/08/2018]])</f>
        <v>14853</v>
      </c>
      <c r="BE443">
        <f>IF(ISBLANK(Tabla7[[#This Row],[15/09/2018]]),0,Tabla7[[#This Row],[15/09/2018]])</f>
        <v>14853</v>
      </c>
      <c r="BF443">
        <f>IF(ISBLANK(Tabla7[[#This Row],[15/10/2018]]),0,Tabla7[[#This Row],[15/10/2018]])</f>
        <v>14853</v>
      </c>
      <c r="BG443">
        <f>IF(ISBLANK(Tabla7[[#This Row],[15/11/2018]]),0,Tabla7[[#This Row],[15/11/2018]])</f>
        <v>14853</v>
      </c>
      <c r="BH443">
        <f>IF(ISBLANK(Tabla7[[#This Row],[15/12/2018]]),0,Tabla7[[#This Row],[15/12/2018]])</f>
        <v>14853</v>
      </c>
      <c r="BI443">
        <f>IF(ISBLANK(Tabla7[[#This Row],[28/12/2018]]),0,Tabla7[[#This Row],[28/12/2018]])</f>
        <v>0</v>
      </c>
      <c r="BN44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('ORBIS S/Nº','V','VCT51','39504','VALENCIA TERMINAL EUROPA, S.A.','INTERIOR CT','Caseta Seguridad','');</v>
      </c>
      <c r="BO443" t="s">
        <v>243</v>
      </c>
      <c r="BP443" s="632" t="str">
        <f>CONCATENATE("insert into lecturas values ","('",Tabla7[[#This Row],[CONTADOR]],"',STR_TO_DATE('",Tabla7[[#Headers],[31/12/2017]],"','%d/%m/%Y'),",AV443,"),","('",Tabla7[[#This Row],[CONTADOR]],"',STR_TO_DATE('",Tabla7[[#Headers],[15/01/2018]],"','%d/%m/%Y'),",AW443,"),","('",Tabla7[[#This Row],[CONTADOR]],"',STR_TO_DATE('",Tabla7[[#Headers],[15/02/2018]],"','%d/%m/%Y'),",AX443,"),","('",Tabla7[[#This Row],[CONTADOR]],"',STR_TO_DATE('",Tabla7[[#Headers],[15/03/2018]],"','%d/%m/%Y'),",AY443,"),","('",Tabla7[[#This Row],[CONTADOR]],"',STR_TO_DATE('",Tabla7[[#Headers],[15/04/2018]],"','%d/%m/%Y'),",AZ443,"),","('",Tabla7[[#This Row],[CONTADOR]],"',STR_TO_DATE('",Tabla7[[#Headers],[15/05/2018]],"','%d/%m/%Y'),",BA443,"),","('",Tabla7[[#This Row],[CONTADOR]],"',STR_TO_DATE('",Tabla7[[#Headers],[15/06/2018]],"','%d/%m/%Y'),",BB443,"),","('",Tabla7[[#This Row],[CONTADOR]],"',STR_TO_DATE('",Tabla7[[#Headers],[15/07/2018]],"','%d/%m/%Y'),",BC443,"),","('",Tabla7[[#This Row],[CONTADOR]],"',STR_TO_DATE('",Tabla7[[#Headers],[15/08/2018]],"','%d/%m/%Y'),",BD443,"),","('",Tabla7[[#This Row],[CONTADOR]],"',STR_TO_DATE('",Tabla7[[#Headers],[15/09/2018]],"','%d/%m/%Y'),",BE443,"),","('",Tabla7[[#This Row],[CONTADOR]],"',STR_TO_DATE('",Tabla7[[#Headers],[15/10/2018]],"','%d/%m/%Y'),",BF443,"),","('",Tabla7[[#This Row],[CONTADOR]],"',STR_TO_DATE('",Tabla7[[#Headers],[15/11/2018]],"','%d/%m/%Y'),",BG443,"),","('",Tabla7[[#This Row],[CONTADOR]],"',STR_TO_DATE('",Tabla7[[#Headers],[15/12/2018]],"','%d/%m/%Y'),",BH443,");")</f>
        <v>insert into lecturas values ('ORBIS S/Nº',STR_TO_DATE('31/12/2017','%d/%m/%Y'),14823),('ORBIS S/Nº',STR_TO_DATE('15/01/2018','%d/%m/%Y'),14847),('ORBIS S/Nº',STR_TO_DATE('15/02/2018','%d/%m/%Y'),14852),('ORBIS S/Nº',STR_TO_DATE('15/03/2018','%d/%m/%Y'),14853),('ORBIS S/Nº',STR_TO_DATE('15/04/2018','%d/%m/%Y'),14853),('ORBIS S/Nº',STR_TO_DATE('15/05/2018','%d/%m/%Y'),14853),('ORBIS S/Nº',STR_TO_DATE('15/06/2018','%d/%m/%Y'),14853),('ORBIS S/Nº',STR_TO_DATE('15/07/2018','%d/%m/%Y'),14853),('ORBIS S/Nº',STR_TO_DATE('15/08/2018','%d/%m/%Y'),14853),('ORBIS S/Nº',STR_TO_DATE('15/09/2018','%d/%m/%Y'),14853),('ORBIS S/Nº',STR_TO_DATE('15/10/2018','%d/%m/%Y'),14853),('ORBIS S/Nº',STR_TO_DATE('15/11/2018','%d/%m/%Y'),14853),('ORBIS S/Nº',STR_TO_DATE('15/12/2018','%d/%m/%Y'),14853);</v>
      </c>
    </row>
    <row r="444" spans="1:68" ht="18" customHeight="1" x14ac:dyDescent="0.25">
      <c r="A444" s="241" t="s">
        <v>740</v>
      </c>
      <c r="B444" s="60"/>
      <c r="C444" s="342" t="s">
        <v>1306</v>
      </c>
      <c r="D444" s="60" t="s">
        <v>298</v>
      </c>
      <c r="E444" s="258">
        <v>30000</v>
      </c>
      <c r="F444" s="2" t="s">
        <v>742</v>
      </c>
      <c r="G444" s="2" t="s">
        <v>63</v>
      </c>
      <c r="H444" s="2"/>
      <c r="I444" s="2"/>
      <c r="J444" s="2">
        <v>909858</v>
      </c>
      <c r="K444" s="274">
        <v>926677</v>
      </c>
      <c r="L444" s="311">
        <v>964795</v>
      </c>
      <c r="M444" s="311">
        <v>995326</v>
      </c>
      <c r="N444" s="311">
        <v>1029986</v>
      </c>
      <c r="O444" s="311">
        <v>1055305</v>
      </c>
      <c r="P444" s="1">
        <v>1080445</v>
      </c>
      <c r="Q444" s="2">
        <v>1109616</v>
      </c>
      <c r="R444" s="311">
        <v>1136187</v>
      </c>
      <c r="S444" s="533"/>
      <c r="T444" s="311">
        <v>1194965</v>
      </c>
      <c r="U444" s="492">
        <v>1232610</v>
      </c>
      <c r="V444" s="492">
        <v>45428</v>
      </c>
      <c r="W444" s="2"/>
      <c r="X444" s="2"/>
      <c r="Y444" s="2">
        <f t="shared" si="163"/>
        <v>16819</v>
      </c>
      <c r="Z444" s="2">
        <f t="shared" si="164"/>
        <v>38118</v>
      </c>
      <c r="AA444" s="2">
        <f t="shared" si="162"/>
        <v>30531</v>
      </c>
      <c r="AB444" s="2">
        <f t="shared" si="161"/>
        <v>34660</v>
      </c>
      <c r="AC444" s="2">
        <f t="shared" si="165"/>
        <v>25319</v>
      </c>
      <c r="AD444" s="2">
        <f t="shared" si="166"/>
        <v>25140</v>
      </c>
      <c r="AE444" s="2">
        <f t="shared" si="167"/>
        <v>29171</v>
      </c>
      <c r="AF444" s="2">
        <f t="shared" si="168"/>
        <v>26571</v>
      </c>
      <c r="AG444" s="2" t="str">
        <f t="shared" si="169"/>
        <v/>
      </c>
      <c r="AH444" s="2" t="str">
        <f t="shared" si="170"/>
        <v/>
      </c>
      <c r="AI444" s="2">
        <f t="shared" si="171"/>
        <v>37645</v>
      </c>
      <c r="AJ444" s="2" t="str">
        <f t="shared" si="172"/>
        <v>!!!!</v>
      </c>
      <c r="AK444" s="406">
        <v>1</v>
      </c>
      <c r="AL444" s="274">
        <f t="shared" ca="1" si="145"/>
        <v>1029986</v>
      </c>
      <c r="AM444" s="311">
        <f t="shared" ca="1" si="146"/>
        <v>1055305</v>
      </c>
      <c r="AN444" s="274">
        <f ca="1">IF(AND(Tabla7[[#This Row],[UltLec]]&lt;&gt;0,Tabla7[[#This Row],[PenLect]]&lt;&gt;0),(AM444-AL444)*Tabla7[[#This Row],[RT]],"N/A")</f>
        <v>25319</v>
      </c>
      <c r="AO444" s="273" t="s">
        <v>862</v>
      </c>
      <c r="AP444" s="392" t="s">
        <v>1191</v>
      </c>
      <c r="AQ444" s="392" t="s">
        <v>818</v>
      </c>
      <c r="AR444" s="407">
        <f t="shared" si="147"/>
        <v>1</v>
      </c>
      <c r="AT444" s="2">
        <f t="shared" ca="1" si="148"/>
        <v>0.73049624927870749</v>
      </c>
      <c r="AV444">
        <f>IF(ISBLANK(Tabla7[[#This Row],[31/12/2017]]),0,Tabla7[[#This Row],[31/12/2017]])</f>
        <v>909858</v>
      </c>
      <c r="AW444">
        <f>IF(ISBLANK(Tabla7[[#This Row],[15/01/2018]]),0,Tabla7[[#This Row],[15/01/2018]])</f>
        <v>926677</v>
      </c>
      <c r="AX444">
        <f>IF(ISBLANK(Tabla7[[#This Row],[15/02/2018]]),0,Tabla7[[#This Row],[15/02/2018]])</f>
        <v>964795</v>
      </c>
      <c r="AY444">
        <f>IF(ISBLANK(Tabla7[[#This Row],[15/03/2018]]),0,Tabla7[[#This Row],[15/03/2018]])</f>
        <v>995326</v>
      </c>
      <c r="AZ444">
        <f>IF(ISBLANK(Tabla7[[#This Row],[15/04/2018]]),0,Tabla7[[#This Row],[15/04/2018]])</f>
        <v>1029986</v>
      </c>
      <c r="BA444">
        <f>IF(ISBLANK(Tabla7[[#This Row],[15/05/2018]]),0,Tabla7[[#This Row],[15/05/2018]])</f>
        <v>1055305</v>
      </c>
      <c r="BB444">
        <f>IF(ISBLANK(Tabla7[[#This Row],[15/06/2018]]),0,Tabla7[[#This Row],[15/06/2018]])</f>
        <v>1080445</v>
      </c>
      <c r="BC444">
        <f>IF(ISBLANK(Tabla7[[#This Row],[15/07/2018]]),0,Tabla7[[#This Row],[15/07/2018]])</f>
        <v>1109616</v>
      </c>
      <c r="BD444">
        <f>IF(ISBLANK(Tabla7[[#This Row],[15/08/2018]]),0,Tabla7[[#This Row],[15/08/2018]])</f>
        <v>1136187</v>
      </c>
      <c r="BE444">
        <f>IF(ISBLANK(Tabla7[[#This Row],[15/09/2018]]),0,Tabla7[[#This Row],[15/09/2018]])</f>
        <v>0</v>
      </c>
      <c r="BF444">
        <f>IF(ISBLANK(Tabla7[[#This Row],[15/10/2018]]),0,Tabla7[[#This Row],[15/10/2018]])</f>
        <v>1194965</v>
      </c>
      <c r="BG444">
        <f>IF(ISBLANK(Tabla7[[#This Row],[15/11/2018]]),0,Tabla7[[#This Row],[15/11/2018]])</f>
        <v>1232610</v>
      </c>
      <c r="BH444">
        <f>IF(ISBLANK(Tabla7[[#This Row],[15/12/2018]]),0,Tabla7[[#This Row],[15/12/2018]])</f>
        <v>45428</v>
      </c>
      <c r="BI444">
        <f>IF(ISBLANK(Tabla7[[#This Row],[28/12/2018]]),0,Tabla7[[#This Row],[28/12/2018]])</f>
        <v>0</v>
      </c>
      <c r="BN44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('PM4E380256','VTOT','VCT51','30000','TOTALIZADOR','EN CT','','');</v>
      </c>
      <c r="BO444" t="s">
        <v>243</v>
      </c>
      <c r="BP444" s="632" t="str">
        <f>CONCATENATE("insert into lecturas values ","('",Tabla7[[#This Row],[CONTADOR]],"',STR_TO_DATE('",Tabla7[[#Headers],[31/12/2017]],"','%d/%m/%Y'),",AV444,"),","('",Tabla7[[#This Row],[CONTADOR]],"',STR_TO_DATE('",Tabla7[[#Headers],[15/01/2018]],"','%d/%m/%Y'),",AW444,"),","('",Tabla7[[#This Row],[CONTADOR]],"',STR_TO_DATE('",Tabla7[[#Headers],[15/02/2018]],"','%d/%m/%Y'),",AX444,"),","('",Tabla7[[#This Row],[CONTADOR]],"',STR_TO_DATE('",Tabla7[[#Headers],[15/03/2018]],"','%d/%m/%Y'),",AY444,"),","('",Tabla7[[#This Row],[CONTADOR]],"',STR_TO_DATE('",Tabla7[[#Headers],[15/04/2018]],"','%d/%m/%Y'),",AZ444,"),","('",Tabla7[[#This Row],[CONTADOR]],"',STR_TO_DATE('",Tabla7[[#Headers],[15/05/2018]],"','%d/%m/%Y'),",BA444,"),","('",Tabla7[[#This Row],[CONTADOR]],"',STR_TO_DATE('",Tabla7[[#Headers],[15/06/2018]],"','%d/%m/%Y'),",BB444,"),","('",Tabla7[[#This Row],[CONTADOR]],"',STR_TO_DATE('",Tabla7[[#Headers],[15/07/2018]],"','%d/%m/%Y'),",BC444,"),","('",Tabla7[[#This Row],[CONTADOR]],"',STR_TO_DATE('",Tabla7[[#Headers],[15/08/2018]],"','%d/%m/%Y'),",BD444,"),","('",Tabla7[[#This Row],[CONTADOR]],"',STR_TO_DATE('",Tabla7[[#Headers],[15/09/2018]],"','%d/%m/%Y'),",BE444,"),","('",Tabla7[[#This Row],[CONTADOR]],"',STR_TO_DATE('",Tabla7[[#Headers],[15/10/2018]],"','%d/%m/%Y'),",BF444,"),","('",Tabla7[[#This Row],[CONTADOR]],"',STR_TO_DATE('",Tabla7[[#Headers],[15/11/2018]],"','%d/%m/%Y'),",BG444,"),","('",Tabla7[[#This Row],[CONTADOR]],"',STR_TO_DATE('",Tabla7[[#Headers],[15/12/2018]],"','%d/%m/%Y'),",BH444,");")</f>
        <v>insert into lecturas values ('PM4E380256',STR_TO_DATE('31/12/2017','%d/%m/%Y'),909858),('PM4E380256',STR_TO_DATE('15/01/2018','%d/%m/%Y'),926677),('PM4E380256',STR_TO_DATE('15/02/2018','%d/%m/%Y'),964795),('PM4E380256',STR_TO_DATE('15/03/2018','%d/%m/%Y'),995326),('PM4E380256',STR_TO_DATE('15/04/2018','%d/%m/%Y'),1029986),('PM4E380256',STR_TO_DATE('15/05/2018','%d/%m/%Y'),1055305),('PM4E380256',STR_TO_DATE('15/06/2018','%d/%m/%Y'),1080445),('PM4E380256',STR_TO_DATE('15/07/2018','%d/%m/%Y'),1109616),('PM4E380256',STR_TO_DATE('15/08/2018','%d/%m/%Y'),1136187),('PM4E380256',STR_TO_DATE('15/09/2018','%d/%m/%Y'),0),('PM4E380256',STR_TO_DATE('15/10/2018','%d/%m/%Y'),1194965),('PM4E380256',STR_TO_DATE('15/11/2018','%d/%m/%Y'),1232610),('PM4E380256',STR_TO_DATE('15/12/2018','%d/%m/%Y'),45428);</v>
      </c>
    </row>
    <row r="445" spans="1:68" ht="18" customHeight="1" x14ac:dyDescent="0.25">
      <c r="A445" s="241" t="s">
        <v>19</v>
      </c>
      <c r="B445" s="60"/>
      <c r="C445" s="342" t="s">
        <v>1308</v>
      </c>
      <c r="D445" s="450" t="s">
        <v>298</v>
      </c>
      <c r="E445" s="267">
        <v>132</v>
      </c>
      <c r="F445" s="274" t="s">
        <v>457</v>
      </c>
      <c r="G445" s="2" t="s">
        <v>47</v>
      </c>
      <c r="H445" s="2"/>
      <c r="I445" s="2" t="s">
        <v>1309</v>
      </c>
      <c r="J445" s="2"/>
      <c r="K445" s="274"/>
      <c r="L445" s="311"/>
      <c r="M445" s="311"/>
      <c r="N445" s="311"/>
      <c r="O445" s="311"/>
      <c r="P445" s="1">
        <v>280688</v>
      </c>
      <c r="Q445" s="274">
        <v>286909</v>
      </c>
      <c r="R445" s="311">
        <v>293149</v>
      </c>
      <c r="S445" s="533"/>
      <c r="T445" s="311">
        <v>307552</v>
      </c>
      <c r="U445" s="492">
        <v>316997</v>
      </c>
      <c r="V445" s="492">
        <v>327519</v>
      </c>
      <c r="W445" s="2"/>
      <c r="X445" s="2"/>
      <c r="Y445" s="2" t="str">
        <f t="shared" si="163"/>
        <v/>
      </c>
      <c r="Z445" s="2" t="str">
        <f t="shared" si="164"/>
        <v/>
      </c>
      <c r="AA445" s="2" t="str">
        <f>IF(OR(ISBLANK(#REF!),ISBLANK(L445)),"",IF(AND(#REF!&gt;=L445,#REF!-L445&lt;=#REF!),(#REF!-L445)*$AK445,"!!!!"))</f>
        <v/>
      </c>
      <c r="AB445" s="2" t="str">
        <f>IF(OR(ISBLANK(N445),ISBLANK(#REF!)),"",IF(AND(N445&gt;=#REF!,N445-#REF!&lt;=N445),(N445-#REF!)*$AK445,"!!!!"))</f>
        <v/>
      </c>
      <c r="AC445" s="2" t="str">
        <f t="shared" si="165"/>
        <v/>
      </c>
      <c r="AD445" s="2" t="str">
        <f t="shared" si="166"/>
        <v/>
      </c>
      <c r="AE445" s="2">
        <f t="shared" si="167"/>
        <v>6221</v>
      </c>
      <c r="AF445" s="2">
        <f t="shared" si="168"/>
        <v>6240</v>
      </c>
      <c r="AG445" s="2" t="str">
        <f t="shared" si="169"/>
        <v/>
      </c>
      <c r="AH445" s="271" t="str">
        <f t="shared" si="170"/>
        <v/>
      </c>
      <c r="AI445" s="2">
        <f t="shared" si="171"/>
        <v>9445</v>
      </c>
      <c r="AJ445" s="2">
        <f t="shared" si="172"/>
        <v>10522</v>
      </c>
      <c r="AK445" s="406">
        <v>1</v>
      </c>
      <c r="AL445" s="412">
        <f t="shared" ca="1" si="145"/>
        <v>0</v>
      </c>
      <c r="AM445" s="311">
        <f t="shared" ca="1" si="146"/>
        <v>0</v>
      </c>
      <c r="AN445" s="412" t="str">
        <f ca="1">IF(AND(Tabla7[[#This Row],[UltLec]]&lt;&gt;0,Tabla7[[#This Row],[PenLect]]&lt;&gt;0),(AM445-AL445)*Tabla7[[#This Row],[RT]],"N/A")</f>
        <v>N/A</v>
      </c>
      <c r="AO445" s="273" t="s">
        <v>862</v>
      </c>
      <c r="AP445" s="466" t="s">
        <v>1191</v>
      </c>
      <c r="AQ445" s="466" t="s">
        <v>818</v>
      </c>
      <c r="AR445" s="407">
        <f t="shared" si="147"/>
        <v>0</v>
      </c>
      <c r="AT445" s="2" t="e">
        <f t="shared" ca="1" si="148"/>
        <v>#VALUE!</v>
      </c>
      <c r="AV445">
        <f>IF(ISBLANK(Tabla7[[#This Row],[31/12/2017]]),0,Tabla7[[#This Row],[31/12/2017]])</f>
        <v>0</v>
      </c>
      <c r="AW445">
        <f>IF(ISBLANK(Tabla7[[#This Row],[15/01/2018]]),0,Tabla7[[#This Row],[15/01/2018]])</f>
        <v>0</v>
      </c>
      <c r="AX445">
        <f>IF(ISBLANK(Tabla7[[#This Row],[15/02/2018]]),0,Tabla7[[#This Row],[15/02/2018]])</f>
        <v>0</v>
      </c>
      <c r="AY445">
        <f>IF(ISBLANK(Tabla7[[#This Row],[15/03/2018]]),0,Tabla7[[#This Row],[15/03/2018]])</f>
        <v>0</v>
      </c>
      <c r="AZ445">
        <f>IF(ISBLANK(Tabla7[[#This Row],[15/04/2018]]),0,Tabla7[[#This Row],[15/04/2018]])</f>
        <v>0</v>
      </c>
      <c r="BA445">
        <f>IF(ISBLANK(Tabla7[[#This Row],[15/05/2018]]),0,Tabla7[[#This Row],[15/05/2018]])</f>
        <v>0</v>
      </c>
      <c r="BB445">
        <f>IF(ISBLANK(Tabla7[[#This Row],[15/06/2018]]),0,Tabla7[[#This Row],[15/06/2018]])</f>
        <v>280688</v>
      </c>
      <c r="BC445">
        <f>IF(ISBLANK(Tabla7[[#This Row],[15/07/2018]]),0,Tabla7[[#This Row],[15/07/2018]])</f>
        <v>286909</v>
      </c>
      <c r="BD445">
        <f>IF(ISBLANK(Tabla7[[#This Row],[15/08/2018]]),0,Tabla7[[#This Row],[15/08/2018]])</f>
        <v>293149</v>
      </c>
      <c r="BE445">
        <f>IF(ISBLANK(Tabla7[[#This Row],[15/09/2018]]),0,Tabla7[[#This Row],[15/09/2018]])</f>
        <v>0</v>
      </c>
      <c r="BF445">
        <f>IF(ISBLANK(Tabla7[[#This Row],[15/10/2018]]),0,Tabla7[[#This Row],[15/10/2018]])</f>
        <v>307552</v>
      </c>
      <c r="BG445">
        <f>IF(ISBLANK(Tabla7[[#This Row],[15/11/2018]]),0,Tabla7[[#This Row],[15/11/2018]])</f>
        <v>316997</v>
      </c>
      <c r="BH445">
        <f>IF(ISBLANK(Tabla7[[#This Row],[15/12/2018]]),0,Tabla7[[#This Row],[15/12/2018]])</f>
        <v>327519</v>
      </c>
      <c r="BI445">
        <f>IF(ISBLANK(Tabla7[[#This Row],[28/12/2018]]),0,Tabla7[[#This Row],[28/12/2018]])</f>
        <v>0</v>
      </c>
      <c r="BN44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('PM4E39636C','V','VCT51','132','APV ALUMBRADO TORRES','INTERIOR CT','','Añadido el 20/5/2018');</v>
      </c>
      <c r="BO445" t="s">
        <v>243</v>
      </c>
      <c r="BP445" s="632" t="str">
        <f>CONCATENATE("insert into lecturas values ","('",Tabla7[[#This Row],[CONTADOR]],"',STR_TO_DATE('",Tabla7[[#Headers],[31/12/2017]],"','%d/%m/%Y'),",AV445,"),","('",Tabla7[[#This Row],[CONTADOR]],"',STR_TO_DATE('",Tabla7[[#Headers],[15/01/2018]],"','%d/%m/%Y'),",AW445,"),","('",Tabla7[[#This Row],[CONTADOR]],"',STR_TO_DATE('",Tabla7[[#Headers],[15/02/2018]],"','%d/%m/%Y'),",AX445,"),","('",Tabla7[[#This Row],[CONTADOR]],"',STR_TO_DATE('",Tabla7[[#Headers],[15/03/2018]],"','%d/%m/%Y'),",AY445,"),","('",Tabla7[[#This Row],[CONTADOR]],"',STR_TO_DATE('",Tabla7[[#Headers],[15/04/2018]],"','%d/%m/%Y'),",AZ445,"),","('",Tabla7[[#This Row],[CONTADOR]],"',STR_TO_DATE('",Tabla7[[#Headers],[15/05/2018]],"','%d/%m/%Y'),",BA445,"),","('",Tabla7[[#This Row],[CONTADOR]],"',STR_TO_DATE('",Tabla7[[#Headers],[15/06/2018]],"','%d/%m/%Y'),",BB445,"),","('",Tabla7[[#This Row],[CONTADOR]],"',STR_TO_DATE('",Tabla7[[#Headers],[15/07/2018]],"','%d/%m/%Y'),",BC445,"),","('",Tabla7[[#This Row],[CONTADOR]],"',STR_TO_DATE('",Tabla7[[#Headers],[15/08/2018]],"','%d/%m/%Y'),",BD445,"),","('",Tabla7[[#This Row],[CONTADOR]],"',STR_TO_DATE('",Tabla7[[#Headers],[15/09/2018]],"','%d/%m/%Y'),",BE445,"),","('",Tabla7[[#This Row],[CONTADOR]],"',STR_TO_DATE('",Tabla7[[#Headers],[15/10/2018]],"','%d/%m/%Y'),",BF445,"),","('",Tabla7[[#This Row],[CONTADOR]],"',STR_TO_DATE('",Tabla7[[#Headers],[15/11/2018]],"','%d/%m/%Y'),",BG445,"),","('",Tabla7[[#This Row],[CONTADOR]],"',STR_TO_DATE('",Tabla7[[#Headers],[15/12/2018]],"','%d/%m/%Y'),",BH445,");")</f>
        <v>insert into lecturas values ('PM4E39636C',STR_TO_DATE('31/12/2017','%d/%m/%Y'),0),('PM4E39636C',STR_TO_DATE('15/01/2018','%d/%m/%Y'),0),('PM4E39636C',STR_TO_DATE('15/02/2018','%d/%m/%Y'),0),('PM4E39636C',STR_TO_DATE('15/03/2018','%d/%m/%Y'),0),('PM4E39636C',STR_TO_DATE('15/04/2018','%d/%m/%Y'),0),('PM4E39636C',STR_TO_DATE('15/05/2018','%d/%m/%Y'),0),('PM4E39636C',STR_TO_DATE('15/06/2018','%d/%m/%Y'),280688),('PM4E39636C',STR_TO_DATE('15/07/2018','%d/%m/%Y'),286909),('PM4E39636C',STR_TO_DATE('15/08/2018','%d/%m/%Y'),293149),('PM4E39636C',STR_TO_DATE('15/09/2018','%d/%m/%Y'),0),('PM4E39636C',STR_TO_DATE('15/10/2018','%d/%m/%Y'),307552),('PM4E39636C',STR_TO_DATE('15/11/2018','%d/%m/%Y'),316997),('PM4E39636C',STR_TO_DATE('15/12/2018','%d/%m/%Y'),327519);</v>
      </c>
    </row>
    <row r="446" spans="1:68" ht="18" customHeight="1" x14ac:dyDescent="0.25">
      <c r="A446" s="241" t="s">
        <v>19</v>
      </c>
      <c r="B446" s="60"/>
      <c r="C446" s="342" t="s">
        <v>1307</v>
      </c>
      <c r="D446" s="60" t="s">
        <v>298</v>
      </c>
      <c r="E446" s="258">
        <v>131</v>
      </c>
      <c r="F446" s="2" t="s">
        <v>455</v>
      </c>
      <c r="G446" s="2" t="s">
        <v>47</v>
      </c>
      <c r="H446" s="2"/>
      <c r="I446" s="2"/>
      <c r="J446" s="2">
        <v>75048</v>
      </c>
      <c r="K446" s="274">
        <v>75812</v>
      </c>
      <c r="L446" s="311">
        <v>77945</v>
      </c>
      <c r="M446" s="311">
        <v>79862</v>
      </c>
      <c r="N446" s="311">
        <v>82033</v>
      </c>
      <c r="O446" s="311">
        <v>83630</v>
      </c>
      <c r="P446" s="1">
        <v>85196</v>
      </c>
      <c r="Q446" s="2">
        <v>86815</v>
      </c>
      <c r="R446" s="311">
        <v>88434</v>
      </c>
      <c r="S446" s="533"/>
      <c r="T446" s="311">
        <v>92416</v>
      </c>
      <c r="U446" s="492">
        <v>94580</v>
      </c>
      <c r="V446" s="492">
        <v>97326</v>
      </c>
      <c r="W446" s="2"/>
      <c r="X446" s="2"/>
      <c r="Y446" s="2">
        <f t="shared" si="163"/>
        <v>764</v>
      </c>
      <c r="Z446" s="2">
        <f t="shared" si="164"/>
        <v>2133</v>
      </c>
      <c r="AA446" s="2">
        <f t="shared" ref="AA446:AA463" si="173">IF(OR(ISBLANK(M446),ISBLANK(L446)),"",IF(AND(M446&gt;=L446,M446-L446&lt;=M446),(M446-L446)*$AK446,"!!!!"))</f>
        <v>1917</v>
      </c>
      <c r="AB446" s="2">
        <f t="shared" ref="AB446:AB463" si="174">IF(OR(ISBLANK(N446),ISBLANK(M446)),"",IF(AND(N446&gt;=M446,N446-M446&lt;=N446),(N446-M446)*$AK446,"!!!!"))</f>
        <v>2171</v>
      </c>
      <c r="AC446" s="2">
        <f t="shared" si="165"/>
        <v>1597</v>
      </c>
      <c r="AD446" s="2">
        <f t="shared" si="166"/>
        <v>1566</v>
      </c>
      <c r="AE446" s="2">
        <f t="shared" si="167"/>
        <v>1619</v>
      </c>
      <c r="AF446" s="2">
        <f t="shared" si="168"/>
        <v>1619</v>
      </c>
      <c r="AG446" s="2" t="str">
        <f t="shared" si="169"/>
        <v/>
      </c>
      <c r="AH446" s="2" t="str">
        <f t="shared" si="170"/>
        <v/>
      </c>
      <c r="AI446" s="2">
        <f t="shared" si="171"/>
        <v>2164</v>
      </c>
      <c r="AJ446" s="2">
        <f t="shared" si="172"/>
        <v>2746</v>
      </c>
      <c r="AK446" s="406">
        <v>1</v>
      </c>
      <c r="AL446" s="274">
        <f t="shared" ca="1" si="145"/>
        <v>82033</v>
      </c>
      <c r="AM446" s="311">
        <f t="shared" ca="1" si="146"/>
        <v>83630</v>
      </c>
      <c r="AN446" s="274">
        <f ca="1">IF(AND(Tabla7[[#This Row],[UltLec]]&lt;&gt;0,Tabla7[[#This Row],[PenLect]]&lt;&gt;0),(AM446-AL446)*Tabla7[[#This Row],[RT]],"N/A")</f>
        <v>1597</v>
      </c>
      <c r="AO446" s="273" t="s">
        <v>862</v>
      </c>
      <c r="AP446" s="392" t="s">
        <v>1191</v>
      </c>
      <c r="AQ446" s="392" t="s">
        <v>818</v>
      </c>
      <c r="AR446" s="407">
        <f t="shared" si="147"/>
        <v>0</v>
      </c>
      <c r="AT446" s="2">
        <f t="shared" ca="1" si="148"/>
        <v>0.73560571165361588</v>
      </c>
      <c r="AV446">
        <f>IF(ISBLANK(Tabla7[[#This Row],[31/12/2017]]),0,Tabla7[[#This Row],[31/12/2017]])</f>
        <v>75048</v>
      </c>
      <c r="AW446">
        <f>IF(ISBLANK(Tabla7[[#This Row],[15/01/2018]]),0,Tabla7[[#This Row],[15/01/2018]])</f>
        <v>75812</v>
      </c>
      <c r="AX446">
        <f>IF(ISBLANK(Tabla7[[#This Row],[15/02/2018]]),0,Tabla7[[#This Row],[15/02/2018]])</f>
        <v>77945</v>
      </c>
      <c r="AY446">
        <f>IF(ISBLANK(Tabla7[[#This Row],[15/03/2018]]),0,Tabla7[[#This Row],[15/03/2018]])</f>
        <v>79862</v>
      </c>
      <c r="AZ446">
        <f>IF(ISBLANK(Tabla7[[#This Row],[15/04/2018]]),0,Tabla7[[#This Row],[15/04/2018]])</f>
        <v>82033</v>
      </c>
      <c r="BA446">
        <f>IF(ISBLANK(Tabla7[[#This Row],[15/05/2018]]),0,Tabla7[[#This Row],[15/05/2018]])</f>
        <v>83630</v>
      </c>
      <c r="BB446">
        <f>IF(ISBLANK(Tabla7[[#This Row],[15/06/2018]]),0,Tabla7[[#This Row],[15/06/2018]])</f>
        <v>85196</v>
      </c>
      <c r="BC446">
        <f>IF(ISBLANK(Tabla7[[#This Row],[15/07/2018]]),0,Tabla7[[#This Row],[15/07/2018]])</f>
        <v>86815</v>
      </c>
      <c r="BD446">
        <f>IF(ISBLANK(Tabla7[[#This Row],[15/08/2018]]),0,Tabla7[[#This Row],[15/08/2018]])</f>
        <v>88434</v>
      </c>
      <c r="BE446">
        <f>IF(ISBLANK(Tabla7[[#This Row],[15/09/2018]]),0,Tabla7[[#This Row],[15/09/2018]])</f>
        <v>0</v>
      </c>
      <c r="BF446">
        <f>IF(ISBLANK(Tabla7[[#This Row],[15/10/2018]]),0,Tabla7[[#This Row],[15/10/2018]])</f>
        <v>92416</v>
      </c>
      <c r="BG446">
        <f>IF(ISBLANK(Tabla7[[#This Row],[15/11/2018]]),0,Tabla7[[#This Row],[15/11/2018]])</f>
        <v>94580</v>
      </c>
      <c r="BH446">
        <f>IF(ISBLANK(Tabla7[[#This Row],[15/12/2018]]),0,Tabla7[[#This Row],[15/12/2018]])</f>
        <v>97326</v>
      </c>
      <c r="BI446">
        <f>IF(ISBLANK(Tabla7[[#This Row],[28/12/2018]]),0,Tabla7[[#This Row],[28/12/2018]])</f>
        <v>0</v>
      </c>
      <c r="BN44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('PM4E39FA1B','V','VCT51','131','APV ALUMBRADO VIALES','INTERIOR CT','','');</v>
      </c>
      <c r="BO446" t="s">
        <v>243</v>
      </c>
      <c r="BP446" s="632" t="str">
        <f>CONCATENATE("insert into lecturas values ","('",Tabla7[[#This Row],[CONTADOR]],"',STR_TO_DATE('",Tabla7[[#Headers],[31/12/2017]],"','%d/%m/%Y'),",AV446,"),","('",Tabla7[[#This Row],[CONTADOR]],"',STR_TO_DATE('",Tabla7[[#Headers],[15/01/2018]],"','%d/%m/%Y'),",AW446,"),","('",Tabla7[[#This Row],[CONTADOR]],"',STR_TO_DATE('",Tabla7[[#Headers],[15/02/2018]],"','%d/%m/%Y'),",AX446,"),","('",Tabla7[[#This Row],[CONTADOR]],"',STR_TO_DATE('",Tabla7[[#Headers],[15/03/2018]],"','%d/%m/%Y'),",AY446,"),","('",Tabla7[[#This Row],[CONTADOR]],"',STR_TO_DATE('",Tabla7[[#Headers],[15/04/2018]],"','%d/%m/%Y'),",AZ446,"),","('",Tabla7[[#This Row],[CONTADOR]],"',STR_TO_DATE('",Tabla7[[#Headers],[15/05/2018]],"','%d/%m/%Y'),",BA446,"),","('",Tabla7[[#This Row],[CONTADOR]],"',STR_TO_DATE('",Tabla7[[#Headers],[15/06/2018]],"','%d/%m/%Y'),",BB446,"),","('",Tabla7[[#This Row],[CONTADOR]],"',STR_TO_DATE('",Tabla7[[#Headers],[15/07/2018]],"','%d/%m/%Y'),",BC446,"),","('",Tabla7[[#This Row],[CONTADOR]],"',STR_TO_DATE('",Tabla7[[#Headers],[15/08/2018]],"','%d/%m/%Y'),",BD446,"),","('",Tabla7[[#This Row],[CONTADOR]],"',STR_TO_DATE('",Tabla7[[#Headers],[15/09/2018]],"','%d/%m/%Y'),",BE446,"),","('",Tabla7[[#This Row],[CONTADOR]],"',STR_TO_DATE('",Tabla7[[#Headers],[15/10/2018]],"','%d/%m/%Y'),",BF446,"),","('",Tabla7[[#This Row],[CONTADOR]],"',STR_TO_DATE('",Tabla7[[#Headers],[15/11/2018]],"','%d/%m/%Y'),",BG446,"),","('",Tabla7[[#This Row],[CONTADOR]],"',STR_TO_DATE('",Tabla7[[#Headers],[15/12/2018]],"','%d/%m/%Y'),",BH446,");")</f>
        <v>insert into lecturas values ('PM4E39FA1B',STR_TO_DATE('31/12/2017','%d/%m/%Y'),75048),('PM4E39FA1B',STR_TO_DATE('15/01/2018','%d/%m/%Y'),75812),('PM4E39FA1B',STR_TO_DATE('15/02/2018','%d/%m/%Y'),77945),('PM4E39FA1B',STR_TO_DATE('15/03/2018','%d/%m/%Y'),79862),('PM4E39FA1B',STR_TO_DATE('15/04/2018','%d/%m/%Y'),82033),('PM4E39FA1B',STR_TO_DATE('15/05/2018','%d/%m/%Y'),83630),('PM4E39FA1B',STR_TO_DATE('15/06/2018','%d/%m/%Y'),85196),('PM4E39FA1B',STR_TO_DATE('15/07/2018','%d/%m/%Y'),86815),('PM4E39FA1B',STR_TO_DATE('15/08/2018','%d/%m/%Y'),88434),('PM4E39FA1B',STR_TO_DATE('15/09/2018','%d/%m/%Y'),0),('PM4E39FA1B',STR_TO_DATE('15/10/2018','%d/%m/%Y'),92416),('PM4E39FA1B',STR_TO_DATE('15/11/2018','%d/%m/%Y'),94580),('PM4E39FA1B',STR_TO_DATE('15/12/2018','%d/%m/%Y'),97326);</v>
      </c>
    </row>
    <row r="447" spans="1:68" ht="18" customHeight="1" thickBot="1" x14ac:dyDescent="0.3">
      <c r="A447" s="241" t="s">
        <v>19</v>
      </c>
      <c r="B447" s="60"/>
      <c r="C447" s="342" t="s">
        <v>1257</v>
      </c>
      <c r="D447" s="60" t="s">
        <v>298</v>
      </c>
      <c r="E447" s="258">
        <v>141</v>
      </c>
      <c r="F447" s="2" t="s">
        <v>806</v>
      </c>
      <c r="G447" s="2" t="s">
        <v>807</v>
      </c>
      <c r="H447" s="274"/>
      <c r="I447" s="431"/>
      <c r="J447" s="2"/>
      <c r="K447" s="274"/>
      <c r="L447" s="311">
        <v>3493</v>
      </c>
      <c r="M447" s="311">
        <v>3493</v>
      </c>
      <c r="N447" s="311">
        <v>3493</v>
      </c>
      <c r="O447" s="311">
        <v>3556</v>
      </c>
      <c r="P447" s="1">
        <v>3578</v>
      </c>
      <c r="Q447" s="2">
        <v>3595</v>
      </c>
      <c r="R447" s="311"/>
      <c r="S447" s="533"/>
      <c r="T447" s="311">
        <v>3595</v>
      </c>
      <c r="U447" s="492">
        <v>3736</v>
      </c>
      <c r="V447" s="492">
        <v>3790</v>
      </c>
      <c r="W447" s="2"/>
      <c r="X447" s="2"/>
      <c r="Y447" s="2" t="str">
        <f t="shared" si="163"/>
        <v/>
      </c>
      <c r="Z447" s="2" t="str">
        <f t="shared" si="164"/>
        <v/>
      </c>
      <c r="AA447" s="2">
        <f t="shared" si="173"/>
        <v>0</v>
      </c>
      <c r="AB447" s="2">
        <f t="shared" si="174"/>
        <v>0</v>
      </c>
      <c r="AC447" s="2">
        <f t="shared" si="165"/>
        <v>63</v>
      </c>
      <c r="AD447" s="2">
        <f t="shared" si="166"/>
        <v>22</v>
      </c>
      <c r="AE447" s="2">
        <f t="shared" si="167"/>
        <v>17</v>
      </c>
      <c r="AF447" s="2" t="str">
        <f t="shared" si="168"/>
        <v/>
      </c>
      <c r="AG447" s="2" t="str">
        <f t="shared" si="169"/>
        <v/>
      </c>
      <c r="AH447" s="2" t="str">
        <f t="shared" si="170"/>
        <v/>
      </c>
      <c r="AI447" s="2">
        <f t="shared" si="171"/>
        <v>141</v>
      </c>
      <c r="AJ447" s="2">
        <f t="shared" si="172"/>
        <v>54</v>
      </c>
      <c r="AK447" s="406">
        <v>1</v>
      </c>
      <c r="AL447" s="274">
        <f t="shared" ca="1" si="145"/>
        <v>3493</v>
      </c>
      <c r="AM447" s="311">
        <f t="shared" ca="1" si="146"/>
        <v>3556</v>
      </c>
      <c r="AN447" s="274">
        <f ca="1">IF(AND(Tabla7[[#This Row],[UltLec]]&lt;&gt;0,Tabla7[[#This Row],[PenLect]]&lt;&gt;0),(AM447-AL447)*Tabla7[[#This Row],[RT]],"N/A")</f>
        <v>63</v>
      </c>
      <c r="AO447" s="273" t="s">
        <v>862</v>
      </c>
      <c r="AP447" s="392" t="s">
        <v>1191</v>
      </c>
      <c r="AQ447" s="392" t="s">
        <v>818</v>
      </c>
      <c r="AR447" s="407">
        <f t="shared" si="147"/>
        <v>0</v>
      </c>
      <c r="AT447" s="2" t="str">
        <f t="shared" ca="1" si="148"/>
        <v>0</v>
      </c>
      <c r="AV447">
        <f>IF(ISBLANK(Tabla7[[#This Row],[31/12/2017]]),0,Tabla7[[#This Row],[31/12/2017]])</f>
        <v>0</v>
      </c>
      <c r="AW447">
        <f>IF(ISBLANK(Tabla7[[#This Row],[15/01/2018]]),0,Tabla7[[#This Row],[15/01/2018]])</f>
        <v>0</v>
      </c>
      <c r="AX447">
        <f>IF(ISBLANK(Tabla7[[#This Row],[15/02/2018]]),0,Tabla7[[#This Row],[15/02/2018]])</f>
        <v>3493</v>
      </c>
      <c r="AY447">
        <f>IF(ISBLANK(Tabla7[[#This Row],[15/03/2018]]),0,Tabla7[[#This Row],[15/03/2018]])</f>
        <v>3493</v>
      </c>
      <c r="AZ447">
        <f>IF(ISBLANK(Tabla7[[#This Row],[15/04/2018]]),0,Tabla7[[#This Row],[15/04/2018]])</f>
        <v>3493</v>
      </c>
      <c r="BA447">
        <f>IF(ISBLANK(Tabla7[[#This Row],[15/05/2018]]),0,Tabla7[[#This Row],[15/05/2018]])</f>
        <v>3556</v>
      </c>
      <c r="BB447">
        <f>IF(ISBLANK(Tabla7[[#This Row],[15/06/2018]]),0,Tabla7[[#This Row],[15/06/2018]])</f>
        <v>3578</v>
      </c>
      <c r="BC447">
        <f>IF(ISBLANK(Tabla7[[#This Row],[15/07/2018]]),0,Tabla7[[#This Row],[15/07/2018]])</f>
        <v>3595</v>
      </c>
      <c r="BD447">
        <f>IF(ISBLANK(Tabla7[[#This Row],[15/08/2018]]),0,Tabla7[[#This Row],[15/08/2018]])</f>
        <v>0</v>
      </c>
      <c r="BE447">
        <f>IF(ISBLANK(Tabla7[[#This Row],[15/09/2018]]),0,Tabla7[[#This Row],[15/09/2018]])</f>
        <v>0</v>
      </c>
      <c r="BF447">
        <f>IF(ISBLANK(Tabla7[[#This Row],[15/10/2018]]),0,Tabla7[[#This Row],[15/10/2018]])</f>
        <v>3595</v>
      </c>
      <c r="BG447">
        <f>IF(ISBLANK(Tabla7[[#This Row],[15/11/2018]]),0,Tabla7[[#This Row],[15/11/2018]])</f>
        <v>3736</v>
      </c>
      <c r="BH447">
        <f>IF(ISBLANK(Tabla7[[#This Row],[15/12/2018]]),0,Tabla7[[#This Row],[15/12/2018]])</f>
        <v>3790</v>
      </c>
      <c r="BI447">
        <f>IF(ISBLANK(Tabla7[[#This Row],[28/12/2018]]),0,Tabla7[[#This Row],[28/12/2018]])</f>
        <v>0</v>
      </c>
      <c r="BN44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('PM4E3A2ADD','V','VCT51','141','SALA BOMBAS CRUCEROS','SALA BOMBAS CRUCERO','','');</v>
      </c>
      <c r="BO447" t="s">
        <v>243</v>
      </c>
      <c r="BP447" s="632" t="str">
        <f>CONCATENATE("insert into lecturas values ","('",Tabla7[[#This Row],[CONTADOR]],"',STR_TO_DATE('",Tabla7[[#Headers],[31/12/2017]],"','%d/%m/%Y'),",AV447,"),","('",Tabla7[[#This Row],[CONTADOR]],"',STR_TO_DATE('",Tabla7[[#Headers],[15/01/2018]],"','%d/%m/%Y'),",AW447,"),","('",Tabla7[[#This Row],[CONTADOR]],"',STR_TO_DATE('",Tabla7[[#Headers],[15/02/2018]],"','%d/%m/%Y'),",AX447,"),","('",Tabla7[[#This Row],[CONTADOR]],"',STR_TO_DATE('",Tabla7[[#Headers],[15/03/2018]],"','%d/%m/%Y'),",AY447,"),","('",Tabla7[[#This Row],[CONTADOR]],"',STR_TO_DATE('",Tabla7[[#Headers],[15/04/2018]],"','%d/%m/%Y'),",AZ447,"),","('",Tabla7[[#This Row],[CONTADOR]],"',STR_TO_DATE('",Tabla7[[#Headers],[15/05/2018]],"','%d/%m/%Y'),",BA447,"),","('",Tabla7[[#This Row],[CONTADOR]],"',STR_TO_DATE('",Tabla7[[#Headers],[15/06/2018]],"','%d/%m/%Y'),",BB447,"),","('",Tabla7[[#This Row],[CONTADOR]],"',STR_TO_DATE('",Tabla7[[#Headers],[15/07/2018]],"','%d/%m/%Y'),",BC447,"),","('",Tabla7[[#This Row],[CONTADOR]],"',STR_TO_DATE('",Tabla7[[#Headers],[15/08/2018]],"','%d/%m/%Y'),",BD447,"),","('",Tabla7[[#This Row],[CONTADOR]],"',STR_TO_DATE('",Tabla7[[#Headers],[15/09/2018]],"','%d/%m/%Y'),",BE447,"),","('",Tabla7[[#This Row],[CONTADOR]],"',STR_TO_DATE('",Tabla7[[#Headers],[15/10/2018]],"','%d/%m/%Y'),",BF447,"),","('",Tabla7[[#This Row],[CONTADOR]],"',STR_TO_DATE('",Tabla7[[#Headers],[15/11/2018]],"','%d/%m/%Y'),",BG447,"),","('",Tabla7[[#This Row],[CONTADOR]],"',STR_TO_DATE('",Tabla7[[#Headers],[15/12/2018]],"','%d/%m/%Y'),",BH447,");")</f>
        <v>insert into lecturas values ('PM4E3A2ADD',STR_TO_DATE('31/12/2017','%d/%m/%Y'),0),('PM4E3A2ADD',STR_TO_DATE('15/01/2018','%d/%m/%Y'),0),('PM4E3A2ADD',STR_TO_DATE('15/02/2018','%d/%m/%Y'),3493),('PM4E3A2ADD',STR_TO_DATE('15/03/2018','%d/%m/%Y'),3493),('PM4E3A2ADD',STR_TO_DATE('15/04/2018','%d/%m/%Y'),3493),('PM4E3A2ADD',STR_TO_DATE('15/05/2018','%d/%m/%Y'),3556),('PM4E3A2ADD',STR_TO_DATE('15/06/2018','%d/%m/%Y'),3578),('PM4E3A2ADD',STR_TO_DATE('15/07/2018','%d/%m/%Y'),3595),('PM4E3A2ADD',STR_TO_DATE('15/08/2018','%d/%m/%Y'),0),('PM4E3A2ADD',STR_TO_DATE('15/09/2018','%d/%m/%Y'),0),('PM4E3A2ADD',STR_TO_DATE('15/10/2018','%d/%m/%Y'),3595),('PM4E3A2ADD',STR_TO_DATE('15/11/2018','%d/%m/%Y'),3736),('PM4E3A2ADD',STR_TO_DATE('15/12/2018','%d/%m/%Y'),3790);</v>
      </c>
    </row>
    <row r="448" spans="1:68" ht="18" customHeight="1" x14ac:dyDescent="0.25">
      <c r="A448" s="241" t="s">
        <v>19</v>
      </c>
      <c r="B448" s="60" t="s">
        <v>301</v>
      </c>
      <c r="C448" s="342">
        <v>114467037</v>
      </c>
      <c r="D448" s="60" t="s">
        <v>306</v>
      </c>
      <c r="E448" s="258">
        <v>39548</v>
      </c>
      <c r="F448" s="274" t="s">
        <v>999</v>
      </c>
      <c r="G448" s="274" t="s">
        <v>47</v>
      </c>
      <c r="H448" s="274" t="s">
        <v>309</v>
      </c>
      <c r="I448" s="274"/>
      <c r="J448" s="2">
        <v>65709</v>
      </c>
      <c r="K448" s="274">
        <v>67122</v>
      </c>
      <c r="L448" s="311">
        <v>69491</v>
      </c>
      <c r="M448" s="311">
        <v>71466</v>
      </c>
      <c r="N448" s="311">
        <v>73679</v>
      </c>
      <c r="O448" s="311">
        <v>75294</v>
      </c>
      <c r="P448" s="242">
        <v>76878</v>
      </c>
      <c r="Q448" s="275">
        <v>78508</v>
      </c>
      <c r="R448" s="311">
        <v>80144</v>
      </c>
      <c r="S448" s="311">
        <v>82096</v>
      </c>
      <c r="T448" s="311">
        <v>83926</v>
      </c>
      <c r="U448" s="492">
        <v>86401</v>
      </c>
      <c r="V448" s="492">
        <v>89142</v>
      </c>
      <c r="W448" s="2"/>
      <c r="X448" s="2"/>
      <c r="Y448" s="2">
        <f t="shared" si="163"/>
        <v>1413</v>
      </c>
      <c r="Z448" s="2">
        <f t="shared" si="164"/>
        <v>2369</v>
      </c>
      <c r="AA448" s="2">
        <f t="shared" si="173"/>
        <v>1975</v>
      </c>
      <c r="AB448" s="2">
        <f t="shared" si="174"/>
        <v>2213</v>
      </c>
      <c r="AC448" s="2">
        <f t="shared" si="165"/>
        <v>1615</v>
      </c>
      <c r="AD448" s="2">
        <f t="shared" si="166"/>
        <v>1584</v>
      </c>
      <c r="AE448" s="2">
        <f t="shared" si="167"/>
        <v>1630</v>
      </c>
      <c r="AF448" s="2">
        <f t="shared" si="168"/>
        <v>1636</v>
      </c>
      <c r="AG448" s="2">
        <f t="shared" si="169"/>
        <v>1952</v>
      </c>
      <c r="AH448" s="2">
        <f t="shared" si="170"/>
        <v>1830</v>
      </c>
      <c r="AI448" s="2">
        <f t="shared" si="171"/>
        <v>2475</v>
      </c>
      <c r="AJ448" s="2">
        <f t="shared" si="172"/>
        <v>2741</v>
      </c>
      <c r="AK448" s="406">
        <v>1</v>
      </c>
      <c r="AL448" s="274">
        <f t="shared" ca="1" si="145"/>
        <v>73679</v>
      </c>
      <c r="AM448" s="311">
        <f t="shared" ca="1" si="146"/>
        <v>75294</v>
      </c>
      <c r="AN448" s="274">
        <f ca="1">IF(AND(Tabla7[[#This Row],[UltLec]]&lt;&gt;0,Tabla7[[#This Row],[PenLect]]&lt;&gt;0),(AM448-AL448)*Tabla7[[#This Row],[RT]],"N/A")</f>
        <v>1615</v>
      </c>
      <c r="AO448" s="273" t="s">
        <v>862</v>
      </c>
      <c r="AP448" s="392" t="s">
        <v>1190</v>
      </c>
      <c r="AQ448" s="392" t="s">
        <v>1189</v>
      </c>
      <c r="AR448" s="407">
        <f t="shared" si="147"/>
        <v>0</v>
      </c>
      <c r="AT448" s="2">
        <f t="shared" ca="1" si="148"/>
        <v>0.7297785811116132</v>
      </c>
      <c r="AV448">
        <f>IF(ISBLANK(Tabla7[[#This Row],[31/12/2017]]),0,Tabla7[[#This Row],[31/12/2017]])</f>
        <v>65709</v>
      </c>
      <c r="AW448">
        <f>IF(ISBLANK(Tabla7[[#This Row],[15/01/2018]]),0,Tabla7[[#This Row],[15/01/2018]])</f>
        <v>67122</v>
      </c>
      <c r="AX448">
        <f>IF(ISBLANK(Tabla7[[#This Row],[15/02/2018]]),0,Tabla7[[#This Row],[15/02/2018]])</f>
        <v>69491</v>
      </c>
      <c r="AY448">
        <f>IF(ISBLANK(Tabla7[[#This Row],[15/03/2018]]),0,Tabla7[[#This Row],[15/03/2018]])</f>
        <v>71466</v>
      </c>
      <c r="AZ448">
        <f>IF(ISBLANK(Tabla7[[#This Row],[15/04/2018]]),0,Tabla7[[#This Row],[15/04/2018]])</f>
        <v>73679</v>
      </c>
      <c r="BA448">
        <f>IF(ISBLANK(Tabla7[[#This Row],[15/05/2018]]),0,Tabla7[[#This Row],[15/05/2018]])</f>
        <v>75294</v>
      </c>
      <c r="BB448">
        <f>IF(ISBLANK(Tabla7[[#This Row],[15/06/2018]]),0,Tabla7[[#This Row],[15/06/2018]])</f>
        <v>76878</v>
      </c>
      <c r="BC448">
        <f>IF(ISBLANK(Tabla7[[#This Row],[15/07/2018]]),0,Tabla7[[#This Row],[15/07/2018]])</f>
        <v>78508</v>
      </c>
      <c r="BD448">
        <f>IF(ISBLANK(Tabla7[[#This Row],[15/08/2018]]),0,Tabla7[[#This Row],[15/08/2018]])</f>
        <v>80144</v>
      </c>
      <c r="BE448">
        <f>IF(ISBLANK(Tabla7[[#This Row],[15/09/2018]]),0,Tabla7[[#This Row],[15/09/2018]])</f>
        <v>82096</v>
      </c>
      <c r="BF448">
        <f>IF(ISBLANK(Tabla7[[#This Row],[15/10/2018]]),0,Tabla7[[#This Row],[15/10/2018]])</f>
        <v>83926</v>
      </c>
      <c r="BG448">
        <f>IF(ISBLANK(Tabla7[[#This Row],[15/11/2018]]),0,Tabla7[[#This Row],[15/11/2018]])</f>
        <v>86401</v>
      </c>
      <c r="BH448">
        <f>IF(ISBLANK(Tabla7[[#This Row],[15/12/2018]]),0,Tabla7[[#This Row],[15/12/2018]])</f>
        <v>89142</v>
      </c>
      <c r="BI448">
        <f>IF(ISBLANK(Tabla7[[#This Row],[28/12/2018]]),0,Tabla7[[#This Row],[28/12/2018]])</f>
        <v>0</v>
      </c>
      <c r="BN44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('114467037','V','VCT52','39548','VALENCIA TERMINAL EUROPA, S.A. TORRE 5203','INTERIOR CT','Torre 5203','');</v>
      </c>
      <c r="BO448" t="s">
        <v>243</v>
      </c>
      <c r="BP448" s="632" t="str">
        <f>CONCATENATE("insert into lecturas values ","('",Tabla7[[#This Row],[CONTADOR]],"',STR_TO_DATE('",Tabla7[[#Headers],[31/12/2017]],"','%d/%m/%Y'),",AV448,"),","('",Tabla7[[#This Row],[CONTADOR]],"',STR_TO_DATE('",Tabla7[[#Headers],[15/01/2018]],"','%d/%m/%Y'),",AW448,"),","('",Tabla7[[#This Row],[CONTADOR]],"',STR_TO_DATE('",Tabla7[[#Headers],[15/02/2018]],"','%d/%m/%Y'),",AX448,"),","('",Tabla7[[#This Row],[CONTADOR]],"',STR_TO_DATE('",Tabla7[[#Headers],[15/03/2018]],"','%d/%m/%Y'),",AY448,"),","('",Tabla7[[#This Row],[CONTADOR]],"',STR_TO_DATE('",Tabla7[[#Headers],[15/04/2018]],"','%d/%m/%Y'),",AZ448,"),","('",Tabla7[[#This Row],[CONTADOR]],"',STR_TO_DATE('",Tabla7[[#Headers],[15/05/2018]],"','%d/%m/%Y'),",BA448,"),","('",Tabla7[[#This Row],[CONTADOR]],"',STR_TO_DATE('",Tabla7[[#Headers],[15/06/2018]],"','%d/%m/%Y'),",BB448,"),","('",Tabla7[[#This Row],[CONTADOR]],"',STR_TO_DATE('",Tabla7[[#Headers],[15/07/2018]],"','%d/%m/%Y'),",BC448,"),","('",Tabla7[[#This Row],[CONTADOR]],"',STR_TO_DATE('",Tabla7[[#Headers],[15/08/2018]],"','%d/%m/%Y'),",BD448,"),","('",Tabla7[[#This Row],[CONTADOR]],"',STR_TO_DATE('",Tabla7[[#Headers],[15/09/2018]],"','%d/%m/%Y'),",BE448,"),","('",Tabla7[[#This Row],[CONTADOR]],"',STR_TO_DATE('",Tabla7[[#Headers],[15/10/2018]],"','%d/%m/%Y'),",BF448,"),","('",Tabla7[[#This Row],[CONTADOR]],"',STR_TO_DATE('",Tabla7[[#Headers],[15/11/2018]],"','%d/%m/%Y'),",BG448,"),","('",Tabla7[[#This Row],[CONTADOR]],"',STR_TO_DATE('",Tabla7[[#Headers],[15/12/2018]],"','%d/%m/%Y'),",BH448,");")</f>
        <v>insert into lecturas values ('114467037',STR_TO_DATE('31/12/2017','%d/%m/%Y'),65709),('114467037',STR_TO_DATE('15/01/2018','%d/%m/%Y'),67122),('114467037',STR_TO_DATE('15/02/2018','%d/%m/%Y'),69491),('114467037',STR_TO_DATE('15/03/2018','%d/%m/%Y'),71466),('114467037',STR_TO_DATE('15/04/2018','%d/%m/%Y'),73679),('114467037',STR_TO_DATE('15/05/2018','%d/%m/%Y'),75294),('114467037',STR_TO_DATE('15/06/2018','%d/%m/%Y'),76878),('114467037',STR_TO_DATE('15/07/2018','%d/%m/%Y'),78508),('114467037',STR_TO_DATE('15/08/2018','%d/%m/%Y'),80144),('114467037',STR_TO_DATE('15/09/2018','%d/%m/%Y'),82096),('114467037',STR_TO_DATE('15/10/2018','%d/%m/%Y'),83926),('114467037',STR_TO_DATE('15/11/2018','%d/%m/%Y'),86401),('114467037',STR_TO_DATE('15/12/2018','%d/%m/%Y'),89142);</v>
      </c>
    </row>
    <row r="449" spans="1:68" ht="18" customHeight="1" x14ac:dyDescent="0.25">
      <c r="A449" s="241" t="s">
        <v>19</v>
      </c>
      <c r="B449" s="60" t="s">
        <v>301</v>
      </c>
      <c r="C449" s="342">
        <v>114481067</v>
      </c>
      <c r="D449" s="60" t="s">
        <v>306</v>
      </c>
      <c r="E449" s="258">
        <v>39549</v>
      </c>
      <c r="F449" s="2" t="s">
        <v>1000</v>
      </c>
      <c r="G449" s="2" t="s">
        <v>47</v>
      </c>
      <c r="H449" s="2" t="s">
        <v>310</v>
      </c>
      <c r="I449" s="274"/>
      <c r="J449" s="274">
        <v>26678</v>
      </c>
      <c r="K449" s="274">
        <v>26949</v>
      </c>
      <c r="L449" s="311">
        <v>27403</v>
      </c>
      <c r="M449" s="311">
        <v>27781</v>
      </c>
      <c r="N449" s="311">
        <v>28227</v>
      </c>
      <c r="O449" s="311">
        <v>28535</v>
      </c>
      <c r="P449" s="242">
        <v>28988</v>
      </c>
      <c r="Q449" s="275">
        <v>29585</v>
      </c>
      <c r="R449" s="311">
        <v>30185</v>
      </c>
      <c r="S449" s="311">
        <v>30899</v>
      </c>
      <c r="T449" s="311">
        <v>31567</v>
      </c>
      <c r="U449" s="492">
        <v>32472</v>
      </c>
      <c r="V449" s="492">
        <v>32472</v>
      </c>
      <c r="W449" s="274"/>
      <c r="X449" s="2"/>
      <c r="Y449" s="2">
        <f t="shared" si="163"/>
        <v>271</v>
      </c>
      <c r="Z449" s="2">
        <f t="shared" si="164"/>
        <v>454</v>
      </c>
      <c r="AA449" s="2">
        <f t="shared" si="173"/>
        <v>378</v>
      </c>
      <c r="AB449" s="2">
        <f t="shared" si="174"/>
        <v>446</v>
      </c>
      <c r="AC449" s="2">
        <f t="shared" si="165"/>
        <v>308</v>
      </c>
      <c r="AD449" s="2">
        <f t="shared" si="166"/>
        <v>453</v>
      </c>
      <c r="AE449" s="2">
        <f t="shared" si="167"/>
        <v>597</v>
      </c>
      <c r="AF449" s="2">
        <f t="shared" si="168"/>
        <v>600</v>
      </c>
      <c r="AG449" s="2">
        <f t="shared" si="169"/>
        <v>714</v>
      </c>
      <c r="AH449" s="2">
        <f t="shared" si="170"/>
        <v>668</v>
      </c>
      <c r="AI449" s="2">
        <f t="shared" si="171"/>
        <v>905</v>
      </c>
      <c r="AJ449" s="2">
        <f t="shared" si="172"/>
        <v>0</v>
      </c>
      <c r="AK449" s="406">
        <v>1</v>
      </c>
      <c r="AL449" s="274">
        <f t="shared" ca="1" si="145"/>
        <v>28227</v>
      </c>
      <c r="AM449" s="311">
        <f t="shared" ca="1" si="146"/>
        <v>28535</v>
      </c>
      <c r="AN449" s="274">
        <f ca="1">IF(AND(Tabla7[[#This Row],[UltLec]]&lt;&gt;0,Tabla7[[#This Row],[PenLect]]&lt;&gt;0),(AM449-AL449)*Tabla7[[#This Row],[RT]],"N/A")</f>
        <v>308</v>
      </c>
      <c r="AO449" s="273" t="s">
        <v>862</v>
      </c>
      <c r="AP449" s="392" t="s">
        <v>1190</v>
      </c>
      <c r="AQ449" s="392" t="s">
        <v>1189</v>
      </c>
      <c r="AR449" s="407">
        <f t="shared" si="147"/>
        <v>0</v>
      </c>
      <c r="AT449" s="2">
        <f t="shared" ca="1" si="148"/>
        <v>0.6905829596412556</v>
      </c>
      <c r="AV449">
        <f>IF(ISBLANK(Tabla7[[#This Row],[31/12/2017]]),0,Tabla7[[#This Row],[31/12/2017]])</f>
        <v>26678</v>
      </c>
      <c r="AW449">
        <f>IF(ISBLANK(Tabla7[[#This Row],[15/01/2018]]),0,Tabla7[[#This Row],[15/01/2018]])</f>
        <v>26949</v>
      </c>
      <c r="AX449">
        <f>IF(ISBLANK(Tabla7[[#This Row],[15/02/2018]]),0,Tabla7[[#This Row],[15/02/2018]])</f>
        <v>27403</v>
      </c>
      <c r="AY449">
        <f>IF(ISBLANK(Tabla7[[#This Row],[15/03/2018]]),0,Tabla7[[#This Row],[15/03/2018]])</f>
        <v>27781</v>
      </c>
      <c r="AZ449">
        <f>IF(ISBLANK(Tabla7[[#This Row],[15/04/2018]]),0,Tabla7[[#This Row],[15/04/2018]])</f>
        <v>28227</v>
      </c>
      <c r="BA449">
        <f>IF(ISBLANK(Tabla7[[#This Row],[15/05/2018]]),0,Tabla7[[#This Row],[15/05/2018]])</f>
        <v>28535</v>
      </c>
      <c r="BB449">
        <f>IF(ISBLANK(Tabla7[[#This Row],[15/06/2018]]),0,Tabla7[[#This Row],[15/06/2018]])</f>
        <v>28988</v>
      </c>
      <c r="BC449">
        <f>IF(ISBLANK(Tabla7[[#This Row],[15/07/2018]]),0,Tabla7[[#This Row],[15/07/2018]])</f>
        <v>29585</v>
      </c>
      <c r="BD449">
        <f>IF(ISBLANK(Tabla7[[#This Row],[15/08/2018]]),0,Tabla7[[#This Row],[15/08/2018]])</f>
        <v>30185</v>
      </c>
      <c r="BE449">
        <f>IF(ISBLANK(Tabla7[[#This Row],[15/09/2018]]),0,Tabla7[[#This Row],[15/09/2018]])</f>
        <v>30899</v>
      </c>
      <c r="BF449">
        <f>IF(ISBLANK(Tabla7[[#This Row],[15/10/2018]]),0,Tabla7[[#This Row],[15/10/2018]])</f>
        <v>31567</v>
      </c>
      <c r="BG449">
        <f>IF(ISBLANK(Tabla7[[#This Row],[15/11/2018]]),0,Tabla7[[#This Row],[15/11/2018]])</f>
        <v>32472</v>
      </c>
      <c r="BH449">
        <f>IF(ISBLANK(Tabla7[[#This Row],[15/12/2018]]),0,Tabla7[[#This Row],[15/12/2018]])</f>
        <v>32472</v>
      </c>
      <c r="BI449">
        <f>IF(ISBLANK(Tabla7[[#This Row],[28/12/2018]]),0,Tabla7[[#This Row],[28/12/2018]])</f>
        <v>0</v>
      </c>
      <c r="BN44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('114481067','V','VCT52','39549','VALENCIA TERMINAL EUROPA, S.A. TORRE 5204','INTERIOR CT','Torre 5204','');</v>
      </c>
      <c r="BO449" t="s">
        <v>243</v>
      </c>
      <c r="BP449" s="632" t="str">
        <f>CONCATENATE("insert into lecturas values ","('",Tabla7[[#This Row],[CONTADOR]],"',STR_TO_DATE('",Tabla7[[#Headers],[31/12/2017]],"','%d/%m/%Y'),",AV449,"),","('",Tabla7[[#This Row],[CONTADOR]],"',STR_TO_DATE('",Tabla7[[#Headers],[15/01/2018]],"','%d/%m/%Y'),",AW449,"),","('",Tabla7[[#This Row],[CONTADOR]],"',STR_TO_DATE('",Tabla7[[#Headers],[15/02/2018]],"','%d/%m/%Y'),",AX449,"),","('",Tabla7[[#This Row],[CONTADOR]],"',STR_TO_DATE('",Tabla7[[#Headers],[15/03/2018]],"','%d/%m/%Y'),",AY449,"),","('",Tabla7[[#This Row],[CONTADOR]],"',STR_TO_DATE('",Tabla7[[#Headers],[15/04/2018]],"','%d/%m/%Y'),",AZ449,"),","('",Tabla7[[#This Row],[CONTADOR]],"',STR_TO_DATE('",Tabla7[[#Headers],[15/05/2018]],"','%d/%m/%Y'),",BA449,"),","('",Tabla7[[#This Row],[CONTADOR]],"',STR_TO_DATE('",Tabla7[[#Headers],[15/06/2018]],"','%d/%m/%Y'),",BB449,"),","('",Tabla7[[#This Row],[CONTADOR]],"',STR_TO_DATE('",Tabla7[[#Headers],[15/07/2018]],"','%d/%m/%Y'),",BC449,"),","('",Tabla7[[#This Row],[CONTADOR]],"',STR_TO_DATE('",Tabla7[[#Headers],[15/08/2018]],"','%d/%m/%Y'),",BD449,"),","('",Tabla7[[#This Row],[CONTADOR]],"',STR_TO_DATE('",Tabla7[[#Headers],[15/09/2018]],"','%d/%m/%Y'),",BE449,"),","('",Tabla7[[#This Row],[CONTADOR]],"',STR_TO_DATE('",Tabla7[[#Headers],[15/10/2018]],"','%d/%m/%Y'),",BF449,"),","('",Tabla7[[#This Row],[CONTADOR]],"',STR_TO_DATE('",Tabla7[[#Headers],[15/11/2018]],"','%d/%m/%Y'),",BG449,"),","('",Tabla7[[#This Row],[CONTADOR]],"',STR_TO_DATE('",Tabla7[[#Headers],[15/12/2018]],"','%d/%m/%Y'),",BH449,");")</f>
        <v>insert into lecturas values ('114481067',STR_TO_DATE('31/12/2017','%d/%m/%Y'),26678),('114481067',STR_TO_DATE('15/01/2018','%d/%m/%Y'),26949),('114481067',STR_TO_DATE('15/02/2018','%d/%m/%Y'),27403),('114481067',STR_TO_DATE('15/03/2018','%d/%m/%Y'),27781),('114481067',STR_TO_DATE('15/04/2018','%d/%m/%Y'),28227),('114481067',STR_TO_DATE('15/05/2018','%d/%m/%Y'),28535),('114481067',STR_TO_DATE('15/06/2018','%d/%m/%Y'),28988),('114481067',STR_TO_DATE('15/07/2018','%d/%m/%Y'),29585),('114481067',STR_TO_DATE('15/08/2018','%d/%m/%Y'),30185),('114481067',STR_TO_DATE('15/09/2018','%d/%m/%Y'),30899),('114481067',STR_TO_DATE('15/10/2018','%d/%m/%Y'),31567),('114481067',STR_TO_DATE('15/11/2018','%d/%m/%Y'),32472),('114481067',STR_TO_DATE('15/12/2018','%d/%m/%Y'),32472);</v>
      </c>
    </row>
    <row r="450" spans="1:68" ht="18" customHeight="1" x14ac:dyDescent="0.25">
      <c r="A450" s="241" t="s">
        <v>19</v>
      </c>
      <c r="B450" s="60" t="s">
        <v>301</v>
      </c>
      <c r="C450" s="342">
        <v>114481080</v>
      </c>
      <c r="D450" s="60" t="s">
        <v>306</v>
      </c>
      <c r="E450" s="258">
        <v>39547</v>
      </c>
      <c r="F450" s="2" t="s">
        <v>1001</v>
      </c>
      <c r="G450" s="2" t="s">
        <v>47</v>
      </c>
      <c r="H450" s="2" t="s">
        <v>308</v>
      </c>
      <c r="I450" s="2"/>
      <c r="J450" s="274">
        <v>65642</v>
      </c>
      <c r="K450" s="274">
        <v>67034</v>
      </c>
      <c r="L450" s="311">
        <v>69363</v>
      </c>
      <c r="M450" s="311">
        <v>71225</v>
      </c>
      <c r="N450" s="311">
        <v>73390</v>
      </c>
      <c r="O450" s="311">
        <v>74964</v>
      </c>
      <c r="P450" s="242">
        <v>76511</v>
      </c>
      <c r="Q450" s="275">
        <v>78106</v>
      </c>
      <c r="R450" s="311">
        <v>79707</v>
      </c>
      <c r="S450" s="311">
        <v>81617</v>
      </c>
      <c r="T450" s="311">
        <v>83408</v>
      </c>
      <c r="U450" s="492">
        <v>85833</v>
      </c>
      <c r="V450" s="492">
        <v>88532</v>
      </c>
      <c r="W450" s="274"/>
      <c r="X450" s="2"/>
      <c r="Y450" s="2">
        <f t="shared" si="163"/>
        <v>1392</v>
      </c>
      <c r="Z450" s="2">
        <f t="shared" si="164"/>
        <v>2329</v>
      </c>
      <c r="AA450" s="2">
        <f t="shared" si="173"/>
        <v>1862</v>
      </c>
      <c r="AB450" s="2">
        <f t="shared" si="174"/>
        <v>2165</v>
      </c>
      <c r="AC450" s="2">
        <f t="shared" si="165"/>
        <v>1574</v>
      </c>
      <c r="AD450" s="2">
        <f t="shared" si="166"/>
        <v>1547</v>
      </c>
      <c r="AE450" s="2">
        <f t="shared" si="167"/>
        <v>1595</v>
      </c>
      <c r="AF450" s="2">
        <f t="shared" si="168"/>
        <v>1601</v>
      </c>
      <c r="AG450" s="2">
        <f t="shared" si="169"/>
        <v>1910</v>
      </c>
      <c r="AH450" s="2">
        <f t="shared" si="170"/>
        <v>1791</v>
      </c>
      <c r="AI450" s="2">
        <f t="shared" si="171"/>
        <v>2425</v>
      </c>
      <c r="AJ450" s="2">
        <f t="shared" si="172"/>
        <v>2699</v>
      </c>
      <c r="AK450" s="406">
        <v>1</v>
      </c>
      <c r="AL450" s="274">
        <f t="shared" ca="1" si="145"/>
        <v>73390</v>
      </c>
      <c r="AM450" s="311">
        <f t="shared" ca="1" si="146"/>
        <v>74964</v>
      </c>
      <c r="AN450" s="274">
        <f ca="1">IF(AND(Tabla7[[#This Row],[UltLec]]&lt;&gt;0,Tabla7[[#This Row],[PenLect]]&lt;&gt;0),(AM450-AL450)*Tabla7[[#This Row],[RT]],"N/A")</f>
        <v>1574</v>
      </c>
      <c r="AO450" s="273" t="s">
        <v>862</v>
      </c>
      <c r="AP450" s="392" t="s">
        <v>1190</v>
      </c>
      <c r="AQ450" s="392" t="s">
        <v>1189</v>
      </c>
      <c r="AR450" s="407">
        <f t="shared" si="147"/>
        <v>0</v>
      </c>
      <c r="AT450" s="2">
        <f t="shared" ca="1" si="148"/>
        <v>0.7270207852193995</v>
      </c>
      <c r="AV450">
        <f>IF(ISBLANK(Tabla7[[#This Row],[31/12/2017]]),0,Tabla7[[#This Row],[31/12/2017]])</f>
        <v>65642</v>
      </c>
      <c r="AW450">
        <f>IF(ISBLANK(Tabla7[[#This Row],[15/01/2018]]),0,Tabla7[[#This Row],[15/01/2018]])</f>
        <v>67034</v>
      </c>
      <c r="AX450">
        <f>IF(ISBLANK(Tabla7[[#This Row],[15/02/2018]]),0,Tabla7[[#This Row],[15/02/2018]])</f>
        <v>69363</v>
      </c>
      <c r="AY450">
        <f>IF(ISBLANK(Tabla7[[#This Row],[15/03/2018]]),0,Tabla7[[#This Row],[15/03/2018]])</f>
        <v>71225</v>
      </c>
      <c r="AZ450">
        <f>IF(ISBLANK(Tabla7[[#This Row],[15/04/2018]]),0,Tabla7[[#This Row],[15/04/2018]])</f>
        <v>73390</v>
      </c>
      <c r="BA450">
        <f>IF(ISBLANK(Tabla7[[#This Row],[15/05/2018]]),0,Tabla7[[#This Row],[15/05/2018]])</f>
        <v>74964</v>
      </c>
      <c r="BB450">
        <f>IF(ISBLANK(Tabla7[[#This Row],[15/06/2018]]),0,Tabla7[[#This Row],[15/06/2018]])</f>
        <v>76511</v>
      </c>
      <c r="BC450">
        <f>IF(ISBLANK(Tabla7[[#This Row],[15/07/2018]]),0,Tabla7[[#This Row],[15/07/2018]])</f>
        <v>78106</v>
      </c>
      <c r="BD450">
        <f>IF(ISBLANK(Tabla7[[#This Row],[15/08/2018]]),0,Tabla7[[#This Row],[15/08/2018]])</f>
        <v>79707</v>
      </c>
      <c r="BE450">
        <f>IF(ISBLANK(Tabla7[[#This Row],[15/09/2018]]),0,Tabla7[[#This Row],[15/09/2018]])</f>
        <v>81617</v>
      </c>
      <c r="BF450">
        <f>IF(ISBLANK(Tabla7[[#This Row],[15/10/2018]]),0,Tabla7[[#This Row],[15/10/2018]])</f>
        <v>83408</v>
      </c>
      <c r="BG450">
        <f>IF(ISBLANK(Tabla7[[#This Row],[15/11/2018]]),0,Tabla7[[#This Row],[15/11/2018]])</f>
        <v>85833</v>
      </c>
      <c r="BH450">
        <f>IF(ISBLANK(Tabla7[[#This Row],[15/12/2018]]),0,Tabla7[[#This Row],[15/12/2018]])</f>
        <v>88532</v>
      </c>
      <c r="BI450">
        <f>IF(ISBLANK(Tabla7[[#This Row],[28/12/2018]]),0,Tabla7[[#This Row],[28/12/2018]])</f>
        <v>0</v>
      </c>
      <c r="BN45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('114481080','V','VCT52','39547','VALENCIA TERMINAL EUROPA, S.A. TORRE 5202','INTERIOR CT','Tore 5202','');</v>
      </c>
      <c r="BO450" t="s">
        <v>243</v>
      </c>
      <c r="BP450" s="632" t="str">
        <f>CONCATENATE("insert into lecturas values ","('",Tabla7[[#This Row],[CONTADOR]],"',STR_TO_DATE('",Tabla7[[#Headers],[31/12/2017]],"','%d/%m/%Y'),",AV450,"),","('",Tabla7[[#This Row],[CONTADOR]],"',STR_TO_DATE('",Tabla7[[#Headers],[15/01/2018]],"','%d/%m/%Y'),",AW450,"),","('",Tabla7[[#This Row],[CONTADOR]],"',STR_TO_DATE('",Tabla7[[#Headers],[15/02/2018]],"','%d/%m/%Y'),",AX450,"),","('",Tabla7[[#This Row],[CONTADOR]],"',STR_TO_DATE('",Tabla7[[#Headers],[15/03/2018]],"','%d/%m/%Y'),",AY450,"),","('",Tabla7[[#This Row],[CONTADOR]],"',STR_TO_DATE('",Tabla7[[#Headers],[15/04/2018]],"','%d/%m/%Y'),",AZ450,"),","('",Tabla7[[#This Row],[CONTADOR]],"',STR_TO_DATE('",Tabla7[[#Headers],[15/05/2018]],"','%d/%m/%Y'),",BA450,"),","('",Tabla7[[#This Row],[CONTADOR]],"',STR_TO_DATE('",Tabla7[[#Headers],[15/06/2018]],"','%d/%m/%Y'),",BB450,"),","('",Tabla7[[#This Row],[CONTADOR]],"',STR_TO_DATE('",Tabla7[[#Headers],[15/07/2018]],"','%d/%m/%Y'),",BC450,"),","('",Tabla7[[#This Row],[CONTADOR]],"',STR_TO_DATE('",Tabla7[[#Headers],[15/08/2018]],"','%d/%m/%Y'),",BD450,"),","('",Tabla7[[#This Row],[CONTADOR]],"',STR_TO_DATE('",Tabla7[[#Headers],[15/09/2018]],"','%d/%m/%Y'),",BE450,"),","('",Tabla7[[#This Row],[CONTADOR]],"',STR_TO_DATE('",Tabla7[[#Headers],[15/10/2018]],"','%d/%m/%Y'),",BF450,"),","('",Tabla7[[#This Row],[CONTADOR]],"',STR_TO_DATE('",Tabla7[[#Headers],[15/11/2018]],"','%d/%m/%Y'),",BG450,"),","('",Tabla7[[#This Row],[CONTADOR]],"',STR_TO_DATE('",Tabla7[[#Headers],[15/12/2018]],"','%d/%m/%Y'),",BH450,");")</f>
        <v>insert into lecturas values ('114481080',STR_TO_DATE('31/12/2017','%d/%m/%Y'),65642),('114481080',STR_TO_DATE('15/01/2018','%d/%m/%Y'),67034),('114481080',STR_TO_DATE('15/02/2018','%d/%m/%Y'),69363),('114481080',STR_TO_DATE('15/03/2018','%d/%m/%Y'),71225),('114481080',STR_TO_DATE('15/04/2018','%d/%m/%Y'),73390),('114481080',STR_TO_DATE('15/05/2018','%d/%m/%Y'),74964),('114481080',STR_TO_DATE('15/06/2018','%d/%m/%Y'),76511),('114481080',STR_TO_DATE('15/07/2018','%d/%m/%Y'),78106),('114481080',STR_TO_DATE('15/08/2018','%d/%m/%Y'),79707),('114481080',STR_TO_DATE('15/09/2018','%d/%m/%Y'),81617),('114481080',STR_TO_DATE('15/10/2018','%d/%m/%Y'),83408),('114481080',STR_TO_DATE('15/11/2018','%d/%m/%Y'),85833),('114481080',STR_TO_DATE('15/12/2018','%d/%m/%Y'),88532);</v>
      </c>
    </row>
    <row r="451" spans="1:68" ht="18" customHeight="1" x14ac:dyDescent="0.25">
      <c r="A451" s="241" t="s">
        <v>19</v>
      </c>
      <c r="B451" s="60" t="s">
        <v>301</v>
      </c>
      <c r="C451" s="342">
        <v>114484112</v>
      </c>
      <c r="D451" s="60" t="s">
        <v>306</v>
      </c>
      <c r="E451" s="258">
        <v>39526</v>
      </c>
      <c r="F451" s="274" t="s">
        <v>1002</v>
      </c>
      <c r="G451" s="274" t="s">
        <v>47</v>
      </c>
      <c r="H451" s="274" t="s">
        <v>307</v>
      </c>
      <c r="I451" s="2"/>
      <c r="J451" s="2">
        <v>66009</v>
      </c>
      <c r="K451" s="274">
        <v>67418</v>
      </c>
      <c r="L451" s="311">
        <v>69786</v>
      </c>
      <c r="M451" s="311">
        <v>71744</v>
      </c>
      <c r="N451" s="311">
        <v>73927</v>
      </c>
      <c r="O451" s="311">
        <v>75517</v>
      </c>
      <c r="P451" s="242">
        <v>77075</v>
      </c>
      <c r="Q451" s="275">
        <v>78681</v>
      </c>
      <c r="R451" s="311">
        <v>80282</v>
      </c>
      <c r="S451" s="311">
        <v>82213</v>
      </c>
      <c r="T451" s="311">
        <v>84017</v>
      </c>
      <c r="U451" s="492">
        <v>86472</v>
      </c>
      <c r="V451" s="492">
        <v>86472</v>
      </c>
      <c r="W451" s="2"/>
      <c r="X451" s="2"/>
      <c r="Y451" s="2">
        <f t="shared" si="163"/>
        <v>1409</v>
      </c>
      <c r="Z451" s="2">
        <f t="shared" si="164"/>
        <v>2368</v>
      </c>
      <c r="AA451" s="2">
        <f t="shared" si="173"/>
        <v>1958</v>
      </c>
      <c r="AB451" s="2">
        <f t="shared" si="174"/>
        <v>2183</v>
      </c>
      <c r="AC451" s="2">
        <f t="shared" si="165"/>
        <v>1590</v>
      </c>
      <c r="AD451" s="2">
        <f t="shared" si="166"/>
        <v>1558</v>
      </c>
      <c r="AE451" s="2">
        <f t="shared" si="167"/>
        <v>1606</v>
      </c>
      <c r="AF451" s="2">
        <f t="shared" si="168"/>
        <v>1601</v>
      </c>
      <c r="AG451" s="2">
        <f t="shared" si="169"/>
        <v>1931</v>
      </c>
      <c r="AH451" s="2">
        <f t="shared" si="170"/>
        <v>1804</v>
      </c>
      <c r="AI451" s="2">
        <f t="shared" si="171"/>
        <v>2455</v>
      </c>
      <c r="AJ451" s="2">
        <f t="shared" si="172"/>
        <v>0</v>
      </c>
      <c r="AK451" s="406">
        <v>1</v>
      </c>
      <c r="AL451" s="274">
        <f t="shared" ref="AL451:AL463" ca="1" si="175">IF(DAY(TODAY())&lt;16,INDEX(J451:X451,1,MONTH(TODAY())-1),INDEX(J451:X451,1,MONTH(TODAY())))</f>
        <v>73927</v>
      </c>
      <c r="AM451" s="311">
        <f t="shared" ref="AM451:AM463" ca="1" si="176">IF(DAY(TODAY())&lt;16,INDEX(J451:X451,1,MONTH(TODAY())),INDEX(J451:X451,1,MONTH(TODAY())+1))</f>
        <v>75517</v>
      </c>
      <c r="AN451" s="274">
        <f ca="1">IF(AND(Tabla7[[#This Row],[UltLec]]&lt;&gt;0,Tabla7[[#This Row],[PenLect]]&lt;&gt;0),(AM451-AL451)*Tabla7[[#This Row],[RT]],"N/A")</f>
        <v>1590</v>
      </c>
      <c r="AO451" s="273" t="s">
        <v>862</v>
      </c>
      <c r="AP451" s="392" t="s">
        <v>1190</v>
      </c>
      <c r="AQ451" s="392" t="s">
        <v>1189</v>
      </c>
      <c r="AR451" s="407">
        <f t="shared" ref="AR451:AR463" si="177">COUNTIF(Y451:AJ451,"!!!!")</f>
        <v>0</v>
      </c>
      <c r="AT451" s="2">
        <f t="shared" ca="1" si="148"/>
        <v>0.72835547411818602</v>
      </c>
      <c r="AV451">
        <f>IF(ISBLANK(Tabla7[[#This Row],[31/12/2017]]),0,Tabla7[[#This Row],[31/12/2017]])</f>
        <v>66009</v>
      </c>
      <c r="AW451">
        <f>IF(ISBLANK(Tabla7[[#This Row],[15/01/2018]]),0,Tabla7[[#This Row],[15/01/2018]])</f>
        <v>67418</v>
      </c>
      <c r="AX451">
        <f>IF(ISBLANK(Tabla7[[#This Row],[15/02/2018]]),0,Tabla7[[#This Row],[15/02/2018]])</f>
        <v>69786</v>
      </c>
      <c r="AY451">
        <f>IF(ISBLANK(Tabla7[[#This Row],[15/03/2018]]),0,Tabla7[[#This Row],[15/03/2018]])</f>
        <v>71744</v>
      </c>
      <c r="AZ451">
        <f>IF(ISBLANK(Tabla7[[#This Row],[15/04/2018]]),0,Tabla7[[#This Row],[15/04/2018]])</f>
        <v>73927</v>
      </c>
      <c r="BA451">
        <f>IF(ISBLANK(Tabla7[[#This Row],[15/05/2018]]),0,Tabla7[[#This Row],[15/05/2018]])</f>
        <v>75517</v>
      </c>
      <c r="BB451">
        <f>IF(ISBLANK(Tabla7[[#This Row],[15/06/2018]]),0,Tabla7[[#This Row],[15/06/2018]])</f>
        <v>77075</v>
      </c>
      <c r="BC451">
        <f>IF(ISBLANK(Tabla7[[#This Row],[15/07/2018]]),0,Tabla7[[#This Row],[15/07/2018]])</f>
        <v>78681</v>
      </c>
      <c r="BD451">
        <f>IF(ISBLANK(Tabla7[[#This Row],[15/08/2018]]),0,Tabla7[[#This Row],[15/08/2018]])</f>
        <v>80282</v>
      </c>
      <c r="BE451">
        <f>IF(ISBLANK(Tabla7[[#This Row],[15/09/2018]]),0,Tabla7[[#This Row],[15/09/2018]])</f>
        <v>82213</v>
      </c>
      <c r="BF451">
        <f>IF(ISBLANK(Tabla7[[#This Row],[15/10/2018]]),0,Tabla7[[#This Row],[15/10/2018]])</f>
        <v>84017</v>
      </c>
      <c r="BG451">
        <f>IF(ISBLANK(Tabla7[[#This Row],[15/11/2018]]),0,Tabla7[[#This Row],[15/11/2018]])</f>
        <v>86472</v>
      </c>
      <c r="BH451">
        <f>IF(ISBLANK(Tabla7[[#This Row],[15/12/2018]]),0,Tabla7[[#This Row],[15/12/2018]])</f>
        <v>86472</v>
      </c>
      <c r="BI451">
        <f>IF(ISBLANK(Tabla7[[#This Row],[28/12/2018]]),0,Tabla7[[#This Row],[28/12/2018]])</f>
        <v>0</v>
      </c>
      <c r="BN45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('114484112','V','VCT52','39526','VALENCIA TERMINAL EUROPA, S.A. TORRE 5201','INTERIOR CT','Torre 5201','');</v>
      </c>
      <c r="BO451" t="s">
        <v>243</v>
      </c>
      <c r="BP451" s="632" t="str">
        <f>CONCATENATE("insert into lecturas values ","('",Tabla7[[#This Row],[CONTADOR]],"',STR_TO_DATE('",Tabla7[[#Headers],[31/12/2017]],"','%d/%m/%Y'),",AV451,"),","('",Tabla7[[#This Row],[CONTADOR]],"',STR_TO_DATE('",Tabla7[[#Headers],[15/01/2018]],"','%d/%m/%Y'),",AW451,"),","('",Tabla7[[#This Row],[CONTADOR]],"',STR_TO_DATE('",Tabla7[[#Headers],[15/02/2018]],"','%d/%m/%Y'),",AX451,"),","('",Tabla7[[#This Row],[CONTADOR]],"',STR_TO_DATE('",Tabla7[[#Headers],[15/03/2018]],"','%d/%m/%Y'),",AY451,"),","('",Tabla7[[#This Row],[CONTADOR]],"',STR_TO_DATE('",Tabla7[[#Headers],[15/04/2018]],"','%d/%m/%Y'),",AZ451,"),","('",Tabla7[[#This Row],[CONTADOR]],"',STR_TO_DATE('",Tabla7[[#Headers],[15/05/2018]],"','%d/%m/%Y'),",BA451,"),","('",Tabla7[[#This Row],[CONTADOR]],"',STR_TO_DATE('",Tabla7[[#Headers],[15/06/2018]],"','%d/%m/%Y'),",BB451,"),","('",Tabla7[[#This Row],[CONTADOR]],"',STR_TO_DATE('",Tabla7[[#Headers],[15/07/2018]],"','%d/%m/%Y'),",BC451,"),","('",Tabla7[[#This Row],[CONTADOR]],"',STR_TO_DATE('",Tabla7[[#Headers],[15/08/2018]],"','%d/%m/%Y'),",BD451,"),","('",Tabla7[[#This Row],[CONTADOR]],"',STR_TO_DATE('",Tabla7[[#Headers],[15/09/2018]],"','%d/%m/%Y'),",BE451,"),","('",Tabla7[[#This Row],[CONTADOR]],"',STR_TO_DATE('",Tabla7[[#Headers],[15/10/2018]],"','%d/%m/%Y'),",BF451,"),","('",Tabla7[[#This Row],[CONTADOR]],"',STR_TO_DATE('",Tabla7[[#Headers],[15/11/2018]],"','%d/%m/%Y'),",BG451,"),","('",Tabla7[[#This Row],[CONTADOR]],"',STR_TO_DATE('",Tabla7[[#Headers],[15/12/2018]],"','%d/%m/%Y'),",BH451,");")</f>
        <v>insert into lecturas values ('114484112',STR_TO_DATE('31/12/2017','%d/%m/%Y'),66009),('114484112',STR_TO_DATE('15/01/2018','%d/%m/%Y'),67418),('114484112',STR_TO_DATE('15/02/2018','%d/%m/%Y'),69786),('114484112',STR_TO_DATE('15/03/2018','%d/%m/%Y'),71744),('114484112',STR_TO_DATE('15/04/2018','%d/%m/%Y'),73927),('114484112',STR_TO_DATE('15/05/2018','%d/%m/%Y'),75517),('114484112',STR_TO_DATE('15/06/2018','%d/%m/%Y'),77075),('114484112',STR_TO_DATE('15/07/2018','%d/%m/%Y'),78681),('114484112',STR_TO_DATE('15/08/2018','%d/%m/%Y'),80282),('114484112',STR_TO_DATE('15/09/2018','%d/%m/%Y'),82213),('114484112',STR_TO_DATE('15/10/2018','%d/%m/%Y'),84017),('114484112',STR_TO_DATE('15/11/2018','%d/%m/%Y'),86472),('114484112',STR_TO_DATE('15/12/2018','%d/%m/%Y'),86472);</v>
      </c>
    </row>
    <row r="452" spans="1:68" ht="18" customHeight="1" x14ac:dyDescent="0.25">
      <c r="A452" s="241" t="s">
        <v>740</v>
      </c>
      <c r="B452" s="60"/>
      <c r="C452" s="342" t="s">
        <v>1245</v>
      </c>
      <c r="D452" s="60" t="s">
        <v>306</v>
      </c>
      <c r="E452" s="258">
        <v>30000</v>
      </c>
      <c r="F452" s="2" t="s">
        <v>742</v>
      </c>
      <c r="G452" s="2" t="s">
        <v>63</v>
      </c>
      <c r="H452" s="2"/>
      <c r="I452" s="2"/>
      <c r="J452" s="2">
        <v>187928</v>
      </c>
      <c r="K452" s="2">
        <v>189631</v>
      </c>
      <c r="L452" s="311">
        <v>192494</v>
      </c>
      <c r="M452" s="311">
        <v>194872</v>
      </c>
      <c r="N452" s="311">
        <v>198247</v>
      </c>
      <c r="O452" s="311">
        <v>200991</v>
      </c>
      <c r="P452" s="1">
        <v>203406</v>
      </c>
      <c r="Q452" s="2">
        <v>206783</v>
      </c>
      <c r="R452" s="311">
        <v>209446</v>
      </c>
      <c r="S452" s="533"/>
      <c r="T452" s="311">
        <v>215421</v>
      </c>
      <c r="U452" s="492">
        <v>219389</v>
      </c>
      <c r="V452" s="492">
        <v>223451</v>
      </c>
      <c r="W452" s="2"/>
      <c r="X452" s="2"/>
      <c r="Y452" s="2">
        <f t="shared" si="163"/>
        <v>1703</v>
      </c>
      <c r="Z452" s="2">
        <f t="shared" si="164"/>
        <v>2863</v>
      </c>
      <c r="AA452" s="2">
        <f t="shared" si="173"/>
        <v>2378</v>
      </c>
      <c r="AB452" s="2">
        <f t="shared" si="174"/>
        <v>3375</v>
      </c>
      <c r="AC452" s="2">
        <f t="shared" si="165"/>
        <v>2744</v>
      </c>
      <c r="AD452" s="2">
        <f t="shared" si="166"/>
        <v>2415</v>
      </c>
      <c r="AE452" s="2">
        <f t="shared" si="167"/>
        <v>3377</v>
      </c>
      <c r="AF452" s="2">
        <f t="shared" si="168"/>
        <v>2663</v>
      </c>
      <c r="AG452" s="2" t="str">
        <f t="shared" si="169"/>
        <v/>
      </c>
      <c r="AH452" s="2" t="str">
        <f t="shared" si="170"/>
        <v/>
      </c>
      <c r="AI452" s="2">
        <f t="shared" si="171"/>
        <v>3968</v>
      </c>
      <c r="AJ452" s="2">
        <f t="shared" si="172"/>
        <v>4062</v>
      </c>
      <c r="AK452" s="406">
        <v>1</v>
      </c>
      <c r="AL452" s="274">
        <f t="shared" ca="1" si="175"/>
        <v>198247</v>
      </c>
      <c r="AM452" s="311">
        <f t="shared" ca="1" si="176"/>
        <v>200991</v>
      </c>
      <c r="AN452" s="274">
        <f ca="1">IF(AND(Tabla7[[#This Row],[UltLec]]&lt;&gt;0,Tabla7[[#This Row],[PenLect]]&lt;&gt;0),(AM452-AL452)*Tabla7[[#This Row],[RT]],"N/A")</f>
        <v>2744</v>
      </c>
      <c r="AO452" s="273" t="s">
        <v>862</v>
      </c>
      <c r="AP452" s="392" t="s">
        <v>1191</v>
      </c>
      <c r="AQ452" s="392" t="s">
        <v>818</v>
      </c>
      <c r="AR452" s="407">
        <f t="shared" si="177"/>
        <v>0</v>
      </c>
      <c r="AT452" s="2">
        <f t="shared" ca="1" si="148"/>
        <v>0.813037037037037</v>
      </c>
      <c r="AV452">
        <f>IF(ISBLANK(Tabla7[[#This Row],[31/12/2017]]),0,Tabla7[[#This Row],[31/12/2017]])</f>
        <v>187928</v>
      </c>
      <c r="AW452">
        <f>IF(ISBLANK(Tabla7[[#This Row],[15/01/2018]]),0,Tabla7[[#This Row],[15/01/2018]])</f>
        <v>189631</v>
      </c>
      <c r="AX452">
        <f>IF(ISBLANK(Tabla7[[#This Row],[15/02/2018]]),0,Tabla7[[#This Row],[15/02/2018]])</f>
        <v>192494</v>
      </c>
      <c r="AY452">
        <f>IF(ISBLANK(Tabla7[[#This Row],[15/03/2018]]),0,Tabla7[[#This Row],[15/03/2018]])</f>
        <v>194872</v>
      </c>
      <c r="AZ452">
        <f>IF(ISBLANK(Tabla7[[#This Row],[15/04/2018]]),0,Tabla7[[#This Row],[15/04/2018]])</f>
        <v>198247</v>
      </c>
      <c r="BA452">
        <f>IF(ISBLANK(Tabla7[[#This Row],[15/05/2018]]),0,Tabla7[[#This Row],[15/05/2018]])</f>
        <v>200991</v>
      </c>
      <c r="BB452">
        <f>IF(ISBLANK(Tabla7[[#This Row],[15/06/2018]]),0,Tabla7[[#This Row],[15/06/2018]])</f>
        <v>203406</v>
      </c>
      <c r="BC452">
        <f>IF(ISBLANK(Tabla7[[#This Row],[15/07/2018]]),0,Tabla7[[#This Row],[15/07/2018]])</f>
        <v>206783</v>
      </c>
      <c r="BD452">
        <f>IF(ISBLANK(Tabla7[[#This Row],[15/08/2018]]),0,Tabla7[[#This Row],[15/08/2018]])</f>
        <v>209446</v>
      </c>
      <c r="BE452">
        <f>IF(ISBLANK(Tabla7[[#This Row],[15/09/2018]]),0,Tabla7[[#This Row],[15/09/2018]])</f>
        <v>0</v>
      </c>
      <c r="BF452">
        <f>IF(ISBLANK(Tabla7[[#This Row],[15/10/2018]]),0,Tabla7[[#This Row],[15/10/2018]])</f>
        <v>215421</v>
      </c>
      <c r="BG452">
        <f>IF(ISBLANK(Tabla7[[#This Row],[15/11/2018]]),0,Tabla7[[#This Row],[15/11/2018]])</f>
        <v>219389</v>
      </c>
      <c r="BH452">
        <f>IF(ISBLANK(Tabla7[[#This Row],[15/12/2018]]),0,Tabla7[[#This Row],[15/12/2018]])</f>
        <v>223451</v>
      </c>
      <c r="BI452">
        <f>IF(ISBLANK(Tabla7[[#This Row],[28/12/2018]]),0,Tabla7[[#This Row],[28/12/2018]])</f>
        <v>0</v>
      </c>
      <c r="BN45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('PM4E37FCB3','VTOT','VCT52','30000','TOTALIZADOR','EN CT','','');</v>
      </c>
      <c r="BO452" t="s">
        <v>243</v>
      </c>
      <c r="BP452" s="632" t="str">
        <f>CONCATENATE("insert into lecturas values ","('",Tabla7[[#This Row],[CONTADOR]],"',STR_TO_DATE('",Tabla7[[#Headers],[31/12/2017]],"','%d/%m/%Y'),",AV452,"),","('",Tabla7[[#This Row],[CONTADOR]],"',STR_TO_DATE('",Tabla7[[#Headers],[15/01/2018]],"','%d/%m/%Y'),",AW452,"),","('",Tabla7[[#This Row],[CONTADOR]],"',STR_TO_DATE('",Tabla7[[#Headers],[15/02/2018]],"','%d/%m/%Y'),",AX452,"),","('",Tabla7[[#This Row],[CONTADOR]],"',STR_TO_DATE('",Tabla7[[#Headers],[15/03/2018]],"','%d/%m/%Y'),",AY452,"),","('",Tabla7[[#This Row],[CONTADOR]],"',STR_TO_DATE('",Tabla7[[#Headers],[15/04/2018]],"','%d/%m/%Y'),",AZ452,"),","('",Tabla7[[#This Row],[CONTADOR]],"',STR_TO_DATE('",Tabla7[[#Headers],[15/05/2018]],"','%d/%m/%Y'),",BA452,"),","('",Tabla7[[#This Row],[CONTADOR]],"',STR_TO_DATE('",Tabla7[[#Headers],[15/06/2018]],"','%d/%m/%Y'),",BB452,"),","('",Tabla7[[#This Row],[CONTADOR]],"',STR_TO_DATE('",Tabla7[[#Headers],[15/07/2018]],"','%d/%m/%Y'),",BC452,"),","('",Tabla7[[#This Row],[CONTADOR]],"',STR_TO_DATE('",Tabla7[[#Headers],[15/08/2018]],"','%d/%m/%Y'),",BD452,"),","('",Tabla7[[#This Row],[CONTADOR]],"',STR_TO_DATE('",Tabla7[[#Headers],[15/09/2018]],"','%d/%m/%Y'),",BE452,"),","('",Tabla7[[#This Row],[CONTADOR]],"',STR_TO_DATE('",Tabla7[[#Headers],[15/10/2018]],"','%d/%m/%Y'),",BF452,"),","('",Tabla7[[#This Row],[CONTADOR]],"',STR_TO_DATE('",Tabla7[[#Headers],[15/11/2018]],"','%d/%m/%Y'),",BG452,"),","('",Tabla7[[#This Row],[CONTADOR]],"',STR_TO_DATE('",Tabla7[[#Headers],[15/12/2018]],"','%d/%m/%Y'),",BH452,");")</f>
        <v>insert into lecturas values ('PM4E37FCB3',STR_TO_DATE('31/12/2017','%d/%m/%Y'),187928),('PM4E37FCB3',STR_TO_DATE('15/01/2018','%d/%m/%Y'),189631),('PM4E37FCB3',STR_TO_DATE('15/02/2018','%d/%m/%Y'),192494),('PM4E37FCB3',STR_TO_DATE('15/03/2018','%d/%m/%Y'),194872),('PM4E37FCB3',STR_TO_DATE('15/04/2018','%d/%m/%Y'),198247),('PM4E37FCB3',STR_TO_DATE('15/05/2018','%d/%m/%Y'),200991),('PM4E37FCB3',STR_TO_DATE('15/06/2018','%d/%m/%Y'),203406),('PM4E37FCB3',STR_TO_DATE('15/07/2018','%d/%m/%Y'),206783),('PM4E37FCB3',STR_TO_DATE('15/08/2018','%d/%m/%Y'),209446),('PM4E37FCB3',STR_TO_DATE('15/09/2018','%d/%m/%Y'),0),('PM4E37FCB3',STR_TO_DATE('15/10/2018','%d/%m/%Y'),215421),('PM4E37FCB3',STR_TO_DATE('15/11/2018','%d/%m/%Y'),219389),('PM4E37FCB3',STR_TO_DATE('15/12/2018','%d/%m/%Y'),223451);</v>
      </c>
    </row>
    <row r="453" spans="1:68" ht="18" customHeight="1" x14ac:dyDescent="0.25">
      <c r="A453" s="241" t="s">
        <v>19</v>
      </c>
      <c r="B453" s="60" t="s">
        <v>301</v>
      </c>
      <c r="C453" s="342" t="s">
        <v>1246</v>
      </c>
      <c r="D453" s="60" t="s">
        <v>306</v>
      </c>
      <c r="E453" s="258">
        <v>132</v>
      </c>
      <c r="F453" s="2" t="s">
        <v>457</v>
      </c>
      <c r="G453" s="2" t="s">
        <v>47</v>
      </c>
      <c r="H453" s="2"/>
      <c r="I453" s="274"/>
      <c r="J453" s="2">
        <v>293042</v>
      </c>
      <c r="K453" s="2">
        <v>297490</v>
      </c>
      <c r="L453" s="311">
        <v>304944</v>
      </c>
      <c r="M453" s="311">
        <v>311139</v>
      </c>
      <c r="N453" s="311">
        <v>319822</v>
      </c>
      <c r="O453" s="311">
        <v>326725</v>
      </c>
      <c r="P453" s="242">
        <v>333041</v>
      </c>
      <c r="Q453" s="307">
        <v>341689</v>
      </c>
      <c r="R453" s="311">
        <v>348892</v>
      </c>
      <c r="S453" s="533">
        <v>356711</v>
      </c>
      <c r="T453" s="311">
        <v>364749</v>
      </c>
      <c r="U453" s="492">
        <v>375296</v>
      </c>
      <c r="V453" s="492">
        <v>388756</v>
      </c>
      <c r="W453" s="2"/>
      <c r="X453" s="2"/>
      <c r="Y453" s="2">
        <f t="shared" si="163"/>
        <v>4448</v>
      </c>
      <c r="Z453" s="2">
        <f t="shared" si="164"/>
        <v>7454</v>
      </c>
      <c r="AA453" s="2">
        <f t="shared" si="173"/>
        <v>6195</v>
      </c>
      <c r="AB453" s="2">
        <f t="shared" si="174"/>
        <v>8683</v>
      </c>
      <c r="AC453" s="2">
        <f t="shared" si="165"/>
        <v>6903</v>
      </c>
      <c r="AD453" s="2">
        <f t="shared" si="166"/>
        <v>6316</v>
      </c>
      <c r="AE453" s="2">
        <f t="shared" si="167"/>
        <v>8648</v>
      </c>
      <c r="AF453" s="2">
        <f t="shared" si="168"/>
        <v>7203</v>
      </c>
      <c r="AG453" s="2">
        <f t="shared" si="169"/>
        <v>7819</v>
      </c>
      <c r="AH453" s="2">
        <f t="shared" si="170"/>
        <v>8038</v>
      </c>
      <c r="AI453" s="2">
        <f t="shared" si="171"/>
        <v>10547</v>
      </c>
      <c r="AJ453" s="2">
        <f t="shared" si="172"/>
        <v>13460</v>
      </c>
      <c r="AK453" s="406">
        <v>1</v>
      </c>
      <c r="AL453" s="274">
        <f t="shared" ca="1" si="175"/>
        <v>319822</v>
      </c>
      <c r="AM453" s="311">
        <f t="shared" ca="1" si="176"/>
        <v>326725</v>
      </c>
      <c r="AN453" s="274">
        <f ca="1">IF(AND(Tabla7[[#This Row],[UltLec]]&lt;&gt;0,Tabla7[[#This Row],[PenLect]]&lt;&gt;0),(AM453-AL453)*Tabla7[[#This Row],[RT]],"N/A")</f>
        <v>6903</v>
      </c>
      <c r="AO453" s="273" t="s">
        <v>862</v>
      </c>
      <c r="AP453" s="392" t="s">
        <v>1191</v>
      </c>
      <c r="AQ453" s="392" t="s">
        <v>818</v>
      </c>
      <c r="AR453" s="407">
        <f t="shared" si="177"/>
        <v>0</v>
      </c>
      <c r="AT453" s="2">
        <f t="shared" ref="AT453:AT463" ca="1" si="178">IF(IF(DAY(TODAY())&gt;15,INDEX($Y453:$AJ453,1,MONTH(TODAY())-1),INDEX($Y453:$AJ453,1,MONTH(TODAY())-2))=0,"0",IF(DAY(TODAY())&gt;15,INDEX($Y453:$AJ453,1,MONTH(TODAY())),INDEX($Y453:$AJ453,1,MONTH(TODAY())-1))/IF(DAY(TODAY())&gt;15,INDEX($Y453:$AJ453,1,MONTH(TODAY())-1),INDEX($Y453:$AJ453,1,MONTH(TODAY())-2)))</f>
        <v>0.79500172751353215</v>
      </c>
      <c r="AV453">
        <f>IF(ISBLANK(Tabla7[[#This Row],[31/12/2017]]),0,Tabla7[[#This Row],[31/12/2017]])</f>
        <v>293042</v>
      </c>
      <c r="AW453">
        <f>IF(ISBLANK(Tabla7[[#This Row],[15/01/2018]]),0,Tabla7[[#This Row],[15/01/2018]])</f>
        <v>297490</v>
      </c>
      <c r="AX453">
        <f>IF(ISBLANK(Tabla7[[#This Row],[15/02/2018]]),0,Tabla7[[#This Row],[15/02/2018]])</f>
        <v>304944</v>
      </c>
      <c r="AY453">
        <f>IF(ISBLANK(Tabla7[[#This Row],[15/03/2018]]),0,Tabla7[[#This Row],[15/03/2018]])</f>
        <v>311139</v>
      </c>
      <c r="AZ453">
        <f>IF(ISBLANK(Tabla7[[#This Row],[15/04/2018]]),0,Tabla7[[#This Row],[15/04/2018]])</f>
        <v>319822</v>
      </c>
      <c r="BA453">
        <f>IF(ISBLANK(Tabla7[[#This Row],[15/05/2018]]),0,Tabla7[[#This Row],[15/05/2018]])</f>
        <v>326725</v>
      </c>
      <c r="BB453">
        <f>IF(ISBLANK(Tabla7[[#This Row],[15/06/2018]]),0,Tabla7[[#This Row],[15/06/2018]])</f>
        <v>333041</v>
      </c>
      <c r="BC453">
        <f>IF(ISBLANK(Tabla7[[#This Row],[15/07/2018]]),0,Tabla7[[#This Row],[15/07/2018]])</f>
        <v>341689</v>
      </c>
      <c r="BD453">
        <f>IF(ISBLANK(Tabla7[[#This Row],[15/08/2018]]),0,Tabla7[[#This Row],[15/08/2018]])</f>
        <v>348892</v>
      </c>
      <c r="BE453">
        <f>IF(ISBLANK(Tabla7[[#This Row],[15/09/2018]]),0,Tabla7[[#This Row],[15/09/2018]])</f>
        <v>356711</v>
      </c>
      <c r="BF453">
        <f>IF(ISBLANK(Tabla7[[#This Row],[15/10/2018]]),0,Tabla7[[#This Row],[15/10/2018]])</f>
        <v>364749</v>
      </c>
      <c r="BG453">
        <f>IF(ISBLANK(Tabla7[[#This Row],[15/11/2018]]),0,Tabla7[[#This Row],[15/11/2018]])</f>
        <v>375296</v>
      </c>
      <c r="BH453">
        <f>IF(ISBLANK(Tabla7[[#This Row],[15/12/2018]]),0,Tabla7[[#This Row],[15/12/2018]])</f>
        <v>388756</v>
      </c>
      <c r="BI453">
        <f>IF(ISBLANK(Tabla7[[#This Row],[28/12/2018]]),0,Tabla7[[#This Row],[28/12/2018]])</f>
        <v>0</v>
      </c>
      <c r="BN45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('PM4E39638B','V','VCT52','132','APV ALUMBRADO TORRES','INTERIOR CT','','');</v>
      </c>
      <c r="BO453" t="s">
        <v>243</v>
      </c>
      <c r="BP453" s="632" t="str">
        <f>CONCATENATE("insert into lecturas values ","('",Tabla7[[#This Row],[CONTADOR]],"',STR_TO_DATE('",Tabla7[[#Headers],[31/12/2017]],"','%d/%m/%Y'),",AV453,"),","('",Tabla7[[#This Row],[CONTADOR]],"',STR_TO_DATE('",Tabla7[[#Headers],[15/01/2018]],"','%d/%m/%Y'),",AW453,"),","('",Tabla7[[#This Row],[CONTADOR]],"',STR_TO_DATE('",Tabla7[[#Headers],[15/02/2018]],"','%d/%m/%Y'),",AX453,"),","('",Tabla7[[#This Row],[CONTADOR]],"',STR_TO_DATE('",Tabla7[[#Headers],[15/03/2018]],"','%d/%m/%Y'),",AY453,"),","('",Tabla7[[#This Row],[CONTADOR]],"',STR_TO_DATE('",Tabla7[[#Headers],[15/04/2018]],"','%d/%m/%Y'),",AZ453,"),","('",Tabla7[[#This Row],[CONTADOR]],"',STR_TO_DATE('",Tabla7[[#Headers],[15/05/2018]],"','%d/%m/%Y'),",BA453,"),","('",Tabla7[[#This Row],[CONTADOR]],"',STR_TO_DATE('",Tabla7[[#Headers],[15/06/2018]],"','%d/%m/%Y'),",BB453,"),","('",Tabla7[[#This Row],[CONTADOR]],"',STR_TO_DATE('",Tabla7[[#Headers],[15/07/2018]],"','%d/%m/%Y'),",BC453,"),","('",Tabla7[[#This Row],[CONTADOR]],"',STR_TO_DATE('",Tabla7[[#Headers],[15/08/2018]],"','%d/%m/%Y'),",BD453,"),","('",Tabla7[[#This Row],[CONTADOR]],"',STR_TO_DATE('",Tabla7[[#Headers],[15/09/2018]],"','%d/%m/%Y'),",BE453,"),","('",Tabla7[[#This Row],[CONTADOR]],"',STR_TO_DATE('",Tabla7[[#Headers],[15/10/2018]],"','%d/%m/%Y'),",BF453,"),","('",Tabla7[[#This Row],[CONTADOR]],"',STR_TO_DATE('",Tabla7[[#Headers],[15/11/2018]],"','%d/%m/%Y'),",BG453,"),","('",Tabla7[[#This Row],[CONTADOR]],"',STR_TO_DATE('",Tabla7[[#Headers],[15/12/2018]],"','%d/%m/%Y'),",BH453,");")</f>
        <v>insert into lecturas values ('PM4E39638B',STR_TO_DATE('31/12/2017','%d/%m/%Y'),293042),('PM4E39638B',STR_TO_DATE('15/01/2018','%d/%m/%Y'),297490),('PM4E39638B',STR_TO_DATE('15/02/2018','%d/%m/%Y'),304944),('PM4E39638B',STR_TO_DATE('15/03/2018','%d/%m/%Y'),311139),('PM4E39638B',STR_TO_DATE('15/04/2018','%d/%m/%Y'),319822),('PM4E39638B',STR_TO_DATE('15/05/2018','%d/%m/%Y'),326725),('PM4E39638B',STR_TO_DATE('15/06/2018','%d/%m/%Y'),333041),('PM4E39638B',STR_TO_DATE('15/07/2018','%d/%m/%Y'),341689),('PM4E39638B',STR_TO_DATE('15/08/2018','%d/%m/%Y'),348892),('PM4E39638B',STR_TO_DATE('15/09/2018','%d/%m/%Y'),356711),('PM4E39638B',STR_TO_DATE('15/10/2018','%d/%m/%Y'),364749),('PM4E39638B',STR_TO_DATE('15/11/2018','%d/%m/%Y'),375296),('PM4E39638B',STR_TO_DATE('15/12/2018','%d/%m/%Y'),388756);</v>
      </c>
    </row>
    <row r="454" spans="1:68" ht="18" customHeight="1" x14ac:dyDescent="0.25">
      <c r="A454" s="241" t="s">
        <v>19</v>
      </c>
      <c r="B454" s="60"/>
      <c r="C454" s="342" t="s">
        <v>1247</v>
      </c>
      <c r="D454" s="60" t="s">
        <v>306</v>
      </c>
      <c r="E454" s="258">
        <v>131</v>
      </c>
      <c r="F454" s="274" t="s">
        <v>455</v>
      </c>
      <c r="G454" s="2" t="s">
        <v>47</v>
      </c>
      <c r="H454" s="2"/>
      <c r="I454" s="274"/>
      <c r="J454" s="2">
        <v>39353</v>
      </c>
      <c r="K454" s="274">
        <v>40094</v>
      </c>
      <c r="L454" s="311">
        <v>41322</v>
      </c>
      <c r="M454" s="311">
        <v>42331</v>
      </c>
      <c r="N454" s="311">
        <v>43455</v>
      </c>
      <c r="O454" s="311">
        <v>44276</v>
      </c>
      <c r="P454" s="242">
        <v>45081</v>
      </c>
      <c r="Q454" s="275">
        <v>45888</v>
      </c>
      <c r="R454" s="311">
        <v>46692</v>
      </c>
      <c r="S454" s="531">
        <v>47589</v>
      </c>
      <c r="T454" s="311">
        <v>48612</v>
      </c>
      <c r="U454" s="492">
        <v>49920</v>
      </c>
      <c r="V454" s="492">
        <v>51452</v>
      </c>
      <c r="W454" s="2"/>
      <c r="X454" s="2"/>
      <c r="Y454" s="2">
        <f t="shared" si="163"/>
        <v>741</v>
      </c>
      <c r="Z454" s="2">
        <f t="shared" si="164"/>
        <v>1228</v>
      </c>
      <c r="AA454" s="2">
        <f t="shared" si="173"/>
        <v>1009</v>
      </c>
      <c r="AB454" s="2">
        <f t="shared" si="174"/>
        <v>1124</v>
      </c>
      <c r="AC454" s="2">
        <f t="shared" si="165"/>
        <v>821</v>
      </c>
      <c r="AD454" s="2">
        <f t="shared" si="166"/>
        <v>805</v>
      </c>
      <c r="AE454" s="2">
        <f t="shared" si="167"/>
        <v>807</v>
      </c>
      <c r="AF454" s="2">
        <f t="shared" si="168"/>
        <v>804</v>
      </c>
      <c r="AG454" s="2">
        <f t="shared" si="169"/>
        <v>897</v>
      </c>
      <c r="AH454" s="2">
        <f t="shared" si="170"/>
        <v>1023</v>
      </c>
      <c r="AI454" s="2">
        <f t="shared" si="171"/>
        <v>1308</v>
      </c>
      <c r="AJ454" s="2">
        <f t="shared" si="172"/>
        <v>1532</v>
      </c>
      <c r="AK454" s="406">
        <v>1</v>
      </c>
      <c r="AL454" s="274">
        <f t="shared" ca="1" si="175"/>
        <v>43455</v>
      </c>
      <c r="AM454" s="311">
        <f t="shared" ca="1" si="176"/>
        <v>44276</v>
      </c>
      <c r="AN454" s="274">
        <f ca="1">IF(AND(Tabla7[[#This Row],[UltLec]]&lt;&gt;0,Tabla7[[#This Row],[PenLect]]&lt;&gt;0),(AM454-AL454)*Tabla7[[#This Row],[RT]],"N/A")</f>
        <v>821</v>
      </c>
      <c r="AO454" s="273" t="s">
        <v>862</v>
      </c>
      <c r="AP454" s="392" t="s">
        <v>1191</v>
      </c>
      <c r="AQ454" s="392" t="s">
        <v>818</v>
      </c>
      <c r="AR454" s="407">
        <f t="shared" si="177"/>
        <v>0</v>
      </c>
      <c r="AT454" s="2">
        <f t="shared" ca="1" si="178"/>
        <v>0.7304270462633452</v>
      </c>
      <c r="AV454">
        <f>IF(ISBLANK(Tabla7[[#This Row],[31/12/2017]]),0,Tabla7[[#This Row],[31/12/2017]])</f>
        <v>39353</v>
      </c>
      <c r="AW454">
        <f>IF(ISBLANK(Tabla7[[#This Row],[15/01/2018]]),0,Tabla7[[#This Row],[15/01/2018]])</f>
        <v>40094</v>
      </c>
      <c r="AX454">
        <f>IF(ISBLANK(Tabla7[[#This Row],[15/02/2018]]),0,Tabla7[[#This Row],[15/02/2018]])</f>
        <v>41322</v>
      </c>
      <c r="AY454">
        <f>IF(ISBLANK(Tabla7[[#This Row],[15/03/2018]]),0,Tabla7[[#This Row],[15/03/2018]])</f>
        <v>42331</v>
      </c>
      <c r="AZ454">
        <f>IF(ISBLANK(Tabla7[[#This Row],[15/04/2018]]),0,Tabla7[[#This Row],[15/04/2018]])</f>
        <v>43455</v>
      </c>
      <c r="BA454">
        <f>IF(ISBLANK(Tabla7[[#This Row],[15/05/2018]]),0,Tabla7[[#This Row],[15/05/2018]])</f>
        <v>44276</v>
      </c>
      <c r="BB454">
        <f>IF(ISBLANK(Tabla7[[#This Row],[15/06/2018]]),0,Tabla7[[#This Row],[15/06/2018]])</f>
        <v>45081</v>
      </c>
      <c r="BC454">
        <f>IF(ISBLANK(Tabla7[[#This Row],[15/07/2018]]),0,Tabla7[[#This Row],[15/07/2018]])</f>
        <v>45888</v>
      </c>
      <c r="BD454">
        <f>IF(ISBLANK(Tabla7[[#This Row],[15/08/2018]]),0,Tabla7[[#This Row],[15/08/2018]])</f>
        <v>46692</v>
      </c>
      <c r="BE454">
        <f>IF(ISBLANK(Tabla7[[#This Row],[15/09/2018]]),0,Tabla7[[#This Row],[15/09/2018]])</f>
        <v>47589</v>
      </c>
      <c r="BF454">
        <f>IF(ISBLANK(Tabla7[[#This Row],[15/10/2018]]),0,Tabla7[[#This Row],[15/10/2018]])</f>
        <v>48612</v>
      </c>
      <c r="BG454">
        <f>IF(ISBLANK(Tabla7[[#This Row],[15/11/2018]]),0,Tabla7[[#This Row],[15/11/2018]])</f>
        <v>49920</v>
      </c>
      <c r="BH454">
        <f>IF(ISBLANK(Tabla7[[#This Row],[15/12/2018]]),0,Tabla7[[#This Row],[15/12/2018]])</f>
        <v>51452</v>
      </c>
      <c r="BI454">
        <f>IF(ISBLANK(Tabla7[[#This Row],[28/12/2018]]),0,Tabla7[[#This Row],[28/12/2018]])</f>
        <v>0</v>
      </c>
      <c r="BN45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('PM4E39FA7F','V','VCT52','131','APV ALUMBRADO VIALES','INTERIOR CT','','');</v>
      </c>
      <c r="BO454" t="s">
        <v>243</v>
      </c>
      <c r="BP454" s="632" t="str">
        <f>CONCATENATE("insert into lecturas values ","('",Tabla7[[#This Row],[CONTADOR]],"',STR_TO_DATE('",Tabla7[[#Headers],[31/12/2017]],"','%d/%m/%Y'),",AV454,"),","('",Tabla7[[#This Row],[CONTADOR]],"',STR_TO_DATE('",Tabla7[[#Headers],[15/01/2018]],"','%d/%m/%Y'),",AW454,"),","('",Tabla7[[#This Row],[CONTADOR]],"',STR_TO_DATE('",Tabla7[[#Headers],[15/02/2018]],"','%d/%m/%Y'),",AX454,"),","('",Tabla7[[#This Row],[CONTADOR]],"',STR_TO_DATE('",Tabla7[[#Headers],[15/03/2018]],"','%d/%m/%Y'),",AY454,"),","('",Tabla7[[#This Row],[CONTADOR]],"',STR_TO_DATE('",Tabla7[[#Headers],[15/04/2018]],"','%d/%m/%Y'),",AZ454,"),","('",Tabla7[[#This Row],[CONTADOR]],"',STR_TO_DATE('",Tabla7[[#Headers],[15/05/2018]],"','%d/%m/%Y'),",BA454,"),","('",Tabla7[[#This Row],[CONTADOR]],"',STR_TO_DATE('",Tabla7[[#Headers],[15/06/2018]],"','%d/%m/%Y'),",BB454,"),","('",Tabla7[[#This Row],[CONTADOR]],"',STR_TO_DATE('",Tabla7[[#Headers],[15/07/2018]],"','%d/%m/%Y'),",BC454,"),","('",Tabla7[[#This Row],[CONTADOR]],"',STR_TO_DATE('",Tabla7[[#Headers],[15/08/2018]],"','%d/%m/%Y'),",BD454,"),","('",Tabla7[[#This Row],[CONTADOR]],"',STR_TO_DATE('",Tabla7[[#Headers],[15/09/2018]],"','%d/%m/%Y'),",BE454,"),","('",Tabla7[[#This Row],[CONTADOR]],"',STR_TO_DATE('",Tabla7[[#Headers],[15/10/2018]],"','%d/%m/%Y'),",BF454,"),","('",Tabla7[[#This Row],[CONTADOR]],"',STR_TO_DATE('",Tabla7[[#Headers],[15/11/2018]],"','%d/%m/%Y'),",BG454,"),","('",Tabla7[[#This Row],[CONTADOR]],"',STR_TO_DATE('",Tabla7[[#Headers],[15/12/2018]],"','%d/%m/%Y'),",BH454,");")</f>
        <v>insert into lecturas values ('PM4E39FA7F',STR_TO_DATE('31/12/2017','%d/%m/%Y'),39353),('PM4E39FA7F',STR_TO_DATE('15/01/2018','%d/%m/%Y'),40094),('PM4E39FA7F',STR_TO_DATE('15/02/2018','%d/%m/%Y'),41322),('PM4E39FA7F',STR_TO_DATE('15/03/2018','%d/%m/%Y'),42331),('PM4E39FA7F',STR_TO_DATE('15/04/2018','%d/%m/%Y'),43455),('PM4E39FA7F',STR_TO_DATE('15/05/2018','%d/%m/%Y'),44276),('PM4E39FA7F',STR_TO_DATE('15/06/2018','%d/%m/%Y'),45081),('PM4E39FA7F',STR_TO_DATE('15/07/2018','%d/%m/%Y'),45888),('PM4E39FA7F',STR_TO_DATE('15/08/2018','%d/%m/%Y'),46692),('PM4E39FA7F',STR_TO_DATE('15/09/2018','%d/%m/%Y'),47589),('PM4E39FA7F',STR_TO_DATE('15/10/2018','%d/%m/%Y'),48612),('PM4E39FA7F',STR_TO_DATE('15/11/2018','%d/%m/%Y'),49920),('PM4E39FA7F',STR_TO_DATE('15/12/2018','%d/%m/%Y'),51452);</v>
      </c>
    </row>
    <row r="455" spans="1:68" ht="18" customHeight="1" x14ac:dyDescent="0.25">
      <c r="A455" s="241" t="s">
        <v>19</v>
      </c>
      <c r="B455" s="60" t="s">
        <v>301</v>
      </c>
      <c r="C455" s="342" t="s">
        <v>1248</v>
      </c>
      <c r="D455" s="60" t="s">
        <v>456</v>
      </c>
      <c r="E455" s="258">
        <v>131</v>
      </c>
      <c r="F455" s="2" t="s">
        <v>455</v>
      </c>
      <c r="G455" s="2" t="s">
        <v>47</v>
      </c>
      <c r="H455" s="2"/>
      <c r="I455" s="2"/>
      <c r="J455" s="2">
        <v>32461</v>
      </c>
      <c r="K455" s="274">
        <v>33322</v>
      </c>
      <c r="L455" s="311">
        <v>34868</v>
      </c>
      <c r="M455" s="311">
        <v>36072</v>
      </c>
      <c r="N455" s="311">
        <v>37431</v>
      </c>
      <c r="O455" s="311">
        <v>38429</v>
      </c>
      <c r="P455" s="242">
        <v>39410</v>
      </c>
      <c r="Q455" s="275">
        <v>40422</v>
      </c>
      <c r="R455" s="311">
        <v>41436</v>
      </c>
      <c r="S455" s="311">
        <v>42945</v>
      </c>
      <c r="T455" s="311">
        <v>43787</v>
      </c>
      <c r="U455" s="492">
        <v>45321</v>
      </c>
      <c r="V455" s="492">
        <v>45428</v>
      </c>
      <c r="W455" s="2"/>
      <c r="X455" s="2"/>
      <c r="Y455" s="2">
        <f t="shared" si="163"/>
        <v>861</v>
      </c>
      <c r="Z455" s="2">
        <f t="shared" si="164"/>
        <v>1546</v>
      </c>
      <c r="AA455" s="2">
        <f t="shared" si="173"/>
        <v>1204</v>
      </c>
      <c r="AB455" s="2">
        <f t="shared" si="174"/>
        <v>1359</v>
      </c>
      <c r="AC455" s="2">
        <f t="shared" si="165"/>
        <v>998</v>
      </c>
      <c r="AD455" s="2">
        <f t="shared" si="166"/>
        <v>981</v>
      </c>
      <c r="AE455" s="2">
        <f t="shared" si="167"/>
        <v>1012</v>
      </c>
      <c r="AF455" s="2">
        <f t="shared" si="168"/>
        <v>1014</v>
      </c>
      <c r="AG455" s="2">
        <f t="shared" si="169"/>
        <v>1509</v>
      </c>
      <c r="AH455" s="2">
        <f t="shared" si="170"/>
        <v>842</v>
      </c>
      <c r="AI455" s="2">
        <f t="shared" si="171"/>
        <v>1534</v>
      </c>
      <c r="AJ455" s="2">
        <f t="shared" si="172"/>
        <v>107</v>
      </c>
      <c r="AK455" s="406">
        <v>1</v>
      </c>
      <c r="AL455" s="274">
        <f t="shared" ca="1" si="175"/>
        <v>37431</v>
      </c>
      <c r="AM455" s="311">
        <f t="shared" ca="1" si="176"/>
        <v>38429</v>
      </c>
      <c r="AN455" s="274">
        <f ca="1">IF(AND(Tabla7[[#This Row],[UltLec]]&lt;&gt;0,Tabla7[[#This Row],[PenLect]]&lt;&gt;0),(AM455-AL455)*Tabla7[[#This Row],[RT]],"N/A")</f>
        <v>998</v>
      </c>
      <c r="AO455" s="273" t="s">
        <v>862</v>
      </c>
      <c r="AP455" s="392" t="s">
        <v>1191</v>
      </c>
      <c r="AQ455" s="392" t="s">
        <v>818</v>
      </c>
      <c r="AR455" s="407">
        <f t="shared" si="177"/>
        <v>0</v>
      </c>
      <c r="AT455" s="2">
        <f t="shared" ca="1" si="178"/>
        <v>0.73436350257542315</v>
      </c>
      <c r="AV455">
        <f>IF(ISBLANK(Tabla7[[#This Row],[31/12/2017]]),0,Tabla7[[#This Row],[31/12/2017]])</f>
        <v>32461</v>
      </c>
      <c r="AW455">
        <f>IF(ISBLANK(Tabla7[[#This Row],[15/01/2018]]),0,Tabla7[[#This Row],[15/01/2018]])</f>
        <v>33322</v>
      </c>
      <c r="AX455">
        <f>IF(ISBLANK(Tabla7[[#This Row],[15/02/2018]]),0,Tabla7[[#This Row],[15/02/2018]])</f>
        <v>34868</v>
      </c>
      <c r="AY455">
        <f>IF(ISBLANK(Tabla7[[#This Row],[15/03/2018]]),0,Tabla7[[#This Row],[15/03/2018]])</f>
        <v>36072</v>
      </c>
      <c r="AZ455">
        <f>IF(ISBLANK(Tabla7[[#This Row],[15/04/2018]]),0,Tabla7[[#This Row],[15/04/2018]])</f>
        <v>37431</v>
      </c>
      <c r="BA455">
        <f>IF(ISBLANK(Tabla7[[#This Row],[15/05/2018]]),0,Tabla7[[#This Row],[15/05/2018]])</f>
        <v>38429</v>
      </c>
      <c r="BB455">
        <f>IF(ISBLANK(Tabla7[[#This Row],[15/06/2018]]),0,Tabla7[[#This Row],[15/06/2018]])</f>
        <v>39410</v>
      </c>
      <c r="BC455">
        <f>IF(ISBLANK(Tabla7[[#This Row],[15/07/2018]]),0,Tabla7[[#This Row],[15/07/2018]])</f>
        <v>40422</v>
      </c>
      <c r="BD455">
        <f>IF(ISBLANK(Tabla7[[#This Row],[15/08/2018]]),0,Tabla7[[#This Row],[15/08/2018]])</f>
        <v>41436</v>
      </c>
      <c r="BE455">
        <f>IF(ISBLANK(Tabla7[[#This Row],[15/09/2018]]),0,Tabla7[[#This Row],[15/09/2018]])</f>
        <v>42945</v>
      </c>
      <c r="BF455">
        <f>IF(ISBLANK(Tabla7[[#This Row],[15/10/2018]]),0,Tabla7[[#This Row],[15/10/2018]])</f>
        <v>43787</v>
      </c>
      <c r="BG455">
        <f>IF(ISBLANK(Tabla7[[#This Row],[15/11/2018]]),0,Tabla7[[#This Row],[15/11/2018]])</f>
        <v>45321</v>
      </c>
      <c r="BH455">
        <f>IF(ISBLANK(Tabla7[[#This Row],[15/12/2018]]),0,Tabla7[[#This Row],[15/12/2018]])</f>
        <v>45428</v>
      </c>
      <c r="BI455">
        <f>IF(ISBLANK(Tabla7[[#This Row],[28/12/2018]]),0,Tabla7[[#This Row],[28/12/2018]])</f>
        <v>0</v>
      </c>
      <c r="BN45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('PM4E37EA09','V','VCT53','131','APV ALUMBRADO VIALES','INTERIOR CT','','');</v>
      </c>
      <c r="BO455" t="s">
        <v>243</v>
      </c>
      <c r="BP455" s="632" t="str">
        <f>CONCATENATE("insert into lecturas values ","('",Tabla7[[#This Row],[CONTADOR]],"',STR_TO_DATE('",Tabla7[[#Headers],[31/12/2017]],"','%d/%m/%Y'),",AV455,"),","('",Tabla7[[#This Row],[CONTADOR]],"',STR_TO_DATE('",Tabla7[[#Headers],[15/01/2018]],"','%d/%m/%Y'),",AW455,"),","('",Tabla7[[#This Row],[CONTADOR]],"',STR_TO_DATE('",Tabla7[[#Headers],[15/02/2018]],"','%d/%m/%Y'),",AX455,"),","('",Tabla7[[#This Row],[CONTADOR]],"',STR_TO_DATE('",Tabla7[[#Headers],[15/03/2018]],"','%d/%m/%Y'),",AY455,"),","('",Tabla7[[#This Row],[CONTADOR]],"',STR_TO_DATE('",Tabla7[[#Headers],[15/04/2018]],"','%d/%m/%Y'),",AZ455,"),","('",Tabla7[[#This Row],[CONTADOR]],"',STR_TO_DATE('",Tabla7[[#Headers],[15/05/2018]],"','%d/%m/%Y'),",BA455,"),","('",Tabla7[[#This Row],[CONTADOR]],"',STR_TO_DATE('",Tabla7[[#Headers],[15/06/2018]],"','%d/%m/%Y'),",BB455,"),","('",Tabla7[[#This Row],[CONTADOR]],"',STR_TO_DATE('",Tabla7[[#Headers],[15/07/2018]],"','%d/%m/%Y'),",BC455,"),","('",Tabla7[[#This Row],[CONTADOR]],"',STR_TO_DATE('",Tabla7[[#Headers],[15/08/2018]],"','%d/%m/%Y'),",BD455,"),","('",Tabla7[[#This Row],[CONTADOR]],"',STR_TO_DATE('",Tabla7[[#Headers],[15/09/2018]],"','%d/%m/%Y'),",BE455,"),","('",Tabla7[[#This Row],[CONTADOR]],"',STR_TO_DATE('",Tabla7[[#Headers],[15/10/2018]],"','%d/%m/%Y'),",BF455,"),","('",Tabla7[[#This Row],[CONTADOR]],"',STR_TO_DATE('",Tabla7[[#Headers],[15/11/2018]],"','%d/%m/%Y'),",BG455,"),","('",Tabla7[[#This Row],[CONTADOR]],"',STR_TO_DATE('",Tabla7[[#Headers],[15/12/2018]],"','%d/%m/%Y'),",BH455,");")</f>
        <v>insert into lecturas values ('PM4E37EA09',STR_TO_DATE('31/12/2017','%d/%m/%Y'),32461),('PM4E37EA09',STR_TO_DATE('15/01/2018','%d/%m/%Y'),33322),('PM4E37EA09',STR_TO_DATE('15/02/2018','%d/%m/%Y'),34868),('PM4E37EA09',STR_TO_DATE('15/03/2018','%d/%m/%Y'),36072),('PM4E37EA09',STR_TO_DATE('15/04/2018','%d/%m/%Y'),37431),('PM4E37EA09',STR_TO_DATE('15/05/2018','%d/%m/%Y'),38429),('PM4E37EA09',STR_TO_DATE('15/06/2018','%d/%m/%Y'),39410),('PM4E37EA09',STR_TO_DATE('15/07/2018','%d/%m/%Y'),40422),('PM4E37EA09',STR_TO_DATE('15/08/2018','%d/%m/%Y'),41436),('PM4E37EA09',STR_TO_DATE('15/09/2018','%d/%m/%Y'),42945),('PM4E37EA09',STR_TO_DATE('15/10/2018','%d/%m/%Y'),43787),('PM4E37EA09',STR_TO_DATE('15/11/2018','%d/%m/%Y'),45321),('PM4E37EA09',STR_TO_DATE('15/12/2018','%d/%m/%Y'),45428);</v>
      </c>
    </row>
    <row r="456" spans="1:68" ht="18" customHeight="1" x14ac:dyDescent="0.25">
      <c r="A456" s="241" t="s">
        <v>19</v>
      </c>
      <c r="B456" s="60" t="s">
        <v>301</v>
      </c>
      <c r="C456" s="342" t="s">
        <v>1249</v>
      </c>
      <c r="D456" s="60" t="s">
        <v>456</v>
      </c>
      <c r="E456" s="258">
        <v>132</v>
      </c>
      <c r="F456" s="2" t="s">
        <v>457</v>
      </c>
      <c r="G456" s="2" t="s">
        <v>47</v>
      </c>
      <c r="H456" s="2"/>
      <c r="I456" s="2"/>
      <c r="J456" s="2">
        <v>34389</v>
      </c>
      <c r="K456" s="274">
        <v>35127</v>
      </c>
      <c r="L456" s="311">
        <v>36453</v>
      </c>
      <c r="M456" s="311">
        <v>37478</v>
      </c>
      <c r="N456" s="311">
        <v>38623</v>
      </c>
      <c r="O456" s="311">
        <v>39457</v>
      </c>
      <c r="P456" s="1">
        <v>40273</v>
      </c>
      <c r="Q456" s="2">
        <v>41111</v>
      </c>
      <c r="R456" s="311">
        <v>41947</v>
      </c>
      <c r="S456" s="492">
        <v>42565</v>
      </c>
      <c r="T456" s="311">
        <v>43876</v>
      </c>
      <c r="U456" s="492">
        <v>45132</v>
      </c>
      <c r="V456" s="492">
        <v>45211</v>
      </c>
      <c r="W456" s="2"/>
      <c r="X456" s="2"/>
      <c r="Y456" s="2">
        <f t="shared" si="163"/>
        <v>738</v>
      </c>
      <c r="Z456" s="2">
        <f t="shared" si="164"/>
        <v>1326</v>
      </c>
      <c r="AA456" s="2">
        <f t="shared" si="173"/>
        <v>1025</v>
      </c>
      <c r="AB456" s="2">
        <f t="shared" si="174"/>
        <v>1145</v>
      </c>
      <c r="AC456" s="2">
        <f t="shared" si="165"/>
        <v>834</v>
      </c>
      <c r="AD456" s="2">
        <f t="shared" si="166"/>
        <v>816</v>
      </c>
      <c r="AE456" s="2">
        <f t="shared" si="167"/>
        <v>838</v>
      </c>
      <c r="AF456" s="2">
        <f t="shared" si="168"/>
        <v>836</v>
      </c>
      <c r="AG456" s="2">
        <f t="shared" si="169"/>
        <v>618</v>
      </c>
      <c r="AH456" s="2">
        <f t="shared" si="170"/>
        <v>1311</v>
      </c>
      <c r="AI456" s="2">
        <f t="shared" si="171"/>
        <v>1256</v>
      </c>
      <c r="AJ456" s="2">
        <f t="shared" si="172"/>
        <v>79</v>
      </c>
      <c r="AK456" s="406">
        <v>1</v>
      </c>
      <c r="AL456" s="274">
        <f t="shared" ca="1" si="175"/>
        <v>38623</v>
      </c>
      <c r="AM456" s="311">
        <f t="shared" ca="1" si="176"/>
        <v>39457</v>
      </c>
      <c r="AN456" s="274">
        <f ca="1">IF(AND(Tabla7[[#This Row],[UltLec]]&lt;&gt;0,Tabla7[[#This Row],[PenLect]]&lt;&gt;0),(AM456-AL456)*Tabla7[[#This Row],[RT]],"N/A")</f>
        <v>834</v>
      </c>
      <c r="AO456" s="273" t="s">
        <v>862</v>
      </c>
      <c r="AP456" s="392" t="s">
        <v>1191</v>
      </c>
      <c r="AQ456" s="392" t="s">
        <v>818</v>
      </c>
      <c r="AR456" s="407">
        <f t="shared" si="177"/>
        <v>0</v>
      </c>
      <c r="AT456" s="2">
        <f t="shared" ca="1" si="178"/>
        <v>0.7283842794759825</v>
      </c>
      <c r="AV456">
        <f>IF(ISBLANK(Tabla7[[#This Row],[31/12/2017]]),0,Tabla7[[#This Row],[31/12/2017]])</f>
        <v>34389</v>
      </c>
      <c r="AW456">
        <f>IF(ISBLANK(Tabla7[[#This Row],[15/01/2018]]),0,Tabla7[[#This Row],[15/01/2018]])</f>
        <v>35127</v>
      </c>
      <c r="AX456">
        <f>IF(ISBLANK(Tabla7[[#This Row],[15/02/2018]]),0,Tabla7[[#This Row],[15/02/2018]])</f>
        <v>36453</v>
      </c>
      <c r="AY456">
        <f>IF(ISBLANK(Tabla7[[#This Row],[15/03/2018]]),0,Tabla7[[#This Row],[15/03/2018]])</f>
        <v>37478</v>
      </c>
      <c r="AZ456">
        <f>IF(ISBLANK(Tabla7[[#This Row],[15/04/2018]]),0,Tabla7[[#This Row],[15/04/2018]])</f>
        <v>38623</v>
      </c>
      <c r="BA456">
        <f>IF(ISBLANK(Tabla7[[#This Row],[15/05/2018]]),0,Tabla7[[#This Row],[15/05/2018]])</f>
        <v>39457</v>
      </c>
      <c r="BB456">
        <f>IF(ISBLANK(Tabla7[[#This Row],[15/06/2018]]),0,Tabla7[[#This Row],[15/06/2018]])</f>
        <v>40273</v>
      </c>
      <c r="BC456">
        <f>IF(ISBLANK(Tabla7[[#This Row],[15/07/2018]]),0,Tabla7[[#This Row],[15/07/2018]])</f>
        <v>41111</v>
      </c>
      <c r="BD456">
        <f>IF(ISBLANK(Tabla7[[#This Row],[15/08/2018]]),0,Tabla7[[#This Row],[15/08/2018]])</f>
        <v>41947</v>
      </c>
      <c r="BE456">
        <f>IF(ISBLANK(Tabla7[[#This Row],[15/09/2018]]),0,Tabla7[[#This Row],[15/09/2018]])</f>
        <v>42565</v>
      </c>
      <c r="BF456">
        <f>IF(ISBLANK(Tabla7[[#This Row],[15/10/2018]]),0,Tabla7[[#This Row],[15/10/2018]])</f>
        <v>43876</v>
      </c>
      <c r="BG456">
        <f>IF(ISBLANK(Tabla7[[#This Row],[15/11/2018]]),0,Tabla7[[#This Row],[15/11/2018]])</f>
        <v>45132</v>
      </c>
      <c r="BH456">
        <f>IF(ISBLANK(Tabla7[[#This Row],[15/12/2018]]),0,Tabla7[[#This Row],[15/12/2018]])</f>
        <v>45211</v>
      </c>
      <c r="BI456">
        <f>IF(ISBLANK(Tabla7[[#This Row],[28/12/2018]]),0,Tabla7[[#This Row],[28/12/2018]])</f>
        <v>0</v>
      </c>
      <c r="BN45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('PM4E37F878','V','VCT53','132','APV ALUMBRADO TORRES','INTERIOR CT','','');</v>
      </c>
      <c r="BO456" t="s">
        <v>243</v>
      </c>
      <c r="BP456" s="632" t="str">
        <f>CONCATENATE("insert into lecturas values ","('",Tabla7[[#This Row],[CONTADOR]],"',STR_TO_DATE('",Tabla7[[#Headers],[31/12/2017]],"','%d/%m/%Y'),",AV456,"),","('",Tabla7[[#This Row],[CONTADOR]],"',STR_TO_DATE('",Tabla7[[#Headers],[15/01/2018]],"','%d/%m/%Y'),",AW456,"),","('",Tabla7[[#This Row],[CONTADOR]],"',STR_TO_DATE('",Tabla7[[#Headers],[15/02/2018]],"','%d/%m/%Y'),",AX456,"),","('",Tabla7[[#This Row],[CONTADOR]],"',STR_TO_DATE('",Tabla7[[#Headers],[15/03/2018]],"','%d/%m/%Y'),",AY456,"),","('",Tabla7[[#This Row],[CONTADOR]],"',STR_TO_DATE('",Tabla7[[#Headers],[15/04/2018]],"','%d/%m/%Y'),",AZ456,"),","('",Tabla7[[#This Row],[CONTADOR]],"',STR_TO_DATE('",Tabla7[[#Headers],[15/05/2018]],"','%d/%m/%Y'),",BA456,"),","('",Tabla7[[#This Row],[CONTADOR]],"',STR_TO_DATE('",Tabla7[[#Headers],[15/06/2018]],"','%d/%m/%Y'),",BB456,"),","('",Tabla7[[#This Row],[CONTADOR]],"',STR_TO_DATE('",Tabla7[[#Headers],[15/07/2018]],"','%d/%m/%Y'),",BC456,"),","('",Tabla7[[#This Row],[CONTADOR]],"',STR_TO_DATE('",Tabla7[[#Headers],[15/08/2018]],"','%d/%m/%Y'),",BD456,"),","('",Tabla7[[#This Row],[CONTADOR]],"',STR_TO_DATE('",Tabla7[[#Headers],[15/09/2018]],"','%d/%m/%Y'),",BE456,"),","('",Tabla7[[#This Row],[CONTADOR]],"',STR_TO_DATE('",Tabla7[[#Headers],[15/10/2018]],"','%d/%m/%Y'),",BF456,"),","('",Tabla7[[#This Row],[CONTADOR]],"',STR_TO_DATE('",Tabla7[[#Headers],[15/11/2018]],"','%d/%m/%Y'),",BG456,"),","('",Tabla7[[#This Row],[CONTADOR]],"',STR_TO_DATE('",Tabla7[[#Headers],[15/12/2018]],"','%d/%m/%Y'),",BH456,");")</f>
        <v>insert into lecturas values ('PM4E37F878',STR_TO_DATE('31/12/2017','%d/%m/%Y'),34389),('PM4E37F878',STR_TO_DATE('15/01/2018','%d/%m/%Y'),35127),('PM4E37F878',STR_TO_DATE('15/02/2018','%d/%m/%Y'),36453),('PM4E37F878',STR_TO_DATE('15/03/2018','%d/%m/%Y'),37478),('PM4E37F878',STR_TO_DATE('15/04/2018','%d/%m/%Y'),38623),('PM4E37F878',STR_TO_DATE('15/05/2018','%d/%m/%Y'),39457),('PM4E37F878',STR_TO_DATE('15/06/2018','%d/%m/%Y'),40273),('PM4E37F878',STR_TO_DATE('15/07/2018','%d/%m/%Y'),41111),('PM4E37F878',STR_TO_DATE('15/08/2018','%d/%m/%Y'),41947),('PM4E37F878',STR_TO_DATE('15/09/2018','%d/%m/%Y'),42565),('PM4E37F878',STR_TO_DATE('15/10/2018','%d/%m/%Y'),43876),('PM4E37F878',STR_TO_DATE('15/11/2018','%d/%m/%Y'),45132),('PM4E37F878',STR_TO_DATE('15/12/2018','%d/%m/%Y'),45211);</v>
      </c>
    </row>
    <row r="457" spans="1:68" ht="18" customHeight="1" thickBot="1" x14ac:dyDescent="0.3">
      <c r="A457" s="241" t="s">
        <v>740</v>
      </c>
      <c r="B457" s="60"/>
      <c r="C457" s="342" t="s">
        <v>1250</v>
      </c>
      <c r="D457" s="60" t="s">
        <v>456</v>
      </c>
      <c r="E457" s="258">
        <v>30000</v>
      </c>
      <c r="F457" s="2" t="s">
        <v>742</v>
      </c>
      <c r="G457" s="2" t="s">
        <v>63</v>
      </c>
      <c r="H457" s="2"/>
      <c r="I457" s="2"/>
      <c r="J457" s="2">
        <v>47305</v>
      </c>
      <c r="K457" s="274">
        <v>48465</v>
      </c>
      <c r="L457" s="311">
        <v>50565</v>
      </c>
      <c r="M457" s="311">
        <v>52210</v>
      </c>
      <c r="N457" s="311">
        <v>54062</v>
      </c>
      <c r="O457" s="311">
        <v>55423</v>
      </c>
      <c r="P457" s="242">
        <v>56762</v>
      </c>
      <c r="Q457" s="275">
        <v>58146</v>
      </c>
      <c r="R457" s="311">
        <v>59527</v>
      </c>
      <c r="S457" s="531">
        <v>61223</v>
      </c>
      <c r="T457" s="311">
        <v>62706</v>
      </c>
      <c r="U457" s="492">
        <v>64766</v>
      </c>
      <c r="V457" s="492">
        <v>65861</v>
      </c>
      <c r="W457" s="2"/>
      <c r="X457" s="2"/>
      <c r="Y457" s="2">
        <f t="shared" si="163"/>
        <v>1160</v>
      </c>
      <c r="Z457" s="2">
        <f t="shared" si="164"/>
        <v>2100</v>
      </c>
      <c r="AA457" s="2">
        <f t="shared" si="173"/>
        <v>1645</v>
      </c>
      <c r="AB457" s="2">
        <f t="shared" si="174"/>
        <v>1852</v>
      </c>
      <c r="AC457" s="2">
        <f t="shared" si="165"/>
        <v>1361</v>
      </c>
      <c r="AD457" s="2">
        <f t="shared" si="166"/>
        <v>1339</v>
      </c>
      <c r="AE457" s="2">
        <f t="shared" si="167"/>
        <v>1384</v>
      </c>
      <c r="AF457" s="2">
        <f t="shared" si="168"/>
        <v>1381</v>
      </c>
      <c r="AG457" s="2">
        <f t="shared" si="169"/>
        <v>1696</v>
      </c>
      <c r="AH457" s="2">
        <f t="shared" si="170"/>
        <v>1483</v>
      </c>
      <c r="AI457" s="2">
        <f t="shared" si="171"/>
        <v>2060</v>
      </c>
      <c r="AJ457" s="2">
        <f t="shared" si="172"/>
        <v>1095</v>
      </c>
      <c r="AK457" s="597">
        <v>1</v>
      </c>
      <c r="AL457" s="598">
        <f t="shared" ca="1" si="175"/>
        <v>54062</v>
      </c>
      <c r="AM457" s="599">
        <f t="shared" ca="1" si="176"/>
        <v>55423</v>
      </c>
      <c r="AN457" s="598">
        <f ca="1">IF(AND(Tabla7[[#This Row],[UltLec]]&lt;&gt;0,Tabla7[[#This Row],[PenLect]]&lt;&gt;0),(AM457-AL457)*Tabla7[[#This Row],[RT]],"N/A")</f>
        <v>1361</v>
      </c>
      <c r="AO457" s="600" t="s">
        <v>862</v>
      </c>
      <c r="AP457" s="602" t="s">
        <v>1191</v>
      </c>
      <c r="AQ457" s="603" t="s">
        <v>818</v>
      </c>
      <c r="AR457" s="604">
        <f t="shared" si="177"/>
        <v>0</v>
      </c>
      <c r="AT457" s="2">
        <f t="shared" ca="1" si="178"/>
        <v>0.73488120950323976</v>
      </c>
      <c r="AV457">
        <f>IF(ISBLANK(Tabla7[[#This Row],[31/12/2017]]),0,Tabla7[[#This Row],[31/12/2017]])</f>
        <v>47305</v>
      </c>
      <c r="AW457">
        <f>IF(ISBLANK(Tabla7[[#This Row],[15/01/2018]]),0,Tabla7[[#This Row],[15/01/2018]])</f>
        <v>48465</v>
      </c>
      <c r="AX457">
        <f>IF(ISBLANK(Tabla7[[#This Row],[15/02/2018]]),0,Tabla7[[#This Row],[15/02/2018]])</f>
        <v>50565</v>
      </c>
      <c r="AY457">
        <f>IF(ISBLANK(Tabla7[[#This Row],[15/03/2018]]),0,Tabla7[[#This Row],[15/03/2018]])</f>
        <v>52210</v>
      </c>
      <c r="AZ457">
        <f>IF(ISBLANK(Tabla7[[#This Row],[15/04/2018]]),0,Tabla7[[#This Row],[15/04/2018]])</f>
        <v>54062</v>
      </c>
      <c r="BA457">
        <f>IF(ISBLANK(Tabla7[[#This Row],[15/05/2018]]),0,Tabla7[[#This Row],[15/05/2018]])</f>
        <v>55423</v>
      </c>
      <c r="BB457">
        <f>IF(ISBLANK(Tabla7[[#This Row],[15/06/2018]]),0,Tabla7[[#This Row],[15/06/2018]])</f>
        <v>56762</v>
      </c>
      <c r="BC457">
        <f>IF(ISBLANK(Tabla7[[#This Row],[15/07/2018]]),0,Tabla7[[#This Row],[15/07/2018]])</f>
        <v>58146</v>
      </c>
      <c r="BD457">
        <f>IF(ISBLANK(Tabla7[[#This Row],[15/08/2018]]),0,Tabla7[[#This Row],[15/08/2018]])</f>
        <v>59527</v>
      </c>
      <c r="BE457">
        <f>IF(ISBLANK(Tabla7[[#This Row],[15/09/2018]]),0,Tabla7[[#This Row],[15/09/2018]])</f>
        <v>61223</v>
      </c>
      <c r="BF457">
        <f>IF(ISBLANK(Tabla7[[#This Row],[15/10/2018]]),0,Tabla7[[#This Row],[15/10/2018]])</f>
        <v>62706</v>
      </c>
      <c r="BG457">
        <f>IF(ISBLANK(Tabla7[[#This Row],[15/11/2018]]),0,Tabla7[[#This Row],[15/11/2018]])</f>
        <v>64766</v>
      </c>
      <c r="BH457">
        <f>IF(ISBLANK(Tabla7[[#This Row],[15/12/2018]]),0,Tabla7[[#This Row],[15/12/2018]])</f>
        <v>65861</v>
      </c>
      <c r="BI457">
        <f>IF(ISBLANK(Tabla7[[#This Row],[28/12/2018]]),0,Tabla7[[#This Row],[28/12/2018]])</f>
        <v>0</v>
      </c>
      <c r="BN45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('PM4E37FCA6','VTOT','VCT53','30000','TOTALIZADOR','EN CT','','');</v>
      </c>
      <c r="BO457" t="s">
        <v>243</v>
      </c>
      <c r="BP457" s="632" t="str">
        <f>CONCATENATE("insert into lecturas values ","('",Tabla7[[#This Row],[CONTADOR]],"',STR_TO_DATE('",Tabla7[[#Headers],[31/12/2017]],"','%d/%m/%Y'),",AV457,"),","('",Tabla7[[#This Row],[CONTADOR]],"',STR_TO_DATE('",Tabla7[[#Headers],[15/01/2018]],"','%d/%m/%Y'),",AW457,"),","('",Tabla7[[#This Row],[CONTADOR]],"',STR_TO_DATE('",Tabla7[[#Headers],[15/02/2018]],"','%d/%m/%Y'),",AX457,"),","('",Tabla7[[#This Row],[CONTADOR]],"',STR_TO_DATE('",Tabla7[[#Headers],[15/03/2018]],"','%d/%m/%Y'),",AY457,"),","('",Tabla7[[#This Row],[CONTADOR]],"',STR_TO_DATE('",Tabla7[[#Headers],[15/04/2018]],"','%d/%m/%Y'),",AZ457,"),","('",Tabla7[[#This Row],[CONTADOR]],"',STR_TO_DATE('",Tabla7[[#Headers],[15/05/2018]],"','%d/%m/%Y'),",BA457,"),","('",Tabla7[[#This Row],[CONTADOR]],"',STR_TO_DATE('",Tabla7[[#Headers],[15/06/2018]],"','%d/%m/%Y'),",BB457,"),","('",Tabla7[[#This Row],[CONTADOR]],"',STR_TO_DATE('",Tabla7[[#Headers],[15/07/2018]],"','%d/%m/%Y'),",BC457,"),","('",Tabla7[[#This Row],[CONTADOR]],"',STR_TO_DATE('",Tabla7[[#Headers],[15/08/2018]],"','%d/%m/%Y'),",BD457,"),","('",Tabla7[[#This Row],[CONTADOR]],"',STR_TO_DATE('",Tabla7[[#Headers],[15/09/2018]],"','%d/%m/%Y'),",BE457,"),","('",Tabla7[[#This Row],[CONTADOR]],"',STR_TO_DATE('",Tabla7[[#Headers],[15/10/2018]],"','%d/%m/%Y'),",BF457,"),","('",Tabla7[[#This Row],[CONTADOR]],"',STR_TO_DATE('",Tabla7[[#Headers],[15/11/2018]],"','%d/%m/%Y'),",BG457,"),","('",Tabla7[[#This Row],[CONTADOR]],"',STR_TO_DATE('",Tabla7[[#Headers],[15/12/2018]],"','%d/%m/%Y'),",BH457,");")</f>
        <v>insert into lecturas values ('PM4E37FCA6',STR_TO_DATE('31/12/2017','%d/%m/%Y'),47305),('PM4E37FCA6',STR_TO_DATE('15/01/2018','%d/%m/%Y'),48465),('PM4E37FCA6',STR_TO_DATE('15/02/2018','%d/%m/%Y'),50565),('PM4E37FCA6',STR_TO_DATE('15/03/2018','%d/%m/%Y'),52210),('PM4E37FCA6',STR_TO_DATE('15/04/2018','%d/%m/%Y'),54062),('PM4E37FCA6',STR_TO_DATE('15/05/2018','%d/%m/%Y'),55423),('PM4E37FCA6',STR_TO_DATE('15/06/2018','%d/%m/%Y'),56762),('PM4E37FCA6',STR_TO_DATE('15/07/2018','%d/%m/%Y'),58146),('PM4E37FCA6',STR_TO_DATE('15/08/2018','%d/%m/%Y'),59527),('PM4E37FCA6',STR_TO_DATE('15/09/2018','%d/%m/%Y'),61223),('PM4E37FCA6',STR_TO_DATE('15/10/2018','%d/%m/%Y'),62706),('PM4E37FCA6',STR_TO_DATE('15/11/2018','%d/%m/%Y'),64766),('PM4E37FCA6',STR_TO_DATE('15/12/2018','%d/%m/%Y'),65861);</v>
      </c>
    </row>
    <row r="458" spans="1:68" ht="18" customHeight="1" x14ac:dyDescent="0.25">
      <c r="A458" s="241" t="s">
        <v>19</v>
      </c>
      <c r="B458" s="60" t="s">
        <v>301</v>
      </c>
      <c r="C458" s="342" t="s">
        <v>1208</v>
      </c>
      <c r="D458" s="60" t="s">
        <v>458</v>
      </c>
      <c r="E458" s="258">
        <v>131</v>
      </c>
      <c r="F458" s="2" t="s">
        <v>455</v>
      </c>
      <c r="G458" s="2" t="s">
        <v>47</v>
      </c>
      <c r="H458" s="2" t="s">
        <v>162</v>
      </c>
      <c r="I458" s="2"/>
      <c r="J458" s="2">
        <v>12660</v>
      </c>
      <c r="K458" s="311">
        <v>13131</v>
      </c>
      <c r="L458" s="311">
        <v>13984</v>
      </c>
      <c r="M458" s="311">
        <v>14644</v>
      </c>
      <c r="N458" s="311">
        <v>15387</v>
      </c>
      <c r="O458" s="311">
        <v>15927</v>
      </c>
      <c r="P458" s="1">
        <v>16336</v>
      </c>
      <c r="Q458" s="274">
        <v>16339</v>
      </c>
      <c r="R458" s="311">
        <v>16342</v>
      </c>
      <c r="S458" s="492">
        <v>16721</v>
      </c>
      <c r="T458" s="311">
        <v>16696</v>
      </c>
      <c r="U458" s="492">
        <v>17825</v>
      </c>
      <c r="V458" s="492">
        <v>17940</v>
      </c>
      <c r="W458" s="2"/>
      <c r="X458" s="2"/>
      <c r="Y458" s="2">
        <f t="shared" si="163"/>
        <v>471</v>
      </c>
      <c r="Z458" s="2">
        <f t="shared" si="164"/>
        <v>853</v>
      </c>
      <c r="AA458" s="2">
        <f t="shared" si="173"/>
        <v>660</v>
      </c>
      <c r="AB458" s="2">
        <f t="shared" si="174"/>
        <v>743</v>
      </c>
      <c r="AC458" s="2">
        <f t="shared" si="165"/>
        <v>540</v>
      </c>
      <c r="AD458" s="2">
        <f t="shared" si="166"/>
        <v>409</v>
      </c>
      <c r="AE458" s="2">
        <f t="shared" si="167"/>
        <v>3</v>
      </c>
      <c r="AF458" s="2">
        <f t="shared" si="168"/>
        <v>3</v>
      </c>
      <c r="AG458" s="2">
        <f t="shared" si="169"/>
        <v>379</v>
      </c>
      <c r="AH458" s="2" t="str">
        <f t="shared" si="170"/>
        <v>!!!!</v>
      </c>
      <c r="AI458" s="2">
        <f t="shared" si="171"/>
        <v>1129</v>
      </c>
      <c r="AJ458" s="2">
        <f t="shared" si="172"/>
        <v>115</v>
      </c>
      <c r="AK458" s="274">
        <v>1</v>
      </c>
      <c r="AL458" s="274">
        <f t="shared" ca="1" si="175"/>
        <v>15387</v>
      </c>
      <c r="AM458" s="311">
        <f t="shared" ca="1" si="176"/>
        <v>15927</v>
      </c>
      <c r="AN458" s="274">
        <f ca="1">IF(AND(Tabla7[[#This Row],[UltLec]]&lt;&gt;0,Tabla7[[#This Row],[PenLect]]&lt;&gt;0),(AM458-AL458)*Tabla7[[#This Row],[RT]],"N/A")</f>
        <v>540</v>
      </c>
      <c r="AO458" s="404" t="s">
        <v>862</v>
      </c>
      <c r="AP458" s="392" t="s">
        <v>1190</v>
      </c>
      <c r="AQ458" s="392" t="s">
        <v>1189</v>
      </c>
      <c r="AR458" s="274">
        <f t="shared" si="177"/>
        <v>1</v>
      </c>
      <c r="AT458" s="2">
        <f t="shared" ca="1" si="178"/>
        <v>0.72678331090174964</v>
      </c>
      <c r="AV458">
        <f>IF(ISBLANK(Tabla7[[#This Row],[31/12/2017]]),0,Tabla7[[#This Row],[31/12/2017]])</f>
        <v>12660</v>
      </c>
      <c r="AW458">
        <f>IF(ISBLANK(Tabla7[[#This Row],[15/01/2018]]),0,Tabla7[[#This Row],[15/01/2018]])</f>
        <v>13131</v>
      </c>
      <c r="AX458">
        <f>IF(ISBLANK(Tabla7[[#This Row],[15/02/2018]]),0,Tabla7[[#This Row],[15/02/2018]])</f>
        <v>13984</v>
      </c>
      <c r="AY458">
        <f>IF(ISBLANK(Tabla7[[#This Row],[15/03/2018]]),0,Tabla7[[#This Row],[15/03/2018]])</f>
        <v>14644</v>
      </c>
      <c r="AZ458">
        <f>IF(ISBLANK(Tabla7[[#This Row],[15/04/2018]]),0,Tabla7[[#This Row],[15/04/2018]])</f>
        <v>15387</v>
      </c>
      <c r="BA458">
        <f>IF(ISBLANK(Tabla7[[#This Row],[15/05/2018]]),0,Tabla7[[#This Row],[15/05/2018]])</f>
        <v>15927</v>
      </c>
      <c r="BB458">
        <f>IF(ISBLANK(Tabla7[[#This Row],[15/06/2018]]),0,Tabla7[[#This Row],[15/06/2018]])</f>
        <v>16336</v>
      </c>
      <c r="BC458">
        <f>IF(ISBLANK(Tabla7[[#This Row],[15/07/2018]]),0,Tabla7[[#This Row],[15/07/2018]])</f>
        <v>16339</v>
      </c>
      <c r="BD458">
        <f>IF(ISBLANK(Tabla7[[#This Row],[15/08/2018]]),0,Tabla7[[#This Row],[15/08/2018]])</f>
        <v>16342</v>
      </c>
      <c r="BE458">
        <f>IF(ISBLANK(Tabla7[[#This Row],[15/09/2018]]),0,Tabla7[[#This Row],[15/09/2018]])</f>
        <v>16721</v>
      </c>
      <c r="BF458">
        <f>IF(ISBLANK(Tabla7[[#This Row],[15/10/2018]]),0,Tabla7[[#This Row],[15/10/2018]])</f>
        <v>16696</v>
      </c>
      <c r="BG458">
        <f>IF(ISBLANK(Tabla7[[#This Row],[15/11/2018]]),0,Tabla7[[#This Row],[15/11/2018]])</f>
        <v>17825</v>
      </c>
      <c r="BH458">
        <f>IF(ISBLANK(Tabla7[[#This Row],[15/12/2018]]),0,Tabla7[[#This Row],[15/12/2018]])</f>
        <v>17940</v>
      </c>
      <c r="BI458">
        <f>IF(ISBLANK(Tabla7[[#This Row],[28/12/2018]]),0,Tabla7[[#This Row],[28/12/2018]])</f>
        <v>0</v>
      </c>
      <c r="BN45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('CXRUGBI15051354404','V','VCT54','131','APV ALUMBRADO VIALES','INTERIOR CT','ALUMBRADO VIALES','');</v>
      </c>
      <c r="BO458" t="s">
        <v>243</v>
      </c>
      <c r="BP458" s="632" t="str">
        <f>CONCATENATE("insert into lecturas values ","('",Tabla7[[#This Row],[CONTADOR]],"',STR_TO_DATE('",Tabla7[[#Headers],[31/12/2017]],"','%d/%m/%Y'),",AV458,"),","('",Tabla7[[#This Row],[CONTADOR]],"',STR_TO_DATE('",Tabla7[[#Headers],[15/01/2018]],"','%d/%m/%Y'),",AW458,"),","('",Tabla7[[#This Row],[CONTADOR]],"',STR_TO_DATE('",Tabla7[[#Headers],[15/02/2018]],"','%d/%m/%Y'),",AX458,"),","('",Tabla7[[#This Row],[CONTADOR]],"',STR_TO_DATE('",Tabla7[[#Headers],[15/03/2018]],"','%d/%m/%Y'),",AY458,"),","('",Tabla7[[#This Row],[CONTADOR]],"',STR_TO_DATE('",Tabla7[[#Headers],[15/04/2018]],"','%d/%m/%Y'),",AZ458,"),","('",Tabla7[[#This Row],[CONTADOR]],"',STR_TO_DATE('",Tabla7[[#Headers],[15/05/2018]],"','%d/%m/%Y'),",BA458,"),","('",Tabla7[[#This Row],[CONTADOR]],"',STR_TO_DATE('",Tabla7[[#Headers],[15/06/2018]],"','%d/%m/%Y'),",BB458,"),","('",Tabla7[[#This Row],[CONTADOR]],"',STR_TO_DATE('",Tabla7[[#Headers],[15/07/2018]],"','%d/%m/%Y'),",BC458,"),","('",Tabla7[[#This Row],[CONTADOR]],"',STR_TO_DATE('",Tabla7[[#Headers],[15/08/2018]],"','%d/%m/%Y'),",BD458,"),","('",Tabla7[[#This Row],[CONTADOR]],"',STR_TO_DATE('",Tabla7[[#Headers],[15/09/2018]],"','%d/%m/%Y'),",BE458,"),","('",Tabla7[[#This Row],[CONTADOR]],"',STR_TO_DATE('",Tabla7[[#Headers],[15/10/2018]],"','%d/%m/%Y'),",BF458,"),","('",Tabla7[[#This Row],[CONTADOR]],"',STR_TO_DATE('",Tabla7[[#Headers],[15/11/2018]],"','%d/%m/%Y'),",BG458,"),","('",Tabla7[[#This Row],[CONTADOR]],"',STR_TO_DATE('",Tabla7[[#Headers],[15/12/2018]],"','%d/%m/%Y'),",BH458,");")</f>
        <v>insert into lecturas values ('CXRUGBI15051354404',STR_TO_DATE('31/12/2017','%d/%m/%Y'),12660),('CXRUGBI15051354404',STR_TO_DATE('15/01/2018','%d/%m/%Y'),13131),('CXRUGBI15051354404',STR_TO_DATE('15/02/2018','%d/%m/%Y'),13984),('CXRUGBI15051354404',STR_TO_DATE('15/03/2018','%d/%m/%Y'),14644),('CXRUGBI15051354404',STR_TO_DATE('15/04/2018','%d/%m/%Y'),15387),('CXRUGBI15051354404',STR_TO_DATE('15/05/2018','%d/%m/%Y'),15927),('CXRUGBI15051354404',STR_TO_DATE('15/06/2018','%d/%m/%Y'),16336),('CXRUGBI15051354404',STR_TO_DATE('15/07/2018','%d/%m/%Y'),16339),('CXRUGBI15051354404',STR_TO_DATE('15/08/2018','%d/%m/%Y'),16342),('CXRUGBI15051354404',STR_TO_DATE('15/09/2018','%d/%m/%Y'),16721),('CXRUGBI15051354404',STR_TO_DATE('15/10/2018','%d/%m/%Y'),16696),('CXRUGBI15051354404',STR_TO_DATE('15/11/2018','%d/%m/%Y'),17825),('CXRUGBI15051354404',STR_TO_DATE('15/12/2018','%d/%m/%Y'),17940);</v>
      </c>
    </row>
    <row r="459" spans="1:68" ht="18" customHeight="1" x14ac:dyDescent="0.25">
      <c r="A459" s="372" t="s">
        <v>1196</v>
      </c>
      <c r="B459" s="374" t="s">
        <v>301</v>
      </c>
      <c r="C459" s="373" t="s">
        <v>1208</v>
      </c>
      <c r="D459" s="374" t="s">
        <v>458</v>
      </c>
      <c r="E459" s="375">
        <v>140</v>
      </c>
      <c r="F459" s="377" t="s">
        <v>759</v>
      </c>
      <c r="G459" s="377" t="s">
        <v>47</v>
      </c>
      <c r="H459" s="377" t="s">
        <v>459</v>
      </c>
      <c r="I459" s="376"/>
      <c r="J459" s="376"/>
      <c r="K459" s="377"/>
      <c r="L459" s="376"/>
      <c r="M459" s="376"/>
      <c r="N459" s="376"/>
      <c r="O459" s="453"/>
      <c r="P459" s="382"/>
      <c r="Q459" s="376"/>
      <c r="R459" s="377"/>
      <c r="S459" s="376"/>
      <c r="T459" s="376"/>
      <c r="U459" s="519"/>
      <c r="V459" s="377"/>
      <c r="W459" s="376"/>
      <c r="X459" s="376"/>
      <c r="Y459" s="376" t="str">
        <f t="shared" si="163"/>
        <v/>
      </c>
      <c r="Z459" s="376" t="str">
        <f t="shared" si="164"/>
        <v/>
      </c>
      <c r="AA459" s="376" t="str">
        <f t="shared" si="173"/>
        <v/>
      </c>
      <c r="AB459" s="376" t="str">
        <f t="shared" si="174"/>
        <v/>
      </c>
      <c r="AC459" s="376" t="str">
        <f t="shared" si="165"/>
        <v/>
      </c>
      <c r="AD459" s="376" t="str">
        <f t="shared" si="166"/>
        <v/>
      </c>
      <c r="AE459" s="376" t="str">
        <f t="shared" si="167"/>
        <v/>
      </c>
      <c r="AF459" s="376" t="str">
        <f t="shared" si="168"/>
        <v/>
      </c>
      <c r="AG459" s="376" t="str">
        <f t="shared" si="169"/>
        <v/>
      </c>
      <c r="AH459" s="376" t="str">
        <f t="shared" si="170"/>
        <v/>
      </c>
      <c r="AI459" s="376" t="str">
        <f t="shared" si="171"/>
        <v/>
      </c>
      <c r="AJ459" s="376" t="str">
        <f t="shared" si="172"/>
        <v/>
      </c>
      <c r="AK459" s="377">
        <v>1</v>
      </c>
      <c r="AL459" s="377">
        <f t="shared" ca="1" si="175"/>
        <v>0</v>
      </c>
      <c r="AM459" s="383">
        <f t="shared" ca="1" si="176"/>
        <v>0</v>
      </c>
      <c r="AN459" s="377" t="str">
        <f ca="1">IF(AND(Tabla7[[#This Row],[UltLec]]&lt;&gt;0,Tabla7[[#This Row],[PenLect]]&lt;&gt;0),(AM459-AL459)*Tabla7[[#This Row],[RT]],"N/A")</f>
        <v>N/A</v>
      </c>
      <c r="AO459" s="380" t="s">
        <v>1281</v>
      </c>
      <c r="AP459" s="433" t="s">
        <v>1190</v>
      </c>
      <c r="AQ459" s="433" t="s">
        <v>1189</v>
      </c>
      <c r="AR459" s="377">
        <f t="shared" si="177"/>
        <v>0</v>
      </c>
      <c r="AT459" s="2" t="e">
        <f t="shared" ca="1" si="178"/>
        <v>#VALUE!</v>
      </c>
      <c r="AV459">
        <f>IF(ISBLANK(Tabla7[[#This Row],[31/12/2017]]),0,Tabla7[[#This Row],[31/12/2017]])</f>
        <v>0</v>
      </c>
      <c r="AW459">
        <f>IF(ISBLANK(Tabla7[[#This Row],[15/01/2018]]),0,Tabla7[[#This Row],[15/01/2018]])</f>
        <v>0</v>
      </c>
      <c r="AX459">
        <f>IF(ISBLANK(Tabla7[[#This Row],[15/02/2018]]),0,Tabla7[[#This Row],[15/02/2018]])</f>
        <v>0</v>
      </c>
      <c r="AY459">
        <f>IF(ISBLANK(Tabla7[[#This Row],[15/03/2018]]),0,Tabla7[[#This Row],[15/03/2018]])</f>
        <v>0</v>
      </c>
      <c r="AZ459">
        <f>IF(ISBLANK(Tabla7[[#This Row],[15/04/2018]]),0,Tabla7[[#This Row],[15/04/2018]])</f>
        <v>0</v>
      </c>
      <c r="BA459">
        <f>IF(ISBLANK(Tabla7[[#This Row],[15/05/2018]]),0,Tabla7[[#This Row],[15/05/2018]])</f>
        <v>0</v>
      </c>
      <c r="BB459">
        <f>IF(ISBLANK(Tabla7[[#This Row],[15/06/2018]]),0,Tabla7[[#This Row],[15/06/2018]])</f>
        <v>0</v>
      </c>
      <c r="BC459">
        <f>IF(ISBLANK(Tabla7[[#This Row],[15/07/2018]]),0,Tabla7[[#This Row],[15/07/2018]])</f>
        <v>0</v>
      </c>
      <c r="BD459">
        <f>IF(ISBLANK(Tabla7[[#This Row],[15/08/2018]]),0,Tabla7[[#This Row],[15/08/2018]])</f>
        <v>0</v>
      </c>
      <c r="BE459">
        <f>IF(ISBLANK(Tabla7[[#This Row],[15/09/2018]]),0,Tabla7[[#This Row],[15/09/2018]])</f>
        <v>0</v>
      </c>
      <c r="BF459">
        <f>IF(ISBLANK(Tabla7[[#This Row],[15/10/2018]]),0,Tabla7[[#This Row],[15/10/2018]])</f>
        <v>0</v>
      </c>
      <c r="BG459">
        <f>IF(ISBLANK(Tabla7[[#This Row],[15/11/2018]]),0,Tabla7[[#This Row],[15/11/2018]])</f>
        <v>0</v>
      </c>
      <c r="BH459">
        <f>IF(ISBLANK(Tabla7[[#This Row],[15/12/2018]]),0,Tabla7[[#This Row],[15/12/2018]])</f>
        <v>0</v>
      </c>
      <c r="BI459">
        <f>IF(ISBLANK(Tabla7[[#This Row],[28/12/2018]]),0,Tabla7[[#This Row],[28/12/2018]])</f>
        <v>0</v>
      </c>
      <c r="BN45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('CXRUGBI15051354404','VBAJA','VCT54','140','APV FARO','INTERIOR CT','FARO','');</v>
      </c>
      <c r="BO459" t="s">
        <v>243</v>
      </c>
      <c r="BP459" s="632" t="str">
        <f>CONCATENATE("insert into lecturas values ","('",Tabla7[[#This Row],[CONTADOR]],"',STR_TO_DATE('",Tabla7[[#Headers],[31/12/2017]],"','%d/%m/%Y'),",AV459,"),","('",Tabla7[[#This Row],[CONTADOR]],"',STR_TO_DATE('",Tabla7[[#Headers],[15/01/2018]],"','%d/%m/%Y'),",AW459,"),","('",Tabla7[[#This Row],[CONTADOR]],"',STR_TO_DATE('",Tabla7[[#Headers],[15/02/2018]],"','%d/%m/%Y'),",AX459,"),","('",Tabla7[[#This Row],[CONTADOR]],"',STR_TO_DATE('",Tabla7[[#Headers],[15/03/2018]],"','%d/%m/%Y'),",AY459,"),","('",Tabla7[[#This Row],[CONTADOR]],"',STR_TO_DATE('",Tabla7[[#Headers],[15/04/2018]],"','%d/%m/%Y'),",AZ459,"),","('",Tabla7[[#This Row],[CONTADOR]],"',STR_TO_DATE('",Tabla7[[#Headers],[15/05/2018]],"','%d/%m/%Y'),",BA459,"),","('",Tabla7[[#This Row],[CONTADOR]],"',STR_TO_DATE('",Tabla7[[#Headers],[15/06/2018]],"','%d/%m/%Y'),",BB459,"),","('",Tabla7[[#This Row],[CONTADOR]],"',STR_TO_DATE('",Tabla7[[#Headers],[15/07/2018]],"','%d/%m/%Y'),",BC459,"),","('",Tabla7[[#This Row],[CONTADOR]],"',STR_TO_DATE('",Tabla7[[#Headers],[15/08/2018]],"','%d/%m/%Y'),",BD459,"),","('",Tabla7[[#This Row],[CONTADOR]],"',STR_TO_DATE('",Tabla7[[#Headers],[15/09/2018]],"','%d/%m/%Y'),",BE459,"),","('",Tabla7[[#This Row],[CONTADOR]],"',STR_TO_DATE('",Tabla7[[#Headers],[15/10/2018]],"','%d/%m/%Y'),",BF459,"),","('",Tabla7[[#This Row],[CONTADOR]],"',STR_TO_DATE('",Tabla7[[#Headers],[15/11/2018]],"','%d/%m/%Y'),",BG459,"),","('",Tabla7[[#This Row],[CONTADOR]],"',STR_TO_DATE('",Tabla7[[#Headers],[15/12/2018]],"','%d/%m/%Y'),",BH459,");")</f>
        <v>insert into lecturas values ('CXRUGBI15051354404',STR_TO_DATE('31/12/2017','%d/%m/%Y'),0),('CXRUGBI15051354404',STR_TO_DATE('15/01/2018','%d/%m/%Y'),0),('CXRUGBI15051354404',STR_TO_DATE('15/02/2018','%d/%m/%Y'),0),('CXRUGBI15051354404',STR_TO_DATE('15/03/2018','%d/%m/%Y'),0),('CXRUGBI15051354404',STR_TO_DATE('15/04/2018','%d/%m/%Y'),0),('CXRUGBI15051354404',STR_TO_DATE('15/05/2018','%d/%m/%Y'),0),('CXRUGBI15051354404',STR_TO_DATE('15/06/2018','%d/%m/%Y'),0),('CXRUGBI15051354404',STR_TO_DATE('15/07/2018','%d/%m/%Y'),0),('CXRUGBI15051354404',STR_TO_DATE('15/08/2018','%d/%m/%Y'),0),('CXRUGBI15051354404',STR_TO_DATE('15/09/2018','%d/%m/%Y'),0),('CXRUGBI15051354404',STR_TO_DATE('15/10/2018','%d/%m/%Y'),0),('CXRUGBI15051354404',STR_TO_DATE('15/11/2018','%d/%m/%Y'),0),('CXRUGBI15051354404',STR_TO_DATE('15/12/2018','%d/%m/%Y'),0);</v>
      </c>
    </row>
    <row r="460" spans="1:68" ht="18" customHeight="1" x14ac:dyDescent="0.25">
      <c r="A460" s="241" t="s">
        <v>19</v>
      </c>
      <c r="B460" s="60"/>
      <c r="C460" s="342" t="s">
        <v>1304</v>
      </c>
      <c r="D460" s="60" t="s">
        <v>458</v>
      </c>
      <c r="E460" s="258"/>
      <c r="F460" s="2"/>
      <c r="G460" s="2"/>
      <c r="H460" s="2"/>
      <c r="I460" s="274"/>
      <c r="J460" s="311"/>
      <c r="K460" s="311"/>
      <c r="L460" s="311"/>
      <c r="M460" s="2"/>
      <c r="O460" s="311">
        <v>0</v>
      </c>
      <c r="P460" s="1"/>
      <c r="Q460" s="2"/>
      <c r="R460" s="2"/>
      <c r="S460" s="2"/>
      <c r="U460" s="311"/>
      <c r="V460" s="274"/>
      <c r="W460" s="274"/>
      <c r="X460" s="274"/>
      <c r="Y460" s="2" t="str">
        <f t="shared" si="163"/>
        <v/>
      </c>
      <c r="Z460" s="2" t="str">
        <f t="shared" si="164"/>
        <v/>
      </c>
      <c r="AA460" s="2" t="str">
        <f t="shared" si="173"/>
        <v/>
      </c>
      <c r="AB460" s="2" t="str">
        <f t="shared" si="174"/>
        <v/>
      </c>
      <c r="AC460" s="2" t="str">
        <f t="shared" si="165"/>
        <v/>
      </c>
      <c r="AD460" s="2" t="str">
        <f t="shared" si="166"/>
        <v/>
      </c>
      <c r="AE460" s="2" t="str">
        <f t="shared" si="167"/>
        <v/>
      </c>
      <c r="AF460" s="2" t="str">
        <f t="shared" si="168"/>
        <v/>
      </c>
      <c r="AG460" s="2" t="str">
        <f t="shared" si="169"/>
        <v/>
      </c>
      <c r="AH460" s="271" t="str">
        <f t="shared" si="170"/>
        <v/>
      </c>
      <c r="AI460" s="2" t="str">
        <f t="shared" si="171"/>
        <v/>
      </c>
      <c r="AJ460" s="2" t="str">
        <f t="shared" si="172"/>
        <v/>
      </c>
      <c r="AK460" s="274">
        <v>1</v>
      </c>
      <c r="AL460" s="412">
        <f t="shared" ca="1" si="175"/>
        <v>0</v>
      </c>
      <c r="AM460" s="311">
        <f t="shared" ca="1" si="176"/>
        <v>0</v>
      </c>
      <c r="AN460" s="412" t="str">
        <f ca="1">IF(AND(Tabla7[[#This Row],[UltLec]]&lt;&gt;0,Tabla7[[#This Row],[PenLect]]&lt;&gt;0),(AM460-AL460)*Tabla7[[#This Row],[RT]],"N/A")</f>
        <v>N/A</v>
      </c>
      <c r="AO460" s="273"/>
      <c r="AP460" s="392"/>
      <c r="AQ460" s="392"/>
      <c r="AR460" s="274">
        <f t="shared" si="177"/>
        <v>0</v>
      </c>
      <c r="AT460" s="2" t="e">
        <f t="shared" ca="1" si="178"/>
        <v>#VALUE!</v>
      </c>
      <c r="AV460">
        <f>IF(ISBLANK(Tabla7[[#This Row],[31/12/2017]]),0,Tabla7[[#This Row],[31/12/2017]])</f>
        <v>0</v>
      </c>
      <c r="AW460">
        <f>IF(ISBLANK(Tabla7[[#This Row],[15/01/2018]]),0,Tabla7[[#This Row],[15/01/2018]])</f>
        <v>0</v>
      </c>
      <c r="AX460">
        <f>IF(ISBLANK(Tabla7[[#This Row],[15/02/2018]]),0,Tabla7[[#This Row],[15/02/2018]])</f>
        <v>0</v>
      </c>
      <c r="AY460">
        <f>IF(ISBLANK(Tabla7[[#This Row],[15/03/2018]]),0,Tabla7[[#This Row],[15/03/2018]])</f>
        <v>0</v>
      </c>
      <c r="AZ460">
        <f>IF(ISBLANK(Tabla7[[#This Row],[15/04/2018]]),0,Tabla7[[#This Row],[15/04/2018]])</f>
        <v>0</v>
      </c>
      <c r="BA460">
        <f>IF(ISBLANK(Tabla7[[#This Row],[15/05/2018]]),0,Tabla7[[#This Row],[15/05/2018]])</f>
        <v>0</v>
      </c>
      <c r="BB460">
        <f>IF(ISBLANK(Tabla7[[#This Row],[15/06/2018]]),0,Tabla7[[#This Row],[15/06/2018]])</f>
        <v>0</v>
      </c>
      <c r="BC460">
        <f>IF(ISBLANK(Tabla7[[#This Row],[15/07/2018]]),0,Tabla7[[#This Row],[15/07/2018]])</f>
        <v>0</v>
      </c>
      <c r="BD460">
        <f>IF(ISBLANK(Tabla7[[#This Row],[15/08/2018]]),0,Tabla7[[#This Row],[15/08/2018]])</f>
        <v>0</v>
      </c>
      <c r="BE460">
        <f>IF(ISBLANK(Tabla7[[#This Row],[15/09/2018]]),0,Tabla7[[#This Row],[15/09/2018]])</f>
        <v>0</v>
      </c>
      <c r="BF460">
        <f>IF(ISBLANK(Tabla7[[#This Row],[15/10/2018]]),0,Tabla7[[#This Row],[15/10/2018]])</f>
        <v>0</v>
      </c>
      <c r="BG460">
        <f>IF(ISBLANK(Tabla7[[#This Row],[15/11/2018]]),0,Tabla7[[#This Row],[15/11/2018]])</f>
        <v>0</v>
      </c>
      <c r="BH460">
        <f>IF(ISBLANK(Tabla7[[#This Row],[15/12/2018]]),0,Tabla7[[#This Row],[15/12/2018]])</f>
        <v>0</v>
      </c>
      <c r="BI460">
        <f>IF(ISBLANK(Tabla7[[#This Row],[28/12/2018]]),0,Tabla7[[#This Row],[28/12/2018]])</f>
        <v>0</v>
      </c>
      <c r="BN46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('CXRUGBI15051354405','V','VCT54','','','','','');</v>
      </c>
      <c r="BO460" t="s">
        <v>243</v>
      </c>
      <c r="BP460" s="632" t="str">
        <f>CONCATENATE("insert into lecturas values ","('",Tabla7[[#This Row],[CONTADOR]],"',STR_TO_DATE('",Tabla7[[#Headers],[31/12/2017]],"','%d/%m/%Y'),",AV460,"),","('",Tabla7[[#This Row],[CONTADOR]],"',STR_TO_DATE('",Tabla7[[#Headers],[15/01/2018]],"','%d/%m/%Y'),",AW460,"),","('",Tabla7[[#This Row],[CONTADOR]],"',STR_TO_DATE('",Tabla7[[#Headers],[15/02/2018]],"','%d/%m/%Y'),",AX460,"),","('",Tabla7[[#This Row],[CONTADOR]],"',STR_TO_DATE('",Tabla7[[#Headers],[15/03/2018]],"','%d/%m/%Y'),",AY460,"),","('",Tabla7[[#This Row],[CONTADOR]],"',STR_TO_DATE('",Tabla7[[#Headers],[15/04/2018]],"','%d/%m/%Y'),",AZ460,"),","('",Tabla7[[#This Row],[CONTADOR]],"',STR_TO_DATE('",Tabla7[[#Headers],[15/05/2018]],"','%d/%m/%Y'),",BA460,"),","('",Tabla7[[#This Row],[CONTADOR]],"',STR_TO_DATE('",Tabla7[[#Headers],[15/06/2018]],"','%d/%m/%Y'),",BB460,"),","('",Tabla7[[#This Row],[CONTADOR]],"',STR_TO_DATE('",Tabla7[[#Headers],[15/07/2018]],"','%d/%m/%Y'),",BC460,"),","('",Tabla7[[#This Row],[CONTADOR]],"',STR_TO_DATE('",Tabla7[[#Headers],[15/08/2018]],"','%d/%m/%Y'),",BD460,"),","('",Tabla7[[#This Row],[CONTADOR]],"',STR_TO_DATE('",Tabla7[[#Headers],[15/09/2018]],"','%d/%m/%Y'),",BE460,"),","('",Tabla7[[#This Row],[CONTADOR]],"',STR_TO_DATE('",Tabla7[[#Headers],[15/10/2018]],"','%d/%m/%Y'),",BF460,"),","('",Tabla7[[#This Row],[CONTADOR]],"',STR_TO_DATE('",Tabla7[[#Headers],[15/11/2018]],"','%d/%m/%Y'),",BG460,"),","('",Tabla7[[#This Row],[CONTADOR]],"',STR_TO_DATE('",Tabla7[[#Headers],[15/12/2018]],"','%d/%m/%Y'),",BH460,");")</f>
        <v>insert into lecturas values ('CXRUGBI15051354405',STR_TO_DATE('31/12/2017','%d/%m/%Y'),0),('CXRUGBI15051354405',STR_TO_DATE('15/01/2018','%d/%m/%Y'),0),('CXRUGBI15051354405',STR_TO_DATE('15/02/2018','%d/%m/%Y'),0),('CXRUGBI15051354405',STR_TO_DATE('15/03/2018','%d/%m/%Y'),0),('CXRUGBI15051354405',STR_TO_DATE('15/04/2018','%d/%m/%Y'),0),('CXRUGBI15051354405',STR_TO_DATE('15/05/2018','%d/%m/%Y'),0),('CXRUGBI15051354405',STR_TO_DATE('15/06/2018','%d/%m/%Y'),0),('CXRUGBI15051354405',STR_TO_DATE('15/07/2018','%d/%m/%Y'),0),('CXRUGBI15051354405',STR_TO_DATE('15/08/2018','%d/%m/%Y'),0),('CXRUGBI15051354405',STR_TO_DATE('15/09/2018','%d/%m/%Y'),0),('CXRUGBI15051354405',STR_TO_DATE('15/10/2018','%d/%m/%Y'),0),('CXRUGBI15051354405',STR_TO_DATE('15/11/2018','%d/%m/%Y'),0),('CXRUGBI15051354405',STR_TO_DATE('15/12/2018','%d/%m/%Y'),0);</v>
      </c>
    </row>
    <row r="461" spans="1:68" ht="18" customHeight="1" x14ac:dyDescent="0.25">
      <c r="A461" s="241"/>
      <c r="B461" s="60"/>
      <c r="C461" s="223"/>
      <c r="D461" s="60"/>
      <c r="E461" s="258"/>
      <c r="F461" s="2"/>
      <c r="G461" s="2"/>
      <c r="H461" s="2"/>
      <c r="I461" s="2"/>
      <c r="J461" s="2"/>
      <c r="K461" s="274"/>
      <c r="L461" s="2"/>
      <c r="M461" s="2"/>
      <c r="O461" s="2"/>
      <c r="P461" s="1"/>
      <c r="Q461" s="2"/>
      <c r="R461" s="2"/>
      <c r="S461" s="2"/>
      <c r="U461" s="492"/>
      <c r="V461" s="2"/>
      <c r="W461" s="2"/>
      <c r="X461" s="2"/>
      <c r="Y461" s="2" t="str">
        <f t="shared" si="163"/>
        <v/>
      </c>
      <c r="Z461" s="2" t="str">
        <f t="shared" si="164"/>
        <v/>
      </c>
      <c r="AA461" s="2" t="str">
        <f t="shared" si="173"/>
        <v/>
      </c>
      <c r="AB461" s="2" t="str">
        <f t="shared" si="174"/>
        <v/>
      </c>
      <c r="AC461" s="2" t="str">
        <f t="shared" si="165"/>
        <v/>
      </c>
      <c r="AD461" s="2" t="str">
        <f t="shared" si="166"/>
        <v/>
      </c>
      <c r="AE461" s="2" t="str">
        <f t="shared" si="167"/>
        <v/>
      </c>
      <c r="AF461" s="2" t="str">
        <f t="shared" si="168"/>
        <v/>
      </c>
      <c r="AG461" s="2" t="str">
        <f t="shared" si="169"/>
        <v/>
      </c>
      <c r="AH461" s="2" t="str">
        <f t="shared" si="170"/>
        <v/>
      </c>
      <c r="AI461" s="2" t="str">
        <f t="shared" si="171"/>
        <v/>
      </c>
      <c r="AJ461" s="2" t="str">
        <f t="shared" si="172"/>
        <v/>
      </c>
      <c r="AK461" s="2">
        <v>1</v>
      </c>
      <c r="AL461" s="2">
        <f t="shared" ca="1" si="175"/>
        <v>0</v>
      </c>
      <c r="AM461" s="2">
        <f t="shared" ca="1" si="176"/>
        <v>0</v>
      </c>
      <c r="AN461" s="2" t="str">
        <f ca="1">IF(AND(Tabla7[[#This Row],[UltLec]]&lt;&gt;0,Tabla7[[#This Row],[PenLect]]&lt;&gt;0),(AM461-AL461)*Tabla7[[#This Row],[RT]],"N/A")</f>
        <v>N/A</v>
      </c>
      <c r="AO461" s="273"/>
      <c r="AP461" s="392"/>
      <c r="AQ461" s="392"/>
      <c r="AR461" s="2">
        <f t="shared" si="177"/>
        <v>0</v>
      </c>
      <c r="AT461" s="2" t="e">
        <f t="shared" ca="1" si="178"/>
        <v>#VALUE!</v>
      </c>
      <c r="BN46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('','','','','','','','');</v>
      </c>
      <c r="BO461" t="s">
        <v>243</v>
      </c>
      <c r="BP461" s="632" t="str">
        <f>CONCATENATE("insert into lecturas values ","('",Tabla7[[#This Row],[CONTADOR]],"',STR_TO_DATE('",Tabla7[[#Headers],[31/12/2017]],"','%d/%m/%Y'),",AV461,"),","('",Tabla7[[#This Row],[CONTADOR]],"',STR_TO_DATE('",Tabla7[[#Headers],[15/01/2018]],"','%d/%m/%Y'),",AW461,"),","('",Tabla7[[#This Row],[CONTADOR]],"',STR_TO_DATE('",Tabla7[[#Headers],[15/02/2018]],"','%d/%m/%Y'),",AX461,"),","('",Tabla7[[#This Row],[CONTADOR]],"',STR_TO_DATE('",Tabla7[[#Headers],[15/03/2018]],"','%d/%m/%Y'),",AY461,"),","('",Tabla7[[#This Row],[CONTADOR]],"',STR_TO_DATE('",Tabla7[[#Headers],[15/04/2018]],"','%d/%m/%Y'),",AZ461,"),","('",Tabla7[[#This Row],[CONTADOR]],"',STR_TO_DATE('",Tabla7[[#Headers],[15/05/2018]],"','%d/%m/%Y'),",BA461,"),","('",Tabla7[[#This Row],[CONTADOR]],"',STR_TO_DATE('",Tabla7[[#Headers],[15/06/2018]],"','%d/%m/%Y'),",BB461,"),","('",Tabla7[[#This Row],[CONTADOR]],"',STR_TO_DATE('",Tabla7[[#Headers],[15/07/2018]],"','%d/%m/%Y'),",BC461,"),","('",Tabla7[[#This Row],[CONTADOR]],"',STR_TO_DATE('",Tabla7[[#Headers],[15/08/2018]],"','%d/%m/%Y'),",BD461,"),","('",Tabla7[[#This Row],[CONTADOR]],"',STR_TO_DATE('",Tabla7[[#Headers],[15/09/2018]],"','%d/%m/%Y'),",BE461,"),","('",Tabla7[[#This Row],[CONTADOR]],"',STR_TO_DATE('",Tabla7[[#Headers],[15/10/2018]],"','%d/%m/%Y'),",BF461,"),","('",Tabla7[[#This Row],[CONTADOR]],"',STR_TO_DATE('",Tabla7[[#Headers],[15/11/2018]],"','%d/%m/%Y'),",BG461,"),","('",Tabla7[[#This Row],[CONTADOR]],"',STR_TO_DATE('",Tabla7[[#Headers],[15/12/2018]],"','%d/%m/%Y'),",BH461,");")</f>
        <v>insert into lecturas values ('',STR_TO_DATE('31/12/2017','%d/%m/%Y'),),('',STR_TO_DATE('15/01/2018','%d/%m/%Y'),),('',STR_TO_DATE('15/02/2018','%d/%m/%Y'),),('',STR_TO_DATE('15/03/2018','%d/%m/%Y'),),('',STR_TO_DATE('15/04/2018','%d/%m/%Y'),),('',STR_TO_DATE('15/05/2018','%d/%m/%Y'),),('',STR_TO_DATE('15/06/2018','%d/%m/%Y'),),('',STR_TO_DATE('15/07/2018','%d/%m/%Y'),),('',STR_TO_DATE('15/08/2018','%d/%m/%Y'),),('',STR_TO_DATE('15/09/2018','%d/%m/%Y'),),('',STR_TO_DATE('15/10/2018','%d/%m/%Y'),),('',STR_TO_DATE('15/11/2018','%d/%m/%Y'),),('',STR_TO_DATE('15/12/2018','%d/%m/%Y'),);</v>
      </c>
    </row>
    <row r="462" spans="1:68" ht="18" customHeight="1" x14ac:dyDescent="0.25">
      <c r="A462" s="241"/>
      <c r="B462" s="60"/>
      <c r="C462" s="223"/>
      <c r="D462" s="60"/>
      <c r="E462" s="258"/>
      <c r="F462" s="2"/>
      <c r="G462" s="2"/>
      <c r="H462" s="2"/>
      <c r="I462" s="2"/>
      <c r="J462" s="2"/>
      <c r="K462" s="274"/>
      <c r="L462" s="2"/>
      <c r="M462" s="2"/>
      <c r="O462" s="2"/>
      <c r="P462" s="1"/>
      <c r="Q462" s="2"/>
      <c r="R462" s="2"/>
      <c r="S462" s="2"/>
      <c r="U462" s="492"/>
      <c r="V462" s="2"/>
      <c r="W462" s="2"/>
      <c r="X462" s="2"/>
      <c r="Y462" s="2" t="str">
        <f t="shared" si="163"/>
        <v/>
      </c>
      <c r="Z462" s="2" t="str">
        <f t="shared" si="164"/>
        <v/>
      </c>
      <c r="AA462" s="2" t="str">
        <f t="shared" si="173"/>
        <v/>
      </c>
      <c r="AB462" s="2" t="str">
        <f t="shared" si="174"/>
        <v/>
      </c>
      <c r="AC462" s="2" t="str">
        <f t="shared" si="165"/>
        <v/>
      </c>
      <c r="AD462" s="2" t="str">
        <f t="shared" si="166"/>
        <v/>
      </c>
      <c r="AE462" s="2" t="str">
        <f t="shared" si="167"/>
        <v/>
      </c>
      <c r="AF462" s="2" t="str">
        <f t="shared" si="168"/>
        <v/>
      </c>
      <c r="AG462" s="2" t="str">
        <f t="shared" si="169"/>
        <v/>
      </c>
      <c r="AH462" s="2" t="str">
        <f t="shared" si="170"/>
        <v/>
      </c>
      <c r="AI462" s="2" t="str">
        <f t="shared" si="171"/>
        <v/>
      </c>
      <c r="AJ462" s="2" t="str">
        <f t="shared" si="172"/>
        <v/>
      </c>
      <c r="AK462" s="2">
        <v>1</v>
      </c>
      <c r="AL462" s="2">
        <f t="shared" ca="1" si="175"/>
        <v>0</v>
      </c>
      <c r="AM462" s="2">
        <f t="shared" ca="1" si="176"/>
        <v>0</v>
      </c>
      <c r="AN462" s="2" t="str">
        <f ca="1">IF(AND(Tabla7[[#This Row],[UltLec]]&lt;&gt;0,Tabla7[[#This Row],[PenLect]]&lt;&gt;0),(AM462-AL462)*Tabla7[[#This Row],[RT]],"N/A")</f>
        <v>N/A</v>
      </c>
      <c r="AO462" s="273"/>
      <c r="AP462" s="392"/>
      <c r="AQ462" s="392"/>
      <c r="AR462" s="2">
        <f t="shared" si="177"/>
        <v>0</v>
      </c>
      <c r="AT462" s="2" t="e">
        <f t="shared" ca="1" si="178"/>
        <v>#VALUE!</v>
      </c>
      <c r="BN46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('','','','','','','','');</v>
      </c>
      <c r="BO462" t="s">
        <v>243</v>
      </c>
      <c r="BP462" s="632" t="str">
        <f>CONCATENATE("insert into lecturas values ","('",Tabla7[[#This Row],[CONTADOR]],"',STR_TO_DATE('",Tabla7[[#Headers],[31/12/2017]],"','%d/%m/%Y'),",AV462,"),","('",Tabla7[[#This Row],[CONTADOR]],"',STR_TO_DATE('",Tabla7[[#Headers],[15/01/2018]],"','%d/%m/%Y'),",AW462,"),","('",Tabla7[[#This Row],[CONTADOR]],"',STR_TO_DATE('",Tabla7[[#Headers],[15/02/2018]],"','%d/%m/%Y'),",AX462,"),","('",Tabla7[[#This Row],[CONTADOR]],"',STR_TO_DATE('",Tabla7[[#Headers],[15/03/2018]],"','%d/%m/%Y'),",AY462,"),","('",Tabla7[[#This Row],[CONTADOR]],"',STR_TO_DATE('",Tabla7[[#Headers],[15/04/2018]],"','%d/%m/%Y'),",AZ462,"),","('",Tabla7[[#This Row],[CONTADOR]],"',STR_TO_DATE('",Tabla7[[#Headers],[15/05/2018]],"','%d/%m/%Y'),",BA462,"),","('",Tabla7[[#This Row],[CONTADOR]],"',STR_TO_DATE('",Tabla7[[#Headers],[15/06/2018]],"','%d/%m/%Y'),",BB462,"),","('",Tabla7[[#This Row],[CONTADOR]],"',STR_TO_DATE('",Tabla7[[#Headers],[15/07/2018]],"','%d/%m/%Y'),",BC462,"),","('",Tabla7[[#This Row],[CONTADOR]],"',STR_TO_DATE('",Tabla7[[#Headers],[15/08/2018]],"','%d/%m/%Y'),",BD462,"),","('",Tabla7[[#This Row],[CONTADOR]],"',STR_TO_DATE('",Tabla7[[#Headers],[15/09/2018]],"','%d/%m/%Y'),",BE462,"),","('",Tabla7[[#This Row],[CONTADOR]],"',STR_TO_DATE('",Tabla7[[#Headers],[15/10/2018]],"','%d/%m/%Y'),",BF462,"),","('",Tabla7[[#This Row],[CONTADOR]],"',STR_TO_DATE('",Tabla7[[#Headers],[15/11/2018]],"','%d/%m/%Y'),",BG462,"),","('",Tabla7[[#This Row],[CONTADOR]],"',STR_TO_DATE('",Tabla7[[#Headers],[15/12/2018]],"','%d/%m/%Y'),",BH462,");")</f>
        <v>insert into lecturas values ('',STR_TO_DATE('31/12/2017','%d/%m/%Y'),),('',STR_TO_DATE('15/01/2018','%d/%m/%Y'),),('',STR_TO_DATE('15/02/2018','%d/%m/%Y'),),('',STR_TO_DATE('15/03/2018','%d/%m/%Y'),),('',STR_TO_DATE('15/04/2018','%d/%m/%Y'),),('',STR_TO_DATE('15/05/2018','%d/%m/%Y'),),('',STR_TO_DATE('15/06/2018','%d/%m/%Y'),),('',STR_TO_DATE('15/07/2018','%d/%m/%Y'),),('',STR_TO_DATE('15/08/2018','%d/%m/%Y'),),('',STR_TO_DATE('15/09/2018','%d/%m/%Y'),),('',STR_TO_DATE('15/10/2018','%d/%m/%Y'),),('',STR_TO_DATE('15/11/2018','%d/%m/%Y'),),('',STR_TO_DATE('15/12/2018','%d/%m/%Y'),);</v>
      </c>
    </row>
    <row r="463" spans="1:68" ht="18.600000000000001" customHeight="1" thickBot="1" x14ac:dyDescent="0.3">
      <c r="A463" s="259"/>
      <c r="B463" s="260"/>
      <c r="C463" s="261"/>
      <c r="D463" s="260"/>
      <c r="E463" s="262"/>
      <c r="F463" s="2"/>
      <c r="G463" s="2"/>
      <c r="H463" s="2"/>
      <c r="I463" s="2"/>
      <c r="J463" s="2"/>
      <c r="K463" s="274"/>
      <c r="L463" s="2"/>
      <c r="M463" s="2"/>
      <c r="O463" s="2"/>
      <c r="P463" s="1"/>
      <c r="Q463" s="2"/>
      <c r="R463" s="2"/>
      <c r="S463" s="2"/>
      <c r="U463" s="492"/>
      <c r="V463" s="2"/>
      <c r="W463" s="2"/>
      <c r="X463" s="2"/>
      <c r="Y463" s="2" t="str">
        <f t="shared" si="163"/>
        <v/>
      </c>
      <c r="Z463" s="2" t="str">
        <f t="shared" si="164"/>
        <v/>
      </c>
      <c r="AA463" s="2" t="str">
        <f t="shared" si="173"/>
        <v/>
      </c>
      <c r="AB463" s="2" t="str">
        <f t="shared" si="174"/>
        <v/>
      </c>
      <c r="AC463" s="2" t="str">
        <f t="shared" si="165"/>
        <v/>
      </c>
      <c r="AD463" s="2" t="str">
        <f t="shared" si="166"/>
        <v/>
      </c>
      <c r="AE463" s="2" t="str">
        <f t="shared" si="167"/>
        <v/>
      </c>
      <c r="AF463" s="2" t="str">
        <f t="shared" si="168"/>
        <v/>
      </c>
      <c r="AG463" s="2" t="str">
        <f t="shared" si="169"/>
        <v/>
      </c>
      <c r="AH463" s="2" t="str">
        <f t="shared" si="170"/>
        <v/>
      </c>
      <c r="AI463" s="2" t="str">
        <f t="shared" si="171"/>
        <v/>
      </c>
      <c r="AJ463" s="2" t="str">
        <f t="shared" si="172"/>
        <v/>
      </c>
      <c r="AK463" s="2">
        <v>1</v>
      </c>
      <c r="AL463" s="2">
        <f t="shared" ca="1" si="175"/>
        <v>0</v>
      </c>
      <c r="AM463" s="2">
        <f t="shared" ca="1" si="176"/>
        <v>0</v>
      </c>
      <c r="AN463" s="2" t="str">
        <f ca="1">IF(AND(Tabla7[[#This Row],[UltLec]]&lt;&gt;0,Tabla7[[#This Row],[PenLect]]&lt;&gt;0),(AM463-AL463)*Tabla7[[#This Row],[RT]],"N/A")</f>
        <v>N/A</v>
      </c>
      <c r="AO463" s="273"/>
      <c r="AP463" s="392"/>
      <c r="AQ463" s="392"/>
      <c r="AR463" s="2">
        <f t="shared" si="177"/>
        <v>0</v>
      </c>
      <c r="AT463" s="2" t="e">
        <f t="shared" ca="1" si="178"/>
        <v>#VALUE!</v>
      </c>
      <c r="BN46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('','','','','','','','');</v>
      </c>
      <c r="BO463" t="s">
        <v>243</v>
      </c>
      <c r="BP463" s="632" t="str">
        <f>CONCATENATE("insert into lecturas values ","('",Tabla7[[#This Row],[CONTADOR]],"',STR_TO_DATE('",Tabla7[[#Headers],[31/12/2017]],"','%d/%m/%Y'),",AV463,"),","('",Tabla7[[#This Row],[CONTADOR]],"',STR_TO_DATE('",Tabla7[[#Headers],[15/01/2018]],"','%d/%m/%Y'),",AW463,"),","('",Tabla7[[#This Row],[CONTADOR]],"',STR_TO_DATE('",Tabla7[[#Headers],[15/02/2018]],"','%d/%m/%Y'),",AX463,"),","('",Tabla7[[#This Row],[CONTADOR]],"',STR_TO_DATE('",Tabla7[[#Headers],[15/03/2018]],"','%d/%m/%Y'),",AY463,"),","('",Tabla7[[#This Row],[CONTADOR]],"',STR_TO_DATE('",Tabla7[[#Headers],[15/04/2018]],"','%d/%m/%Y'),",AZ463,"),","('",Tabla7[[#This Row],[CONTADOR]],"',STR_TO_DATE('",Tabla7[[#Headers],[15/05/2018]],"','%d/%m/%Y'),",BA463,"),","('",Tabla7[[#This Row],[CONTADOR]],"',STR_TO_DATE('",Tabla7[[#Headers],[15/06/2018]],"','%d/%m/%Y'),",BB463,"),","('",Tabla7[[#This Row],[CONTADOR]],"',STR_TO_DATE('",Tabla7[[#Headers],[15/07/2018]],"','%d/%m/%Y'),",BC463,"),","('",Tabla7[[#This Row],[CONTADOR]],"',STR_TO_DATE('",Tabla7[[#Headers],[15/08/2018]],"','%d/%m/%Y'),",BD463,"),","('",Tabla7[[#This Row],[CONTADOR]],"',STR_TO_DATE('",Tabla7[[#Headers],[15/09/2018]],"','%d/%m/%Y'),",BE463,"),","('",Tabla7[[#This Row],[CONTADOR]],"',STR_TO_DATE('",Tabla7[[#Headers],[15/10/2018]],"','%d/%m/%Y'),",BF463,"),","('",Tabla7[[#This Row],[CONTADOR]],"',STR_TO_DATE('",Tabla7[[#Headers],[15/11/2018]],"','%d/%m/%Y'),",BG463,"),","('",Tabla7[[#This Row],[CONTADOR]],"',STR_TO_DATE('",Tabla7[[#Headers],[15/12/2018]],"','%d/%m/%Y'),",BH463,");")</f>
        <v>insert into lecturas values ('',STR_TO_DATE('31/12/2017','%d/%m/%Y'),),('',STR_TO_DATE('15/01/2018','%d/%m/%Y'),),('',STR_TO_DATE('15/02/2018','%d/%m/%Y'),),('',STR_TO_DATE('15/03/2018','%d/%m/%Y'),),('',STR_TO_DATE('15/04/2018','%d/%m/%Y'),),('',STR_TO_DATE('15/05/2018','%d/%m/%Y'),),('',STR_TO_DATE('15/06/2018','%d/%m/%Y'),),('',STR_TO_DATE('15/07/2018','%d/%m/%Y'),),('',STR_TO_DATE('15/08/2018','%d/%m/%Y'),),('',STR_TO_DATE('15/09/2018','%d/%m/%Y'),),('',STR_TO_DATE('15/10/2018','%d/%m/%Y'),),('',STR_TO_DATE('15/11/2018','%d/%m/%Y'),),('',STR_TO_DATE('15/12/2018','%d/%m/%Y'),);</v>
      </c>
    </row>
    <row r="464" spans="1:68" x14ac:dyDescent="0.25">
      <c r="K464" s="274"/>
      <c r="Q464" s="250"/>
    </row>
    <row r="465" spans="11:22" x14ac:dyDescent="0.25">
      <c r="K465" s="274"/>
      <c r="Q465" s="250"/>
    </row>
    <row r="466" spans="11:22" x14ac:dyDescent="0.25">
      <c r="K466" s="274"/>
      <c r="Q466" s="250"/>
      <c r="V466" s="297"/>
    </row>
    <row r="467" spans="11:22" x14ac:dyDescent="0.25">
      <c r="K467" s="274"/>
      <c r="L467" s="250"/>
      <c r="Q467" s="250"/>
    </row>
    <row r="468" spans="11:22" x14ac:dyDescent="0.25">
      <c r="K468" s="311"/>
      <c r="Q468" s="250"/>
    </row>
    <row r="469" spans="11:22" x14ac:dyDescent="0.25">
      <c r="K469" s="274"/>
      <c r="Q469" s="250"/>
    </row>
    <row r="470" spans="11:22" x14ac:dyDescent="0.25">
      <c r="K470" s="274"/>
      <c r="Q470" s="250"/>
    </row>
    <row r="471" spans="11:22" x14ac:dyDescent="0.25">
      <c r="K471" s="274"/>
      <c r="Q471" s="250"/>
    </row>
    <row r="472" spans="11:22" x14ac:dyDescent="0.25">
      <c r="K472" s="274"/>
      <c r="Q472" s="250"/>
    </row>
    <row r="473" spans="11:22" x14ac:dyDescent="0.25">
      <c r="K473" s="274"/>
      <c r="Q473" s="250"/>
    </row>
    <row r="474" spans="11:22" x14ac:dyDescent="0.25">
      <c r="K474" s="274"/>
      <c r="Q474" s="250"/>
    </row>
    <row r="475" spans="11:22" x14ac:dyDescent="0.25">
      <c r="K475" s="274"/>
      <c r="Q475" s="250"/>
    </row>
    <row r="476" spans="11:22" x14ac:dyDescent="0.25">
      <c r="K476" s="274"/>
      <c r="Q476" s="250"/>
    </row>
    <row r="477" spans="11:22" x14ac:dyDescent="0.25">
      <c r="K477" s="311"/>
      <c r="Q477" s="250"/>
    </row>
    <row r="478" spans="11:22" x14ac:dyDescent="0.25">
      <c r="K478" s="311"/>
      <c r="Q478" s="250"/>
    </row>
    <row r="479" spans="11:22" x14ac:dyDescent="0.25">
      <c r="Q479" s="250"/>
    </row>
    <row r="480" spans="11:22" x14ac:dyDescent="0.25">
      <c r="Q480" s="250"/>
    </row>
    <row r="481" spans="17:17" x14ac:dyDescent="0.25">
      <c r="Q481" s="250"/>
    </row>
    <row r="482" spans="17:17" x14ac:dyDescent="0.25">
      <c r="Q482" s="250"/>
    </row>
    <row r="487" spans="17:17" ht="18.75" customHeight="1" x14ac:dyDescent="0.25"/>
    <row r="491" spans="17:17" ht="18.75" customHeight="1" x14ac:dyDescent="0.25"/>
    <row r="601" ht="18.75" customHeight="1" x14ac:dyDescent="0.25"/>
    <row r="620" ht="18.75" customHeight="1" x14ac:dyDescent="0.25"/>
    <row r="621" ht="18.75" customHeight="1" x14ac:dyDescent="0.25"/>
    <row r="662" ht="18.75" customHeight="1" x14ac:dyDescent="0.25"/>
  </sheetData>
  <mergeCells count="3">
    <mergeCell ref="Y1:AJ1"/>
    <mergeCell ref="J1:X1"/>
    <mergeCell ref="A1:I1"/>
  </mergeCells>
  <conditionalFormatting sqref="Q336">
    <cfRule type="expression" dxfId="180" priority="136">
      <formula>MOD(RIGHT($A336,1),2)=0</formula>
    </cfRule>
    <cfRule type="expression" dxfId="179" priority="138">
      <formula>$A336="VARIOS"</formula>
    </cfRule>
  </conditionalFormatting>
  <conditionalFormatting sqref="Q336">
    <cfRule type="expression" priority="135" stopIfTrue="1">
      <formula>$A336="VCT00"</formula>
    </cfRule>
    <cfRule type="expression" dxfId="178" priority="137">
      <formula>$A336="VCT A.E.M"</formula>
    </cfRule>
  </conditionalFormatting>
  <conditionalFormatting sqref="Q350">
    <cfRule type="expression" dxfId="177" priority="132">
      <formula>MOD(RIGHT($A350,1),2)=0</formula>
    </cfRule>
    <cfRule type="expression" dxfId="176" priority="134">
      <formula>$A350="VARIOS"</formula>
    </cfRule>
  </conditionalFormatting>
  <conditionalFormatting sqref="Q350">
    <cfRule type="expression" priority="131" stopIfTrue="1">
      <formula>$A350="VCT00"</formula>
    </cfRule>
    <cfRule type="expression" dxfId="175" priority="133">
      <formula>$A350="VCT A.E.M"</formula>
    </cfRule>
  </conditionalFormatting>
  <conditionalFormatting sqref="Q420">
    <cfRule type="expression" dxfId="174" priority="128">
      <formula>MOD(RIGHT($A420,1),2)=0</formula>
    </cfRule>
    <cfRule type="expression" dxfId="173" priority="130">
      <formula>$A420="VARIOS"</formula>
    </cfRule>
  </conditionalFormatting>
  <conditionalFormatting sqref="Q420">
    <cfRule type="expression" priority="127" stopIfTrue="1">
      <formula>$A420="VCT00"</formula>
    </cfRule>
    <cfRule type="expression" dxfId="172" priority="129">
      <formula>$A420="VCT A.E.M"</formula>
    </cfRule>
  </conditionalFormatting>
  <conditionalFormatting sqref="Q440">
    <cfRule type="expression" dxfId="171" priority="124">
      <formula>MOD(RIGHT($A440,1),2)=0</formula>
    </cfRule>
    <cfRule type="expression" dxfId="170" priority="126">
      <formula>$A440="VARIOS"</formula>
    </cfRule>
  </conditionalFormatting>
  <conditionalFormatting sqref="Q440">
    <cfRule type="expression" priority="123" stopIfTrue="1">
      <formula>$A440="VCT00"</formula>
    </cfRule>
    <cfRule type="expression" dxfId="169" priority="125">
      <formula>$A440="VCT A.E.M"</formula>
    </cfRule>
  </conditionalFormatting>
  <conditionalFormatting sqref="AT204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09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05:AT208 AT210:AT463 AT3:AT203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3.937007874015748E-2" right="3.937007874015748E-2" top="0.74803149606299213" bottom="0.74803149606299213" header="0.31496062992125984" footer="0.31496062992125984"/>
  <pageSetup paperSize="8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MacroFacturacion2018">
                <anchor moveWithCells="1" sizeWithCells="1">
                  <from>
                    <xdr:col>44</xdr:col>
                    <xdr:colOff>571500</xdr:colOff>
                    <xdr:row>0</xdr:row>
                    <xdr:rowOff>161925</xdr:rowOff>
                  </from>
                  <to>
                    <xdr:col>47</xdr:col>
                    <xdr:colOff>76200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8" r:id="rId5" name="Button 90">
              <controlPr defaultSize="0" print="0" autoFill="0" autoPict="0" macro="[0]!MacroFacturacion2018">
                <anchor moveWithCells="1" sizeWithCells="1">
                  <from>
                    <xdr:col>23</xdr:col>
                    <xdr:colOff>0</xdr:colOff>
                    <xdr:row>0</xdr:row>
                    <xdr:rowOff>161925</xdr:rowOff>
                  </from>
                  <to>
                    <xdr:col>46</xdr:col>
                    <xdr:colOff>752475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5"/>
  <dimension ref="A7:I19"/>
  <sheetViews>
    <sheetView workbookViewId="0">
      <selection activeCell="A8" sqref="A8"/>
    </sheetView>
  </sheetViews>
  <sheetFormatPr baseColWidth="10" defaultRowHeight="15" x14ac:dyDescent="0.25"/>
  <cols>
    <col min="1" max="1" width="7.42578125" bestFit="1" customWidth="1"/>
    <col min="2" max="2" width="11.28515625" customWidth="1"/>
    <col min="3" max="3" width="27" bestFit="1" customWidth="1"/>
    <col min="4" max="4" width="8.5703125" bestFit="1" customWidth="1"/>
    <col min="5" max="5" width="8.42578125" bestFit="1" customWidth="1"/>
    <col min="6" max="6" width="31" customWidth="1"/>
    <col min="7" max="7" width="39.7109375" customWidth="1"/>
    <col min="8" max="8" width="55.140625" bestFit="1" customWidth="1"/>
    <col min="9" max="9" width="16.85546875" bestFit="1" customWidth="1"/>
  </cols>
  <sheetData>
    <row r="7" spans="1:9" ht="18.75" x14ac:dyDescent="0.25">
      <c r="A7" s="241" t="s">
        <v>614</v>
      </c>
      <c r="B7" s="60"/>
      <c r="C7" s="256" t="s">
        <v>416</v>
      </c>
      <c r="D7" s="60" t="s">
        <v>650</v>
      </c>
      <c r="E7" s="258">
        <v>3</v>
      </c>
      <c r="F7" s="551" t="s">
        <v>21</v>
      </c>
      <c r="G7" s="551" t="s">
        <v>654</v>
      </c>
      <c r="H7" s="551" t="s">
        <v>653</v>
      </c>
    </row>
    <row r="8" spans="1:9" ht="18.75" x14ac:dyDescent="0.25">
      <c r="A8" s="241" t="s">
        <v>517</v>
      </c>
      <c r="B8" s="60"/>
      <c r="C8" s="552">
        <v>83061189</v>
      </c>
      <c r="D8" s="320" t="s">
        <v>517</v>
      </c>
      <c r="E8" s="268">
        <v>39539</v>
      </c>
      <c r="F8" s="551" t="s">
        <v>146</v>
      </c>
      <c r="G8" s="551" t="s">
        <v>1062</v>
      </c>
      <c r="H8" s="551" t="s">
        <v>1115</v>
      </c>
    </row>
    <row r="9" spans="1:9" ht="18.75" x14ac:dyDescent="0.25">
      <c r="A9" s="241" t="s">
        <v>356</v>
      </c>
      <c r="B9" s="60">
        <v>1353</v>
      </c>
      <c r="C9" s="465">
        <v>15051348800</v>
      </c>
      <c r="D9" s="60" t="s">
        <v>356</v>
      </c>
      <c r="E9" s="258">
        <v>39030</v>
      </c>
      <c r="F9" s="495" t="s">
        <v>108</v>
      </c>
      <c r="G9" s="551" t="s">
        <v>469</v>
      </c>
      <c r="H9" s="551" t="s">
        <v>468</v>
      </c>
      <c r="I9" s="551" t="s">
        <v>960</v>
      </c>
    </row>
    <row r="10" spans="1:9" ht="18.75" x14ac:dyDescent="0.25">
      <c r="A10" s="241" t="s">
        <v>356</v>
      </c>
      <c r="B10" s="60"/>
      <c r="C10" s="465" t="s">
        <v>1275</v>
      </c>
      <c r="D10" s="60" t="s">
        <v>356</v>
      </c>
      <c r="E10" s="268">
        <v>39100</v>
      </c>
      <c r="F10" s="495" t="s">
        <v>357</v>
      </c>
      <c r="G10" s="551" t="s">
        <v>358</v>
      </c>
    </row>
    <row r="11" spans="1:9" ht="18.75" x14ac:dyDescent="0.25">
      <c r="A11" s="241" t="s">
        <v>356</v>
      </c>
      <c r="B11" s="60"/>
      <c r="C11" s="465" t="s">
        <v>1279</v>
      </c>
      <c r="D11" s="60" t="s">
        <v>356</v>
      </c>
      <c r="E11" s="258">
        <v>39760</v>
      </c>
      <c r="F11" s="495" t="s">
        <v>192</v>
      </c>
      <c r="G11" s="551" t="s">
        <v>387</v>
      </c>
      <c r="H11" s="551" t="s">
        <v>866</v>
      </c>
    </row>
    <row r="12" spans="1:9" ht="18.75" x14ac:dyDescent="0.25">
      <c r="A12" s="360" t="s">
        <v>19</v>
      </c>
      <c r="B12" s="320"/>
      <c r="C12" s="465" t="s">
        <v>1325</v>
      </c>
      <c r="D12" s="320" t="s">
        <v>323</v>
      </c>
      <c r="E12" s="268">
        <v>110</v>
      </c>
      <c r="F12" s="551" t="s">
        <v>1214</v>
      </c>
      <c r="G12" s="551" t="s">
        <v>327</v>
      </c>
      <c r="H12" s="551" t="s">
        <v>852</v>
      </c>
      <c r="I12" s="551"/>
    </row>
    <row r="13" spans="1:9" ht="18.75" x14ac:dyDescent="0.25">
      <c r="A13" s="241" t="s">
        <v>19</v>
      </c>
      <c r="B13" s="60"/>
      <c r="C13" s="465" t="s">
        <v>64</v>
      </c>
      <c r="D13" s="60" t="s">
        <v>55</v>
      </c>
      <c r="E13" s="258">
        <v>140</v>
      </c>
      <c r="F13" s="495" t="s">
        <v>887</v>
      </c>
      <c r="G13" s="495" t="s">
        <v>1008</v>
      </c>
      <c r="H13" s="551" t="s">
        <v>65</v>
      </c>
    </row>
    <row r="14" spans="1:9" ht="18.75" x14ac:dyDescent="0.25">
      <c r="A14" s="241" t="s">
        <v>19</v>
      </c>
      <c r="B14" s="60">
        <v>4450</v>
      </c>
      <c r="C14" s="465" t="s">
        <v>87</v>
      </c>
      <c r="D14" s="60" t="s">
        <v>86</v>
      </c>
      <c r="E14" s="258">
        <v>39742</v>
      </c>
      <c r="F14" s="495" t="s">
        <v>88</v>
      </c>
      <c r="G14" s="495" t="s">
        <v>89</v>
      </c>
      <c r="H14" s="551" t="s">
        <v>735</v>
      </c>
    </row>
    <row r="15" spans="1:9" ht="18.75" x14ac:dyDescent="0.25">
      <c r="A15" s="360" t="s">
        <v>19</v>
      </c>
      <c r="B15" s="60"/>
      <c r="C15" s="465" t="s">
        <v>179</v>
      </c>
      <c r="D15" s="320" t="s">
        <v>176</v>
      </c>
      <c r="E15" s="268">
        <v>39246</v>
      </c>
      <c r="F15" s="551" t="s">
        <v>180</v>
      </c>
      <c r="G15" s="551" t="s">
        <v>101</v>
      </c>
      <c r="H15" s="551" t="s">
        <v>735</v>
      </c>
    </row>
    <row r="16" spans="1:9" ht="18.75" x14ac:dyDescent="0.25">
      <c r="A16" s="360" t="s">
        <v>19</v>
      </c>
      <c r="B16" s="60">
        <v>40364</v>
      </c>
      <c r="C16" s="465" t="s">
        <v>177</v>
      </c>
      <c r="D16" s="320" t="s">
        <v>176</v>
      </c>
      <c r="E16" s="268">
        <v>39497</v>
      </c>
      <c r="F16" s="551" t="s">
        <v>178</v>
      </c>
      <c r="G16" s="551" t="s">
        <v>101</v>
      </c>
      <c r="H16" s="551" t="s">
        <v>735</v>
      </c>
    </row>
    <row r="17" spans="1:8" ht="18.75" x14ac:dyDescent="0.25">
      <c r="A17" s="360" t="s">
        <v>19</v>
      </c>
      <c r="B17" s="60">
        <v>552</v>
      </c>
      <c r="C17" s="465" t="s">
        <v>184</v>
      </c>
      <c r="D17" s="320" t="s">
        <v>183</v>
      </c>
      <c r="E17" s="268">
        <v>39787</v>
      </c>
      <c r="F17" s="551" t="s">
        <v>185</v>
      </c>
      <c r="G17" s="551" t="s">
        <v>186</v>
      </c>
      <c r="H17" s="551" t="s">
        <v>735</v>
      </c>
    </row>
    <row r="18" spans="1:8" ht="18.75" x14ac:dyDescent="0.25">
      <c r="A18" s="360" t="s">
        <v>19</v>
      </c>
      <c r="B18" s="60"/>
      <c r="C18" s="465" t="s">
        <v>187</v>
      </c>
      <c r="D18" s="320" t="s">
        <v>183</v>
      </c>
      <c r="E18" s="268">
        <v>150</v>
      </c>
      <c r="F18" s="551" t="s">
        <v>897</v>
      </c>
      <c r="G18" s="551" t="s">
        <v>101</v>
      </c>
      <c r="H18" s="551" t="s">
        <v>735</v>
      </c>
    </row>
    <row r="19" spans="1:8" ht="18.75" x14ac:dyDescent="0.25">
      <c r="A19" s="360" t="s">
        <v>19</v>
      </c>
      <c r="B19" s="60">
        <v>671</v>
      </c>
      <c r="C19" s="465" t="s">
        <v>225</v>
      </c>
      <c r="D19" s="320" t="s">
        <v>221</v>
      </c>
      <c r="E19" s="268">
        <v>39036</v>
      </c>
      <c r="F19" s="551" t="s">
        <v>226</v>
      </c>
      <c r="G19" s="551" t="s">
        <v>1139</v>
      </c>
      <c r="H19" s="551" t="s">
        <v>227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AL683"/>
  <sheetViews>
    <sheetView topLeftCell="A253" zoomScale="70" zoomScaleNormal="70" workbookViewId="0">
      <selection activeCell="B250" sqref="B250:AI272"/>
    </sheetView>
  </sheetViews>
  <sheetFormatPr baseColWidth="10" defaultRowHeight="15" x14ac:dyDescent="0.25"/>
  <cols>
    <col min="2" max="2" width="39.5703125" bestFit="1" customWidth="1"/>
    <col min="3" max="3" width="15.42578125" bestFit="1" customWidth="1"/>
    <col min="4" max="4" width="13.7109375" bestFit="1" customWidth="1"/>
    <col min="5" max="5" width="45.28515625" bestFit="1" customWidth="1"/>
    <col min="6" max="6" width="50" style="158" bestFit="1" customWidth="1"/>
    <col min="7" max="7" width="57.28515625" style="158" bestFit="1" customWidth="1"/>
    <col min="8" max="8" width="71.140625" style="158" bestFit="1" customWidth="1"/>
    <col min="9" max="9" width="17.28515625" style="158" bestFit="1" customWidth="1"/>
    <col min="10" max="10" width="17.28515625" style="158" customWidth="1"/>
    <col min="11" max="12" width="17.85546875" style="158" bestFit="1" customWidth="1"/>
    <col min="13" max="18" width="11.5703125" style="158" customWidth="1"/>
    <col min="19" max="23" width="11.5703125" customWidth="1"/>
    <col min="24" max="24" width="14.42578125" style="2" bestFit="1" customWidth="1"/>
    <col min="25" max="28" width="11.5703125" style="2"/>
    <col min="29" max="29" width="13" style="2" bestFit="1" customWidth="1"/>
    <col min="30" max="30" width="11.5703125" style="2"/>
    <col min="31" max="31" width="15.7109375" style="2" customWidth="1"/>
    <col min="32" max="32" width="18.28515625" style="2" customWidth="1"/>
    <col min="33" max="33" width="17.7109375" style="2" customWidth="1"/>
    <col min="34" max="34" width="11.5703125" style="2" customWidth="1"/>
    <col min="35" max="35" width="11.5703125" style="2"/>
    <col min="36" max="36" width="0" hidden="1" customWidth="1"/>
    <col min="38" max="38" width="12.5703125" bestFit="1" customWidth="1"/>
  </cols>
  <sheetData>
    <row r="1" spans="2:38" ht="15.75" thickBot="1" x14ac:dyDescent="0.3"/>
    <row r="2" spans="2:38" ht="15.75" thickBot="1" x14ac:dyDescent="0.3">
      <c r="B2" s="636" t="s">
        <v>712</v>
      </c>
      <c r="C2" s="637"/>
      <c r="D2" s="637"/>
      <c r="E2" s="637"/>
      <c r="F2" s="637"/>
      <c r="G2" s="637"/>
      <c r="H2" s="637"/>
      <c r="I2" s="637"/>
      <c r="J2" s="637"/>
      <c r="K2" s="637"/>
      <c r="L2" s="637"/>
      <c r="M2" s="637"/>
      <c r="N2" s="637"/>
      <c r="O2" s="637"/>
      <c r="P2" s="637"/>
      <c r="Q2" s="637"/>
      <c r="R2" s="637"/>
      <c r="S2" s="637"/>
      <c r="T2" s="637"/>
      <c r="U2" s="637"/>
      <c r="V2" s="637"/>
      <c r="W2" s="637"/>
      <c r="X2" s="637"/>
      <c r="Y2" s="637"/>
      <c r="Z2" s="637"/>
      <c r="AA2" s="637"/>
      <c r="AB2" s="637"/>
      <c r="AC2" s="637"/>
      <c r="AD2" s="637"/>
      <c r="AE2" s="637"/>
      <c r="AF2" s="637"/>
      <c r="AG2" s="637"/>
      <c r="AH2" s="637"/>
      <c r="AI2" s="639"/>
    </row>
    <row r="3" spans="2:38" ht="19.5" thickBot="1" x14ac:dyDescent="0.3">
      <c r="B3" s="141" t="s">
        <v>18</v>
      </c>
      <c r="C3" s="125" t="s">
        <v>0</v>
      </c>
      <c r="D3" s="125" t="s">
        <v>710</v>
      </c>
      <c r="E3" s="142" t="s">
        <v>1</v>
      </c>
      <c r="F3" s="142" t="s">
        <v>2</v>
      </c>
      <c r="G3" s="142" t="s">
        <v>3</v>
      </c>
      <c r="H3" s="142" t="s">
        <v>4</v>
      </c>
      <c r="I3" s="240" t="s">
        <v>1100</v>
      </c>
      <c r="J3" s="240" t="s">
        <v>1050</v>
      </c>
      <c r="K3" s="240" t="s">
        <v>1101</v>
      </c>
      <c r="L3" s="240" t="s">
        <v>1102</v>
      </c>
      <c r="M3" s="240" t="s">
        <v>1103</v>
      </c>
      <c r="N3" s="240" t="s">
        <v>1104</v>
      </c>
      <c r="O3" s="240" t="s">
        <v>1105</v>
      </c>
      <c r="P3" s="240" t="s">
        <v>1106</v>
      </c>
      <c r="Q3" s="240" t="s">
        <v>1107</v>
      </c>
      <c r="R3" s="240" t="s">
        <v>1108</v>
      </c>
      <c r="S3" s="240" t="s">
        <v>1109</v>
      </c>
      <c r="T3" s="240" t="s">
        <v>1110</v>
      </c>
      <c r="U3" s="240" t="s">
        <v>1111</v>
      </c>
      <c r="V3" s="251" t="s">
        <v>1112</v>
      </c>
      <c r="W3" s="143" t="s">
        <v>756</v>
      </c>
      <c r="X3" s="100" t="s">
        <v>488</v>
      </c>
      <c r="Y3" s="100" t="s">
        <v>489</v>
      </c>
      <c r="Z3" s="100" t="s">
        <v>490</v>
      </c>
      <c r="AA3" s="100" t="s">
        <v>491</v>
      </c>
      <c r="AB3" s="100" t="s">
        <v>492</v>
      </c>
      <c r="AC3" s="100" t="s">
        <v>493</v>
      </c>
      <c r="AD3" s="100" t="s">
        <v>494</v>
      </c>
      <c r="AE3" s="100" t="s">
        <v>495</v>
      </c>
      <c r="AF3" s="100" t="s">
        <v>496</v>
      </c>
      <c r="AG3" s="100" t="s">
        <v>497</v>
      </c>
      <c r="AH3" s="101" t="s">
        <v>498</v>
      </c>
      <c r="AI3" s="102" t="s">
        <v>499</v>
      </c>
    </row>
    <row r="4" spans="2:38" ht="18.75" x14ac:dyDescent="0.25">
      <c r="B4" s="126">
        <v>95589698</v>
      </c>
      <c r="C4" s="127" t="s">
        <v>356</v>
      </c>
      <c r="D4" s="128">
        <v>39471</v>
      </c>
      <c r="E4" s="129" t="s">
        <v>379</v>
      </c>
      <c r="F4" s="152" t="s">
        <v>380</v>
      </c>
      <c r="G4" s="152"/>
      <c r="H4" s="152" t="s">
        <v>950</v>
      </c>
      <c r="I4" s="152">
        <v>5837416</v>
      </c>
      <c r="J4" s="152">
        <v>5866300</v>
      </c>
      <c r="K4" s="152">
        <v>5892084</v>
      </c>
      <c r="L4" s="152">
        <v>5923665</v>
      </c>
      <c r="M4" s="152">
        <v>5956278</v>
      </c>
      <c r="N4" s="152">
        <v>5986343</v>
      </c>
      <c r="O4" s="152">
        <v>6019193</v>
      </c>
      <c r="P4" s="152">
        <v>6051587</v>
      </c>
      <c r="Q4" s="152">
        <v>6087835</v>
      </c>
      <c r="R4" s="152">
        <v>6122468</v>
      </c>
      <c r="S4" s="111">
        <v>6153605</v>
      </c>
      <c r="T4" s="111">
        <v>6188305</v>
      </c>
      <c r="U4" s="111">
        <v>6220516</v>
      </c>
      <c r="V4" s="112"/>
      <c r="X4" s="118">
        <v>28884</v>
      </c>
      <c r="Y4" s="119">
        <v>25784</v>
      </c>
      <c r="Z4" s="119">
        <v>31581</v>
      </c>
      <c r="AA4" s="119">
        <v>32613</v>
      </c>
      <c r="AB4" s="119">
        <v>30065</v>
      </c>
      <c r="AC4" s="119">
        <v>32850</v>
      </c>
      <c r="AD4" s="119">
        <v>32394</v>
      </c>
      <c r="AE4" s="119">
        <v>36248</v>
      </c>
      <c r="AF4" s="119">
        <v>34633</v>
      </c>
      <c r="AG4" s="119">
        <v>31137</v>
      </c>
      <c r="AH4" s="119">
        <v>34700</v>
      </c>
      <c r="AI4" s="120">
        <v>32211</v>
      </c>
      <c r="AK4" s="270"/>
      <c r="AL4" s="270"/>
    </row>
    <row r="5" spans="2:38" ht="18.75" x14ac:dyDescent="0.25">
      <c r="B5" s="130">
        <v>95589705</v>
      </c>
      <c r="C5" s="15" t="s">
        <v>356</v>
      </c>
      <c r="D5" s="12">
        <v>39017</v>
      </c>
      <c r="E5" s="9" t="s">
        <v>108</v>
      </c>
      <c r="F5" s="153" t="s">
        <v>467</v>
      </c>
      <c r="G5" s="254" t="s">
        <v>700</v>
      </c>
      <c r="H5" s="153" t="s">
        <v>951</v>
      </c>
      <c r="I5" s="153">
        <v>823015</v>
      </c>
      <c r="J5" s="153">
        <v>823015</v>
      </c>
      <c r="K5" s="153">
        <v>823015</v>
      </c>
      <c r="L5" s="153">
        <v>823015</v>
      </c>
      <c r="M5" s="153">
        <v>823015</v>
      </c>
      <c r="N5" s="153">
        <v>823015</v>
      </c>
      <c r="O5" s="153">
        <v>823015</v>
      </c>
      <c r="P5" s="153">
        <v>823015</v>
      </c>
      <c r="Q5" s="153">
        <v>823015</v>
      </c>
      <c r="R5" s="153">
        <v>823015</v>
      </c>
      <c r="S5" s="110">
        <v>823015</v>
      </c>
      <c r="T5" s="110">
        <v>823015</v>
      </c>
      <c r="U5" s="110">
        <v>823015</v>
      </c>
      <c r="V5" s="114"/>
      <c r="X5" s="121">
        <v>0</v>
      </c>
      <c r="Y5" s="49">
        <v>0</v>
      </c>
      <c r="Z5" s="49">
        <v>0</v>
      </c>
      <c r="AA5" s="49">
        <v>0</v>
      </c>
      <c r="AB5" s="49">
        <v>0</v>
      </c>
      <c r="AC5" s="49">
        <v>0</v>
      </c>
      <c r="AD5" s="49">
        <v>0</v>
      </c>
      <c r="AE5" s="49">
        <v>0</v>
      </c>
      <c r="AF5" s="49">
        <v>0</v>
      </c>
      <c r="AG5" s="49">
        <v>0</v>
      </c>
      <c r="AH5" s="49">
        <v>0</v>
      </c>
      <c r="AI5" s="122">
        <v>0</v>
      </c>
      <c r="AK5" s="270"/>
      <c r="AL5" s="270"/>
    </row>
    <row r="6" spans="2:38" ht="18.75" x14ac:dyDescent="0.25">
      <c r="B6" s="130">
        <v>95589721</v>
      </c>
      <c r="C6" s="15" t="s">
        <v>356</v>
      </c>
      <c r="D6" s="12">
        <v>39145</v>
      </c>
      <c r="E6" s="9" t="s">
        <v>108</v>
      </c>
      <c r="F6" s="153" t="s">
        <v>382</v>
      </c>
      <c r="G6" s="153" t="s">
        <v>1195</v>
      </c>
      <c r="H6" s="153" t="s">
        <v>954</v>
      </c>
      <c r="I6" s="153">
        <v>3238642</v>
      </c>
      <c r="J6" s="153">
        <v>3238714</v>
      </c>
      <c r="K6" s="153">
        <v>3238755</v>
      </c>
      <c r="L6" s="153">
        <v>3238773</v>
      </c>
      <c r="M6" s="153">
        <v>3238798</v>
      </c>
      <c r="N6" s="153">
        <v>3239000</v>
      </c>
      <c r="O6" s="153">
        <v>3239395</v>
      </c>
      <c r="P6" s="153">
        <v>3240128</v>
      </c>
      <c r="Q6" s="153">
        <v>3241494</v>
      </c>
      <c r="R6" s="153">
        <v>3242033</v>
      </c>
      <c r="S6" s="110">
        <v>3242261</v>
      </c>
      <c r="T6" s="110">
        <v>3242302</v>
      </c>
      <c r="U6" s="110">
        <v>3242344</v>
      </c>
      <c r="V6" s="114"/>
      <c r="X6" s="121">
        <v>72</v>
      </c>
      <c r="Y6" s="49">
        <v>41</v>
      </c>
      <c r="Z6" s="49">
        <v>18</v>
      </c>
      <c r="AA6" s="49">
        <v>25</v>
      </c>
      <c r="AB6" s="49">
        <v>202</v>
      </c>
      <c r="AC6" s="49">
        <v>395</v>
      </c>
      <c r="AD6" s="49">
        <v>733</v>
      </c>
      <c r="AE6" s="49">
        <v>1366</v>
      </c>
      <c r="AF6" s="49">
        <v>539</v>
      </c>
      <c r="AG6" s="49">
        <v>228</v>
      </c>
      <c r="AH6" s="49">
        <v>41</v>
      </c>
      <c r="AI6" s="122">
        <v>42</v>
      </c>
      <c r="AK6" s="270"/>
      <c r="AL6" s="270"/>
    </row>
    <row r="7" spans="2:38" ht="18.75" x14ac:dyDescent="0.25">
      <c r="B7" s="137">
        <v>95589723</v>
      </c>
      <c r="C7" s="106" t="s">
        <v>356</v>
      </c>
      <c r="D7" s="97">
        <v>39667</v>
      </c>
      <c r="E7" s="205" t="s">
        <v>108</v>
      </c>
      <c r="F7" s="153" t="s">
        <v>362</v>
      </c>
      <c r="G7" s="153"/>
      <c r="H7" s="153" t="s">
        <v>953</v>
      </c>
      <c r="I7" s="153">
        <v>84411211</v>
      </c>
      <c r="J7" s="153">
        <v>84868187</v>
      </c>
      <c r="K7" s="153">
        <v>85743935</v>
      </c>
      <c r="L7" s="153">
        <v>86600074</v>
      </c>
      <c r="M7" s="153">
        <v>87577861</v>
      </c>
      <c r="N7" s="153">
        <v>88463497</v>
      </c>
      <c r="O7" s="153">
        <v>89355053</v>
      </c>
      <c r="P7" s="153">
        <v>90336422</v>
      </c>
      <c r="Q7" s="153">
        <v>91506503</v>
      </c>
      <c r="R7" s="153">
        <v>92573213</v>
      </c>
      <c r="S7" s="110">
        <v>93659788</v>
      </c>
      <c r="T7" s="110">
        <v>94724238</v>
      </c>
      <c r="U7" s="110">
        <v>95782194</v>
      </c>
      <c r="V7" s="114"/>
      <c r="X7" s="121">
        <v>456976</v>
      </c>
      <c r="Y7" s="49">
        <v>875748</v>
      </c>
      <c r="Z7" s="49">
        <v>856139</v>
      </c>
      <c r="AA7" s="49">
        <v>977787</v>
      </c>
      <c r="AB7" s="49">
        <v>885636</v>
      </c>
      <c r="AC7" s="49">
        <v>891556</v>
      </c>
      <c r="AD7" s="49">
        <v>981369</v>
      </c>
      <c r="AE7" s="49">
        <v>1170081</v>
      </c>
      <c r="AF7" s="49">
        <v>1066710</v>
      </c>
      <c r="AG7" s="49">
        <v>1086575</v>
      </c>
      <c r="AH7" s="49">
        <v>1064450</v>
      </c>
      <c r="AI7" s="122">
        <v>1057956</v>
      </c>
      <c r="AK7" s="270"/>
      <c r="AL7" s="270"/>
    </row>
    <row r="8" spans="2:38" ht="18.75" x14ac:dyDescent="0.25">
      <c r="B8" s="137">
        <v>95589730</v>
      </c>
      <c r="C8" s="106" t="s">
        <v>356</v>
      </c>
      <c r="D8" s="97">
        <v>39729</v>
      </c>
      <c r="E8" s="205" t="s">
        <v>375</v>
      </c>
      <c r="F8" s="153" t="s">
        <v>376</v>
      </c>
      <c r="G8" s="153"/>
      <c r="H8" s="153" t="s">
        <v>961</v>
      </c>
      <c r="I8" s="153">
        <v>6877654</v>
      </c>
      <c r="J8" s="153">
        <v>6907607</v>
      </c>
      <c r="K8" s="153">
        <v>6962662</v>
      </c>
      <c r="L8" s="153">
        <v>7006492</v>
      </c>
      <c r="M8" s="153">
        <v>7044688</v>
      </c>
      <c r="N8" s="153">
        <v>7087545</v>
      </c>
      <c r="O8" s="153">
        <v>7148990</v>
      </c>
      <c r="P8" s="153">
        <v>7256363</v>
      </c>
      <c r="Q8" s="153">
        <v>7386585</v>
      </c>
      <c r="R8" s="153">
        <v>7505905</v>
      </c>
      <c r="S8" s="110">
        <v>7600712</v>
      </c>
      <c r="T8" s="110">
        <v>7655232</v>
      </c>
      <c r="U8" s="110">
        <v>7699379</v>
      </c>
      <c r="V8" s="114"/>
      <c r="X8" s="121">
        <v>29953</v>
      </c>
      <c r="Y8" s="49">
        <v>55055</v>
      </c>
      <c r="Z8" s="49">
        <v>43830</v>
      </c>
      <c r="AA8" s="49">
        <v>38196</v>
      </c>
      <c r="AB8" s="49">
        <v>42857</v>
      </c>
      <c r="AC8" s="49">
        <v>61445</v>
      </c>
      <c r="AD8" s="49">
        <v>107373</v>
      </c>
      <c r="AE8" s="49">
        <v>130222</v>
      </c>
      <c r="AF8" s="49">
        <v>119320</v>
      </c>
      <c r="AG8" s="49">
        <v>94807</v>
      </c>
      <c r="AH8" s="49">
        <v>54520</v>
      </c>
      <c r="AI8" s="122">
        <v>44147</v>
      </c>
      <c r="AK8" s="270"/>
      <c r="AL8" s="270"/>
    </row>
    <row r="9" spans="2:38" ht="18.75" x14ac:dyDescent="0.25">
      <c r="B9" s="137">
        <v>95589744</v>
      </c>
      <c r="C9" s="106" t="s">
        <v>356</v>
      </c>
      <c r="D9" s="97">
        <v>39000</v>
      </c>
      <c r="E9" s="205" t="s">
        <v>372</v>
      </c>
      <c r="F9" s="153" t="s">
        <v>372</v>
      </c>
      <c r="G9" s="153" t="s">
        <v>699</v>
      </c>
      <c r="H9" s="153" t="s">
        <v>959</v>
      </c>
      <c r="I9" s="153">
        <v>2049816</v>
      </c>
      <c r="J9" s="153">
        <v>2057539</v>
      </c>
      <c r="K9" s="153">
        <v>2076213</v>
      </c>
      <c r="L9" s="153">
        <v>2093233</v>
      </c>
      <c r="M9" s="153">
        <v>2111338</v>
      </c>
      <c r="N9" s="153">
        <v>2129797</v>
      </c>
      <c r="O9" s="153">
        <v>2150803</v>
      </c>
      <c r="P9" s="153">
        <v>2172036</v>
      </c>
      <c r="Q9" s="153">
        <v>2191924</v>
      </c>
      <c r="R9" s="153">
        <v>2213289</v>
      </c>
      <c r="S9" s="110">
        <v>2228649</v>
      </c>
      <c r="T9" s="110">
        <v>2249416</v>
      </c>
      <c r="U9" s="110">
        <v>2264340</v>
      </c>
      <c r="V9" s="114"/>
      <c r="X9" s="121">
        <v>7723</v>
      </c>
      <c r="Y9" s="49">
        <v>18674</v>
      </c>
      <c r="Z9" s="49">
        <v>17020</v>
      </c>
      <c r="AA9" s="49">
        <v>18105</v>
      </c>
      <c r="AB9" s="49">
        <v>18459</v>
      </c>
      <c r="AC9" s="49">
        <v>21006</v>
      </c>
      <c r="AD9" s="49">
        <v>21233</v>
      </c>
      <c r="AE9" s="49">
        <v>19888</v>
      </c>
      <c r="AF9" s="49">
        <v>21365</v>
      </c>
      <c r="AG9" s="49">
        <v>15360</v>
      </c>
      <c r="AH9" s="49">
        <v>20767</v>
      </c>
      <c r="AI9" s="122">
        <v>14924</v>
      </c>
      <c r="AK9" s="270"/>
      <c r="AL9" s="270"/>
    </row>
    <row r="10" spans="2:38" ht="18.75" x14ac:dyDescent="0.25">
      <c r="B10" s="137">
        <v>97560644</v>
      </c>
      <c r="C10" s="106" t="s">
        <v>356</v>
      </c>
      <c r="D10" s="97">
        <v>39281</v>
      </c>
      <c r="E10" s="205" t="s">
        <v>385</v>
      </c>
      <c r="F10" s="153" t="s">
        <v>386</v>
      </c>
      <c r="G10" s="153"/>
      <c r="H10" s="153" t="s">
        <v>941</v>
      </c>
      <c r="I10" s="153">
        <v>3721448</v>
      </c>
      <c r="J10" s="153">
        <v>3748557</v>
      </c>
      <c r="K10" s="153">
        <v>3814751</v>
      </c>
      <c r="L10" s="153">
        <v>3877465</v>
      </c>
      <c r="M10" s="153">
        <v>3927214</v>
      </c>
      <c r="N10" s="153">
        <v>3977390</v>
      </c>
      <c r="O10" s="153">
        <v>4020300</v>
      </c>
      <c r="P10" s="153">
        <v>4058166</v>
      </c>
      <c r="Q10" s="153">
        <v>4096724</v>
      </c>
      <c r="R10" s="153">
        <v>4139772</v>
      </c>
      <c r="S10" s="110">
        <v>4196537</v>
      </c>
      <c r="T10" s="110">
        <v>4246201</v>
      </c>
      <c r="U10" s="110">
        <v>4294730</v>
      </c>
      <c r="V10" s="114"/>
      <c r="X10" s="121">
        <v>27109</v>
      </c>
      <c r="Y10" s="49">
        <v>66194</v>
      </c>
      <c r="Z10" s="49">
        <v>62714</v>
      </c>
      <c r="AA10" s="49">
        <v>49749</v>
      </c>
      <c r="AB10" s="49">
        <v>50176</v>
      </c>
      <c r="AC10" s="49">
        <v>42910</v>
      </c>
      <c r="AD10" s="49">
        <v>37866</v>
      </c>
      <c r="AE10" s="49">
        <v>38558</v>
      </c>
      <c r="AF10" s="49">
        <v>43048</v>
      </c>
      <c r="AG10" s="49">
        <v>56765</v>
      </c>
      <c r="AH10" s="49">
        <v>49664</v>
      </c>
      <c r="AI10" s="122">
        <v>48529</v>
      </c>
      <c r="AK10" s="270"/>
      <c r="AL10" s="270"/>
    </row>
    <row r="11" spans="2:38" ht="18.75" x14ac:dyDescent="0.25">
      <c r="B11" s="137">
        <v>15051348800</v>
      </c>
      <c r="C11" s="106" t="s">
        <v>356</v>
      </c>
      <c r="D11" s="97">
        <v>39030</v>
      </c>
      <c r="E11" s="205" t="s">
        <v>108</v>
      </c>
      <c r="F11" s="153" t="s">
        <v>469</v>
      </c>
      <c r="G11" s="153" t="s">
        <v>468</v>
      </c>
      <c r="H11" s="153" t="s">
        <v>960</v>
      </c>
      <c r="I11" s="153">
        <v>130839</v>
      </c>
      <c r="J11" s="153">
        <v>131223</v>
      </c>
      <c r="K11" s="153">
        <v>131970</v>
      </c>
      <c r="L11" s="153">
        <v>132630</v>
      </c>
      <c r="M11" s="153">
        <v>133371</v>
      </c>
      <c r="N11" s="153">
        <v>134021</v>
      </c>
      <c r="O11" s="153">
        <v>134707</v>
      </c>
      <c r="P11" s="153">
        <v>135444</v>
      </c>
      <c r="Q11" s="153">
        <v>136121</v>
      </c>
      <c r="R11" s="153">
        <v>136861</v>
      </c>
      <c r="S11" s="110"/>
      <c r="T11" s="110">
        <v>138252</v>
      </c>
      <c r="U11" s="110"/>
      <c r="V11" s="114"/>
      <c r="X11" s="121">
        <v>384</v>
      </c>
      <c r="Y11" s="49">
        <v>747</v>
      </c>
      <c r="Z11" s="49">
        <v>660</v>
      </c>
      <c r="AA11" s="49">
        <v>741</v>
      </c>
      <c r="AB11" s="49">
        <v>650</v>
      </c>
      <c r="AC11" s="49">
        <v>686</v>
      </c>
      <c r="AD11" s="49">
        <v>737</v>
      </c>
      <c r="AE11" s="49">
        <v>677</v>
      </c>
      <c r="AF11" s="49">
        <v>740</v>
      </c>
      <c r="AG11" s="49" t="s">
        <v>734</v>
      </c>
      <c r="AH11" s="49" t="s">
        <v>734</v>
      </c>
      <c r="AI11" s="122" t="s">
        <v>734</v>
      </c>
      <c r="AK11" s="270"/>
      <c r="AL11" s="270"/>
    </row>
    <row r="12" spans="2:38" ht="18.75" x14ac:dyDescent="0.25">
      <c r="B12" s="137" t="s">
        <v>1269</v>
      </c>
      <c r="C12" s="106" t="s">
        <v>356</v>
      </c>
      <c r="D12" s="97">
        <v>39413</v>
      </c>
      <c r="E12" s="205" t="s">
        <v>377</v>
      </c>
      <c r="F12" s="153" t="s">
        <v>378</v>
      </c>
      <c r="G12" s="153" t="s">
        <v>378</v>
      </c>
      <c r="H12" s="153" t="s">
        <v>955</v>
      </c>
      <c r="I12" s="153">
        <v>899408</v>
      </c>
      <c r="J12" s="153">
        <v>900665</v>
      </c>
      <c r="K12" s="153">
        <v>902721</v>
      </c>
      <c r="L12" s="153">
        <v>904150</v>
      </c>
      <c r="M12" s="153">
        <v>905765</v>
      </c>
      <c r="N12" s="153">
        <v>907365</v>
      </c>
      <c r="O12" s="153">
        <v>908912</v>
      </c>
      <c r="P12" s="153">
        <v>910463</v>
      </c>
      <c r="Q12" s="153">
        <v>911970</v>
      </c>
      <c r="R12" s="153">
        <v>913706</v>
      </c>
      <c r="S12" s="110">
        <v>915228</v>
      </c>
      <c r="T12" s="110">
        <v>916790</v>
      </c>
      <c r="U12" s="110">
        <v>918113</v>
      </c>
      <c r="V12" s="114"/>
      <c r="X12" s="121">
        <v>1257</v>
      </c>
      <c r="Y12" s="49">
        <v>2056</v>
      </c>
      <c r="Z12" s="49">
        <v>1429</v>
      </c>
      <c r="AA12" s="49">
        <v>1615</v>
      </c>
      <c r="AB12" s="49">
        <v>1600</v>
      </c>
      <c r="AC12" s="49">
        <v>1547</v>
      </c>
      <c r="AD12" s="49">
        <v>1551</v>
      </c>
      <c r="AE12" s="49">
        <v>1507</v>
      </c>
      <c r="AF12" s="49">
        <v>1736</v>
      </c>
      <c r="AG12" s="49">
        <v>1522</v>
      </c>
      <c r="AH12" s="49">
        <v>1562</v>
      </c>
      <c r="AI12" s="122">
        <v>1323</v>
      </c>
      <c r="AK12" s="270"/>
      <c r="AL12" s="270"/>
    </row>
    <row r="13" spans="2:38" ht="18.75" x14ac:dyDescent="0.25">
      <c r="B13" s="137" t="s">
        <v>1268</v>
      </c>
      <c r="C13" s="106" t="s">
        <v>356</v>
      </c>
      <c r="D13" s="97">
        <v>39053</v>
      </c>
      <c r="E13" s="205" t="s">
        <v>365</v>
      </c>
      <c r="F13" s="153" t="s">
        <v>366</v>
      </c>
      <c r="G13" s="153"/>
      <c r="H13" s="153" t="s">
        <v>957</v>
      </c>
      <c r="I13" s="153">
        <v>15415454</v>
      </c>
      <c r="J13" s="153">
        <v>15508849</v>
      </c>
      <c r="K13" s="153">
        <v>15664868</v>
      </c>
      <c r="L13" s="153">
        <v>15807632</v>
      </c>
      <c r="M13" s="153">
        <v>15973907</v>
      </c>
      <c r="N13" s="153">
        <v>16144008</v>
      </c>
      <c r="O13" s="153">
        <v>16340739</v>
      </c>
      <c r="P13" s="153">
        <v>16558262</v>
      </c>
      <c r="Q13" s="153">
        <v>16801362</v>
      </c>
      <c r="R13" s="153">
        <v>17034214</v>
      </c>
      <c r="S13" s="110">
        <v>17237222</v>
      </c>
      <c r="T13" s="110">
        <v>17414078</v>
      </c>
      <c r="U13" s="110">
        <v>17580209</v>
      </c>
      <c r="V13" s="114"/>
      <c r="X13" s="121">
        <v>93395</v>
      </c>
      <c r="Y13" s="49">
        <v>156019</v>
      </c>
      <c r="Z13" s="49">
        <v>142764</v>
      </c>
      <c r="AA13" s="49">
        <v>166275</v>
      </c>
      <c r="AB13" s="49">
        <v>170101</v>
      </c>
      <c r="AC13" s="49">
        <v>196731</v>
      </c>
      <c r="AD13" s="49">
        <v>217523</v>
      </c>
      <c r="AE13" s="49">
        <v>243100</v>
      </c>
      <c r="AF13" s="49">
        <v>232852</v>
      </c>
      <c r="AG13" s="49">
        <v>203008</v>
      </c>
      <c r="AH13" s="49">
        <v>176856</v>
      </c>
      <c r="AI13" s="122">
        <v>166131</v>
      </c>
      <c r="AK13" s="270"/>
      <c r="AL13" s="270"/>
    </row>
    <row r="14" spans="2:38" ht="18.75" x14ac:dyDescent="0.25">
      <c r="B14" s="137" t="s">
        <v>1270</v>
      </c>
      <c r="C14" s="106" t="s">
        <v>356</v>
      </c>
      <c r="D14" s="97">
        <v>39202</v>
      </c>
      <c r="E14" s="205" t="s">
        <v>383</v>
      </c>
      <c r="F14" s="153" t="s">
        <v>384</v>
      </c>
      <c r="G14" s="153"/>
      <c r="H14" s="153" t="s">
        <v>947</v>
      </c>
      <c r="I14" s="153">
        <v>607923</v>
      </c>
      <c r="J14" s="153">
        <v>608951</v>
      </c>
      <c r="K14" s="153">
        <v>615746</v>
      </c>
      <c r="L14" s="153">
        <v>615746</v>
      </c>
      <c r="M14" s="153">
        <v>624005</v>
      </c>
      <c r="N14" s="153">
        <v>625674</v>
      </c>
      <c r="O14" s="153">
        <v>629788</v>
      </c>
      <c r="P14" s="153">
        <v>632946</v>
      </c>
      <c r="Q14" s="153">
        <v>638530</v>
      </c>
      <c r="R14" s="153">
        <v>641782</v>
      </c>
      <c r="S14" s="110">
        <v>645474</v>
      </c>
      <c r="T14" s="110">
        <v>649155</v>
      </c>
      <c r="U14" s="110">
        <v>655795</v>
      </c>
      <c r="V14" s="114"/>
      <c r="X14" s="121">
        <v>1028</v>
      </c>
      <c r="Y14" s="49">
        <v>6795</v>
      </c>
      <c r="Z14" s="49">
        <v>0</v>
      </c>
      <c r="AA14" s="49">
        <v>8259</v>
      </c>
      <c r="AB14" s="49">
        <v>1669</v>
      </c>
      <c r="AC14" s="49">
        <v>4114</v>
      </c>
      <c r="AD14" s="49">
        <v>3158</v>
      </c>
      <c r="AE14" s="49">
        <v>5584</v>
      </c>
      <c r="AF14" s="49">
        <v>3252</v>
      </c>
      <c r="AG14" s="49">
        <v>3692</v>
      </c>
      <c r="AH14" s="49">
        <v>3681</v>
      </c>
      <c r="AI14" s="122">
        <v>6640</v>
      </c>
      <c r="AK14" s="270"/>
      <c r="AL14" s="270"/>
    </row>
    <row r="15" spans="2:38" ht="18.75" x14ac:dyDescent="0.25">
      <c r="B15" s="137" t="s">
        <v>1271</v>
      </c>
      <c r="C15" s="106" t="s">
        <v>356</v>
      </c>
      <c r="D15" s="97">
        <v>39486</v>
      </c>
      <c r="E15" s="205" t="s">
        <v>369</v>
      </c>
      <c r="F15" s="153" t="s">
        <v>370</v>
      </c>
      <c r="G15" s="153" t="s">
        <v>1353</v>
      </c>
      <c r="H15" s="153" t="s">
        <v>1352</v>
      </c>
      <c r="I15" s="153"/>
      <c r="J15" s="153"/>
      <c r="K15" s="153"/>
      <c r="L15" s="153"/>
      <c r="M15" s="153"/>
      <c r="N15" s="153">
        <v>2114151</v>
      </c>
      <c r="O15" s="153">
        <v>2127503</v>
      </c>
      <c r="P15" s="153">
        <v>2143371</v>
      </c>
      <c r="Q15" s="153">
        <v>2161042</v>
      </c>
      <c r="R15" s="153">
        <v>2177366</v>
      </c>
      <c r="S15" s="110">
        <v>2191290</v>
      </c>
      <c r="T15" s="110">
        <v>2207952</v>
      </c>
      <c r="U15" s="110">
        <v>2227751</v>
      </c>
      <c r="V15" s="114"/>
      <c r="X15" s="121" t="s">
        <v>734</v>
      </c>
      <c r="Y15" s="49" t="s">
        <v>734</v>
      </c>
      <c r="Z15" s="49" t="s">
        <v>734</v>
      </c>
      <c r="AA15" s="49" t="s">
        <v>734</v>
      </c>
      <c r="AB15" s="49" t="s">
        <v>734</v>
      </c>
      <c r="AC15" s="49">
        <v>13352</v>
      </c>
      <c r="AD15" s="49">
        <v>15868</v>
      </c>
      <c r="AE15" s="49">
        <v>17671</v>
      </c>
      <c r="AF15" s="49">
        <v>16324</v>
      </c>
      <c r="AG15" s="49">
        <v>13924</v>
      </c>
      <c r="AH15" s="49">
        <v>16662</v>
      </c>
      <c r="AI15" s="122">
        <v>19799</v>
      </c>
      <c r="AK15" s="270"/>
      <c r="AL15" s="270"/>
    </row>
    <row r="16" spans="2:38" ht="18.75" x14ac:dyDescent="0.25">
      <c r="B16" s="137" t="s">
        <v>1274</v>
      </c>
      <c r="C16" s="106" t="s">
        <v>356</v>
      </c>
      <c r="D16" s="97">
        <v>39514</v>
      </c>
      <c r="E16" s="205" t="s">
        <v>381</v>
      </c>
      <c r="F16" s="153" t="s">
        <v>876</v>
      </c>
      <c r="G16" s="153"/>
      <c r="H16" s="153" t="s">
        <v>962</v>
      </c>
      <c r="I16" s="153">
        <v>6438581</v>
      </c>
      <c r="J16" s="153">
        <v>6455272</v>
      </c>
      <c r="K16" s="153">
        <v>6568207</v>
      </c>
      <c r="L16" s="153">
        <v>6616408</v>
      </c>
      <c r="M16" s="153">
        <v>6690544</v>
      </c>
      <c r="N16" s="153">
        <v>6732495</v>
      </c>
      <c r="O16" s="153">
        <v>6772714</v>
      </c>
      <c r="P16" s="153">
        <v>6821943</v>
      </c>
      <c r="Q16" s="153">
        <v>6854607</v>
      </c>
      <c r="R16" s="153">
        <v>6902078</v>
      </c>
      <c r="S16" s="110">
        <v>6944235</v>
      </c>
      <c r="T16" s="110">
        <v>6986621</v>
      </c>
      <c r="U16" s="110">
        <v>7021785</v>
      </c>
      <c r="V16" s="114"/>
      <c r="X16" s="121">
        <v>16691</v>
      </c>
      <c r="Y16" s="49">
        <v>112935</v>
      </c>
      <c r="Z16" s="49">
        <v>48201</v>
      </c>
      <c r="AA16" s="49">
        <v>74136</v>
      </c>
      <c r="AB16" s="49">
        <v>41951</v>
      </c>
      <c r="AC16" s="49">
        <v>40219</v>
      </c>
      <c r="AD16" s="49">
        <v>49229</v>
      </c>
      <c r="AE16" s="49">
        <v>32664</v>
      </c>
      <c r="AF16" s="49">
        <v>47471</v>
      </c>
      <c r="AG16" s="49">
        <v>42157</v>
      </c>
      <c r="AH16" s="49">
        <v>42386</v>
      </c>
      <c r="AI16" s="122">
        <v>35164</v>
      </c>
      <c r="AK16" s="270"/>
      <c r="AL16" s="270"/>
    </row>
    <row r="17" spans="2:38" ht="18.75" x14ac:dyDescent="0.25">
      <c r="B17" s="137" t="s">
        <v>1275</v>
      </c>
      <c r="C17" s="106" t="s">
        <v>356</v>
      </c>
      <c r="D17" s="97">
        <v>39100</v>
      </c>
      <c r="E17" s="205" t="s">
        <v>357</v>
      </c>
      <c r="F17" s="153" t="s">
        <v>358</v>
      </c>
      <c r="G17" s="153" t="s">
        <v>866</v>
      </c>
      <c r="H17" s="153" t="s">
        <v>963</v>
      </c>
      <c r="I17" s="153">
        <v>101942261</v>
      </c>
      <c r="J17" s="153">
        <v>102409094</v>
      </c>
      <c r="K17" s="153">
        <v>103295839</v>
      </c>
      <c r="L17" s="153">
        <v>104090702</v>
      </c>
      <c r="M17" s="153">
        <v>105043569</v>
      </c>
      <c r="N17" s="153">
        <v>106019875</v>
      </c>
      <c r="O17" s="153">
        <v>106972646</v>
      </c>
      <c r="P17" s="153">
        <v>107913204</v>
      </c>
      <c r="Q17" s="153">
        <v>108871677</v>
      </c>
      <c r="R17" s="153">
        <v>109864704</v>
      </c>
      <c r="S17" s="110">
        <v>110867273</v>
      </c>
      <c r="T17" s="110">
        <v>111943661</v>
      </c>
      <c r="U17" s="110">
        <v>112887516</v>
      </c>
      <c r="V17" s="114"/>
      <c r="X17" s="121">
        <v>466833</v>
      </c>
      <c r="Y17" s="49">
        <v>886745</v>
      </c>
      <c r="Z17" s="49">
        <v>794863</v>
      </c>
      <c r="AA17" s="49">
        <v>952867</v>
      </c>
      <c r="AB17" s="49">
        <v>976306</v>
      </c>
      <c r="AC17" s="49">
        <v>952771</v>
      </c>
      <c r="AD17" s="49">
        <v>940558</v>
      </c>
      <c r="AE17" s="49">
        <v>958473</v>
      </c>
      <c r="AF17" s="49">
        <v>993027</v>
      </c>
      <c r="AG17" s="49">
        <v>1002569</v>
      </c>
      <c r="AH17" s="49">
        <v>1076388</v>
      </c>
      <c r="AI17" s="122">
        <v>943855</v>
      </c>
      <c r="AK17" s="270"/>
      <c r="AL17" s="270"/>
    </row>
    <row r="18" spans="2:38" ht="18.75" x14ac:dyDescent="0.25">
      <c r="B18" s="137" t="s">
        <v>1276</v>
      </c>
      <c r="C18" s="106" t="s">
        <v>356</v>
      </c>
      <c r="D18" s="97">
        <v>39235</v>
      </c>
      <c r="E18" s="205" t="s">
        <v>360</v>
      </c>
      <c r="F18" s="153" t="s">
        <v>361</v>
      </c>
      <c r="G18" s="153"/>
      <c r="H18" s="153" t="s">
        <v>952</v>
      </c>
      <c r="I18" s="153">
        <v>6459464</v>
      </c>
      <c r="J18" s="153">
        <v>6496610</v>
      </c>
      <c r="K18" s="153">
        <v>6562458</v>
      </c>
      <c r="L18" s="153">
        <v>6615471</v>
      </c>
      <c r="M18" s="153">
        <v>6667726</v>
      </c>
      <c r="N18" s="153">
        <v>6711894</v>
      </c>
      <c r="O18" s="153">
        <v>6765189</v>
      </c>
      <c r="P18" s="153">
        <v>6820701</v>
      </c>
      <c r="Q18" s="153">
        <v>6885150</v>
      </c>
      <c r="R18" s="153">
        <v>6952024</v>
      </c>
      <c r="S18" s="110">
        <v>7011695</v>
      </c>
      <c r="T18" s="110">
        <v>7081585</v>
      </c>
      <c r="U18" s="110">
        <v>7153715</v>
      </c>
      <c r="V18" s="114"/>
      <c r="X18" s="121">
        <v>37146</v>
      </c>
      <c r="Y18" s="49">
        <v>65848</v>
      </c>
      <c r="Z18" s="49">
        <v>53013</v>
      </c>
      <c r="AA18" s="49">
        <v>52255</v>
      </c>
      <c r="AB18" s="49">
        <v>44168</v>
      </c>
      <c r="AC18" s="49">
        <v>53295</v>
      </c>
      <c r="AD18" s="49">
        <v>55512</v>
      </c>
      <c r="AE18" s="49">
        <v>64449</v>
      </c>
      <c r="AF18" s="49">
        <v>66874</v>
      </c>
      <c r="AG18" s="49">
        <v>59671</v>
      </c>
      <c r="AH18" s="49">
        <v>69890</v>
      </c>
      <c r="AI18" s="122">
        <v>72130</v>
      </c>
      <c r="AK18" s="270"/>
      <c r="AL18" s="270"/>
    </row>
    <row r="19" spans="2:38" ht="18.75" x14ac:dyDescent="0.25">
      <c r="B19" s="137" t="s">
        <v>1277</v>
      </c>
      <c r="C19" s="106" t="s">
        <v>356</v>
      </c>
      <c r="D19" s="97">
        <v>39316</v>
      </c>
      <c r="E19" s="205" t="s">
        <v>373</v>
      </c>
      <c r="F19" s="153" t="s">
        <v>374</v>
      </c>
      <c r="G19" s="153"/>
      <c r="H19" s="153" t="s">
        <v>956</v>
      </c>
      <c r="I19" s="153">
        <v>7186198</v>
      </c>
      <c r="J19" s="153">
        <v>7199078</v>
      </c>
      <c r="K19" s="153">
        <v>7226901</v>
      </c>
      <c r="L19" s="153">
        <v>7261619</v>
      </c>
      <c r="M19" s="153">
        <v>7284951</v>
      </c>
      <c r="N19" s="153">
        <v>7325169</v>
      </c>
      <c r="O19" s="153">
        <v>7361398</v>
      </c>
      <c r="P19" s="153">
        <v>7378684</v>
      </c>
      <c r="Q19" s="153">
        <v>7403380</v>
      </c>
      <c r="R19" s="153">
        <v>7424493</v>
      </c>
      <c r="S19" s="110">
        <v>7441651</v>
      </c>
      <c r="T19" s="110">
        <v>7459701</v>
      </c>
      <c r="U19" s="110">
        <v>7510265</v>
      </c>
      <c r="V19" s="114"/>
      <c r="X19" s="121">
        <v>12880</v>
      </c>
      <c r="Y19" s="49">
        <v>27823</v>
      </c>
      <c r="Z19" s="49">
        <v>34718</v>
      </c>
      <c r="AA19" s="49">
        <v>23332</v>
      </c>
      <c r="AB19" s="49">
        <v>40218</v>
      </c>
      <c r="AC19" s="49">
        <v>36229</v>
      </c>
      <c r="AD19" s="49">
        <v>17286</v>
      </c>
      <c r="AE19" s="49">
        <v>24696</v>
      </c>
      <c r="AF19" s="49">
        <v>21113</v>
      </c>
      <c r="AG19" s="49">
        <v>17158</v>
      </c>
      <c r="AH19" s="49">
        <v>18050</v>
      </c>
      <c r="AI19" s="122">
        <v>50564</v>
      </c>
      <c r="AK19" s="270"/>
      <c r="AL19" s="270"/>
    </row>
    <row r="20" spans="2:38" ht="18.75" x14ac:dyDescent="0.25">
      <c r="B20" s="137" t="s">
        <v>1278</v>
      </c>
      <c r="C20" s="106" t="s">
        <v>356</v>
      </c>
      <c r="D20" s="97">
        <v>39189</v>
      </c>
      <c r="E20" s="205" t="s">
        <v>363</v>
      </c>
      <c r="F20" s="153" t="s">
        <v>364</v>
      </c>
      <c r="G20" s="153"/>
      <c r="H20" s="153" t="s">
        <v>958</v>
      </c>
      <c r="I20" s="153">
        <v>3221218</v>
      </c>
      <c r="J20" s="153">
        <v>3235609</v>
      </c>
      <c r="K20" s="153">
        <v>3267992</v>
      </c>
      <c r="L20" s="153">
        <v>3293683</v>
      </c>
      <c r="M20" s="153">
        <v>3317971</v>
      </c>
      <c r="N20" s="153">
        <v>3341858</v>
      </c>
      <c r="O20" s="153">
        <v>3370057</v>
      </c>
      <c r="P20" s="153">
        <v>3403906</v>
      </c>
      <c r="Q20" s="153">
        <v>3437946</v>
      </c>
      <c r="R20" s="153">
        <v>3471036</v>
      </c>
      <c r="S20" s="110">
        <v>3494761</v>
      </c>
      <c r="T20" s="110">
        <v>3522625</v>
      </c>
      <c r="U20" s="110">
        <v>3550795</v>
      </c>
      <c r="V20" s="114"/>
      <c r="X20" s="121">
        <v>14391</v>
      </c>
      <c r="Y20" s="49">
        <v>32383</v>
      </c>
      <c r="Z20" s="49">
        <v>25691</v>
      </c>
      <c r="AA20" s="49">
        <v>24288</v>
      </c>
      <c r="AB20" s="49">
        <v>23887</v>
      </c>
      <c r="AC20" s="49">
        <v>28199</v>
      </c>
      <c r="AD20" s="49">
        <v>33849</v>
      </c>
      <c r="AE20" s="49">
        <v>34040</v>
      </c>
      <c r="AF20" s="49">
        <v>33090</v>
      </c>
      <c r="AG20" s="49">
        <v>23725</v>
      </c>
      <c r="AH20" s="49">
        <v>27864</v>
      </c>
      <c r="AI20" s="122">
        <v>28170</v>
      </c>
      <c r="AK20" s="270"/>
      <c r="AL20" s="270"/>
    </row>
    <row r="21" spans="2:38" ht="18.75" x14ac:dyDescent="0.25">
      <c r="B21" s="137" t="s">
        <v>1279</v>
      </c>
      <c r="C21" s="106" t="s">
        <v>356</v>
      </c>
      <c r="D21" s="97">
        <v>39760</v>
      </c>
      <c r="E21" s="205" t="s">
        <v>192</v>
      </c>
      <c r="F21" s="153" t="s">
        <v>387</v>
      </c>
      <c r="G21" s="153" t="s">
        <v>866</v>
      </c>
      <c r="H21" s="153" t="s">
        <v>939</v>
      </c>
      <c r="I21" s="153">
        <v>138624110</v>
      </c>
      <c r="J21" s="153">
        <v>139522347</v>
      </c>
      <c r="K21" s="153">
        <v>141337526</v>
      </c>
      <c r="L21" s="153">
        <v>143127585</v>
      </c>
      <c r="M21" s="153">
        <v>145163245</v>
      </c>
      <c r="N21" s="153">
        <v>147198774</v>
      </c>
      <c r="O21" s="153">
        <v>149497948</v>
      </c>
      <c r="P21" s="153">
        <v>151846587</v>
      </c>
      <c r="Q21" s="153">
        <v>154247084</v>
      </c>
      <c r="R21" s="153">
        <v>156461091</v>
      </c>
      <c r="S21" s="110">
        <v>158581851</v>
      </c>
      <c r="T21" s="110">
        <v>160751646</v>
      </c>
      <c r="U21" s="110">
        <v>162881335</v>
      </c>
      <c r="V21" s="114"/>
      <c r="X21" s="121">
        <v>898237</v>
      </c>
      <c r="Y21" s="49">
        <v>1815179</v>
      </c>
      <c r="Z21" s="49">
        <v>1790059</v>
      </c>
      <c r="AA21" s="49">
        <v>2035660</v>
      </c>
      <c r="AB21" s="49">
        <v>2035529</v>
      </c>
      <c r="AC21" s="49">
        <v>2299174</v>
      </c>
      <c r="AD21" s="49">
        <v>2348639</v>
      </c>
      <c r="AE21" s="49">
        <v>2400497</v>
      </c>
      <c r="AF21" s="49">
        <v>2214007</v>
      </c>
      <c r="AG21" s="49">
        <v>2120760</v>
      </c>
      <c r="AH21" s="49">
        <v>2169795</v>
      </c>
      <c r="AI21" s="122">
        <v>2129689</v>
      </c>
      <c r="AK21" s="270"/>
      <c r="AL21" s="270"/>
    </row>
    <row r="22" spans="2:38" ht="18.75" x14ac:dyDescent="0.25">
      <c r="B22" s="137" t="s">
        <v>1280</v>
      </c>
      <c r="C22" s="106" t="s">
        <v>356</v>
      </c>
      <c r="D22" s="97">
        <v>39407</v>
      </c>
      <c r="E22" s="205" t="s">
        <v>388</v>
      </c>
      <c r="F22" s="153" t="s">
        <v>389</v>
      </c>
      <c r="G22" s="153" t="s">
        <v>390</v>
      </c>
      <c r="H22" s="153" t="s">
        <v>940</v>
      </c>
      <c r="I22" s="153">
        <v>1509556</v>
      </c>
      <c r="J22" s="153">
        <v>1520182</v>
      </c>
      <c r="K22" s="153">
        <v>1542014</v>
      </c>
      <c r="L22" s="153">
        <v>1560656</v>
      </c>
      <c r="M22" s="153">
        <v>1578470</v>
      </c>
      <c r="N22" s="153">
        <v>1594809</v>
      </c>
      <c r="O22" s="153">
        <v>1613165</v>
      </c>
      <c r="P22" s="153">
        <v>1637209</v>
      </c>
      <c r="Q22" s="153">
        <v>1664712</v>
      </c>
      <c r="R22" s="153">
        <v>1690378</v>
      </c>
      <c r="S22" s="110">
        <v>1710292</v>
      </c>
      <c r="T22" s="110">
        <v>1729200</v>
      </c>
      <c r="U22" s="110">
        <v>1751051</v>
      </c>
      <c r="V22" s="114"/>
      <c r="X22" s="121">
        <v>10626</v>
      </c>
      <c r="Y22" s="49">
        <v>21832</v>
      </c>
      <c r="Z22" s="49">
        <v>18642</v>
      </c>
      <c r="AA22" s="49">
        <v>17814</v>
      </c>
      <c r="AB22" s="49">
        <v>16339</v>
      </c>
      <c r="AC22" s="49">
        <v>18356</v>
      </c>
      <c r="AD22" s="49">
        <v>24044</v>
      </c>
      <c r="AE22" s="49">
        <v>27503</v>
      </c>
      <c r="AF22" s="49">
        <v>25666</v>
      </c>
      <c r="AG22" s="49">
        <v>19914</v>
      </c>
      <c r="AH22" s="49">
        <v>18908</v>
      </c>
      <c r="AI22" s="122">
        <v>21851</v>
      </c>
      <c r="AK22" s="270"/>
      <c r="AL22" s="270"/>
    </row>
    <row r="23" spans="2:38" ht="18.75" x14ac:dyDescent="0.25">
      <c r="B23" s="137" t="s">
        <v>1266</v>
      </c>
      <c r="C23" s="106" t="s">
        <v>356</v>
      </c>
      <c r="D23" s="97">
        <v>39509</v>
      </c>
      <c r="E23" s="205" t="s">
        <v>1046</v>
      </c>
      <c r="F23" s="153" t="s">
        <v>868</v>
      </c>
      <c r="G23" s="153"/>
      <c r="H23" s="153" t="s">
        <v>1114</v>
      </c>
      <c r="I23" s="153">
        <v>92895</v>
      </c>
      <c r="J23" s="153">
        <v>101478</v>
      </c>
      <c r="K23" s="153">
        <v>110692</v>
      </c>
      <c r="L23" s="153">
        <v>123228</v>
      </c>
      <c r="M23" s="153">
        <v>138325</v>
      </c>
      <c r="N23" s="153">
        <v>151766</v>
      </c>
      <c r="O23" s="153">
        <v>162135</v>
      </c>
      <c r="P23" s="153">
        <v>173618</v>
      </c>
      <c r="Q23" s="153">
        <v>186923</v>
      </c>
      <c r="R23" s="153">
        <v>198624</v>
      </c>
      <c r="S23" s="110">
        <v>206328</v>
      </c>
      <c r="T23" s="110">
        <v>223283</v>
      </c>
      <c r="U23" s="110">
        <v>239649</v>
      </c>
      <c r="V23" s="114"/>
      <c r="X23" s="121">
        <v>8583</v>
      </c>
      <c r="Y23" s="49">
        <v>9214</v>
      </c>
      <c r="Z23" s="49">
        <v>12536</v>
      </c>
      <c r="AA23" s="49">
        <v>15097</v>
      </c>
      <c r="AB23" s="49">
        <v>13441</v>
      </c>
      <c r="AC23" s="49">
        <v>10369</v>
      </c>
      <c r="AD23" s="49">
        <v>11483</v>
      </c>
      <c r="AE23" s="49">
        <v>13305</v>
      </c>
      <c r="AF23" s="49">
        <v>11701</v>
      </c>
      <c r="AG23" s="49">
        <v>7704</v>
      </c>
      <c r="AH23" s="49">
        <v>16955</v>
      </c>
      <c r="AI23" s="122">
        <v>16366</v>
      </c>
      <c r="AK23" s="270"/>
      <c r="AL23" s="270"/>
    </row>
    <row r="24" spans="2:38" ht="18.75" x14ac:dyDescent="0.3">
      <c r="B24" s="138" t="s">
        <v>319</v>
      </c>
      <c r="C24" s="103" t="s">
        <v>315</v>
      </c>
      <c r="D24" s="103">
        <v>39074</v>
      </c>
      <c r="E24" s="104" t="s">
        <v>320</v>
      </c>
      <c r="F24" s="153" t="s">
        <v>321</v>
      </c>
      <c r="G24" s="153" t="s">
        <v>322</v>
      </c>
      <c r="H24" s="153"/>
      <c r="I24" s="153"/>
      <c r="J24" s="153"/>
      <c r="K24" s="153"/>
      <c r="L24" s="153"/>
      <c r="M24" s="153"/>
      <c r="N24" s="153"/>
      <c r="O24" s="153"/>
      <c r="P24" s="153"/>
      <c r="Q24" s="153"/>
      <c r="R24" s="153"/>
      <c r="S24" s="110"/>
      <c r="T24" s="110"/>
      <c r="U24" s="110"/>
      <c r="V24" s="114"/>
      <c r="X24" s="121" t="s">
        <v>734</v>
      </c>
      <c r="Y24" s="49" t="s">
        <v>734</v>
      </c>
      <c r="Z24" s="49" t="s">
        <v>734</v>
      </c>
      <c r="AA24" s="49" t="s">
        <v>734</v>
      </c>
      <c r="AB24" s="49" t="s">
        <v>734</v>
      </c>
      <c r="AC24" s="49" t="s">
        <v>734</v>
      </c>
      <c r="AD24" s="49" t="s">
        <v>734</v>
      </c>
      <c r="AE24" s="49" t="s">
        <v>734</v>
      </c>
      <c r="AF24" s="49" t="s">
        <v>734</v>
      </c>
      <c r="AG24" s="49" t="s">
        <v>734</v>
      </c>
      <c r="AH24" s="49" t="s">
        <v>734</v>
      </c>
      <c r="AI24" s="122" t="s">
        <v>734</v>
      </c>
      <c r="AK24" s="270"/>
      <c r="AL24" s="270"/>
    </row>
    <row r="25" spans="2:38" ht="18.75" x14ac:dyDescent="0.25">
      <c r="B25" s="138">
        <v>83363213</v>
      </c>
      <c r="C25" s="106" t="s">
        <v>323</v>
      </c>
      <c r="D25" s="106">
        <v>39496</v>
      </c>
      <c r="E25" s="107" t="s">
        <v>337</v>
      </c>
      <c r="F25" s="153" t="s">
        <v>981</v>
      </c>
      <c r="G25" s="153"/>
      <c r="H25" s="153"/>
      <c r="I25" s="153">
        <v>130300</v>
      </c>
      <c r="J25" s="153">
        <v>130873</v>
      </c>
      <c r="K25" s="153">
        <v>131966</v>
      </c>
      <c r="L25" s="153">
        <v>133185</v>
      </c>
      <c r="M25" s="153">
        <v>134428</v>
      </c>
      <c r="N25" s="153">
        <v>135298</v>
      </c>
      <c r="O25" s="153">
        <v>136270</v>
      </c>
      <c r="P25" s="153">
        <v>137600</v>
      </c>
      <c r="Q25" s="153">
        <v>138891</v>
      </c>
      <c r="R25" s="153">
        <v>140211</v>
      </c>
      <c r="S25" s="110">
        <v>141232</v>
      </c>
      <c r="T25" s="110">
        <v>142123</v>
      </c>
      <c r="U25" s="110">
        <v>143051</v>
      </c>
      <c r="V25" s="114"/>
      <c r="X25" s="121">
        <v>573</v>
      </c>
      <c r="Y25" s="49">
        <v>1093</v>
      </c>
      <c r="Z25" s="49">
        <v>1219</v>
      </c>
      <c r="AA25" s="49">
        <v>1243</v>
      </c>
      <c r="AB25" s="49">
        <v>870</v>
      </c>
      <c r="AC25" s="49">
        <v>972</v>
      </c>
      <c r="AD25" s="49">
        <v>1330</v>
      </c>
      <c r="AE25" s="49">
        <v>1291</v>
      </c>
      <c r="AF25" s="49">
        <v>1320</v>
      </c>
      <c r="AG25" s="49">
        <v>1021</v>
      </c>
      <c r="AH25" s="49">
        <v>891</v>
      </c>
      <c r="AI25" s="122">
        <v>928</v>
      </c>
      <c r="AK25" s="270"/>
      <c r="AL25" s="270"/>
    </row>
    <row r="26" spans="2:38" ht="18.75" x14ac:dyDescent="0.25">
      <c r="B26" s="138" t="s">
        <v>1356</v>
      </c>
      <c r="C26" s="106" t="s">
        <v>323</v>
      </c>
      <c r="D26" s="106">
        <v>39033</v>
      </c>
      <c r="E26" s="107" t="s">
        <v>462</v>
      </c>
      <c r="F26" s="153" t="s">
        <v>1042</v>
      </c>
      <c r="G26" s="153" t="s">
        <v>1370</v>
      </c>
      <c r="H26" s="153"/>
      <c r="I26" s="153"/>
      <c r="J26" s="153"/>
      <c r="K26" s="153"/>
      <c r="L26" s="153"/>
      <c r="M26" s="153"/>
      <c r="N26" s="153">
        <v>23</v>
      </c>
      <c r="O26" s="153">
        <v>1961</v>
      </c>
      <c r="P26" s="153">
        <v>5888</v>
      </c>
      <c r="Q26" s="153">
        <v>9491</v>
      </c>
      <c r="R26" s="153">
        <v>12793</v>
      </c>
      <c r="S26" s="110">
        <v>15759</v>
      </c>
      <c r="T26" s="110">
        <v>17705</v>
      </c>
      <c r="U26" s="110">
        <v>19425</v>
      </c>
      <c r="V26" s="114"/>
      <c r="X26" s="121" t="s">
        <v>734</v>
      </c>
      <c r="Y26" s="49" t="s">
        <v>734</v>
      </c>
      <c r="Z26" s="49" t="s">
        <v>734</v>
      </c>
      <c r="AA26" s="49" t="s">
        <v>734</v>
      </c>
      <c r="AB26" s="49" t="s">
        <v>734</v>
      </c>
      <c r="AC26" s="49">
        <v>1938</v>
      </c>
      <c r="AD26" s="49">
        <v>3927</v>
      </c>
      <c r="AE26" s="49">
        <v>3603</v>
      </c>
      <c r="AF26" s="49">
        <v>3302</v>
      </c>
      <c r="AG26" s="49">
        <v>2966</v>
      </c>
      <c r="AH26" s="49">
        <v>1946</v>
      </c>
      <c r="AI26" s="122">
        <v>1720</v>
      </c>
      <c r="AK26" s="270"/>
      <c r="AL26" s="270"/>
    </row>
    <row r="27" spans="2:38" ht="18.75" x14ac:dyDescent="0.25">
      <c r="B27" s="138" t="s">
        <v>1357</v>
      </c>
      <c r="C27" s="103" t="s">
        <v>323</v>
      </c>
      <c r="D27" s="103">
        <v>39072</v>
      </c>
      <c r="E27" s="194" t="s">
        <v>462</v>
      </c>
      <c r="F27" s="153" t="s">
        <v>980</v>
      </c>
      <c r="G27" s="153"/>
      <c r="H27" s="153"/>
      <c r="I27" s="153"/>
      <c r="J27" s="153"/>
      <c r="K27" s="153"/>
      <c r="L27" s="153"/>
      <c r="M27" s="153"/>
      <c r="N27" s="153">
        <v>23</v>
      </c>
      <c r="O27" s="153">
        <v>1986</v>
      </c>
      <c r="P27" s="153">
        <v>5500</v>
      </c>
      <c r="Q27" s="153">
        <v>8903</v>
      </c>
      <c r="R27" s="153">
        <v>12010</v>
      </c>
      <c r="S27" s="110">
        <v>14678</v>
      </c>
      <c r="T27" s="110">
        <v>16534</v>
      </c>
      <c r="U27" s="110">
        <v>18315</v>
      </c>
      <c r="V27" s="114"/>
      <c r="X27" s="121" t="s">
        <v>734</v>
      </c>
      <c r="Y27" s="49" t="s">
        <v>734</v>
      </c>
      <c r="Z27" s="49" t="s">
        <v>734</v>
      </c>
      <c r="AA27" s="49" t="s">
        <v>734</v>
      </c>
      <c r="AB27" s="49" t="s">
        <v>734</v>
      </c>
      <c r="AC27" s="49">
        <v>1963</v>
      </c>
      <c r="AD27" s="49">
        <v>3514</v>
      </c>
      <c r="AE27" s="49">
        <v>3403</v>
      </c>
      <c r="AF27" s="49">
        <v>3107</v>
      </c>
      <c r="AG27" s="49">
        <v>2668</v>
      </c>
      <c r="AH27" s="49">
        <v>1856</v>
      </c>
      <c r="AI27" s="122">
        <v>1781</v>
      </c>
      <c r="AK27" s="270"/>
      <c r="AL27" s="270"/>
    </row>
    <row r="28" spans="2:38" ht="18.75" x14ac:dyDescent="0.25">
      <c r="B28" s="209" t="s">
        <v>354</v>
      </c>
      <c r="C28" s="96" t="s">
        <v>323</v>
      </c>
      <c r="D28" s="96">
        <v>39270</v>
      </c>
      <c r="E28" s="194" t="s">
        <v>355</v>
      </c>
      <c r="F28" s="153" t="s">
        <v>346</v>
      </c>
      <c r="G28" s="153"/>
      <c r="H28" s="153"/>
      <c r="I28" s="153">
        <v>82355</v>
      </c>
      <c r="J28" s="153">
        <v>82769</v>
      </c>
      <c r="K28" s="153">
        <v>83942</v>
      </c>
      <c r="L28" s="153">
        <v>84910</v>
      </c>
      <c r="M28" s="153">
        <v>85527</v>
      </c>
      <c r="N28" s="153">
        <v>86337</v>
      </c>
      <c r="O28" s="153">
        <v>87242</v>
      </c>
      <c r="P28" s="153">
        <v>89059</v>
      </c>
      <c r="Q28" s="153">
        <v>90897</v>
      </c>
      <c r="R28" s="153">
        <v>92341</v>
      </c>
      <c r="S28" s="110">
        <v>93264</v>
      </c>
      <c r="T28" s="110">
        <v>93951</v>
      </c>
      <c r="U28" s="110">
        <v>94620</v>
      </c>
      <c r="V28" s="114"/>
      <c r="X28" s="121">
        <v>414</v>
      </c>
      <c r="Y28" s="49">
        <v>1173</v>
      </c>
      <c r="Z28" s="49">
        <v>968</v>
      </c>
      <c r="AA28" s="49">
        <v>617</v>
      </c>
      <c r="AB28" s="49">
        <v>810</v>
      </c>
      <c r="AC28" s="49">
        <v>905</v>
      </c>
      <c r="AD28" s="49">
        <v>1817</v>
      </c>
      <c r="AE28" s="49">
        <v>1838</v>
      </c>
      <c r="AF28" s="49">
        <v>1444</v>
      </c>
      <c r="AG28" s="49">
        <v>923</v>
      </c>
      <c r="AH28" s="49">
        <v>687</v>
      </c>
      <c r="AI28" s="122">
        <v>669</v>
      </c>
      <c r="AK28" s="270"/>
      <c r="AL28" s="270"/>
    </row>
    <row r="29" spans="2:38" ht="18.75" x14ac:dyDescent="0.25">
      <c r="B29" s="138" t="s">
        <v>1383</v>
      </c>
      <c r="C29" s="106" t="s">
        <v>323</v>
      </c>
      <c r="D29" s="106">
        <v>39848</v>
      </c>
      <c r="E29" s="107" t="s">
        <v>1384</v>
      </c>
      <c r="F29" s="153" t="s">
        <v>1385</v>
      </c>
      <c r="G29" s="153"/>
      <c r="H29" s="153" t="s">
        <v>1386</v>
      </c>
      <c r="I29" s="153"/>
      <c r="J29" s="153"/>
      <c r="K29" s="153"/>
      <c r="L29" s="153"/>
      <c r="M29" s="153"/>
      <c r="N29" s="153"/>
      <c r="O29" s="153"/>
      <c r="P29" s="153"/>
      <c r="Q29" s="153">
        <v>15516</v>
      </c>
      <c r="R29" s="153">
        <v>15861</v>
      </c>
      <c r="S29" s="110">
        <v>16268</v>
      </c>
      <c r="T29" s="110">
        <v>16619</v>
      </c>
      <c r="U29" s="110">
        <v>17006</v>
      </c>
      <c r="V29" s="114"/>
      <c r="X29" s="121" t="s">
        <v>734</v>
      </c>
      <c r="Y29" s="49" t="s">
        <v>734</v>
      </c>
      <c r="Z29" s="49" t="s">
        <v>734</v>
      </c>
      <c r="AA29" s="49" t="s">
        <v>734</v>
      </c>
      <c r="AB29" s="49" t="s">
        <v>734</v>
      </c>
      <c r="AC29" s="49" t="s">
        <v>734</v>
      </c>
      <c r="AD29" s="49" t="s">
        <v>734</v>
      </c>
      <c r="AE29" s="49" t="s">
        <v>734</v>
      </c>
      <c r="AF29" s="49">
        <v>0</v>
      </c>
      <c r="AG29" s="49">
        <v>0</v>
      </c>
      <c r="AH29" s="49">
        <v>0</v>
      </c>
      <c r="AI29" s="122">
        <v>0</v>
      </c>
      <c r="AK29" s="270"/>
      <c r="AL29" s="270"/>
    </row>
    <row r="30" spans="2:38" ht="18.75" x14ac:dyDescent="0.25">
      <c r="B30" s="138" t="s">
        <v>1453</v>
      </c>
      <c r="C30" s="103" t="s">
        <v>323</v>
      </c>
      <c r="D30" s="103">
        <v>39397</v>
      </c>
      <c r="E30" s="194" t="s">
        <v>1454</v>
      </c>
      <c r="F30" s="153" t="s">
        <v>1385</v>
      </c>
      <c r="G30" s="153"/>
      <c r="H30" s="153" t="s">
        <v>1455</v>
      </c>
      <c r="I30" s="153"/>
      <c r="J30" s="153"/>
      <c r="K30" s="153"/>
      <c r="L30" s="153"/>
      <c r="M30" s="153"/>
      <c r="N30" s="153"/>
      <c r="O30" s="153"/>
      <c r="P30" s="153"/>
      <c r="Q30" s="153"/>
      <c r="R30" s="153"/>
      <c r="S30" s="110">
        <v>17882</v>
      </c>
      <c r="T30" s="110">
        <v>18064</v>
      </c>
      <c r="U30" s="110">
        <v>18407</v>
      </c>
      <c r="V30" s="114"/>
      <c r="X30" s="121" t="s">
        <v>734</v>
      </c>
      <c r="Y30" s="49" t="s">
        <v>734</v>
      </c>
      <c r="Z30" s="49" t="s">
        <v>734</v>
      </c>
      <c r="AA30" s="49" t="s">
        <v>734</v>
      </c>
      <c r="AB30" s="49" t="s">
        <v>734</v>
      </c>
      <c r="AC30" s="49" t="s">
        <v>734</v>
      </c>
      <c r="AD30" s="49" t="s">
        <v>734</v>
      </c>
      <c r="AE30" s="49" t="s">
        <v>734</v>
      </c>
      <c r="AF30" s="49" t="s">
        <v>734</v>
      </c>
      <c r="AG30" s="49" t="s">
        <v>734</v>
      </c>
      <c r="AH30" s="49">
        <v>182</v>
      </c>
      <c r="AI30" s="122">
        <v>343</v>
      </c>
      <c r="AK30" s="270"/>
      <c r="AL30" s="270"/>
    </row>
    <row r="31" spans="2:38" ht="18.75" x14ac:dyDescent="0.25">
      <c r="B31" s="138" t="s">
        <v>344</v>
      </c>
      <c r="C31" s="106" t="s">
        <v>323</v>
      </c>
      <c r="D31" s="106">
        <v>39358</v>
      </c>
      <c r="E31" s="107" t="s">
        <v>345</v>
      </c>
      <c r="F31" s="153" t="s">
        <v>346</v>
      </c>
      <c r="G31" s="153" t="s">
        <v>347</v>
      </c>
      <c r="H31" s="153"/>
      <c r="I31" s="153">
        <v>74775</v>
      </c>
      <c r="J31" s="153">
        <v>75401</v>
      </c>
      <c r="K31" s="153">
        <v>77029</v>
      </c>
      <c r="L31" s="153">
        <v>78303</v>
      </c>
      <c r="M31" s="153">
        <v>79349</v>
      </c>
      <c r="N31" s="153">
        <v>80142</v>
      </c>
      <c r="O31" s="153">
        <v>81060</v>
      </c>
      <c r="P31" s="153">
        <v>82672</v>
      </c>
      <c r="Q31" s="153">
        <v>84592</v>
      </c>
      <c r="R31" s="153">
        <v>85872</v>
      </c>
      <c r="S31" s="110">
        <v>87037</v>
      </c>
      <c r="T31" s="110">
        <v>88005</v>
      </c>
      <c r="U31" s="110">
        <v>89162</v>
      </c>
      <c r="V31" s="114"/>
      <c r="X31" s="121">
        <v>626</v>
      </c>
      <c r="Y31" s="49">
        <v>1628</v>
      </c>
      <c r="Z31" s="49">
        <v>1274</v>
      </c>
      <c r="AA31" s="49">
        <v>1046</v>
      </c>
      <c r="AB31" s="49">
        <v>793</v>
      </c>
      <c r="AC31" s="49">
        <v>918</v>
      </c>
      <c r="AD31" s="49">
        <v>1612</v>
      </c>
      <c r="AE31" s="49">
        <v>1920</v>
      </c>
      <c r="AF31" s="49">
        <v>1280</v>
      </c>
      <c r="AG31" s="49">
        <v>1165</v>
      </c>
      <c r="AH31" s="49">
        <v>968</v>
      </c>
      <c r="AI31" s="122">
        <v>1157</v>
      </c>
      <c r="AK31" s="270"/>
      <c r="AL31" s="270"/>
    </row>
    <row r="32" spans="2:38" ht="18.75" x14ac:dyDescent="0.25">
      <c r="B32" s="138" t="s">
        <v>1371</v>
      </c>
      <c r="C32" s="103" t="s">
        <v>323</v>
      </c>
      <c r="D32" s="103">
        <v>39684</v>
      </c>
      <c r="E32" s="194" t="s">
        <v>1387</v>
      </c>
      <c r="F32" s="153" t="s">
        <v>1385</v>
      </c>
      <c r="G32" s="153"/>
      <c r="H32" s="153"/>
      <c r="I32" s="153"/>
      <c r="J32" s="153"/>
      <c r="K32" s="153"/>
      <c r="L32" s="153"/>
      <c r="M32" s="153"/>
      <c r="N32" s="153"/>
      <c r="O32" s="153">
        <v>3457</v>
      </c>
      <c r="P32" s="153">
        <v>3457</v>
      </c>
      <c r="Q32" s="153">
        <v>3457</v>
      </c>
      <c r="R32" s="153">
        <v>3457</v>
      </c>
      <c r="S32" s="110">
        <v>3457</v>
      </c>
      <c r="T32" s="110">
        <v>3457</v>
      </c>
      <c r="U32" s="110">
        <v>3457</v>
      </c>
      <c r="V32" s="114"/>
      <c r="X32" s="121" t="s">
        <v>734</v>
      </c>
      <c r="Y32" s="49" t="s">
        <v>734</v>
      </c>
      <c r="Z32" s="49" t="s">
        <v>734</v>
      </c>
      <c r="AA32" s="49" t="s">
        <v>734</v>
      </c>
      <c r="AB32" s="49" t="s">
        <v>734</v>
      </c>
      <c r="AC32" s="49" t="s">
        <v>734</v>
      </c>
      <c r="AD32" s="49">
        <v>0</v>
      </c>
      <c r="AE32" s="49">
        <v>0</v>
      </c>
      <c r="AF32" s="49">
        <v>0</v>
      </c>
      <c r="AG32" s="49">
        <v>0</v>
      </c>
      <c r="AH32" s="49">
        <v>0</v>
      </c>
      <c r="AI32" s="122">
        <v>0</v>
      </c>
      <c r="AK32" s="270"/>
      <c r="AL32" s="270"/>
    </row>
    <row r="33" spans="2:38" ht="18.75" x14ac:dyDescent="0.3">
      <c r="B33" s="209" t="s">
        <v>1224</v>
      </c>
      <c r="C33" s="96" t="s">
        <v>323</v>
      </c>
      <c r="D33" s="96">
        <v>39648</v>
      </c>
      <c r="E33" s="203" t="s">
        <v>1336</v>
      </c>
      <c r="F33" s="153" t="s">
        <v>327</v>
      </c>
      <c r="G33" s="153" t="s">
        <v>328</v>
      </c>
      <c r="H33" s="153"/>
      <c r="I33" s="153">
        <v>2660317</v>
      </c>
      <c r="J33" s="153">
        <v>2675866</v>
      </c>
      <c r="K33" s="153">
        <v>2708648</v>
      </c>
      <c r="L33" s="153">
        <v>2737739</v>
      </c>
      <c r="M33" s="153">
        <v>2766560</v>
      </c>
      <c r="N33" s="153">
        <v>2792203</v>
      </c>
      <c r="O33" s="153">
        <v>2809657</v>
      </c>
      <c r="P33" s="153">
        <v>2827584</v>
      </c>
      <c r="Q33" s="153">
        <v>2848244</v>
      </c>
      <c r="R33" s="153">
        <v>2866304</v>
      </c>
      <c r="S33" s="110">
        <v>2882484</v>
      </c>
      <c r="T33" s="110">
        <v>2902995</v>
      </c>
      <c r="U33" s="110">
        <v>2927250</v>
      </c>
      <c r="V33" s="114"/>
      <c r="X33" s="121">
        <v>15549</v>
      </c>
      <c r="Y33" s="49">
        <v>32782</v>
      </c>
      <c r="Z33" s="49">
        <v>29091</v>
      </c>
      <c r="AA33" s="49">
        <v>28821</v>
      </c>
      <c r="AB33" s="49">
        <v>25643</v>
      </c>
      <c r="AC33" s="49">
        <v>17454</v>
      </c>
      <c r="AD33" s="49">
        <v>17927</v>
      </c>
      <c r="AE33" s="49">
        <v>20660</v>
      </c>
      <c r="AF33" s="49">
        <v>18060</v>
      </c>
      <c r="AG33" s="49">
        <v>16180</v>
      </c>
      <c r="AH33" s="49">
        <v>20511</v>
      </c>
      <c r="AI33" s="122">
        <v>24255</v>
      </c>
      <c r="AK33" s="270"/>
      <c r="AL33" s="270"/>
    </row>
    <row r="34" spans="2:38" ht="18.75" x14ac:dyDescent="0.25">
      <c r="B34" s="138" t="s">
        <v>1221</v>
      </c>
      <c r="C34" s="106" t="s">
        <v>323</v>
      </c>
      <c r="D34" s="106">
        <v>39241</v>
      </c>
      <c r="E34" s="107" t="s">
        <v>1337</v>
      </c>
      <c r="F34" s="153" t="s">
        <v>327</v>
      </c>
      <c r="G34" s="153" t="s">
        <v>330</v>
      </c>
      <c r="H34" s="153"/>
      <c r="I34" s="153">
        <v>5435853</v>
      </c>
      <c r="J34" s="153">
        <v>5456763</v>
      </c>
      <c r="K34" s="153">
        <v>5500842</v>
      </c>
      <c r="L34" s="153">
        <v>5541726</v>
      </c>
      <c r="M34" s="153">
        <v>5585381</v>
      </c>
      <c r="N34" s="153">
        <v>5633172</v>
      </c>
      <c r="O34" s="153">
        <v>5673174</v>
      </c>
      <c r="P34" s="153">
        <v>5710796</v>
      </c>
      <c r="Q34" s="153">
        <v>5749734</v>
      </c>
      <c r="R34" s="153">
        <v>5789575</v>
      </c>
      <c r="S34" s="110">
        <v>5830816</v>
      </c>
      <c r="T34" s="110">
        <v>5874671</v>
      </c>
      <c r="U34" s="110">
        <v>5918241</v>
      </c>
      <c r="V34" s="114"/>
      <c r="X34" s="121">
        <v>20910</v>
      </c>
      <c r="Y34" s="49">
        <v>44079</v>
      </c>
      <c r="Z34" s="49">
        <v>40884</v>
      </c>
      <c r="AA34" s="49">
        <v>43655</v>
      </c>
      <c r="AB34" s="49">
        <v>47791</v>
      </c>
      <c r="AC34" s="49">
        <v>40002</v>
      </c>
      <c r="AD34" s="49">
        <v>37622</v>
      </c>
      <c r="AE34" s="49">
        <v>38938</v>
      </c>
      <c r="AF34" s="49">
        <v>39841</v>
      </c>
      <c r="AG34" s="49">
        <v>41241</v>
      </c>
      <c r="AH34" s="49">
        <v>43855</v>
      </c>
      <c r="AI34" s="122">
        <v>43570</v>
      </c>
      <c r="AK34" s="270"/>
      <c r="AL34" s="270"/>
    </row>
    <row r="35" spans="2:38" ht="18.75" x14ac:dyDescent="0.3">
      <c r="B35" s="138" t="s">
        <v>1324</v>
      </c>
      <c r="C35" s="103" t="s">
        <v>323</v>
      </c>
      <c r="D35" s="103">
        <v>39241</v>
      </c>
      <c r="E35" s="203" t="s">
        <v>1338</v>
      </c>
      <c r="F35" s="153" t="s">
        <v>327</v>
      </c>
      <c r="G35" s="153" t="s">
        <v>330</v>
      </c>
      <c r="H35" s="153"/>
      <c r="I35" s="153">
        <v>3338321</v>
      </c>
      <c r="J35" s="153">
        <v>3351525</v>
      </c>
      <c r="K35" s="153">
        <v>3379674</v>
      </c>
      <c r="L35" s="153">
        <v>3399489</v>
      </c>
      <c r="M35" s="153">
        <v>3426828</v>
      </c>
      <c r="N35" s="153">
        <v>3454408</v>
      </c>
      <c r="O35" s="153">
        <v>3479447</v>
      </c>
      <c r="P35" s="153">
        <v>3505159</v>
      </c>
      <c r="Q35" s="153">
        <v>3528776</v>
      </c>
      <c r="R35" s="153">
        <v>3555262</v>
      </c>
      <c r="S35" s="110">
        <v>3581750</v>
      </c>
      <c r="T35" s="110">
        <v>3610346</v>
      </c>
      <c r="U35" s="110">
        <v>3639025</v>
      </c>
      <c r="V35" s="114"/>
      <c r="X35" s="121">
        <v>13204</v>
      </c>
      <c r="Y35" s="49">
        <v>28149</v>
      </c>
      <c r="Z35" s="49">
        <v>19815</v>
      </c>
      <c r="AA35" s="49">
        <v>27339</v>
      </c>
      <c r="AB35" s="49">
        <v>27580</v>
      </c>
      <c r="AC35" s="49">
        <v>25039</v>
      </c>
      <c r="AD35" s="49">
        <v>25712</v>
      </c>
      <c r="AE35" s="49">
        <v>23617</v>
      </c>
      <c r="AF35" s="49">
        <v>26486</v>
      </c>
      <c r="AG35" s="49">
        <v>26488</v>
      </c>
      <c r="AH35" s="49">
        <v>28596</v>
      </c>
      <c r="AI35" s="122">
        <v>28679</v>
      </c>
      <c r="AK35" s="270"/>
      <c r="AL35" s="270"/>
    </row>
    <row r="36" spans="2:38" ht="18.75" x14ac:dyDescent="0.25">
      <c r="B36" s="138" t="s">
        <v>1461</v>
      </c>
      <c r="C36" s="106" t="s">
        <v>323</v>
      </c>
      <c r="D36" s="106">
        <v>39648</v>
      </c>
      <c r="E36" s="107" t="s">
        <v>1335</v>
      </c>
      <c r="F36" s="153" t="s">
        <v>327</v>
      </c>
      <c r="G36" s="254" t="s">
        <v>328</v>
      </c>
      <c r="H36" s="153"/>
      <c r="I36" s="153"/>
      <c r="J36" s="153"/>
      <c r="K36" s="153"/>
      <c r="L36" s="153"/>
      <c r="M36" s="153"/>
      <c r="N36" s="153"/>
      <c r="O36" s="153"/>
      <c r="P36" s="153"/>
      <c r="Q36" s="153"/>
      <c r="R36" s="153"/>
      <c r="S36" s="110">
        <v>0</v>
      </c>
      <c r="T36" s="110">
        <v>4028</v>
      </c>
      <c r="U36" s="110">
        <v>8055</v>
      </c>
      <c r="V36" s="114"/>
      <c r="X36" s="121" t="s">
        <v>734</v>
      </c>
      <c r="Y36" s="49" t="s">
        <v>734</v>
      </c>
      <c r="Z36" s="49" t="s">
        <v>734</v>
      </c>
      <c r="AA36" s="49" t="s">
        <v>734</v>
      </c>
      <c r="AB36" s="49" t="s">
        <v>734</v>
      </c>
      <c r="AC36" s="49" t="s">
        <v>734</v>
      </c>
      <c r="AD36" s="49" t="s">
        <v>734</v>
      </c>
      <c r="AE36" s="49" t="s">
        <v>734</v>
      </c>
      <c r="AF36" s="49" t="s">
        <v>734</v>
      </c>
      <c r="AG36" s="49" t="s">
        <v>734</v>
      </c>
      <c r="AH36" s="49">
        <v>4028</v>
      </c>
      <c r="AI36" s="122">
        <v>4027</v>
      </c>
      <c r="AK36" s="270"/>
      <c r="AL36" s="270"/>
    </row>
    <row r="37" spans="2:38" ht="18.75" x14ac:dyDescent="0.25">
      <c r="B37" s="138" t="s">
        <v>312</v>
      </c>
      <c r="C37" s="103" t="s">
        <v>311</v>
      </c>
      <c r="D37" s="103">
        <v>39075</v>
      </c>
      <c r="E37" s="194" t="s">
        <v>82</v>
      </c>
      <c r="F37" s="153" t="s">
        <v>313</v>
      </c>
      <c r="G37" s="153" t="s">
        <v>460</v>
      </c>
      <c r="H37" s="153"/>
      <c r="I37" s="153">
        <v>121587</v>
      </c>
      <c r="J37" s="153">
        <v>121595</v>
      </c>
      <c r="K37" s="153">
        <v>121606</v>
      </c>
      <c r="L37" s="153">
        <v>121617</v>
      </c>
      <c r="M37" s="153">
        <v>121627</v>
      </c>
      <c r="N37" s="153">
        <v>121640</v>
      </c>
      <c r="O37" s="153">
        <v>121651</v>
      </c>
      <c r="P37" s="153">
        <v>121669</v>
      </c>
      <c r="Q37" s="153">
        <v>121684</v>
      </c>
      <c r="R37" s="153">
        <v>121703</v>
      </c>
      <c r="S37" s="110">
        <v>121718</v>
      </c>
      <c r="T37" s="110">
        <v>121728</v>
      </c>
      <c r="U37" s="110">
        <v>121741</v>
      </c>
      <c r="V37" s="114"/>
      <c r="X37" s="121">
        <v>1600</v>
      </c>
      <c r="Y37" s="49">
        <v>2200</v>
      </c>
      <c r="Z37" s="49">
        <v>2200</v>
      </c>
      <c r="AA37" s="49">
        <v>2000</v>
      </c>
      <c r="AB37" s="49">
        <v>2600</v>
      </c>
      <c r="AC37" s="49">
        <v>2200</v>
      </c>
      <c r="AD37" s="49">
        <v>3600</v>
      </c>
      <c r="AE37" s="49">
        <v>3000</v>
      </c>
      <c r="AF37" s="49">
        <v>3800</v>
      </c>
      <c r="AG37" s="49">
        <v>3000</v>
      </c>
      <c r="AH37" s="49">
        <v>2000</v>
      </c>
      <c r="AI37" s="122">
        <v>2600</v>
      </c>
      <c r="AK37" s="270"/>
      <c r="AL37" s="270"/>
    </row>
    <row r="38" spans="2:38" ht="18.75" x14ac:dyDescent="0.25">
      <c r="B38" s="209">
        <v>500018</v>
      </c>
      <c r="C38" s="96" t="s">
        <v>22</v>
      </c>
      <c r="D38" s="96">
        <v>39331</v>
      </c>
      <c r="E38" s="194" t="s">
        <v>23</v>
      </c>
      <c r="F38" s="153" t="s">
        <v>973</v>
      </c>
      <c r="G38" s="153" t="s">
        <v>24</v>
      </c>
      <c r="H38" s="153" t="s">
        <v>796</v>
      </c>
      <c r="I38" s="153">
        <v>35852</v>
      </c>
      <c r="J38" s="153">
        <v>35971</v>
      </c>
      <c r="K38" s="153">
        <v>36176</v>
      </c>
      <c r="L38" s="153">
        <v>36294</v>
      </c>
      <c r="M38" s="153">
        <v>36400</v>
      </c>
      <c r="N38" s="153">
        <v>36487</v>
      </c>
      <c r="O38" s="153">
        <v>36566</v>
      </c>
      <c r="P38" s="153">
        <v>36650</v>
      </c>
      <c r="Q38" s="153">
        <v>36733</v>
      </c>
      <c r="R38" s="153">
        <v>36844</v>
      </c>
      <c r="S38" s="110">
        <v>36988</v>
      </c>
      <c r="T38" s="110">
        <v>37176</v>
      </c>
      <c r="U38" s="110">
        <v>37316</v>
      </c>
      <c r="V38" s="114"/>
      <c r="X38" s="121">
        <v>4760</v>
      </c>
      <c r="Y38" s="49">
        <v>8200</v>
      </c>
      <c r="Z38" s="49">
        <v>4720</v>
      </c>
      <c r="AA38" s="49">
        <v>4240</v>
      </c>
      <c r="AB38" s="49">
        <v>3480</v>
      </c>
      <c r="AC38" s="49">
        <v>3160</v>
      </c>
      <c r="AD38" s="49">
        <v>3360</v>
      </c>
      <c r="AE38" s="49">
        <v>3320</v>
      </c>
      <c r="AF38" s="49">
        <v>4440</v>
      </c>
      <c r="AG38" s="49">
        <v>5760</v>
      </c>
      <c r="AH38" s="49">
        <v>7520</v>
      </c>
      <c r="AI38" s="122">
        <v>5600</v>
      </c>
      <c r="AK38" s="270"/>
      <c r="AL38" s="270"/>
    </row>
    <row r="39" spans="2:38" ht="18.75" x14ac:dyDescent="0.25">
      <c r="B39" s="138">
        <v>18506393</v>
      </c>
      <c r="C39" s="103" t="s">
        <v>22</v>
      </c>
      <c r="D39" s="103">
        <v>39416</v>
      </c>
      <c r="E39" s="194" t="s">
        <v>23</v>
      </c>
      <c r="F39" s="153" t="s">
        <v>974</v>
      </c>
      <c r="G39" s="153" t="s">
        <v>29</v>
      </c>
      <c r="H39" s="153"/>
      <c r="I39" s="153">
        <v>113457</v>
      </c>
      <c r="J39" s="153">
        <v>113939</v>
      </c>
      <c r="K39" s="153">
        <v>115488</v>
      </c>
      <c r="L39" s="153">
        <v>116243</v>
      </c>
      <c r="M39" s="153">
        <v>117483</v>
      </c>
      <c r="N39" s="153">
        <v>118447</v>
      </c>
      <c r="O39" s="153">
        <v>120019</v>
      </c>
      <c r="P39" s="153">
        <v>121906</v>
      </c>
      <c r="Q39" s="153">
        <v>124219</v>
      </c>
      <c r="R39" s="153">
        <v>127341</v>
      </c>
      <c r="S39" s="110">
        <v>127992</v>
      </c>
      <c r="T39" s="110">
        <v>131126</v>
      </c>
      <c r="U39" s="110">
        <v>132026</v>
      </c>
      <c r="V39" s="114"/>
      <c r="X39" s="121">
        <v>482</v>
      </c>
      <c r="Y39" s="49">
        <v>1549</v>
      </c>
      <c r="Z39" s="49">
        <v>755</v>
      </c>
      <c r="AA39" s="49">
        <v>1240</v>
      </c>
      <c r="AB39" s="49">
        <v>964</v>
      </c>
      <c r="AC39" s="49">
        <v>1572</v>
      </c>
      <c r="AD39" s="49">
        <v>1887</v>
      </c>
      <c r="AE39" s="49">
        <v>2313</v>
      </c>
      <c r="AF39" s="49">
        <v>3122</v>
      </c>
      <c r="AG39" s="49">
        <v>651</v>
      </c>
      <c r="AH39" s="49">
        <v>3134</v>
      </c>
      <c r="AI39" s="122">
        <v>900</v>
      </c>
      <c r="AK39" s="270"/>
      <c r="AL39" s="270"/>
    </row>
    <row r="40" spans="2:38" ht="18.75" x14ac:dyDescent="0.25">
      <c r="B40" s="209" t="s">
        <v>30</v>
      </c>
      <c r="C40" s="96" t="s">
        <v>22</v>
      </c>
      <c r="D40" s="96">
        <v>39430</v>
      </c>
      <c r="E40" s="194" t="s">
        <v>23</v>
      </c>
      <c r="F40" s="153" t="s">
        <v>975</v>
      </c>
      <c r="G40" s="153" t="s">
        <v>31</v>
      </c>
      <c r="H40" s="153"/>
      <c r="I40" s="153">
        <v>518428</v>
      </c>
      <c r="J40" s="153">
        <v>521047</v>
      </c>
      <c r="K40" s="153">
        <v>525721</v>
      </c>
      <c r="L40" s="153">
        <v>529119</v>
      </c>
      <c r="M40" s="153">
        <v>532509</v>
      </c>
      <c r="N40" s="153">
        <v>535441</v>
      </c>
      <c r="O40" s="153">
        <v>538122</v>
      </c>
      <c r="P40" s="153">
        <v>540899</v>
      </c>
      <c r="Q40" s="153">
        <v>543593</v>
      </c>
      <c r="R40" s="153">
        <v>547010</v>
      </c>
      <c r="S40" s="110">
        <v>550119</v>
      </c>
      <c r="T40" s="110">
        <v>554200</v>
      </c>
      <c r="U40" s="110">
        <v>558550</v>
      </c>
      <c r="V40" s="114"/>
      <c r="X40" s="121">
        <v>2619</v>
      </c>
      <c r="Y40" s="49">
        <v>4674</v>
      </c>
      <c r="Z40" s="49">
        <v>3398</v>
      </c>
      <c r="AA40" s="49">
        <v>3390</v>
      </c>
      <c r="AB40" s="49">
        <v>2932</v>
      </c>
      <c r="AC40" s="49">
        <v>2681</v>
      </c>
      <c r="AD40" s="49">
        <v>2777</v>
      </c>
      <c r="AE40" s="49">
        <v>2694</v>
      </c>
      <c r="AF40" s="49">
        <v>3417</v>
      </c>
      <c r="AG40" s="49">
        <v>3109</v>
      </c>
      <c r="AH40" s="49">
        <v>4081</v>
      </c>
      <c r="AI40" s="122">
        <v>4350</v>
      </c>
      <c r="AK40" s="270"/>
      <c r="AL40" s="270"/>
    </row>
    <row r="41" spans="2:38" ht="18.75" x14ac:dyDescent="0.25">
      <c r="B41" s="138" t="s">
        <v>25</v>
      </c>
      <c r="C41" s="103" t="s">
        <v>22</v>
      </c>
      <c r="D41" s="103">
        <v>39638</v>
      </c>
      <c r="E41" s="194" t="s">
        <v>23</v>
      </c>
      <c r="F41" s="153" t="s">
        <v>976</v>
      </c>
      <c r="G41" s="153" t="s">
        <v>26</v>
      </c>
      <c r="H41" s="153"/>
      <c r="I41" s="153">
        <v>478099</v>
      </c>
      <c r="J41" s="153">
        <v>480034</v>
      </c>
      <c r="K41" s="153">
        <v>483386</v>
      </c>
      <c r="L41" s="153">
        <v>488156</v>
      </c>
      <c r="M41" s="153">
        <v>492904</v>
      </c>
      <c r="N41" s="153">
        <v>497037</v>
      </c>
      <c r="O41" s="153">
        <v>500844</v>
      </c>
      <c r="P41" s="153">
        <v>504792</v>
      </c>
      <c r="Q41" s="153">
        <v>508569</v>
      </c>
      <c r="R41" s="153">
        <v>513329</v>
      </c>
      <c r="S41" s="110">
        <v>517608</v>
      </c>
      <c r="T41" s="110">
        <v>523149</v>
      </c>
      <c r="U41" s="110">
        <v>529412</v>
      </c>
      <c r="V41" s="114"/>
      <c r="X41" s="121">
        <v>1935</v>
      </c>
      <c r="Y41" s="49">
        <v>3352</v>
      </c>
      <c r="Z41" s="49">
        <v>4770</v>
      </c>
      <c r="AA41" s="49">
        <v>4748</v>
      </c>
      <c r="AB41" s="49">
        <v>4133</v>
      </c>
      <c r="AC41" s="49">
        <v>3807</v>
      </c>
      <c r="AD41" s="49">
        <v>3948</v>
      </c>
      <c r="AE41" s="49">
        <v>3777</v>
      </c>
      <c r="AF41" s="49">
        <v>4760</v>
      </c>
      <c r="AG41" s="49">
        <v>4279</v>
      </c>
      <c r="AH41" s="49">
        <v>5541</v>
      </c>
      <c r="AI41" s="122">
        <v>6263</v>
      </c>
      <c r="AK41" s="270"/>
      <c r="AL41" s="270"/>
    </row>
    <row r="42" spans="2:38" ht="18.75" x14ac:dyDescent="0.3">
      <c r="B42" s="209" t="s">
        <v>27</v>
      </c>
      <c r="C42" s="96" t="s">
        <v>22</v>
      </c>
      <c r="D42" s="96">
        <v>39426</v>
      </c>
      <c r="E42" s="203" t="s">
        <v>23</v>
      </c>
      <c r="F42" s="153" t="s">
        <v>977</v>
      </c>
      <c r="G42" s="153" t="s">
        <v>28</v>
      </c>
      <c r="H42" s="153"/>
      <c r="I42" s="153">
        <v>707937</v>
      </c>
      <c r="J42" s="153">
        <v>710535</v>
      </c>
      <c r="K42" s="153">
        <v>716152</v>
      </c>
      <c r="L42" s="153">
        <v>721322</v>
      </c>
      <c r="M42" s="153">
        <v>725483</v>
      </c>
      <c r="N42" s="153">
        <v>729465</v>
      </c>
      <c r="O42" s="153">
        <v>734360</v>
      </c>
      <c r="P42" s="153">
        <v>739418</v>
      </c>
      <c r="Q42" s="153">
        <v>745132</v>
      </c>
      <c r="R42" s="153">
        <v>751404</v>
      </c>
      <c r="S42" s="110">
        <v>755902</v>
      </c>
      <c r="T42" s="110">
        <v>760705</v>
      </c>
      <c r="U42" s="110">
        <v>766403</v>
      </c>
      <c r="V42" s="114"/>
      <c r="X42" s="121">
        <v>2598</v>
      </c>
      <c r="Y42" s="49">
        <v>5617</v>
      </c>
      <c r="Z42" s="49">
        <v>5170</v>
      </c>
      <c r="AA42" s="49">
        <v>4161</v>
      </c>
      <c r="AB42" s="49">
        <v>3982</v>
      </c>
      <c r="AC42" s="49">
        <v>4895</v>
      </c>
      <c r="AD42" s="49">
        <v>5058</v>
      </c>
      <c r="AE42" s="49">
        <v>5714</v>
      </c>
      <c r="AF42" s="49">
        <v>6272</v>
      </c>
      <c r="AG42" s="49">
        <v>4498</v>
      </c>
      <c r="AH42" s="49">
        <v>4803</v>
      </c>
      <c r="AI42" s="122">
        <v>5698</v>
      </c>
      <c r="AK42" s="270"/>
      <c r="AL42" s="270"/>
    </row>
    <row r="43" spans="2:38" ht="18.75" x14ac:dyDescent="0.3">
      <c r="B43" s="209">
        <v>5215981</v>
      </c>
      <c r="C43" s="96" t="s">
        <v>32</v>
      </c>
      <c r="D43" s="96">
        <v>39334</v>
      </c>
      <c r="E43" s="203" t="s">
        <v>23</v>
      </c>
      <c r="F43" s="153" t="s">
        <v>33</v>
      </c>
      <c r="G43" s="153"/>
      <c r="H43" s="153"/>
      <c r="I43" s="153">
        <v>290869</v>
      </c>
      <c r="J43" s="153">
        <v>292365</v>
      </c>
      <c r="K43" s="153">
        <v>294835</v>
      </c>
      <c r="L43" s="153">
        <v>296891</v>
      </c>
      <c r="M43" s="153">
        <v>299337</v>
      </c>
      <c r="N43" s="153">
        <v>302354</v>
      </c>
      <c r="O43" s="153">
        <v>304878</v>
      </c>
      <c r="P43" s="153">
        <v>307476</v>
      </c>
      <c r="Q43" s="153">
        <v>309375</v>
      </c>
      <c r="R43" s="153">
        <v>310502</v>
      </c>
      <c r="S43" s="110">
        <v>311915</v>
      </c>
      <c r="T43" s="110">
        <v>312508</v>
      </c>
      <c r="U43" s="110">
        <v>312509</v>
      </c>
      <c r="V43" s="114"/>
      <c r="X43" s="121">
        <v>1496</v>
      </c>
      <c r="Y43" s="49">
        <v>2470</v>
      </c>
      <c r="Z43" s="49">
        <v>2056</v>
      </c>
      <c r="AA43" s="49">
        <v>2446</v>
      </c>
      <c r="AB43" s="49">
        <v>3017</v>
      </c>
      <c r="AC43" s="49">
        <v>2524</v>
      </c>
      <c r="AD43" s="49">
        <v>2598</v>
      </c>
      <c r="AE43" s="49">
        <v>1899</v>
      </c>
      <c r="AF43" s="49">
        <v>1127</v>
      </c>
      <c r="AG43" s="49">
        <v>1413</v>
      </c>
      <c r="AH43" s="49">
        <v>593</v>
      </c>
      <c r="AI43" s="122">
        <v>1</v>
      </c>
      <c r="AK43" s="270"/>
      <c r="AL43" s="270"/>
    </row>
    <row r="44" spans="2:38" ht="18.75" x14ac:dyDescent="0.3">
      <c r="B44" s="132">
        <v>55158086</v>
      </c>
      <c r="C44" s="6" t="s">
        <v>32</v>
      </c>
      <c r="D44" s="6">
        <v>39495</v>
      </c>
      <c r="E44" s="7" t="s">
        <v>23</v>
      </c>
      <c r="F44" s="153" t="s">
        <v>34</v>
      </c>
      <c r="G44" s="153" t="s">
        <v>35</v>
      </c>
      <c r="H44" s="153" t="s">
        <v>799</v>
      </c>
      <c r="I44" s="153">
        <v>3349</v>
      </c>
      <c r="J44" s="153">
        <v>3439</v>
      </c>
      <c r="K44" s="153">
        <v>3576</v>
      </c>
      <c r="L44" s="153">
        <v>3697</v>
      </c>
      <c r="M44" s="153">
        <v>3816</v>
      </c>
      <c r="N44" s="153">
        <v>3917</v>
      </c>
      <c r="O44" s="153">
        <v>4013</v>
      </c>
      <c r="P44" s="153">
        <v>4101</v>
      </c>
      <c r="Q44" s="153">
        <v>4191</v>
      </c>
      <c r="R44" s="153">
        <v>4298</v>
      </c>
      <c r="S44" s="110">
        <v>4390</v>
      </c>
      <c r="T44" s="110">
        <v>4480</v>
      </c>
      <c r="U44" s="110">
        <v>4614</v>
      </c>
      <c r="V44" s="114"/>
      <c r="X44" s="121">
        <v>2700</v>
      </c>
      <c r="Y44" s="49">
        <v>4110</v>
      </c>
      <c r="Z44" s="49">
        <v>3630</v>
      </c>
      <c r="AA44" s="49">
        <v>3570</v>
      </c>
      <c r="AB44" s="49">
        <v>3030</v>
      </c>
      <c r="AC44" s="49">
        <v>2880</v>
      </c>
      <c r="AD44" s="49">
        <v>2640</v>
      </c>
      <c r="AE44" s="49">
        <v>2700</v>
      </c>
      <c r="AF44" s="49">
        <v>3210</v>
      </c>
      <c r="AG44" s="49">
        <v>2760</v>
      </c>
      <c r="AH44" s="49">
        <v>2700</v>
      </c>
      <c r="AI44" s="122">
        <v>4020</v>
      </c>
      <c r="AK44" s="270"/>
      <c r="AL44" s="270"/>
    </row>
    <row r="45" spans="2:38" ht="18.75" x14ac:dyDescent="0.3">
      <c r="B45" s="135">
        <v>5356191</v>
      </c>
      <c r="C45" s="15" t="s">
        <v>36</v>
      </c>
      <c r="D45" s="15">
        <v>39333</v>
      </c>
      <c r="E45" s="14" t="s">
        <v>23</v>
      </c>
      <c r="F45" s="153" t="s">
        <v>38</v>
      </c>
      <c r="G45" s="153" t="s">
        <v>45</v>
      </c>
      <c r="H45" s="153" t="s">
        <v>800</v>
      </c>
      <c r="I45" s="153">
        <v>3751</v>
      </c>
      <c r="J45" s="153">
        <v>3777</v>
      </c>
      <c r="K45" s="153">
        <v>3777</v>
      </c>
      <c r="L45" s="153">
        <v>3777</v>
      </c>
      <c r="M45" s="153">
        <v>3789</v>
      </c>
      <c r="N45" s="153">
        <v>3822</v>
      </c>
      <c r="O45" s="153">
        <v>3848</v>
      </c>
      <c r="P45" s="153">
        <v>3900</v>
      </c>
      <c r="Q45" s="153">
        <v>3938</v>
      </c>
      <c r="R45" s="153">
        <v>3954</v>
      </c>
      <c r="S45" s="110">
        <v>3954</v>
      </c>
      <c r="T45" s="110">
        <v>3962</v>
      </c>
      <c r="U45" s="110">
        <v>3970</v>
      </c>
      <c r="V45" s="114"/>
      <c r="X45" s="121">
        <v>390</v>
      </c>
      <c r="Y45" s="49">
        <v>0</v>
      </c>
      <c r="Z45" s="49">
        <v>0</v>
      </c>
      <c r="AA45" s="49">
        <v>180</v>
      </c>
      <c r="AB45" s="49">
        <v>495</v>
      </c>
      <c r="AC45" s="49">
        <v>390</v>
      </c>
      <c r="AD45" s="49">
        <v>780</v>
      </c>
      <c r="AE45" s="49">
        <v>570</v>
      </c>
      <c r="AF45" s="49">
        <v>240</v>
      </c>
      <c r="AG45" s="49">
        <v>0</v>
      </c>
      <c r="AH45" s="49">
        <v>120</v>
      </c>
      <c r="AI45" s="122">
        <v>120</v>
      </c>
      <c r="AK45" s="270"/>
      <c r="AL45" s="270"/>
    </row>
    <row r="46" spans="2:38" ht="18.75" x14ac:dyDescent="0.25">
      <c r="B46" s="131" t="s">
        <v>41</v>
      </c>
      <c r="C46" s="4" t="s">
        <v>36</v>
      </c>
      <c r="D46" s="4">
        <v>39014</v>
      </c>
      <c r="E46" s="5" t="s">
        <v>23</v>
      </c>
      <c r="F46" s="153" t="s">
        <v>38</v>
      </c>
      <c r="G46" s="153" t="s">
        <v>42</v>
      </c>
      <c r="H46" s="153"/>
      <c r="I46" s="153">
        <v>110121</v>
      </c>
      <c r="J46" s="153">
        <v>110121</v>
      </c>
      <c r="K46" s="153">
        <v>110121</v>
      </c>
      <c r="L46" s="153">
        <v>110121</v>
      </c>
      <c r="M46" s="153">
        <v>110121</v>
      </c>
      <c r="N46" s="153">
        <v>110121</v>
      </c>
      <c r="O46" s="153">
        <v>110121</v>
      </c>
      <c r="P46" s="153">
        <v>110121</v>
      </c>
      <c r="Q46" s="153">
        <v>110121</v>
      </c>
      <c r="R46" s="153">
        <v>110121</v>
      </c>
      <c r="S46" s="110">
        <v>110122</v>
      </c>
      <c r="T46" s="110">
        <v>110122</v>
      </c>
      <c r="U46" s="110">
        <v>110122</v>
      </c>
      <c r="V46" s="114"/>
      <c r="X46" s="121">
        <v>0</v>
      </c>
      <c r="Y46" s="49">
        <v>0</v>
      </c>
      <c r="Z46" s="49">
        <v>0</v>
      </c>
      <c r="AA46" s="49">
        <v>0</v>
      </c>
      <c r="AB46" s="49">
        <v>0</v>
      </c>
      <c r="AC46" s="49">
        <v>0</v>
      </c>
      <c r="AD46" s="49">
        <v>0</v>
      </c>
      <c r="AE46" s="49">
        <v>0</v>
      </c>
      <c r="AF46" s="49">
        <v>0</v>
      </c>
      <c r="AG46" s="49">
        <v>2</v>
      </c>
      <c r="AH46" s="49">
        <v>0</v>
      </c>
      <c r="AI46" s="122">
        <v>0</v>
      </c>
      <c r="AK46" s="270"/>
      <c r="AL46" s="270"/>
    </row>
    <row r="47" spans="2:38" ht="18.75" x14ac:dyDescent="0.25">
      <c r="B47" s="131" t="s">
        <v>37</v>
      </c>
      <c r="C47" s="4" t="s">
        <v>36</v>
      </c>
      <c r="D47" s="4">
        <v>39417</v>
      </c>
      <c r="E47" s="5" t="s">
        <v>23</v>
      </c>
      <c r="F47" s="153" t="s">
        <v>38</v>
      </c>
      <c r="G47" s="153" t="s">
        <v>39</v>
      </c>
      <c r="H47" s="153"/>
      <c r="I47" s="153">
        <v>592489</v>
      </c>
      <c r="J47" s="153">
        <v>596165</v>
      </c>
      <c r="K47" s="153">
        <v>602663</v>
      </c>
      <c r="L47" s="153">
        <v>612240</v>
      </c>
      <c r="M47" s="153">
        <v>621171</v>
      </c>
      <c r="N47" s="153">
        <v>629717</v>
      </c>
      <c r="O47" s="153">
        <v>637149</v>
      </c>
      <c r="P47" s="153">
        <v>644651</v>
      </c>
      <c r="Q47" s="153">
        <v>651640</v>
      </c>
      <c r="R47" s="153">
        <v>660788</v>
      </c>
      <c r="S47" s="110">
        <v>669940</v>
      </c>
      <c r="T47" s="110">
        <v>678255</v>
      </c>
      <c r="U47" s="110">
        <v>691558</v>
      </c>
      <c r="V47" s="114"/>
      <c r="X47" s="121">
        <v>3676</v>
      </c>
      <c r="Y47" s="49">
        <v>6498</v>
      </c>
      <c r="Z47" s="49">
        <v>9577</v>
      </c>
      <c r="AA47" s="49">
        <v>8931</v>
      </c>
      <c r="AB47" s="49">
        <v>8546</v>
      </c>
      <c r="AC47" s="49">
        <v>7432</v>
      </c>
      <c r="AD47" s="49">
        <v>7502</v>
      </c>
      <c r="AE47" s="49">
        <v>6989</v>
      </c>
      <c r="AF47" s="49">
        <v>9148</v>
      </c>
      <c r="AG47" s="49">
        <v>9152</v>
      </c>
      <c r="AH47" s="49">
        <v>8315</v>
      </c>
      <c r="AI47" s="122">
        <v>13303</v>
      </c>
      <c r="AK47" s="270"/>
      <c r="AL47" s="270"/>
    </row>
    <row r="48" spans="2:38" ht="18.75" x14ac:dyDescent="0.25">
      <c r="B48" s="138">
        <v>1025626</v>
      </c>
      <c r="C48" s="103" t="s">
        <v>46</v>
      </c>
      <c r="D48" s="103">
        <v>39325</v>
      </c>
      <c r="E48" s="194" t="s">
        <v>51</v>
      </c>
      <c r="F48" s="153" t="s">
        <v>52</v>
      </c>
      <c r="G48" s="153"/>
      <c r="H48" s="153"/>
      <c r="I48" s="153">
        <v>119183</v>
      </c>
      <c r="J48" s="153">
        <v>119564</v>
      </c>
      <c r="K48" s="153">
        <v>120250</v>
      </c>
      <c r="L48" s="153">
        <v>120808</v>
      </c>
      <c r="M48" s="153">
        <v>121357</v>
      </c>
      <c r="N48" s="153">
        <v>121835</v>
      </c>
      <c r="O48" s="153">
        <v>122199</v>
      </c>
      <c r="P48" s="153">
        <v>122663</v>
      </c>
      <c r="Q48" s="153">
        <v>123445</v>
      </c>
      <c r="R48" s="153">
        <v>124474</v>
      </c>
      <c r="S48" s="110">
        <v>125443</v>
      </c>
      <c r="T48" s="110">
        <v>126680</v>
      </c>
      <c r="U48" s="110">
        <v>127882</v>
      </c>
      <c r="V48" s="114"/>
      <c r="X48" s="121">
        <v>381</v>
      </c>
      <c r="Y48" s="49">
        <v>686</v>
      </c>
      <c r="Z48" s="49">
        <v>558</v>
      </c>
      <c r="AA48" s="49">
        <v>549</v>
      </c>
      <c r="AB48" s="49">
        <v>478</v>
      </c>
      <c r="AC48" s="49">
        <v>364</v>
      </c>
      <c r="AD48" s="49">
        <v>464</v>
      </c>
      <c r="AE48" s="49">
        <v>782</v>
      </c>
      <c r="AF48" s="49">
        <v>1029</v>
      </c>
      <c r="AG48" s="49">
        <v>969</v>
      </c>
      <c r="AH48" s="49">
        <v>1237</v>
      </c>
      <c r="AI48" s="122">
        <v>1202</v>
      </c>
      <c r="AK48" s="270"/>
      <c r="AL48" s="270"/>
    </row>
    <row r="49" spans="2:38" ht="18.75" x14ac:dyDescent="0.25">
      <c r="B49" s="138" t="s">
        <v>1300</v>
      </c>
      <c r="C49" s="106" t="s">
        <v>46</v>
      </c>
      <c r="D49" s="106">
        <v>39328</v>
      </c>
      <c r="E49" s="107" t="s">
        <v>51</v>
      </c>
      <c r="F49" s="153" t="s">
        <v>54</v>
      </c>
      <c r="G49" s="153"/>
      <c r="H49" s="153"/>
      <c r="I49" s="153">
        <v>197164</v>
      </c>
      <c r="J49" s="153">
        <v>198326</v>
      </c>
      <c r="K49" s="153">
        <v>200600</v>
      </c>
      <c r="L49" s="153">
        <v>202438</v>
      </c>
      <c r="M49" s="153">
        <v>204258</v>
      </c>
      <c r="N49" s="153">
        <v>205829</v>
      </c>
      <c r="O49" s="153">
        <v>206881</v>
      </c>
      <c r="P49" s="153">
        <v>207723</v>
      </c>
      <c r="Q49" s="153">
        <v>208493</v>
      </c>
      <c r="R49" s="153">
        <v>209508</v>
      </c>
      <c r="S49" s="110">
        <v>210457</v>
      </c>
      <c r="T49" s="110">
        <v>211673</v>
      </c>
      <c r="U49" s="110">
        <v>213055</v>
      </c>
      <c r="V49" s="114"/>
      <c r="X49" s="121">
        <v>1162</v>
      </c>
      <c r="Y49" s="49">
        <v>2274</v>
      </c>
      <c r="Z49" s="49">
        <v>1838</v>
      </c>
      <c r="AA49" s="49">
        <v>1820</v>
      </c>
      <c r="AB49" s="49">
        <v>1571</v>
      </c>
      <c r="AC49" s="49">
        <v>1052</v>
      </c>
      <c r="AD49" s="49">
        <v>842</v>
      </c>
      <c r="AE49" s="49">
        <v>770</v>
      </c>
      <c r="AF49" s="49">
        <v>1015</v>
      </c>
      <c r="AG49" s="49">
        <v>949</v>
      </c>
      <c r="AH49" s="49">
        <v>1216</v>
      </c>
      <c r="AI49" s="122">
        <v>1382</v>
      </c>
      <c r="AK49" s="270"/>
      <c r="AL49" s="270"/>
    </row>
    <row r="50" spans="2:38" ht="18.75" x14ac:dyDescent="0.25">
      <c r="B50" s="138" t="s">
        <v>1301</v>
      </c>
      <c r="C50" s="103" t="s">
        <v>46</v>
      </c>
      <c r="D50" s="103">
        <v>39326</v>
      </c>
      <c r="E50" s="194" t="s">
        <v>51</v>
      </c>
      <c r="F50" s="153" t="s">
        <v>53</v>
      </c>
      <c r="G50" s="153"/>
      <c r="H50" s="153"/>
      <c r="I50" s="153">
        <v>131445</v>
      </c>
      <c r="J50" s="153">
        <v>132327</v>
      </c>
      <c r="K50" s="153">
        <v>133920</v>
      </c>
      <c r="L50" s="153">
        <v>135204</v>
      </c>
      <c r="M50" s="153">
        <v>136474</v>
      </c>
      <c r="N50" s="153">
        <v>137570</v>
      </c>
      <c r="O50" s="153">
        <v>138577</v>
      </c>
      <c r="P50" s="153">
        <v>139562</v>
      </c>
      <c r="Q50" s="153">
        <v>140353</v>
      </c>
      <c r="R50" s="153">
        <v>141396</v>
      </c>
      <c r="S50" s="110">
        <v>142368</v>
      </c>
      <c r="T50" s="110">
        <v>143612</v>
      </c>
      <c r="U50" s="110">
        <v>145020</v>
      </c>
      <c r="V50" s="114"/>
      <c r="X50" s="121">
        <v>882</v>
      </c>
      <c r="Y50" s="49">
        <v>1593</v>
      </c>
      <c r="Z50" s="49">
        <v>1284</v>
      </c>
      <c r="AA50" s="49">
        <v>1270</v>
      </c>
      <c r="AB50" s="49">
        <v>1096</v>
      </c>
      <c r="AC50" s="49">
        <v>1007</v>
      </c>
      <c r="AD50" s="49">
        <v>985</v>
      </c>
      <c r="AE50" s="49">
        <v>791</v>
      </c>
      <c r="AF50" s="49">
        <v>1043</v>
      </c>
      <c r="AG50" s="49">
        <v>972</v>
      </c>
      <c r="AH50" s="49">
        <v>1244</v>
      </c>
      <c r="AI50" s="122">
        <v>1408</v>
      </c>
      <c r="AK50" s="270"/>
      <c r="AL50" s="270"/>
    </row>
    <row r="51" spans="2:38" ht="18.75" x14ac:dyDescent="0.25">
      <c r="B51" s="138" t="s">
        <v>56</v>
      </c>
      <c r="C51" s="103" t="s">
        <v>55</v>
      </c>
      <c r="D51" s="103">
        <v>39254</v>
      </c>
      <c r="E51" s="194" t="s">
        <v>57</v>
      </c>
      <c r="F51" s="153" t="s">
        <v>58</v>
      </c>
      <c r="G51" s="153"/>
      <c r="H51" s="153"/>
      <c r="I51" s="153">
        <v>97160</v>
      </c>
      <c r="J51" s="153">
        <v>97549</v>
      </c>
      <c r="K51" s="153">
        <v>98425</v>
      </c>
      <c r="L51" s="153">
        <v>99233</v>
      </c>
      <c r="M51" s="153">
        <v>99794</v>
      </c>
      <c r="N51" s="153">
        <v>100377</v>
      </c>
      <c r="O51" s="153">
        <v>100986</v>
      </c>
      <c r="P51" s="153">
        <v>101618</v>
      </c>
      <c r="Q51" s="153">
        <v>102100</v>
      </c>
      <c r="R51" s="153">
        <v>102722</v>
      </c>
      <c r="S51" s="110">
        <v>103472</v>
      </c>
      <c r="T51" s="110">
        <v>104016</v>
      </c>
      <c r="U51" s="110">
        <v>104881</v>
      </c>
      <c r="V51" s="114"/>
      <c r="X51" s="121">
        <v>389</v>
      </c>
      <c r="Y51" s="49">
        <v>876</v>
      </c>
      <c r="Z51" s="49">
        <v>808</v>
      </c>
      <c r="AA51" s="49">
        <v>561</v>
      </c>
      <c r="AB51" s="49">
        <v>583</v>
      </c>
      <c r="AC51" s="49">
        <v>609</v>
      </c>
      <c r="AD51" s="49">
        <v>632</v>
      </c>
      <c r="AE51" s="49">
        <v>482</v>
      </c>
      <c r="AF51" s="49">
        <v>622</v>
      </c>
      <c r="AG51" s="49">
        <v>750</v>
      </c>
      <c r="AH51" s="49">
        <v>544</v>
      </c>
      <c r="AI51" s="122">
        <v>865</v>
      </c>
      <c r="AK51" s="270"/>
      <c r="AL51" s="270"/>
    </row>
    <row r="52" spans="2:38" ht="18.75" x14ac:dyDescent="0.3">
      <c r="B52" s="206" t="s">
        <v>68</v>
      </c>
      <c r="C52" s="207" t="s">
        <v>55</v>
      </c>
      <c r="D52" s="207">
        <v>39088</v>
      </c>
      <c r="E52" s="203" t="s">
        <v>436</v>
      </c>
      <c r="F52" s="153" t="s">
        <v>69</v>
      </c>
      <c r="G52" s="153"/>
      <c r="H52" s="153"/>
      <c r="I52" s="153">
        <v>719559</v>
      </c>
      <c r="J52" s="153">
        <v>723500</v>
      </c>
      <c r="K52" s="153">
        <v>728441</v>
      </c>
      <c r="L52" s="153">
        <v>734353</v>
      </c>
      <c r="M52" s="153">
        <v>740619</v>
      </c>
      <c r="N52" s="153">
        <v>746025</v>
      </c>
      <c r="O52" s="153">
        <v>752912</v>
      </c>
      <c r="P52" s="153">
        <v>758000</v>
      </c>
      <c r="Q52" s="153">
        <v>772204</v>
      </c>
      <c r="R52" s="153">
        <v>780598</v>
      </c>
      <c r="S52" s="110">
        <v>787465</v>
      </c>
      <c r="T52" s="110">
        <v>794204</v>
      </c>
      <c r="U52" s="110">
        <v>801258</v>
      </c>
      <c r="V52" s="114"/>
      <c r="X52" s="121">
        <v>3941</v>
      </c>
      <c r="Y52" s="49">
        <v>4941</v>
      </c>
      <c r="Z52" s="49">
        <v>5912</v>
      </c>
      <c r="AA52" s="49">
        <v>6266</v>
      </c>
      <c r="AB52" s="49">
        <v>5406</v>
      </c>
      <c r="AC52" s="49">
        <v>6887</v>
      </c>
      <c r="AD52" s="49">
        <v>5088</v>
      </c>
      <c r="AE52" s="49">
        <v>14204</v>
      </c>
      <c r="AF52" s="49">
        <v>8394</v>
      </c>
      <c r="AG52" s="49">
        <v>6867</v>
      </c>
      <c r="AH52" s="49">
        <v>6739</v>
      </c>
      <c r="AI52" s="122">
        <v>7054</v>
      </c>
      <c r="AK52" s="270"/>
      <c r="AL52" s="270"/>
    </row>
    <row r="53" spans="2:38" ht="18.75" x14ac:dyDescent="0.3">
      <c r="B53" s="227" t="s">
        <v>61</v>
      </c>
      <c r="C53" s="221" t="s">
        <v>55</v>
      </c>
      <c r="D53" s="221">
        <v>39160</v>
      </c>
      <c r="E53" s="203" t="s">
        <v>62</v>
      </c>
      <c r="F53" s="153" t="s">
        <v>1007</v>
      </c>
      <c r="G53" s="153"/>
      <c r="H53" s="153"/>
      <c r="I53" s="153">
        <v>189620</v>
      </c>
      <c r="J53" s="153">
        <v>190209</v>
      </c>
      <c r="K53" s="153">
        <v>191520</v>
      </c>
      <c r="L53" s="153">
        <v>192755</v>
      </c>
      <c r="M53" s="153">
        <v>193780</v>
      </c>
      <c r="N53" s="153">
        <v>194658</v>
      </c>
      <c r="O53" s="153">
        <v>195763</v>
      </c>
      <c r="P53" s="153">
        <v>197336</v>
      </c>
      <c r="Q53" s="153">
        <v>198906</v>
      </c>
      <c r="R53" s="153">
        <v>200477</v>
      </c>
      <c r="S53" s="110">
        <v>201537</v>
      </c>
      <c r="T53" s="110">
        <v>202572</v>
      </c>
      <c r="U53" s="110">
        <v>203870</v>
      </c>
      <c r="V53" s="114"/>
      <c r="X53" s="121">
        <v>589</v>
      </c>
      <c r="Y53" s="49">
        <v>1311</v>
      </c>
      <c r="Z53" s="49">
        <v>1235</v>
      </c>
      <c r="AA53" s="49">
        <v>1025</v>
      </c>
      <c r="AB53" s="49">
        <v>878</v>
      </c>
      <c r="AC53" s="49">
        <v>1105</v>
      </c>
      <c r="AD53" s="49">
        <v>1573</v>
      </c>
      <c r="AE53" s="49">
        <v>1570</v>
      </c>
      <c r="AF53" s="49">
        <v>1571</v>
      </c>
      <c r="AG53" s="49">
        <v>1060</v>
      </c>
      <c r="AH53" s="49">
        <v>1035</v>
      </c>
      <c r="AI53" s="122">
        <v>1298</v>
      </c>
      <c r="AK53" s="270"/>
      <c r="AL53" s="270"/>
    </row>
    <row r="54" spans="2:38" ht="18.75" x14ac:dyDescent="0.25">
      <c r="B54" s="138" t="s">
        <v>59</v>
      </c>
      <c r="C54" s="103" t="s">
        <v>55</v>
      </c>
      <c r="D54" s="103">
        <v>39255</v>
      </c>
      <c r="E54" s="194" t="s">
        <v>60</v>
      </c>
      <c r="F54" s="153" t="s">
        <v>58</v>
      </c>
      <c r="G54" s="153"/>
      <c r="H54" s="153"/>
      <c r="I54" s="153">
        <v>811716</v>
      </c>
      <c r="J54" s="153">
        <v>815613</v>
      </c>
      <c r="K54" s="153">
        <v>825921</v>
      </c>
      <c r="L54" s="153">
        <v>833838</v>
      </c>
      <c r="M54" s="153">
        <v>840790</v>
      </c>
      <c r="N54" s="153">
        <v>846915</v>
      </c>
      <c r="O54" s="153">
        <v>854464</v>
      </c>
      <c r="P54" s="153">
        <v>865317</v>
      </c>
      <c r="Q54" s="153">
        <v>876264</v>
      </c>
      <c r="R54" s="153">
        <v>888404</v>
      </c>
      <c r="S54" s="110">
        <v>896316</v>
      </c>
      <c r="T54" s="110">
        <v>896316</v>
      </c>
      <c r="U54" s="110">
        <v>912158</v>
      </c>
      <c r="V54" s="114"/>
      <c r="X54" s="121">
        <v>3897</v>
      </c>
      <c r="Y54" s="49">
        <v>10308</v>
      </c>
      <c r="Z54" s="49">
        <v>7917</v>
      </c>
      <c r="AA54" s="49">
        <v>6952</v>
      </c>
      <c r="AB54" s="49">
        <v>6125</v>
      </c>
      <c r="AC54" s="49">
        <v>7549</v>
      </c>
      <c r="AD54" s="49">
        <v>10853</v>
      </c>
      <c r="AE54" s="49">
        <v>10947</v>
      </c>
      <c r="AF54" s="49">
        <v>12140</v>
      </c>
      <c r="AG54" s="49">
        <v>7912</v>
      </c>
      <c r="AH54" s="49">
        <v>0</v>
      </c>
      <c r="AI54" s="122">
        <v>15842</v>
      </c>
      <c r="AK54" s="270"/>
      <c r="AL54" s="270"/>
    </row>
    <row r="55" spans="2:38" ht="18.75" x14ac:dyDescent="0.25">
      <c r="B55" s="138" t="s">
        <v>81</v>
      </c>
      <c r="C55" s="106" t="s">
        <v>80</v>
      </c>
      <c r="D55" s="106">
        <v>39503</v>
      </c>
      <c r="E55" s="107" t="s">
        <v>82</v>
      </c>
      <c r="F55" s="153" t="s">
        <v>83</v>
      </c>
      <c r="G55" s="153" t="s">
        <v>438</v>
      </c>
      <c r="H55" s="153"/>
      <c r="I55" s="153">
        <v>139657</v>
      </c>
      <c r="J55" s="153">
        <v>142963</v>
      </c>
      <c r="K55" s="153">
        <v>148772</v>
      </c>
      <c r="L55" s="153">
        <v>152862</v>
      </c>
      <c r="M55" s="153">
        <v>156755</v>
      </c>
      <c r="N55" s="153">
        <v>159208</v>
      </c>
      <c r="O55" s="153">
        <v>162993</v>
      </c>
      <c r="P55" s="153">
        <v>171079</v>
      </c>
      <c r="Q55" s="153">
        <v>176297</v>
      </c>
      <c r="R55" s="153">
        <v>183530</v>
      </c>
      <c r="S55" s="110">
        <v>184696</v>
      </c>
      <c r="T55" s="110">
        <v>186198</v>
      </c>
      <c r="U55" s="110">
        <v>186954</v>
      </c>
      <c r="V55" s="114"/>
      <c r="X55" s="121">
        <v>3306</v>
      </c>
      <c r="Y55" s="49">
        <v>5809</v>
      </c>
      <c r="Z55" s="49">
        <v>4090</v>
      </c>
      <c r="AA55" s="49">
        <v>3893</v>
      </c>
      <c r="AB55" s="49">
        <v>2453</v>
      </c>
      <c r="AC55" s="49">
        <v>3785</v>
      </c>
      <c r="AD55" s="49">
        <v>8086</v>
      </c>
      <c r="AE55" s="49">
        <v>5218</v>
      </c>
      <c r="AF55" s="49">
        <v>7233</v>
      </c>
      <c r="AG55" s="49">
        <v>1166</v>
      </c>
      <c r="AH55" s="49">
        <v>1502</v>
      </c>
      <c r="AI55" s="122">
        <v>756</v>
      </c>
      <c r="AK55" s="270"/>
      <c r="AL55" s="270"/>
    </row>
    <row r="56" spans="2:38" ht="18.75" x14ac:dyDescent="0.3">
      <c r="B56" s="138" t="s">
        <v>87</v>
      </c>
      <c r="C56" s="103" t="s">
        <v>86</v>
      </c>
      <c r="D56" s="103">
        <v>39742</v>
      </c>
      <c r="E56" s="104" t="s">
        <v>88</v>
      </c>
      <c r="F56" s="153" t="s">
        <v>89</v>
      </c>
      <c r="G56" s="153" t="s">
        <v>735</v>
      </c>
      <c r="H56" s="153"/>
      <c r="I56" s="153">
        <v>5247352</v>
      </c>
      <c r="J56" s="153">
        <v>5309237</v>
      </c>
      <c r="K56" s="153">
        <v>5429058</v>
      </c>
      <c r="L56" s="153">
        <v>5509345</v>
      </c>
      <c r="M56" s="153">
        <v>5589114</v>
      </c>
      <c r="N56" s="153">
        <v>5667311</v>
      </c>
      <c r="O56" s="153">
        <v>5758032</v>
      </c>
      <c r="P56" s="153">
        <v>5869419</v>
      </c>
      <c r="Q56" s="153">
        <v>5959015</v>
      </c>
      <c r="R56" s="153">
        <v>6069491</v>
      </c>
      <c r="S56" s="110">
        <v>6158194</v>
      </c>
      <c r="T56" s="110">
        <v>6245906</v>
      </c>
      <c r="U56" s="110">
        <v>6342364</v>
      </c>
      <c r="V56" s="114"/>
      <c r="X56" s="121">
        <v>61885</v>
      </c>
      <c r="Y56" s="49">
        <v>119821</v>
      </c>
      <c r="Z56" s="49">
        <v>80287</v>
      </c>
      <c r="AA56" s="49">
        <v>79769</v>
      </c>
      <c r="AB56" s="49">
        <v>78197</v>
      </c>
      <c r="AC56" s="49">
        <v>90721</v>
      </c>
      <c r="AD56" s="49">
        <v>111387</v>
      </c>
      <c r="AE56" s="49">
        <v>89596</v>
      </c>
      <c r="AF56" s="49">
        <v>110476</v>
      </c>
      <c r="AG56" s="49">
        <v>88703</v>
      </c>
      <c r="AH56" s="49">
        <v>87712</v>
      </c>
      <c r="AI56" s="122">
        <v>96458</v>
      </c>
      <c r="AK56" s="270"/>
      <c r="AL56" s="270"/>
    </row>
    <row r="57" spans="2:38" ht="18.75" x14ac:dyDescent="0.25">
      <c r="B57" s="138" t="s">
        <v>1331</v>
      </c>
      <c r="C57" s="106" t="s">
        <v>90</v>
      </c>
      <c r="D57" s="106">
        <v>39196</v>
      </c>
      <c r="E57" s="107" t="s">
        <v>91</v>
      </c>
      <c r="F57" s="153" t="s">
        <v>92</v>
      </c>
      <c r="G57" s="153" t="s">
        <v>93</v>
      </c>
      <c r="H57" s="153"/>
      <c r="I57" s="153">
        <v>196456</v>
      </c>
      <c r="J57" s="153">
        <v>197393</v>
      </c>
      <c r="K57" s="153">
        <v>199100</v>
      </c>
      <c r="L57" s="153">
        <v>200449</v>
      </c>
      <c r="M57" s="153">
        <v>201791</v>
      </c>
      <c r="N57" s="153">
        <v>202939</v>
      </c>
      <c r="O57" s="153">
        <v>204063</v>
      </c>
      <c r="P57" s="153">
        <v>205103</v>
      </c>
      <c r="Q57" s="153">
        <v>206130</v>
      </c>
      <c r="R57" s="153">
        <v>207538</v>
      </c>
      <c r="S57" s="110">
        <v>208812</v>
      </c>
      <c r="T57" s="110">
        <v>210548</v>
      </c>
      <c r="U57" s="110">
        <v>212444</v>
      </c>
      <c r="V57" s="114"/>
      <c r="X57" s="121">
        <v>937</v>
      </c>
      <c r="Y57" s="49">
        <v>1707</v>
      </c>
      <c r="Z57" s="49">
        <v>1349</v>
      </c>
      <c r="AA57" s="49">
        <v>1342</v>
      </c>
      <c r="AB57" s="49">
        <v>1148</v>
      </c>
      <c r="AC57" s="49">
        <v>1124</v>
      </c>
      <c r="AD57" s="49">
        <v>1040</v>
      </c>
      <c r="AE57" s="49">
        <v>1027</v>
      </c>
      <c r="AF57" s="49">
        <v>1408</v>
      </c>
      <c r="AG57" s="49">
        <v>1274</v>
      </c>
      <c r="AH57" s="49">
        <v>1736</v>
      </c>
      <c r="AI57" s="122">
        <v>1896</v>
      </c>
      <c r="AK57" s="270"/>
      <c r="AL57" s="270"/>
    </row>
    <row r="58" spans="2:38" ht="18.75" x14ac:dyDescent="0.3">
      <c r="B58" s="138" t="s">
        <v>1228</v>
      </c>
      <c r="C58" s="103" t="s">
        <v>90</v>
      </c>
      <c r="D58" s="103">
        <v>39054</v>
      </c>
      <c r="E58" s="104" t="s">
        <v>102</v>
      </c>
      <c r="F58" s="153" t="s">
        <v>1013</v>
      </c>
      <c r="G58" s="153"/>
      <c r="H58" s="153"/>
      <c r="I58" s="153">
        <v>1623</v>
      </c>
      <c r="J58" s="153">
        <v>1677</v>
      </c>
      <c r="K58" s="153">
        <v>1820</v>
      </c>
      <c r="L58" s="153">
        <v>1925</v>
      </c>
      <c r="M58" s="153">
        <v>2033</v>
      </c>
      <c r="N58" s="153">
        <v>2127</v>
      </c>
      <c r="O58" s="153">
        <v>2275</v>
      </c>
      <c r="P58" s="153">
        <v>2421</v>
      </c>
      <c r="Q58" s="153">
        <v>2575</v>
      </c>
      <c r="R58" s="153">
        <v>2687</v>
      </c>
      <c r="S58" s="110">
        <v>2830</v>
      </c>
      <c r="T58" s="110">
        <v>2965</v>
      </c>
      <c r="U58" s="110">
        <v>3090</v>
      </c>
      <c r="V58" s="114"/>
      <c r="X58" s="121">
        <v>54</v>
      </c>
      <c r="Y58" s="49">
        <v>143</v>
      </c>
      <c r="Z58" s="49">
        <v>105</v>
      </c>
      <c r="AA58" s="49">
        <v>108</v>
      </c>
      <c r="AB58" s="49">
        <v>94</v>
      </c>
      <c r="AC58" s="49">
        <v>148</v>
      </c>
      <c r="AD58" s="49">
        <v>146</v>
      </c>
      <c r="AE58" s="49">
        <v>154</v>
      </c>
      <c r="AF58" s="49">
        <v>112</v>
      </c>
      <c r="AG58" s="49">
        <v>143</v>
      </c>
      <c r="AH58" s="49">
        <v>135</v>
      </c>
      <c r="AI58" s="122">
        <v>125</v>
      </c>
      <c r="AK58" s="270"/>
      <c r="AL58" s="270"/>
    </row>
    <row r="59" spans="2:38" ht="18.75" x14ac:dyDescent="0.3">
      <c r="B59" s="138" t="s">
        <v>1229</v>
      </c>
      <c r="C59" s="103" t="s">
        <v>90</v>
      </c>
      <c r="D59" s="103">
        <v>39057</v>
      </c>
      <c r="E59" s="104" t="s">
        <v>105</v>
      </c>
      <c r="F59" s="153" t="s">
        <v>1017</v>
      </c>
      <c r="G59" s="153"/>
      <c r="H59" s="153"/>
      <c r="I59" s="153">
        <v>647</v>
      </c>
      <c r="J59" s="153">
        <v>687</v>
      </c>
      <c r="K59" s="153">
        <v>744</v>
      </c>
      <c r="L59" s="153">
        <v>791</v>
      </c>
      <c r="M59" s="153">
        <v>837</v>
      </c>
      <c r="N59" s="153">
        <v>886</v>
      </c>
      <c r="O59" s="153">
        <v>961</v>
      </c>
      <c r="P59" s="153">
        <v>1042</v>
      </c>
      <c r="Q59" s="153">
        <v>1126</v>
      </c>
      <c r="R59" s="153">
        <v>1164</v>
      </c>
      <c r="S59" s="110">
        <v>1230</v>
      </c>
      <c r="T59" s="110">
        <v>1306</v>
      </c>
      <c r="U59" s="110">
        <v>1362</v>
      </c>
      <c r="V59" s="114"/>
      <c r="X59" s="121">
        <v>40</v>
      </c>
      <c r="Y59" s="49">
        <v>57</v>
      </c>
      <c r="Z59" s="49">
        <v>47</v>
      </c>
      <c r="AA59" s="49">
        <v>46</v>
      </c>
      <c r="AB59" s="49">
        <v>49</v>
      </c>
      <c r="AC59" s="49">
        <v>75</v>
      </c>
      <c r="AD59" s="49">
        <v>81</v>
      </c>
      <c r="AE59" s="49">
        <v>84</v>
      </c>
      <c r="AF59" s="49">
        <v>38</v>
      </c>
      <c r="AG59" s="49">
        <v>66</v>
      </c>
      <c r="AH59" s="49">
        <v>76</v>
      </c>
      <c r="AI59" s="122">
        <v>56</v>
      </c>
      <c r="AK59" s="270"/>
      <c r="AL59" s="270"/>
    </row>
    <row r="60" spans="2:38" ht="18.75" x14ac:dyDescent="0.25">
      <c r="B60" s="138" t="s">
        <v>1230</v>
      </c>
      <c r="C60" s="103" t="s">
        <v>90</v>
      </c>
      <c r="D60" s="103">
        <v>39715</v>
      </c>
      <c r="E60" s="194" t="s">
        <v>98</v>
      </c>
      <c r="F60" s="153" t="s">
        <v>1015</v>
      </c>
      <c r="G60" s="153"/>
      <c r="H60" s="153"/>
      <c r="I60" s="153">
        <v>350</v>
      </c>
      <c r="J60" s="153">
        <v>366</v>
      </c>
      <c r="K60" s="153">
        <v>458</v>
      </c>
      <c r="L60" s="153">
        <v>491</v>
      </c>
      <c r="M60" s="153">
        <v>510</v>
      </c>
      <c r="N60" s="153">
        <v>535</v>
      </c>
      <c r="O60" s="153">
        <v>574</v>
      </c>
      <c r="P60" s="153">
        <v>593</v>
      </c>
      <c r="Q60" s="153">
        <v>613</v>
      </c>
      <c r="R60" s="153">
        <v>643</v>
      </c>
      <c r="S60" s="110">
        <v>665</v>
      </c>
      <c r="T60" s="110">
        <v>694</v>
      </c>
      <c r="U60" s="110">
        <v>747</v>
      </c>
      <c r="V60" s="114"/>
      <c r="X60" s="121">
        <v>16</v>
      </c>
      <c r="Y60" s="49">
        <v>92</v>
      </c>
      <c r="Z60" s="49">
        <v>33</v>
      </c>
      <c r="AA60" s="49">
        <v>19</v>
      </c>
      <c r="AB60" s="49">
        <v>25</v>
      </c>
      <c r="AC60" s="49">
        <v>39</v>
      </c>
      <c r="AD60" s="49">
        <v>19</v>
      </c>
      <c r="AE60" s="49">
        <v>20</v>
      </c>
      <c r="AF60" s="49">
        <v>30</v>
      </c>
      <c r="AG60" s="49">
        <v>22</v>
      </c>
      <c r="AH60" s="49">
        <v>29</v>
      </c>
      <c r="AI60" s="122">
        <v>53</v>
      </c>
      <c r="AK60" s="270"/>
      <c r="AL60" s="270"/>
    </row>
    <row r="61" spans="2:38" ht="18.75" x14ac:dyDescent="0.25">
      <c r="B61" s="196" t="s">
        <v>1232</v>
      </c>
      <c r="C61" s="61" t="s">
        <v>90</v>
      </c>
      <c r="D61" s="61">
        <v>39245</v>
      </c>
      <c r="E61" s="197" t="s">
        <v>98</v>
      </c>
      <c r="F61" s="153" t="s">
        <v>1018</v>
      </c>
      <c r="G61" s="153"/>
      <c r="H61" s="153"/>
      <c r="I61" s="153">
        <v>17625</v>
      </c>
      <c r="J61" s="153">
        <v>18368</v>
      </c>
      <c r="K61" s="153">
        <v>19907</v>
      </c>
      <c r="L61" s="153">
        <v>21279</v>
      </c>
      <c r="M61" s="153">
        <v>22463</v>
      </c>
      <c r="N61" s="153">
        <v>23504</v>
      </c>
      <c r="O61" s="153">
        <v>24625</v>
      </c>
      <c r="P61" s="153">
        <v>26081</v>
      </c>
      <c r="Q61" s="153">
        <v>27623</v>
      </c>
      <c r="R61" s="153">
        <v>29185</v>
      </c>
      <c r="S61" s="110">
        <v>30410</v>
      </c>
      <c r="T61" s="110">
        <v>31626</v>
      </c>
      <c r="U61" s="110">
        <v>33046</v>
      </c>
      <c r="V61" s="114"/>
      <c r="X61" s="121">
        <v>743</v>
      </c>
      <c r="Y61" s="49">
        <v>1539</v>
      </c>
      <c r="Z61" s="49">
        <v>1372</v>
      </c>
      <c r="AA61" s="49">
        <v>1184</v>
      </c>
      <c r="AB61" s="49">
        <v>1041</v>
      </c>
      <c r="AC61" s="49">
        <v>1121</v>
      </c>
      <c r="AD61" s="49">
        <v>1456</v>
      </c>
      <c r="AE61" s="49">
        <v>1542</v>
      </c>
      <c r="AF61" s="49">
        <v>1562</v>
      </c>
      <c r="AG61" s="49">
        <v>1225</v>
      </c>
      <c r="AH61" s="49">
        <v>1216</v>
      </c>
      <c r="AI61" s="122">
        <v>1420</v>
      </c>
      <c r="AK61" s="270"/>
      <c r="AL61" s="270"/>
    </row>
    <row r="62" spans="2:38" ht="18.75" x14ac:dyDescent="0.3">
      <c r="B62" s="138" t="s">
        <v>1233</v>
      </c>
      <c r="C62" s="103" t="s">
        <v>90</v>
      </c>
      <c r="D62" s="103">
        <v>39695</v>
      </c>
      <c r="E62" s="104" t="s">
        <v>94</v>
      </c>
      <c r="F62" s="153" t="s">
        <v>1019</v>
      </c>
      <c r="G62" s="153"/>
      <c r="H62" s="153"/>
      <c r="I62" s="153">
        <v>22255</v>
      </c>
      <c r="J62" s="153">
        <v>23060</v>
      </c>
      <c r="K62" s="153">
        <v>24612</v>
      </c>
      <c r="L62" s="153">
        <v>26095</v>
      </c>
      <c r="M62" s="153">
        <v>27567</v>
      </c>
      <c r="N62" s="153">
        <v>28883</v>
      </c>
      <c r="O62" s="153">
        <v>30568</v>
      </c>
      <c r="P62" s="153">
        <v>32596</v>
      </c>
      <c r="Q62" s="153">
        <v>34769</v>
      </c>
      <c r="R62" s="153">
        <v>36952</v>
      </c>
      <c r="S62" s="110">
        <v>38726</v>
      </c>
      <c r="T62" s="110">
        <v>40352</v>
      </c>
      <c r="U62" s="110">
        <v>41844</v>
      </c>
      <c r="V62" s="114"/>
      <c r="X62" s="121">
        <v>805</v>
      </c>
      <c r="Y62" s="49">
        <v>1552</v>
      </c>
      <c r="Z62" s="49">
        <v>1483</v>
      </c>
      <c r="AA62" s="49">
        <v>1472</v>
      </c>
      <c r="AB62" s="49">
        <v>1316</v>
      </c>
      <c r="AC62" s="49">
        <v>1685</v>
      </c>
      <c r="AD62" s="49">
        <v>2028</v>
      </c>
      <c r="AE62" s="49">
        <v>2173</v>
      </c>
      <c r="AF62" s="49">
        <v>2183</v>
      </c>
      <c r="AG62" s="49">
        <v>1774</v>
      </c>
      <c r="AH62" s="49">
        <v>1626</v>
      </c>
      <c r="AI62" s="122">
        <v>1492</v>
      </c>
      <c r="AK62" s="270"/>
      <c r="AL62" s="270"/>
    </row>
    <row r="63" spans="2:38" ht="18.75" x14ac:dyDescent="0.3">
      <c r="B63" s="138" t="s">
        <v>1235</v>
      </c>
      <c r="C63" s="103" t="s">
        <v>90</v>
      </c>
      <c r="D63" s="103">
        <v>39022</v>
      </c>
      <c r="E63" s="104" t="s">
        <v>97</v>
      </c>
      <c r="F63" s="153" t="s">
        <v>1020</v>
      </c>
      <c r="G63" s="153"/>
      <c r="H63" s="153"/>
      <c r="I63" s="153">
        <v>3081</v>
      </c>
      <c r="J63" s="153">
        <v>3217</v>
      </c>
      <c r="K63" s="153">
        <v>3493</v>
      </c>
      <c r="L63" s="153">
        <v>3730</v>
      </c>
      <c r="M63" s="153">
        <v>3870</v>
      </c>
      <c r="N63" s="153">
        <v>3990</v>
      </c>
      <c r="O63" s="153">
        <v>4162</v>
      </c>
      <c r="P63" s="153">
        <v>4402</v>
      </c>
      <c r="Q63" s="153">
        <v>4684</v>
      </c>
      <c r="R63" s="153">
        <v>4961</v>
      </c>
      <c r="S63" s="110">
        <v>5182</v>
      </c>
      <c r="T63" s="110">
        <v>5352</v>
      </c>
      <c r="U63" s="110">
        <v>5596</v>
      </c>
      <c r="V63" s="114"/>
      <c r="X63" s="121">
        <v>136</v>
      </c>
      <c r="Y63" s="49">
        <v>276</v>
      </c>
      <c r="Z63" s="49">
        <v>237</v>
      </c>
      <c r="AA63" s="49">
        <v>140</v>
      </c>
      <c r="AB63" s="49">
        <v>120</v>
      </c>
      <c r="AC63" s="49">
        <v>172</v>
      </c>
      <c r="AD63" s="49">
        <v>240</v>
      </c>
      <c r="AE63" s="49">
        <v>282</v>
      </c>
      <c r="AF63" s="49">
        <v>277</v>
      </c>
      <c r="AG63" s="49">
        <v>221</v>
      </c>
      <c r="AH63" s="49">
        <v>170</v>
      </c>
      <c r="AI63" s="122">
        <v>244</v>
      </c>
      <c r="AK63" s="270"/>
      <c r="AL63" s="270"/>
    </row>
    <row r="64" spans="2:38" ht="18.75" x14ac:dyDescent="0.3">
      <c r="B64" s="138" t="s">
        <v>1226</v>
      </c>
      <c r="C64" s="103" t="s">
        <v>90</v>
      </c>
      <c r="D64" s="103">
        <v>39650</v>
      </c>
      <c r="E64" s="104" t="s">
        <v>100</v>
      </c>
      <c r="F64" s="153" t="s">
        <v>1012</v>
      </c>
      <c r="G64" s="153"/>
      <c r="H64" s="153"/>
      <c r="I64" s="153">
        <v>93213</v>
      </c>
      <c r="J64" s="153">
        <v>96975</v>
      </c>
      <c r="K64" s="153">
        <v>104304</v>
      </c>
      <c r="L64" s="153">
        <v>111191</v>
      </c>
      <c r="M64" s="153">
        <v>117400</v>
      </c>
      <c r="N64" s="153">
        <v>123400</v>
      </c>
      <c r="O64" s="153">
        <v>130173</v>
      </c>
      <c r="P64" s="153">
        <v>137745</v>
      </c>
      <c r="Q64" s="153">
        <v>145834</v>
      </c>
      <c r="R64" s="153">
        <v>154559</v>
      </c>
      <c r="S64" s="110">
        <v>161609</v>
      </c>
      <c r="T64" s="110">
        <v>168752</v>
      </c>
      <c r="U64" s="110">
        <v>176098</v>
      </c>
      <c r="V64" s="114"/>
      <c r="X64" s="121">
        <v>3762</v>
      </c>
      <c r="Y64" s="49">
        <v>7329</v>
      </c>
      <c r="Z64" s="49">
        <v>6887</v>
      </c>
      <c r="AA64" s="49">
        <v>6209</v>
      </c>
      <c r="AB64" s="49">
        <v>6000</v>
      </c>
      <c r="AC64" s="49">
        <v>6773</v>
      </c>
      <c r="AD64" s="49">
        <v>7572</v>
      </c>
      <c r="AE64" s="49">
        <v>8089</v>
      </c>
      <c r="AF64" s="49">
        <v>8725</v>
      </c>
      <c r="AG64" s="49">
        <v>7050</v>
      </c>
      <c r="AH64" s="49">
        <v>7143</v>
      </c>
      <c r="AI64" s="122">
        <v>7346</v>
      </c>
      <c r="AK64" s="270"/>
      <c r="AL64" s="270"/>
    </row>
    <row r="65" spans="2:38" ht="18.75" x14ac:dyDescent="0.3">
      <c r="B65" s="138" t="s">
        <v>1227</v>
      </c>
      <c r="C65" s="103" t="s">
        <v>90</v>
      </c>
      <c r="D65" s="103">
        <v>39044</v>
      </c>
      <c r="E65" s="104" t="s">
        <v>689</v>
      </c>
      <c r="F65" s="153" t="s">
        <v>1016</v>
      </c>
      <c r="G65" s="153" t="s">
        <v>1264</v>
      </c>
      <c r="H65" s="153" t="s">
        <v>439</v>
      </c>
      <c r="I65" s="153">
        <v>17623</v>
      </c>
      <c r="J65" s="153">
        <v>18365</v>
      </c>
      <c r="K65" s="153">
        <v>19995</v>
      </c>
      <c r="L65" s="153">
        <v>21330</v>
      </c>
      <c r="M65" s="153">
        <v>22426</v>
      </c>
      <c r="N65" s="153">
        <v>23509</v>
      </c>
      <c r="O65" s="153">
        <v>25169</v>
      </c>
      <c r="P65" s="153">
        <v>27128</v>
      </c>
      <c r="Q65" s="153">
        <v>29255</v>
      </c>
      <c r="R65" s="153">
        <v>31287</v>
      </c>
      <c r="S65" s="110">
        <v>32790</v>
      </c>
      <c r="T65" s="110">
        <v>34158</v>
      </c>
      <c r="U65" s="110">
        <v>35558</v>
      </c>
      <c r="V65" s="114"/>
      <c r="X65" s="121">
        <v>742</v>
      </c>
      <c r="Y65" s="49">
        <v>1630</v>
      </c>
      <c r="Z65" s="49">
        <v>1335</v>
      </c>
      <c r="AA65" s="49">
        <v>1096</v>
      </c>
      <c r="AB65" s="49">
        <v>1083</v>
      </c>
      <c r="AC65" s="49">
        <v>1660</v>
      </c>
      <c r="AD65" s="49">
        <v>1959</v>
      </c>
      <c r="AE65" s="49">
        <v>2127</v>
      </c>
      <c r="AF65" s="49">
        <v>2032</v>
      </c>
      <c r="AG65" s="49">
        <v>1503</v>
      </c>
      <c r="AH65" s="49">
        <v>1368</v>
      </c>
      <c r="AI65" s="122">
        <v>1400</v>
      </c>
      <c r="AK65" s="270"/>
      <c r="AL65" s="270"/>
    </row>
    <row r="66" spans="2:38" ht="18.75" x14ac:dyDescent="0.3">
      <c r="B66" s="206" t="s">
        <v>1225</v>
      </c>
      <c r="C66" s="103" t="s">
        <v>90</v>
      </c>
      <c r="D66" s="103">
        <v>39338</v>
      </c>
      <c r="E66" s="104" t="s">
        <v>103</v>
      </c>
      <c r="F66" s="153" t="s">
        <v>1014</v>
      </c>
      <c r="G66" s="153" t="s">
        <v>65</v>
      </c>
      <c r="H66" s="153"/>
      <c r="I66" s="153">
        <v>7223</v>
      </c>
      <c r="J66" s="153">
        <v>7223</v>
      </c>
      <c r="K66" s="153">
        <v>7223</v>
      </c>
      <c r="L66" s="153">
        <v>7223</v>
      </c>
      <c r="M66" s="153">
        <v>7223</v>
      </c>
      <c r="N66" s="153">
        <v>7223</v>
      </c>
      <c r="O66" s="153">
        <v>7223</v>
      </c>
      <c r="P66" s="153">
        <v>7223</v>
      </c>
      <c r="Q66" s="153">
        <v>7223</v>
      </c>
      <c r="R66" s="153">
        <v>7223</v>
      </c>
      <c r="S66" s="110">
        <v>7223</v>
      </c>
      <c r="T66" s="110">
        <v>7223</v>
      </c>
      <c r="U66" s="110">
        <v>7223</v>
      </c>
      <c r="V66" s="114"/>
      <c r="X66" s="121">
        <v>0</v>
      </c>
      <c r="Y66" s="49">
        <v>0</v>
      </c>
      <c r="Z66" s="49">
        <v>0</v>
      </c>
      <c r="AA66" s="49">
        <v>0</v>
      </c>
      <c r="AB66" s="49">
        <v>0</v>
      </c>
      <c r="AC66" s="49">
        <v>0</v>
      </c>
      <c r="AD66" s="49">
        <v>0</v>
      </c>
      <c r="AE66" s="49">
        <v>0</v>
      </c>
      <c r="AF66" s="49">
        <v>0</v>
      </c>
      <c r="AG66" s="49">
        <v>0</v>
      </c>
      <c r="AH66" s="49">
        <v>0</v>
      </c>
      <c r="AI66" s="122">
        <v>0</v>
      </c>
      <c r="AK66" s="270"/>
      <c r="AL66" s="270"/>
    </row>
    <row r="67" spans="2:38" ht="18.75" x14ac:dyDescent="0.25">
      <c r="B67" s="138" t="s">
        <v>107</v>
      </c>
      <c r="C67" s="103" t="s">
        <v>106</v>
      </c>
      <c r="D67" s="103">
        <v>39754</v>
      </c>
      <c r="E67" s="105" t="s">
        <v>108</v>
      </c>
      <c r="F67" s="153" t="s">
        <v>990</v>
      </c>
      <c r="G67" s="153"/>
      <c r="H67" s="153"/>
      <c r="I67" s="153">
        <v>78519</v>
      </c>
      <c r="J67" s="153">
        <v>78519</v>
      </c>
      <c r="K67" s="153">
        <v>78519</v>
      </c>
      <c r="L67" s="153">
        <v>78519</v>
      </c>
      <c r="M67" s="153">
        <v>78519</v>
      </c>
      <c r="N67" s="153">
        <v>78519</v>
      </c>
      <c r="O67" s="153">
        <v>78519</v>
      </c>
      <c r="P67" s="153">
        <v>78519</v>
      </c>
      <c r="Q67" s="153">
        <v>78519</v>
      </c>
      <c r="R67" s="153">
        <v>78519</v>
      </c>
      <c r="S67" s="110">
        <v>78519</v>
      </c>
      <c r="T67" s="110">
        <v>78519</v>
      </c>
      <c r="U67" s="110">
        <v>78519</v>
      </c>
      <c r="V67" s="114"/>
      <c r="X67" s="121">
        <v>0</v>
      </c>
      <c r="Y67" s="49">
        <v>0</v>
      </c>
      <c r="Z67" s="49">
        <v>0</v>
      </c>
      <c r="AA67" s="49">
        <v>0</v>
      </c>
      <c r="AB67" s="49">
        <v>0</v>
      </c>
      <c r="AC67" s="49">
        <v>0</v>
      </c>
      <c r="AD67" s="49">
        <v>0</v>
      </c>
      <c r="AE67" s="49">
        <v>0</v>
      </c>
      <c r="AF67" s="49">
        <v>0</v>
      </c>
      <c r="AG67" s="49">
        <v>0</v>
      </c>
      <c r="AH67" s="49">
        <v>0</v>
      </c>
      <c r="AI67" s="122">
        <v>0</v>
      </c>
      <c r="AK67" s="270"/>
      <c r="AL67" s="270"/>
    </row>
    <row r="68" spans="2:38" ht="18.75" x14ac:dyDescent="0.25">
      <c r="B68" s="138" t="s">
        <v>115</v>
      </c>
      <c r="C68" s="106" t="s">
        <v>106</v>
      </c>
      <c r="D68" s="106">
        <v>39021</v>
      </c>
      <c r="E68" s="107" t="s">
        <v>97</v>
      </c>
      <c r="F68" s="153" t="s">
        <v>991</v>
      </c>
      <c r="G68" s="153"/>
      <c r="H68" s="153"/>
      <c r="I68" s="153">
        <v>54381</v>
      </c>
      <c r="J68" s="153">
        <v>54495</v>
      </c>
      <c r="K68" s="153">
        <v>54681</v>
      </c>
      <c r="L68" s="153">
        <v>54885</v>
      </c>
      <c r="M68" s="153">
        <v>55147</v>
      </c>
      <c r="N68" s="153">
        <v>55367</v>
      </c>
      <c r="O68" s="153">
        <v>55605</v>
      </c>
      <c r="P68" s="153">
        <v>55839</v>
      </c>
      <c r="Q68" s="153">
        <v>56074</v>
      </c>
      <c r="R68" s="153">
        <v>56354</v>
      </c>
      <c r="S68" s="110">
        <v>56621</v>
      </c>
      <c r="T68" s="110">
        <v>56894</v>
      </c>
      <c r="U68" s="110">
        <v>57137</v>
      </c>
      <c r="V68" s="114"/>
      <c r="X68" s="121">
        <v>114</v>
      </c>
      <c r="Y68" s="49">
        <v>186</v>
      </c>
      <c r="Z68" s="49">
        <v>204</v>
      </c>
      <c r="AA68" s="49">
        <v>262</v>
      </c>
      <c r="AB68" s="49">
        <v>220</v>
      </c>
      <c r="AC68" s="49">
        <v>238</v>
      </c>
      <c r="AD68" s="49">
        <v>234</v>
      </c>
      <c r="AE68" s="49">
        <v>235</v>
      </c>
      <c r="AF68" s="49">
        <v>280</v>
      </c>
      <c r="AG68" s="49">
        <v>267</v>
      </c>
      <c r="AH68" s="49">
        <v>273</v>
      </c>
      <c r="AI68" s="122">
        <v>243</v>
      </c>
      <c r="AK68" s="270"/>
      <c r="AL68" s="270"/>
    </row>
    <row r="69" spans="2:38" ht="18.75" x14ac:dyDescent="0.25">
      <c r="B69" s="131" t="s">
        <v>113</v>
      </c>
      <c r="C69" s="4" t="s">
        <v>106</v>
      </c>
      <c r="D69" s="4">
        <v>39637</v>
      </c>
      <c r="E69" s="5" t="s">
        <v>114</v>
      </c>
      <c r="F69" s="153" t="s">
        <v>985</v>
      </c>
      <c r="G69" s="153"/>
      <c r="H69" s="153"/>
      <c r="I69" s="153">
        <v>46727</v>
      </c>
      <c r="J69" s="153">
        <v>46936</v>
      </c>
      <c r="K69" s="153">
        <v>47443</v>
      </c>
      <c r="L69" s="153">
        <v>47883</v>
      </c>
      <c r="M69" s="153">
        <v>48115</v>
      </c>
      <c r="N69" s="153">
        <v>48129</v>
      </c>
      <c r="O69" s="153">
        <v>48131</v>
      </c>
      <c r="P69" s="153">
        <v>48132</v>
      </c>
      <c r="Q69" s="153">
        <v>48132</v>
      </c>
      <c r="R69" s="153">
        <v>48132</v>
      </c>
      <c r="S69" s="110">
        <v>48132</v>
      </c>
      <c r="T69" s="110">
        <v>48133</v>
      </c>
      <c r="U69" s="110">
        <v>48133</v>
      </c>
      <c r="V69" s="114"/>
      <c r="X69" s="121">
        <v>209</v>
      </c>
      <c r="Y69" s="49">
        <v>507</v>
      </c>
      <c r="Z69" s="49">
        <v>440</v>
      </c>
      <c r="AA69" s="49">
        <v>232</v>
      </c>
      <c r="AB69" s="49">
        <v>14</v>
      </c>
      <c r="AC69" s="49">
        <v>2</v>
      </c>
      <c r="AD69" s="49">
        <v>1</v>
      </c>
      <c r="AE69" s="49">
        <v>0</v>
      </c>
      <c r="AF69" s="49">
        <v>0</v>
      </c>
      <c r="AG69" s="49">
        <v>0</v>
      </c>
      <c r="AH69" s="49">
        <v>1</v>
      </c>
      <c r="AI69" s="122">
        <v>0</v>
      </c>
      <c r="AK69" s="270"/>
      <c r="AL69" s="270"/>
    </row>
    <row r="70" spans="2:38" ht="18.75" x14ac:dyDescent="0.25">
      <c r="B70" s="131" t="s">
        <v>111</v>
      </c>
      <c r="C70" s="15" t="s">
        <v>106</v>
      </c>
      <c r="D70" s="15">
        <v>39774</v>
      </c>
      <c r="E70" s="14" t="s">
        <v>112</v>
      </c>
      <c r="F70" s="153" t="s">
        <v>982</v>
      </c>
      <c r="G70" s="153"/>
      <c r="H70" s="153"/>
      <c r="I70" s="153">
        <v>30639</v>
      </c>
      <c r="J70" s="153">
        <v>30639</v>
      </c>
      <c r="K70" s="153">
        <v>30639</v>
      </c>
      <c r="L70" s="153">
        <v>30639</v>
      </c>
      <c r="M70" s="153">
        <v>30639</v>
      </c>
      <c r="N70" s="153">
        <v>30639</v>
      </c>
      <c r="O70" s="153">
        <v>30639</v>
      </c>
      <c r="P70" s="153">
        <v>30639</v>
      </c>
      <c r="Q70" s="153">
        <v>30639</v>
      </c>
      <c r="R70" s="153">
        <v>30639</v>
      </c>
      <c r="S70" s="110">
        <v>30639</v>
      </c>
      <c r="T70" s="110">
        <v>30639</v>
      </c>
      <c r="U70" s="110">
        <v>30639</v>
      </c>
      <c r="V70" s="114"/>
      <c r="X70" s="121">
        <v>0</v>
      </c>
      <c r="Y70" s="49">
        <v>0</v>
      </c>
      <c r="Z70" s="49">
        <v>0</v>
      </c>
      <c r="AA70" s="49">
        <v>0</v>
      </c>
      <c r="AB70" s="49">
        <v>0</v>
      </c>
      <c r="AC70" s="49">
        <v>0</v>
      </c>
      <c r="AD70" s="49">
        <v>0</v>
      </c>
      <c r="AE70" s="49">
        <v>0</v>
      </c>
      <c r="AF70" s="49">
        <v>0</v>
      </c>
      <c r="AG70" s="49">
        <v>0</v>
      </c>
      <c r="AH70" s="49">
        <v>0</v>
      </c>
      <c r="AI70" s="122">
        <v>0</v>
      </c>
      <c r="AK70" s="270"/>
      <c r="AL70" s="270"/>
    </row>
    <row r="71" spans="2:38" ht="18.75" x14ac:dyDescent="0.25">
      <c r="B71" s="131" t="s">
        <v>1330</v>
      </c>
      <c r="C71" s="4" t="s">
        <v>121</v>
      </c>
      <c r="D71" s="4">
        <v>39323</v>
      </c>
      <c r="E71" s="5" t="s">
        <v>123</v>
      </c>
      <c r="F71" s="153" t="s">
        <v>135</v>
      </c>
      <c r="G71" s="153"/>
      <c r="H71" s="153"/>
      <c r="I71" s="153">
        <v>154770</v>
      </c>
      <c r="J71" s="153">
        <v>155061</v>
      </c>
      <c r="K71" s="153">
        <v>155606</v>
      </c>
      <c r="L71" s="153">
        <v>156075</v>
      </c>
      <c r="M71" s="153">
        <v>156512</v>
      </c>
      <c r="N71" s="153">
        <v>156914</v>
      </c>
      <c r="O71" s="153">
        <v>157263</v>
      </c>
      <c r="P71" s="153">
        <v>157512</v>
      </c>
      <c r="Q71" s="153">
        <v>157818</v>
      </c>
      <c r="R71" s="153">
        <v>158231</v>
      </c>
      <c r="S71" s="110">
        <v>158640</v>
      </c>
      <c r="T71" s="110">
        <v>159195</v>
      </c>
      <c r="U71" s="110">
        <v>159804</v>
      </c>
      <c r="V71" s="114"/>
      <c r="X71" s="121">
        <v>291</v>
      </c>
      <c r="Y71" s="49">
        <v>545</v>
      </c>
      <c r="Z71" s="49">
        <v>469</v>
      </c>
      <c r="AA71" s="49">
        <v>437</v>
      </c>
      <c r="AB71" s="49">
        <v>402</v>
      </c>
      <c r="AC71" s="49">
        <v>349</v>
      </c>
      <c r="AD71" s="49">
        <v>249</v>
      </c>
      <c r="AE71" s="49">
        <v>306</v>
      </c>
      <c r="AF71" s="49">
        <v>413</v>
      </c>
      <c r="AG71" s="49">
        <v>409</v>
      </c>
      <c r="AH71" s="49">
        <v>555</v>
      </c>
      <c r="AI71" s="122">
        <v>609</v>
      </c>
      <c r="AK71" s="270"/>
      <c r="AL71" s="270"/>
    </row>
    <row r="72" spans="2:38" ht="18.75" x14ac:dyDescent="0.25">
      <c r="B72" s="138" t="s">
        <v>131</v>
      </c>
      <c r="C72" s="106" t="s">
        <v>121</v>
      </c>
      <c r="D72" s="106">
        <v>39383</v>
      </c>
      <c r="E72" s="107" t="s">
        <v>132</v>
      </c>
      <c r="F72" s="153" t="s">
        <v>133</v>
      </c>
      <c r="G72" s="153" t="s">
        <v>134</v>
      </c>
      <c r="H72" s="153"/>
      <c r="I72" s="153">
        <v>77250</v>
      </c>
      <c r="J72" s="153">
        <v>77251</v>
      </c>
      <c r="K72" s="153">
        <v>77251</v>
      </c>
      <c r="L72" s="153">
        <v>77251</v>
      </c>
      <c r="M72" s="153">
        <v>77251</v>
      </c>
      <c r="N72" s="153">
        <v>77251</v>
      </c>
      <c r="O72" s="153">
        <v>77251</v>
      </c>
      <c r="P72" s="153">
        <v>77251</v>
      </c>
      <c r="Q72" s="153">
        <v>77251</v>
      </c>
      <c r="R72" s="153">
        <v>77251</v>
      </c>
      <c r="S72" s="110">
        <v>77251</v>
      </c>
      <c r="T72" s="110">
        <v>77251</v>
      </c>
      <c r="U72" s="110">
        <v>77251</v>
      </c>
      <c r="V72" s="114"/>
      <c r="X72" s="121">
        <v>1</v>
      </c>
      <c r="Y72" s="49">
        <v>0</v>
      </c>
      <c r="Z72" s="49">
        <v>0</v>
      </c>
      <c r="AA72" s="49">
        <v>0</v>
      </c>
      <c r="AB72" s="49">
        <v>0</v>
      </c>
      <c r="AC72" s="49">
        <v>0</v>
      </c>
      <c r="AD72" s="49">
        <v>0</v>
      </c>
      <c r="AE72" s="49">
        <v>0</v>
      </c>
      <c r="AF72" s="49">
        <v>0</v>
      </c>
      <c r="AG72" s="49">
        <v>0</v>
      </c>
      <c r="AH72" s="49">
        <v>0</v>
      </c>
      <c r="AI72" s="122">
        <v>0</v>
      </c>
      <c r="AK72" s="270"/>
      <c r="AL72" s="270"/>
    </row>
    <row r="73" spans="2:38" ht="18.75" x14ac:dyDescent="0.25">
      <c r="B73" s="138" t="s">
        <v>127</v>
      </c>
      <c r="C73" s="106" t="s">
        <v>121</v>
      </c>
      <c r="D73" s="106">
        <v>39151</v>
      </c>
      <c r="E73" s="107" t="s">
        <v>128</v>
      </c>
      <c r="F73" s="153" t="s">
        <v>993</v>
      </c>
      <c r="G73" s="153"/>
      <c r="H73" s="153"/>
      <c r="I73" s="153">
        <v>156206</v>
      </c>
      <c r="J73" s="153">
        <v>157480</v>
      </c>
      <c r="K73" s="153">
        <v>160291</v>
      </c>
      <c r="L73" s="153">
        <v>163451</v>
      </c>
      <c r="M73" s="153">
        <v>166814</v>
      </c>
      <c r="N73" s="153">
        <v>168593</v>
      </c>
      <c r="O73" s="153">
        <v>171461</v>
      </c>
      <c r="P73" s="153">
        <v>173226</v>
      </c>
      <c r="Q73" s="153">
        <v>175252</v>
      </c>
      <c r="R73" s="153">
        <v>177121</v>
      </c>
      <c r="S73" s="110">
        <v>178870</v>
      </c>
      <c r="T73" s="110">
        <v>180394</v>
      </c>
      <c r="U73" s="110">
        <v>182085</v>
      </c>
      <c r="V73" s="114"/>
      <c r="X73" s="121">
        <v>1274</v>
      </c>
      <c r="Y73" s="49">
        <v>2811</v>
      </c>
      <c r="Z73" s="49">
        <v>3160</v>
      </c>
      <c r="AA73" s="49">
        <v>3363</v>
      </c>
      <c r="AB73" s="49">
        <v>1779</v>
      </c>
      <c r="AC73" s="49">
        <v>2868</v>
      </c>
      <c r="AD73" s="49">
        <v>1765</v>
      </c>
      <c r="AE73" s="49">
        <v>2026</v>
      </c>
      <c r="AF73" s="49">
        <v>1869</v>
      </c>
      <c r="AG73" s="49">
        <v>1749</v>
      </c>
      <c r="AH73" s="49">
        <v>1524</v>
      </c>
      <c r="AI73" s="122">
        <v>1691</v>
      </c>
      <c r="AK73" s="270"/>
      <c r="AL73" s="270"/>
    </row>
    <row r="74" spans="2:38" ht="18.75" x14ac:dyDescent="0.25">
      <c r="B74" s="138" t="s">
        <v>122</v>
      </c>
      <c r="C74" s="103" t="s">
        <v>121</v>
      </c>
      <c r="D74" s="103">
        <v>39150</v>
      </c>
      <c r="E74" s="194" t="s">
        <v>123</v>
      </c>
      <c r="F74" s="153" t="s">
        <v>995</v>
      </c>
      <c r="G74" s="153"/>
      <c r="H74" s="153"/>
      <c r="I74" s="153">
        <v>814149</v>
      </c>
      <c r="J74" s="153">
        <v>818070</v>
      </c>
      <c r="K74" s="153">
        <v>826495</v>
      </c>
      <c r="L74" s="153">
        <v>834048</v>
      </c>
      <c r="M74" s="153">
        <v>840133</v>
      </c>
      <c r="N74" s="153">
        <v>846127</v>
      </c>
      <c r="O74" s="153">
        <v>853209</v>
      </c>
      <c r="P74" s="153">
        <v>863569</v>
      </c>
      <c r="Q74" s="153">
        <v>875107</v>
      </c>
      <c r="R74" s="153">
        <v>886081</v>
      </c>
      <c r="S74" s="110">
        <v>893824</v>
      </c>
      <c r="T74" s="110">
        <v>901437</v>
      </c>
      <c r="U74" s="110">
        <v>908406</v>
      </c>
      <c r="V74" s="114"/>
      <c r="X74" s="121">
        <v>3921</v>
      </c>
      <c r="Y74" s="49">
        <v>8425</v>
      </c>
      <c r="Z74" s="49">
        <v>7553</v>
      </c>
      <c r="AA74" s="49">
        <v>6085</v>
      </c>
      <c r="AB74" s="49">
        <v>5994</v>
      </c>
      <c r="AC74" s="49">
        <v>7082</v>
      </c>
      <c r="AD74" s="49">
        <v>10360</v>
      </c>
      <c r="AE74" s="49">
        <v>11538</v>
      </c>
      <c r="AF74" s="49">
        <v>10974</v>
      </c>
      <c r="AG74" s="49">
        <v>7743</v>
      </c>
      <c r="AH74" s="49">
        <v>7613</v>
      </c>
      <c r="AI74" s="122">
        <v>6969</v>
      </c>
      <c r="AK74" s="270"/>
      <c r="AL74" s="270"/>
    </row>
    <row r="75" spans="2:38" ht="18.75" x14ac:dyDescent="0.25">
      <c r="B75" s="138" t="s">
        <v>1439</v>
      </c>
      <c r="C75" s="103" t="s">
        <v>136</v>
      </c>
      <c r="D75" s="103">
        <v>39411</v>
      </c>
      <c r="E75" s="194" t="s">
        <v>1182</v>
      </c>
      <c r="F75" s="153" t="s">
        <v>725</v>
      </c>
      <c r="G75" s="153" t="s">
        <v>1441</v>
      </c>
      <c r="H75" s="153" t="s">
        <v>1440</v>
      </c>
      <c r="I75" s="153"/>
      <c r="J75" s="153"/>
      <c r="K75" s="153"/>
      <c r="L75" s="153"/>
      <c r="M75" s="153"/>
      <c r="N75" s="153"/>
      <c r="O75" s="153"/>
      <c r="P75" s="153"/>
      <c r="Q75" s="153"/>
      <c r="R75" s="153"/>
      <c r="S75" s="110">
        <v>22</v>
      </c>
      <c r="T75" s="110">
        <v>22</v>
      </c>
      <c r="U75" s="110">
        <v>519</v>
      </c>
      <c r="V75" s="114"/>
      <c r="X75" s="121" t="s">
        <v>734</v>
      </c>
      <c r="Y75" s="49" t="s">
        <v>734</v>
      </c>
      <c r="Z75" s="49" t="s">
        <v>734</v>
      </c>
      <c r="AA75" s="49" t="s">
        <v>734</v>
      </c>
      <c r="AB75" s="49" t="s">
        <v>734</v>
      </c>
      <c r="AC75" s="49" t="s">
        <v>734</v>
      </c>
      <c r="AD75" s="49" t="s">
        <v>734</v>
      </c>
      <c r="AE75" s="49" t="s">
        <v>734</v>
      </c>
      <c r="AF75" s="49" t="s">
        <v>734</v>
      </c>
      <c r="AG75" s="49" t="s">
        <v>734</v>
      </c>
      <c r="AH75" s="49">
        <v>0</v>
      </c>
      <c r="AI75" s="122">
        <v>9940</v>
      </c>
      <c r="AK75" s="270"/>
      <c r="AL75" s="270"/>
    </row>
    <row r="76" spans="2:38" ht="18.75" x14ac:dyDescent="0.25">
      <c r="B76" s="228" t="s">
        <v>1329</v>
      </c>
      <c r="C76" s="224" t="s">
        <v>136</v>
      </c>
      <c r="D76" s="224">
        <v>39525</v>
      </c>
      <c r="E76" s="194" t="s">
        <v>744</v>
      </c>
      <c r="F76" s="153"/>
      <c r="G76" s="153" t="s">
        <v>745</v>
      </c>
      <c r="H76" s="153" t="s">
        <v>750</v>
      </c>
      <c r="I76" s="153">
        <v>68271</v>
      </c>
      <c r="J76" s="153">
        <v>72937</v>
      </c>
      <c r="K76" s="153">
        <v>81187</v>
      </c>
      <c r="L76" s="153">
        <v>88780</v>
      </c>
      <c r="M76" s="153">
        <v>94971</v>
      </c>
      <c r="N76" s="153">
        <v>99149</v>
      </c>
      <c r="O76" s="153">
        <v>104084</v>
      </c>
      <c r="P76" s="153">
        <v>112985</v>
      </c>
      <c r="Q76" s="153">
        <v>123358</v>
      </c>
      <c r="R76" s="153">
        <v>133075</v>
      </c>
      <c r="S76" s="110">
        <v>139841</v>
      </c>
      <c r="T76" s="110">
        <v>145668</v>
      </c>
      <c r="U76" s="110">
        <v>153147</v>
      </c>
      <c r="V76" s="114"/>
      <c r="X76" s="121">
        <v>4666</v>
      </c>
      <c r="Y76" s="49">
        <v>8250</v>
      </c>
      <c r="Z76" s="49">
        <v>7593</v>
      </c>
      <c r="AA76" s="49">
        <v>6191</v>
      </c>
      <c r="AB76" s="49">
        <v>4178</v>
      </c>
      <c r="AC76" s="49">
        <v>4935</v>
      </c>
      <c r="AD76" s="49">
        <v>8901</v>
      </c>
      <c r="AE76" s="49">
        <v>10373</v>
      </c>
      <c r="AF76" s="49">
        <v>9717</v>
      </c>
      <c r="AG76" s="49">
        <v>6766</v>
      </c>
      <c r="AH76" s="49">
        <v>5827</v>
      </c>
      <c r="AI76" s="122">
        <v>7479</v>
      </c>
      <c r="AK76" s="270"/>
      <c r="AL76" s="270"/>
    </row>
    <row r="77" spans="2:38" ht="18.75" x14ac:dyDescent="0.25">
      <c r="B77" s="138" t="s">
        <v>141</v>
      </c>
      <c r="C77" s="103" t="s">
        <v>136</v>
      </c>
      <c r="D77" s="103">
        <v>39577</v>
      </c>
      <c r="E77" s="105" t="s">
        <v>1182</v>
      </c>
      <c r="F77" s="153" t="s">
        <v>725</v>
      </c>
      <c r="G77" s="153" t="s">
        <v>726</v>
      </c>
      <c r="H77" s="153" t="s">
        <v>1183</v>
      </c>
      <c r="I77" s="153">
        <v>3523</v>
      </c>
      <c r="J77" s="153"/>
      <c r="K77" s="153">
        <v>4562</v>
      </c>
      <c r="L77" s="153">
        <v>5451</v>
      </c>
      <c r="M77" s="153">
        <v>6519</v>
      </c>
      <c r="N77" s="153">
        <v>7509</v>
      </c>
      <c r="O77" s="153">
        <v>8750</v>
      </c>
      <c r="P77" s="153">
        <v>10623</v>
      </c>
      <c r="Q77" s="153">
        <v>12343</v>
      </c>
      <c r="R77" s="153">
        <v>14222</v>
      </c>
      <c r="S77" s="110">
        <v>15714</v>
      </c>
      <c r="T77" s="110">
        <v>17068</v>
      </c>
      <c r="U77" s="110">
        <v>18300</v>
      </c>
      <c r="V77" s="114"/>
      <c r="X77" s="121" t="s">
        <v>734</v>
      </c>
      <c r="Y77" s="49" t="s">
        <v>734</v>
      </c>
      <c r="Z77" s="49">
        <v>889</v>
      </c>
      <c r="AA77" s="49">
        <v>1068</v>
      </c>
      <c r="AB77" s="49">
        <v>990</v>
      </c>
      <c r="AC77" s="49">
        <v>1241</v>
      </c>
      <c r="AD77" s="49">
        <v>1873</v>
      </c>
      <c r="AE77" s="49">
        <v>1720</v>
      </c>
      <c r="AF77" s="49">
        <v>1879</v>
      </c>
      <c r="AG77" s="49">
        <v>1492</v>
      </c>
      <c r="AH77" s="49">
        <v>1354</v>
      </c>
      <c r="AI77" s="122">
        <v>1232</v>
      </c>
      <c r="AK77" s="270"/>
      <c r="AL77" s="270"/>
    </row>
    <row r="78" spans="2:38" ht="18.75" x14ac:dyDescent="0.25">
      <c r="B78" s="138" t="s">
        <v>139</v>
      </c>
      <c r="C78" s="103" t="s">
        <v>136</v>
      </c>
      <c r="D78" s="103">
        <v>39185</v>
      </c>
      <c r="E78" s="194" t="s">
        <v>440</v>
      </c>
      <c r="F78" s="153" t="s">
        <v>124</v>
      </c>
      <c r="G78" s="153" t="s">
        <v>441</v>
      </c>
      <c r="H78" s="153" t="s">
        <v>442</v>
      </c>
      <c r="I78" s="153">
        <v>60991</v>
      </c>
      <c r="J78" s="153">
        <v>63204</v>
      </c>
      <c r="K78" s="153">
        <v>67475</v>
      </c>
      <c r="L78" s="153">
        <v>71825</v>
      </c>
      <c r="M78" s="153">
        <v>75250</v>
      </c>
      <c r="N78" s="153">
        <v>77749</v>
      </c>
      <c r="O78" s="153">
        <v>80364</v>
      </c>
      <c r="P78" s="153">
        <v>86003</v>
      </c>
      <c r="Q78" s="153">
        <v>92737</v>
      </c>
      <c r="R78" s="153">
        <v>98837</v>
      </c>
      <c r="S78" s="110">
        <v>102923</v>
      </c>
      <c r="T78" s="110">
        <v>106833</v>
      </c>
      <c r="U78" s="110">
        <v>111173</v>
      </c>
      <c r="V78" s="114"/>
      <c r="X78" s="121">
        <v>2213</v>
      </c>
      <c r="Y78" s="49">
        <v>4271</v>
      </c>
      <c r="Z78" s="49">
        <v>4350</v>
      </c>
      <c r="AA78" s="49">
        <v>3425</v>
      </c>
      <c r="AB78" s="49">
        <v>2499</v>
      </c>
      <c r="AC78" s="49">
        <v>2615</v>
      </c>
      <c r="AD78" s="49">
        <v>5639</v>
      </c>
      <c r="AE78" s="49">
        <v>6734</v>
      </c>
      <c r="AF78" s="49">
        <v>6100</v>
      </c>
      <c r="AG78" s="49">
        <v>4086</v>
      </c>
      <c r="AH78" s="49">
        <v>3910</v>
      </c>
      <c r="AI78" s="122">
        <v>4340</v>
      </c>
      <c r="AK78" s="270"/>
      <c r="AL78" s="270"/>
    </row>
    <row r="79" spans="2:38" ht="18.75" x14ac:dyDescent="0.25">
      <c r="B79" s="138" t="s">
        <v>693</v>
      </c>
      <c r="C79" s="106" t="s">
        <v>136</v>
      </c>
      <c r="D79" s="106">
        <v>39574</v>
      </c>
      <c r="E79" s="107" t="s">
        <v>440</v>
      </c>
      <c r="F79" s="153" t="s">
        <v>727</v>
      </c>
      <c r="G79" s="153"/>
      <c r="H79" s="153"/>
      <c r="I79" s="153">
        <v>1877</v>
      </c>
      <c r="J79" s="153">
        <v>1877</v>
      </c>
      <c r="K79" s="153">
        <v>1877</v>
      </c>
      <c r="L79" s="153">
        <v>1877</v>
      </c>
      <c r="M79" s="153">
        <v>1877</v>
      </c>
      <c r="N79" s="153">
        <v>1877</v>
      </c>
      <c r="O79" s="153">
        <v>1877</v>
      </c>
      <c r="P79" s="153">
        <v>1877</v>
      </c>
      <c r="Q79" s="153">
        <v>1877</v>
      </c>
      <c r="R79" s="153">
        <v>1877</v>
      </c>
      <c r="S79" s="110">
        <v>1877</v>
      </c>
      <c r="T79" s="110">
        <v>1877</v>
      </c>
      <c r="U79" s="110">
        <v>1877</v>
      </c>
      <c r="V79" s="114"/>
      <c r="X79" s="121">
        <v>0</v>
      </c>
      <c r="Y79" s="49">
        <v>0</v>
      </c>
      <c r="Z79" s="49">
        <v>0</v>
      </c>
      <c r="AA79" s="49">
        <v>0</v>
      </c>
      <c r="AB79" s="49">
        <v>0</v>
      </c>
      <c r="AC79" s="49">
        <v>0</v>
      </c>
      <c r="AD79" s="49">
        <v>0</v>
      </c>
      <c r="AE79" s="49">
        <v>0</v>
      </c>
      <c r="AF79" s="49">
        <v>0</v>
      </c>
      <c r="AG79" s="49">
        <v>0</v>
      </c>
      <c r="AH79" s="49">
        <v>0</v>
      </c>
      <c r="AI79" s="122">
        <v>0</v>
      </c>
      <c r="AK79" s="270"/>
      <c r="AL79" s="270"/>
    </row>
    <row r="80" spans="2:38" ht="18.75" x14ac:dyDescent="0.25">
      <c r="B80" s="138" t="s">
        <v>695</v>
      </c>
      <c r="C80" s="103" t="s">
        <v>136</v>
      </c>
      <c r="D80" s="103">
        <v>39290</v>
      </c>
      <c r="E80" s="194" t="s">
        <v>440</v>
      </c>
      <c r="F80" s="153" t="s">
        <v>727</v>
      </c>
      <c r="G80" s="153"/>
      <c r="H80" s="153" t="s">
        <v>694</v>
      </c>
      <c r="I80" s="153">
        <v>9534</v>
      </c>
      <c r="J80" s="153">
        <v>9538</v>
      </c>
      <c r="K80" s="153">
        <v>9545</v>
      </c>
      <c r="L80" s="153">
        <v>9552</v>
      </c>
      <c r="M80" s="153">
        <v>9560</v>
      </c>
      <c r="N80" s="153">
        <v>9567</v>
      </c>
      <c r="O80" s="153">
        <v>9574</v>
      </c>
      <c r="P80" s="153">
        <v>9581</v>
      </c>
      <c r="Q80" s="153">
        <v>9588</v>
      </c>
      <c r="R80" s="153">
        <v>9595</v>
      </c>
      <c r="S80" s="110">
        <v>9602</v>
      </c>
      <c r="T80" s="110">
        <v>9610</v>
      </c>
      <c r="U80" s="110">
        <v>9618</v>
      </c>
      <c r="V80" s="114"/>
      <c r="X80" s="121">
        <v>4</v>
      </c>
      <c r="Y80" s="49">
        <v>7</v>
      </c>
      <c r="Z80" s="49">
        <v>7</v>
      </c>
      <c r="AA80" s="49">
        <v>8</v>
      </c>
      <c r="AB80" s="49">
        <v>7</v>
      </c>
      <c r="AC80" s="49">
        <v>7</v>
      </c>
      <c r="AD80" s="49">
        <v>7</v>
      </c>
      <c r="AE80" s="49">
        <v>7</v>
      </c>
      <c r="AF80" s="49">
        <v>7</v>
      </c>
      <c r="AG80" s="49">
        <v>7</v>
      </c>
      <c r="AH80" s="49">
        <v>8</v>
      </c>
      <c r="AI80" s="122">
        <v>8</v>
      </c>
      <c r="AK80" s="270"/>
      <c r="AL80" s="270"/>
    </row>
    <row r="81" spans="2:38" ht="18.75" x14ac:dyDescent="0.25">
      <c r="B81" s="138" t="s">
        <v>1262</v>
      </c>
      <c r="C81" s="103" t="s">
        <v>143</v>
      </c>
      <c r="D81" s="103">
        <v>39011</v>
      </c>
      <c r="E81" s="194" t="s">
        <v>443</v>
      </c>
      <c r="F81" s="153" t="s">
        <v>38</v>
      </c>
      <c r="G81" s="153" t="s">
        <v>444</v>
      </c>
      <c r="H81" s="153" t="s">
        <v>445</v>
      </c>
      <c r="I81" s="153">
        <v>4281</v>
      </c>
      <c r="J81" s="153">
        <v>4281</v>
      </c>
      <c r="K81" s="153">
        <v>4281</v>
      </c>
      <c r="L81" s="153">
        <v>4393</v>
      </c>
      <c r="M81" s="153">
        <v>4801</v>
      </c>
      <c r="N81" s="153">
        <v>4987</v>
      </c>
      <c r="O81" s="153">
        <v>5125</v>
      </c>
      <c r="P81" s="153">
        <v>5366</v>
      </c>
      <c r="Q81" s="153">
        <v>5592</v>
      </c>
      <c r="R81" s="153">
        <v>5830</v>
      </c>
      <c r="S81" s="110">
        <v>6017</v>
      </c>
      <c r="T81" s="110">
        <v>6232</v>
      </c>
      <c r="U81" s="110">
        <v>6463</v>
      </c>
      <c r="V81" s="114"/>
      <c r="X81" s="121">
        <v>0</v>
      </c>
      <c r="Y81" s="49">
        <v>0</v>
      </c>
      <c r="Z81" s="49">
        <v>112</v>
      </c>
      <c r="AA81" s="49">
        <v>408</v>
      </c>
      <c r="AB81" s="49">
        <v>186</v>
      </c>
      <c r="AC81" s="49">
        <v>138</v>
      </c>
      <c r="AD81" s="49">
        <v>241</v>
      </c>
      <c r="AE81" s="49">
        <v>226</v>
      </c>
      <c r="AF81" s="49">
        <v>238</v>
      </c>
      <c r="AG81" s="49">
        <v>187</v>
      </c>
      <c r="AH81" s="49">
        <v>215</v>
      </c>
      <c r="AI81" s="122">
        <v>231</v>
      </c>
      <c r="AK81" s="270"/>
      <c r="AL81" s="270"/>
    </row>
    <row r="82" spans="2:38" ht="18.75" x14ac:dyDescent="0.25">
      <c r="B82" s="138" t="s">
        <v>1339</v>
      </c>
      <c r="C82" s="106" t="s">
        <v>143</v>
      </c>
      <c r="D82" s="106">
        <v>39645</v>
      </c>
      <c r="E82" s="107" t="s">
        <v>1351</v>
      </c>
      <c r="F82" s="153" t="s">
        <v>1376</v>
      </c>
      <c r="G82" s="153" t="s">
        <v>1341</v>
      </c>
      <c r="H82" s="153"/>
      <c r="I82" s="153"/>
      <c r="J82" s="153"/>
      <c r="K82" s="153"/>
      <c r="L82" s="153"/>
      <c r="M82" s="153"/>
      <c r="N82" s="153">
        <v>23</v>
      </c>
      <c r="O82" s="153">
        <v>10359</v>
      </c>
      <c r="P82" s="153">
        <v>18012</v>
      </c>
      <c r="Q82" s="153">
        <v>30305</v>
      </c>
      <c r="R82" s="153">
        <v>43715</v>
      </c>
      <c r="S82" s="110">
        <v>58125</v>
      </c>
      <c r="T82" s="110">
        <v>74850</v>
      </c>
      <c r="U82" s="110">
        <v>93421</v>
      </c>
      <c r="V82" s="114"/>
      <c r="X82" s="121" t="s">
        <v>734</v>
      </c>
      <c r="Y82" s="49" t="s">
        <v>734</v>
      </c>
      <c r="Z82" s="49" t="s">
        <v>734</v>
      </c>
      <c r="AA82" s="49" t="s">
        <v>734</v>
      </c>
      <c r="AB82" s="49" t="s">
        <v>734</v>
      </c>
      <c r="AC82" s="49">
        <v>10336</v>
      </c>
      <c r="AD82" s="49">
        <v>7653</v>
      </c>
      <c r="AE82" s="49">
        <v>12293</v>
      </c>
      <c r="AF82" s="49">
        <v>13410</v>
      </c>
      <c r="AG82" s="49">
        <v>14410</v>
      </c>
      <c r="AH82" s="49">
        <v>16725</v>
      </c>
      <c r="AI82" s="122">
        <v>18571</v>
      </c>
      <c r="AK82" s="270"/>
      <c r="AL82" s="270"/>
    </row>
    <row r="83" spans="2:38" ht="18.75" x14ac:dyDescent="0.25">
      <c r="B83" s="138" t="s">
        <v>1340</v>
      </c>
      <c r="C83" s="106" t="s">
        <v>148</v>
      </c>
      <c r="D83" s="106">
        <v>39666</v>
      </c>
      <c r="E83" s="194" t="s">
        <v>1351</v>
      </c>
      <c r="F83" s="153" t="s">
        <v>1376</v>
      </c>
      <c r="G83" s="153" t="s">
        <v>1341</v>
      </c>
      <c r="H83" s="153"/>
      <c r="I83" s="153"/>
      <c r="J83" s="153"/>
      <c r="K83" s="153"/>
      <c r="L83" s="153"/>
      <c r="M83" s="153"/>
      <c r="N83" s="153">
        <v>23</v>
      </c>
      <c r="O83" s="153">
        <v>9549</v>
      </c>
      <c r="P83" s="153">
        <v>17727</v>
      </c>
      <c r="Q83" s="153">
        <v>30914</v>
      </c>
      <c r="R83" s="153">
        <v>44080</v>
      </c>
      <c r="S83" s="110">
        <v>56527</v>
      </c>
      <c r="T83" s="110">
        <v>74036</v>
      </c>
      <c r="U83" s="110">
        <v>93181</v>
      </c>
      <c r="V83" s="114"/>
      <c r="X83" s="121" t="s">
        <v>734</v>
      </c>
      <c r="Y83" s="49" t="s">
        <v>734</v>
      </c>
      <c r="Z83" s="49" t="s">
        <v>734</v>
      </c>
      <c r="AA83" s="49" t="s">
        <v>734</v>
      </c>
      <c r="AB83" s="49" t="s">
        <v>734</v>
      </c>
      <c r="AC83" s="49">
        <v>9526</v>
      </c>
      <c r="AD83" s="49">
        <v>8178</v>
      </c>
      <c r="AE83" s="49">
        <v>13187</v>
      </c>
      <c r="AF83" s="49">
        <v>13166</v>
      </c>
      <c r="AG83" s="49">
        <v>12447</v>
      </c>
      <c r="AH83" s="49">
        <v>17509</v>
      </c>
      <c r="AI83" s="122">
        <v>19145</v>
      </c>
      <c r="AK83" s="270"/>
      <c r="AL83" s="270"/>
    </row>
    <row r="84" spans="2:38" ht="18.75" x14ac:dyDescent="0.3">
      <c r="B84" s="229" t="s">
        <v>1433</v>
      </c>
      <c r="C84" s="106" t="s">
        <v>148</v>
      </c>
      <c r="D84" s="106">
        <v>39664</v>
      </c>
      <c r="E84" s="107" t="s">
        <v>146</v>
      </c>
      <c r="F84" s="153" t="s">
        <v>1438</v>
      </c>
      <c r="G84" s="153" t="s">
        <v>1437</v>
      </c>
      <c r="H84" s="153" t="s">
        <v>1435</v>
      </c>
      <c r="I84" s="153"/>
      <c r="J84" s="153"/>
      <c r="K84" s="153"/>
      <c r="L84" s="153"/>
      <c r="M84" s="153"/>
      <c r="N84" s="153"/>
      <c r="O84" s="153"/>
      <c r="P84" s="153"/>
      <c r="Q84" s="153"/>
      <c r="R84" s="153">
        <v>0</v>
      </c>
      <c r="S84" s="110">
        <v>1208</v>
      </c>
      <c r="T84" s="110">
        <v>4064</v>
      </c>
      <c r="U84" s="110">
        <v>7486</v>
      </c>
      <c r="V84" s="114"/>
      <c r="X84" s="121"/>
      <c r="Y84" s="49"/>
      <c r="Z84" s="49"/>
      <c r="AA84" s="49"/>
      <c r="AB84" s="49"/>
      <c r="AC84" s="49"/>
      <c r="AD84" s="49"/>
      <c r="AE84" s="49"/>
      <c r="AF84" s="49">
        <v>0</v>
      </c>
      <c r="AG84" s="49"/>
      <c r="AH84" s="49"/>
      <c r="AI84" s="122"/>
      <c r="AK84" s="270"/>
      <c r="AL84" s="270"/>
    </row>
    <row r="85" spans="2:38" ht="18.75" x14ac:dyDescent="0.3">
      <c r="B85" s="229" t="s">
        <v>166</v>
      </c>
      <c r="C85" s="106" t="s">
        <v>152</v>
      </c>
      <c r="D85" s="106">
        <v>39725</v>
      </c>
      <c r="E85" s="107" t="s">
        <v>167</v>
      </c>
      <c r="F85" s="153" t="s">
        <v>1043</v>
      </c>
      <c r="G85" s="153"/>
      <c r="H85" s="153"/>
      <c r="I85" s="153">
        <v>304659</v>
      </c>
      <c r="J85" s="153">
        <v>310404</v>
      </c>
      <c r="K85" s="153">
        <v>320361</v>
      </c>
      <c r="L85" s="153">
        <v>329171</v>
      </c>
      <c r="M85" s="153">
        <v>338668</v>
      </c>
      <c r="N85" s="153">
        <v>349415</v>
      </c>
      <c r="O85" s="153">
        <v>362372</v>
      </c>
      <c r="P85" s="153">
        <v>376929</v>
      </c>
      <c r="Q85" s="153">
        <v>391126</v>
      </c>
      <c r="R85" s="153">
        <v>406718</v>
      </c>
      <c r="S85" s="110">
        <v>419362</v>
      </c>
      <c r="T85" s="110">
        <v>432139</v>
      </c>
      <c r="U85" s="110">
        <v>443826</v>
      </c>
      <c r="V85" s="114"/>
      <c r="X85" s="121">
        <v>5745</v>
      </c>
      <c r="Y85" s="49">
        <v>9957</v>
      </c>
      <c r="Z85" s="49">
        <v>8810</v>
      </c>
      <c r="AA85" s="49">
        <v>9497</v>
      </c>
      <c r="AB85" s="49">
        <v>10747</v>
      </c>
      <c r="AC85" s="49">
        <v>12957</v>
      </c>
      <c r="AD85" s="49">
        <v>14557</v>
      </c>
      <c r="AE85" s="49">
        <v>14197</v>
      </c>
      <c r="AF85" s="49">
        <v>15592</v>
      </c>
      <c r="AG85" s="49">
        <v>12644</v>
      </c>
      <c r="AH85" s="49">
        <v>12777</v>
      </c>
      <c r="AI85" s="122">
        <v>11687</v>
      </c>
      <c r="AK85" s="270"/>
      <c r="AL85" s="270"/>
    </row>
    <row r="86" spans="2:38" ht="18.75" x14ac:dyDescent="0.25">
      <c r="B86" s="138" t="s">
        <v>1206</v>
      </c>
      <c r="C86" s="103" t="s">
        <v>152</v>
      </c>
      <c r="D86" s="103">
        <v>39194</v>
      </c>
      <c r="E86" s="194" t="s">
        <v>851</v>
      </c>
      <c r="F86" s="153" t="s">
        <v>992</v>
      </c>
      <c r="G86" s="153" t="s">
        <v>863</v>
      </c>
      <c r="H86" s="153"/>
      <c r="I86" s="153">
        <v>461</v>
      </c>
      <c r="J86" s="153">
        <v>462</v>
      </c>
      <c r="K86" s="153">
        <v>465</v>
      </c>
      <c r="L86" s="153">
        <v>467</v>
      </c>
      <c r="M86" s="153">
        <v>474</v>
      </c>
      <c r="N86" s="153">
        <v>478</v>
      </c>
      <c r="O86" s="153">
        <v>480</v>
      </c>
      <c r="P86" s="153">
        <v>483</v>
      </c>
      <c r="Q86" s="153">
        <v>485</v>
      </c>
      <c r="R86" s="153">
        <v>488</v>
      </c>
      <c r="S86" s="110">
        <v>490</v>
      </c>
      <c r="T86" s="110">
        <v>493</v>
      </c>
      <c r="U86" s="110">
        <v>497</v>
      </c>
      <c r="V86" s="114"/>
      <c r="X86" s="121">
        <v>1</v>
      </c>
      <c r="Y86" s="49">
        <v>3</v>
      </c>
      <c r="Z86" s="49">
        <v>2</v>
      </c>
      <c r="AA86" s="49">
        <v>7</v>
      </c>
      <c r="AB86" s="49">
        <v>4</v>
      </c>
      <c r="AC86" s="49">
        <v>2</v>
      </c>
      <c r="AD86" s="49">
        <v>3</v>
      </c>
      <c r="AE86" s="49">
        <v>2</v>
      </c>
      <c r="AF86" s="49">
        <v>3</v>
      </c>
      <c r="AG86" s="49">
        <v>2</v>
      </c>
      <c r="AH86" s="49">
        <v>3</v>
      </c>
      <c r="AI86" s="122">
        <v>4</v>
      </c>
      <c r="AK86" s="270"/>
      <c r="AL86" s="270"/>
    </row>
    <row r="87" spans="2:38" ht="18.75" x14ac:dyDescent="0.25">
      <c r="B87" s="209" t="s">
        <v>1207</v>
      </c>
      <c r="C87" s="220" t="s">
        <v>152</v>
      </c>
      <c r="D87" s="220">
        <v>39757</v>
      </c>
      <c r="E87" s="205" t="s">
        <v>175</v>
      </c>
      <c r="F87" s="153" t="s">
        <v>986</v>
      </c>
      <c r="G87" s="153"/>
      <c r="H87" s="153"/>
      <c r="I87" s="153">
        <v>99597</v>
      </c>
      <c r="J87" s="153">
        <v>101440</v>
      </c>
      <c r="K87" s="153">
        <v>104642</v>
      </c>
      <c r="L87" s="153">
        <v>107472</v>
      </c>
      <c r="M87" s="153">
        <v>110742</v>
      </c>
      <c r="N87" s="153">
        <v>114219</v>
      </c>
      <c r="O87" s="153">
        <v>117920</v>
      </c>
      <c r="P87" s="153">
        <v>121682</v>
      </c>
      <c r="Q87" s="153">
        <v>125656</v>
      </c>
      <c r="R87" s="153">
        <v>129785</v>
      </c>
      <c r="S87" s="110">
        <v>133429</v>
      </c>
      <c r="T87" s="110">
        <v>137374</v>
      </c>
      <c r="U87" s="110">
        <v>141194</v>
      </c>
      <c r="V87" s="114"/>
      <c r="X87" s="121">
        <v>1843</v>
      </c>
      <c r="Y87" s="49">
        <v>3202</v>
      </c>
      <c r="Z87" s="49">
        <v>2830</v>
      </c>
      <c r="AA87" s="49">
        <v>3270</v>
      </c>
      <c r="AB87" s="49">
        <v>3477</v>
      </c>
      <c r="AC87" s="49">
        <v>3701</v>
      </c>
      <c r="AD87" s="49">
        <v>3762</v>
      </c>
      <c r="AE87" s="49">
        <v>3974</v>
      </c>
      <c r="AF87" s="49">
        <v>4129</v>
      </c>
      <c r="AG87" s="49">
        <v>3644</v>
      </c>
      <c r="AH87" s="49">
        <v>3945</v>
      </c>
      <c r="AI87" s="122">
        <v>3820</v>
      </c>
      <c r="AK87" s="270"/>
      <c r="AL87" s="270"/>
    </row>
    <row r="88" spans="2:38" ht="18.75" x14ac:dyDescent="0.3">
      <c r="B88" s="200" t="s">
        <v>164</v>
      </c>
      <c r="C88" s="201" t="s">
        <v>152</v>
      </c>
      <c r="D88" s="201">
        <v>39657</v>
      </c>
      <c r="E88" s="202" t="s">
        <v>165</v>
      </c>
      <c r="F88" s="153" t="s">
        <v>1044</v>
      </c>
      <c r="G88" s="153"/>
      <c r="H88" s="153"/>
      <c r="I88" s="153">
        <v>22293</v>
      </c>
      <c r="J88" s="153">
        <v>22894</v>
      </c>
      <c r="K88" s="153">
        <v>24021</v>
      </c>
      <c r="L88" s="153">
        <v>24885</v>
      </c>
      <c r="M88" s="153">
        <v>25727</v>
      </c>
      <c r="N88" s="153">
        <v>26518</v>
      </c>
      <c r="O88" s="153">
        <v>27341</v>
      </c>
      <c r="P88" s="153">
        <v>28389</v>
      </c>
      <c r="Q88" s="153">
        <v>29318</v>
      </c>
      <c r="R88" s="153">
        <v>30239</v>
      </c>
      <c r="S88" s="110">
        <v>31089</v>
      </c>
      <c r="T88" s="110">
        <v>31990</v>
      </c>
      <c r="U88" s="110">
        <v>33070</v>
      </c>
      <c r="V88" s="114"/>
      <c r="X88" s="121">
        <v>601</v>
      </c>
      <c r="Y88" s="49">
        <v>1127</v>
      </c>
      <c r="Z88" s="49">
        <v>864</v>
      </c>
      <c r="AA88" s="49">
        <v>842</v>
      </c>
      <c r="AB88" s="49">
        <v>791</v>
      </c>
      <c r="AC88" s="49">
        <v>823</v>
      </c>
      <c r="AD88" s="49">
        <v>1048</v>
      </c>
      <c r="AE88" s="49">
        <v>929</v>
      </c>
      <c r="AF88" s="49">
        <v>921</v>
      </c>
      <c r="AG88" s="49">
        <v>850</v>
      </c>
      <c r="AH88" s="49">
        <v>901</v>
      </c>
      <c r="AI88" s="122">
        <v>1080</v>
      </c>
      <c r="AK88" s="270"/>
      <c r="AL88" s="270"/>
    </row>
    <row r="89" spans="2:38" ht="18.75" x14ac:dyDescent="0.25">
      <c r="B89" s="138" t="s">
        <v>429</v>
      </c>
      <c r="C89" s="103" t="s">
        <v>152</v>
      </c>
      <c r="D89" s="103">
        <v>39259</v>
      </c>
      <c r="E89" s="194" t="s">
        <v>23</v>
      </c>
      <c r="F89" s="153" t="s">
        <v>1012</v>
      </c>
      <c r="G89" s="153"/>
      <c r="H89" s="153" t="s">
        <v>446</v>
      </c>
      <c r="I89" s="153">
        <v>150677</v>
      </c>
      <c r="J89" s="153">
        <v>157779</v>
      </c>
      <c r="K89" s="153">
        <v>175111</v>
      </c>
      <c r="L89" s="153">
        <v>189642</v>
      </c>
      <c r="M89" s="153">
        <v>204032</v>
      </c>
      <c r="N89" s="153">
        <v>217334</v>
      </c>
      <c r="O89" s="153">
        <v>230154</v>
      </c>
      <c r="P89" s="153">
        <v>241540</v>
      </c>
      <c r="Q89" s="153">
        <v>253182</v>
      </c>
      <c r="R89" s="153">
        <v>265408</v>
      </c>
      <c r="S89" s="110">
        <v>277506</v>
      </c>
      <c r="T89" s="110">
        <v>293526</v>
      </c>
      <c r="U89" s="110">
        <v>310789</v>
      </c>
      <c r="V89" s="114"/>
      <c r="X89" s="121">
        <v>7102</v>
      </c>
      <c r="Y89" s="49">
        <v>17332</v>
      </c>
      <c r="Z89" s="49">
        <v>14531</v>
      </c>
      <c r="AA89" s="49">
        <v>14390</v>
      </c>
      <c r="AB89" s="49">
        <v>13302</v>
      </c>
      <c r="AC89" s="49">
        <v>12820</v>
      </c>
      <c r="AD89" s="49">
        <v>11386</v>
      </c>
      <c r="AE89" s="49">
        <v>11642</v>
      </c>
      <c r="AF89" s="49">
        <v>12226</v>
      </c>
      <c r="AG89" s="49">
        <v>12098</v>
      </c>
      <c r="AH89" s="49">
        <v>16020</v>
      </c>
      <c r="AI89" s="122">
        <v>17263</v>
      </c>
      <c r="AK89" s="270"/>
      <c r="AL89" s="270"/>
    </row>
    <row r="90" spans="2:38" ht="18.75" x14ac:dyDescent="0.25">
      <c r="B90" s="131" t="s">
        <v>179</v>
      </c>
      <c r="C90" s="4" t="s">
        <v>176</v>
      </c>
      <c r="D90" s="4">
        <v>39246</v>
      </c>
      <c r="E90" s="5" t="s">
        <v>180</v>
      </c>
      <c r="F90" s="153" t="s">
        <v>101</v>
      </c>
      <c r="G90" s="153" t="s">
        <v>735</v>
      </c>
      <c r="H90" s="153"/>
      <c r="I90" s="153">
        <v>561413</v>
      </c>
      <c r="J90" s="153">
        <v>571212</v>
      </c>
      <c r="K90" s="153">
        <v>588374</v>
      </c>
      <c r="L90" s="153">
        <v>603150</v>
      </c>
      <c r="M90" s="153">
        <v>619568</v>
      </c>
      <c r="N90" s="153">
        <v>736528</v>
      </c>
      <c r="O90" s="153">
        <v>753064</v>
      </c>
      <c r="P90" s="153">
        <v>770116</v>
      </c>
      <c r="Q90" s="153">
        <v>785886</v>
      </c>
      <c r="R90" s="153">
        <v>792673</v>
      </c>
      <c r="S90" s="110">
        <v>817356</v>
      </c>
      <c r="T90" s="110">
        <v>834574</v>
      </c>
      <c r="U90" s="110">
        <v>851996</v>
      </c>
      <c r="V90" s="114"/>
      <c r="X90" s="121">
        <v>9799</v>
      </c>
      <c r="Y90" s="49">
        <v>17162</v>
      </c>
      <c r="Z90" s="49">
        <v>14776</v>
      </c>
      <c r="AA90" s="49">
        <v>16418</v>
      </c>
      <c r="AB90" s="49">
        <v>116960</v>
      </c>
      <c r="AC90" s="49">
        <v>16536</v>
      </c>
      <c r="AD90" s="49">
        <v>17052</v>
      </c>
      <c r="AE90" s="49">
        <v>15770</v>
      </c>
      <c r="AF90" s="49">
        <v>6787</v>
      </c>
      <c r="AG90" s="49">
        <v>24683</v>
      </c>
      <c r="AH90" s="49">
        <v>17218</v>
      </c>
      <c r="AI90" s="122">
        <v>17422</v>
      </c>
      <c r="AK90" s="270"/>
      <c r="AL90" s="270"/>
    </row>
    <row r="91" spans="2:38" ht="18.75" x14ac:dyDescent="0.25">
      <c r="B91" s="138" t="s">
        <v>177</v>
      </c>
      <c r="C91" s="103" t="s">
        <v>176</v>
      </c>
      <c r="D91" s="103">
        <v>39497</v>
      </c>
      <c r="E91" s="194" t="s">
        <v>178</v>
      </c>
      <c r="F91" s="153" t="s">
        <v>101</v>
      </c>
      <c r="G91" s="153" t="s">
        <v>735</v>
      </c>
      <c r="H91" s="153"/>
      <c r="I91" s="153">
        <v>3116435</v>
      </c>
      <c r="J91" s="153">
        <v>3152145</v>
      </c>
      <c r="K91" s="153">
        <v>3219697</v>
      </c>
      <c r="L91" s="153">
        <v>3283804</v>
      </c>
      <c r="M91" s="153">
        <v>3349864</v>
      </c>
      <c r="N91" s="153">
        <v>3414084</v>
      </c>
      <c r="O91" s="153">
        <v>3475881</v>
      </c>
      <c r="P91" s="153">
        <v>3538113</v>
      </c>
      <c r="Q91" s="153">
        <v>3593515</v>
      </c>
      <c r="R91" s="153">
        <v>3644764</v>
      </c>
      <c r="S91" s="110">
        <v>3697298</v>
      </c>
      <c r="T91" s="110">
        <v>3757779</v>
      </c>
      <c r="U91" s="110">
        <v>3821159</v>
      </c>
      <c r="V91" s="114"/>
      <c r="X91" s="121">
        <v>35710</v>
      </c>
      <c r="Y91" s="49">
        <v>67552</v>
      </c>
      <c r="Z91" s="49">
        <v>64107</v>
      </c>
      <c r="AA91" s="49">
        <v>66060</v>
      </c>
      <c r="AB91" s="49">
        <v>64220</v>
      </c>
      <c r="AC91" s="49">
        <v>61797</v>
      </c>
      <c r="AD91" s="49">
        <v>62232</v>
      </c>
      <c r="AE91" s="49">
        <v>55402</v>
      </c>
      <c r="AF91" s="49">
        <v>51249</v>
      </c>
      <c r="AG91" s="49">
        <v>52534</v>
      </c>
      <c r="AH91" s="49">
        <v>60481</v>
      </c>
      <c r="AI91" s="122">
        <v>63380</v>
      </c>
      <c r="AK91" s="270"/>
      <c r="AL91" s="270"/>
    </row>
    <row r="92" spans="2:38" ht="18.75" x14ac:dyDescent="0.25">
      <c r="B92" s="138" t="s">
        <v>184</v>
      </c>
      <c r="C92" s="103" t="s">
        <v>183</v>
      </c>
      <c r="D92" s="103">
        <v>39787</v>
      </c>
      <c r="E92" s="194" t="s">
        <v>185</v>
      </c>
      <c r="F92" s="153" t="s">
        <v>186</v>
      </c>
      <c r="G92" s="153" t="s">
        <v>735</v>
      </c>
      <c r="H92" s="153"/>
      <c r="I92" s="153">
        <v>147402</v>
      </c>
      <c r="J92" s="153">
        <v>148158</v>
      </c>
      <c r="K92" s="153">
        <v>149883</v>
      </c>
      <c r="L92" s="153">
        <v>151245</v>
      </c>
      <c r="M92" s="153">
        <v>152429</v>
      </c>
      <c r="N92" s="153">
        <v>153124</v>
      </c>
      <c r="O92" s="153">
        <v>154047</v>
      </c>
      <c r="P92" s="153">
        <v>155246</v>
      </c>
      <c r="Q92" s="153">
        <v>156730</v>
      </c>
      <c r="R92" s="153">
        <v>158165</v>
      </c>
      <c r="S92" s="110">
        <v>159309</v>
      </c>
      <c r="T92" s="110">
        <v>160265</v>
      </c>
      <c r="U92" s="110">
        <v>161732</v>
      </c>
      <c r="V92" s="114"/>
      <c r="X92" s="121">
        <v>756</v>
      </c>
      <c r="Y92" s="49">
        <v>1725</v>
      </c>
      <c r="Z92" s="49">
        <v>1362</v>
      </c>
      <c r="AA92" s="49">
        <v>1184</v>
      </c>
      <c r="AB92" s="49">
        <v>695</v>
      </c>
      <c r="AC92" s="49">
        <v>923</v>
      </c>
      <c r="AD92" s="49">
        <v>1199</v>
      </c>
      <c r="AE92" s="49">
        <v>1484</v>
      </c>
      <c r="AF92" s="49">
        <v>1435</v>
      </c>
      <c r="AG92" s="49">
        <v>1144</v>
      </c>
      <c r="AH92" s="49">
        <v>956</v>
      </c>
      <c r="AI92" s="122">
        <v>1467</v>
      </c>
      <c r="AK92" s="270"/>
      <c r="AL92" s="270"/>
    </row>
    <row r="93" spans="2:38" ht="18.75" x14ac:dyDescent="0.25">
      <c r="B93" s="138" t="s">
        <v>188</v>
      </c>
      <c r="C93" s="103" t="s">
        <v>183</v>
      </c>
      <c r="D93" s="103">
        <v>39051</v>
      </c>
      <c r="E93" s="194" t="s">
        <v>189</v>
      </c>
      <c r="F93" s="153" t="s">
        <v>101</v>
      </c>
      <c r="G93" s="153"/>
      <c r="H93" s="153"/>
      <c r="I93" s="153">
        <v>31526</v>
      </c>
      <c r="J93" s="153">
        <v>31528</v>
      </c>
      <c r="K93" s="153">
        <v>31562</v>
      </c>
      <c r="L93" s="153">
        <v>31566</v>
      </c>
      <c r="M93" s="153">
        <v>31577</v>
      </c>
      <c r="N93" s="153">
        <v>31582</v>
      </c>
      <c r="O93" s="153">
        <v>31582</v>
      </c>
      <c r="P93" s="153">
        <v>31582</v>
      </c>
      <c r="Q93" s="153">
        <v>31312</v>
      </c>
      <c r="R93" s="153">
        <v>31319</v>
      </c>
      <c r="S93" s="110">
        <v>31327</v>
      </c>
      <c r="T93" s="110">
        <v>31335</v>
      </c>
      <c r="U93" s="110">
        <v>31342</v>
      </c>
      <c r="V93" s="114"/>
      <c r="X93" s="121">
        <v>2</v>
      </c>
      <c r="Y93" s="49">
        <v>34</v>
      </c>
      <c r="Z93" s="49">
        <v>4</v>
      </c>
      <c r="AA93" s="49">
        <v>11</v>
      </c>
      <c r="AB93" s="49">
        <v>5</v>
      </c>
      <c r="AC93" s="49">
        <v>0</v>
      </c>
      <c r="AD93" s="49">
        <v>0</v>
      </c>
      <c r="AE93" s="49" t="s">
        <v>856</v>
      </c>
      <c r="AF93" s="49">
        <v>7</v>
      </c>
      <c r="AG93" s="49">
        <v>8</v>
      </c>
      <c r="AH93" s="49">
        <v>8</v>
      </c>
      <c r="AI93" s="122">
        <v>7</v>
      </c>
      <c r="AK93" s="270"/>
      <c r="AL93" s="270"/>
    </row>
    <row r="94" spans="2:38" ht="18.75" x14ac:dyDescent="0.25">
      <c r="B94" s="138" t="s">
        <v>197</v>
      </c>
      <c r="C94" s="103" t="s">
        <v>190</v>
      </c>
      <c r="D94" s="103">
        <v>39042</v>
      </c>
      <c r="E94" s="194" t="s">
        <v>198</v>
      </c>
      <c r="F94" s="153" t="s">
        <v>990</v>
      </c>
      <c r="G94" s="153" t="s">
        <v>199</v>
      </c>
      <c r="H94" s="153"/>
      <c r="I94" s="153">
        <v>31963</v>
      </c>
      <c r="J94" s="153">
        <v>32312</v>
      </c>
      <c r="K94" s="153">
        <v>32316</v>
      </c>
      <c r="L94" s="153">
        <v>33895</v>
      </c>
      <c r="M94" s="153">
        <v>34409</v>
      </c>
      <c r="N94" s="153">
        <v>34906</v>
      </c>
      <c r="O94" s="153">
        <v>35525</v>
      </c>
      <c r="P94" s="153">
        <v>36628</v>
      </c>
      <c r="Q94" s="153">
        <v>38005</v>
      </c>
      <c r="R94" s="153">
        <v>39241</v>
      </c>
      <c r="S94" s="110">
        <v>40174</v>
      </c>
      <c r="T94" s="110">
        <v>41000</v>
      </c>
      <c r="U94" s="110">
        <v>41727</v>
      </c>
      <c r="V94" s="114"/>
      <c r="X94" s="121">
        <v>349</v>
      </c>
      <c r="Y94" s="49">
        <v>4</v>
      </c>
      <c r="Z94" s="49">
        <v>1579</v>
      </c>
      <c r="AA94" s="49">
        <v>514</v>
      </c>
      <c r="AB94" s="49">
        <v>497</v>
      </c>
      <c r="AC94" s="49">
        <v>619</v>
      </c>
      <c r="AD94" s="49">
        <v>1103</v>
      </c>
      <c r="AE94" s="49">
        <v>1377</v>
      </c>
      <c r="AF94" s="49">
        <v>1236</v>
      </c>
      <c r="AG94" s="49">
        <v>933</v>
      </c>
      <c r="AH94" s="49">
        <v>826</v>
      </c>
      <c r="AI94" s="122">
        <v>727</v>
      </c>
      <c r="AK94" s="270"/>
      <c r="AL94" s="270"/>
    </row>
    <row r="95" spans="2:38" ht="18.75" x14ac:dyDescent="0.25">
      <c r="B95" s="138" t="s">
        <v>193</v>
      </c>
      <c r="C95" s="103" t="s">
        <v>190</v>
      </c>
      <c r="D95" s="103">
        <v>39275</v>
      </c>
      <c r="E95" s="194" t="s">
        <v>194</v>
      </c>
      <c r="F95" s="153" t="s">
        <v>983</v>
      </c>
      <c r="G95" s="153"/>
      <c r="H95" s="153"/>
      <c r="I95" s="153">
        <v>32601</v>
      </c>
      <c r="J95" s="153">
        <v>32653</v>
      </c>
      <c r="K95" s="153">
        <v>32708</v>
      </c>
      <c r="L95" s="153">
        <v>32790</v>
      </c>
      <c r="M95" s="153">
        <v>32826</v>
      </c>
      <c r="N95" s="153">
        <v>32856</v>
      </c>
      <c r="O95" s="153">
        <v>32867</v>
      </c>
      <c r="P95" s="153">
        <v>32891</v>
      </c>
      <c r="Q95" s="153">
        <v>32933</v>
      </c>
      <c r="R95" s="153">
        <v>32958</v>
      </c>
      <c r="S95" s="110">
        <v>32969</v>
      </c>
      <c r="T95" s="110">
        <v>33005</v>
      </c>
      <c r="U95" s="110">
        <v>33108</v>
      </c>
      <c r="V95" s="114"/>
      <c r="X95" s="121">
        <v>52</v>
      </c>
      <c r="Y95" s="49">
        <v>55</v>
      </c>
      <c r="Z95" s="49">
        <v>82</v>
      </c>
      <c r="AA95" s="49">
        <v>36</v>
      </c>
      <c r="AB95" s="49">
        <v>30</v>
      </c>
      <c r="AC95" s="49">
        <v>11</v>
      </c>
      <c r="AD95" s="49">
        <v>24</v>
      </c>
      <c r="AE95" s="49">
        <v>42</v>
      </c>
      <c r="AF95" s="49">
        <v>25</v>
      </c>
      <c r="AG95" s="49">
        <v>11</v>
      </c>
      <c r="AH95" s="49">
        <v>36</v>
      </c>
      <c r="AI95" s="122">
        <v>103</v>
      </c>
      <c r="AK95" s="270"/>
      <c r="AL95" s="270"/>
    </row>
    <row r="96" spans="2:38" ht="18.75" x14ac:dyDescent="0.25">
      <c r="B96" s="138" t="s">
        <v>195</v>
      </c>
      <c r="C96" s="103" t="s">
        <v>190</v>
      </c>
      <c r="D96" s="103">
        <v>39135</v>
      </c>
      <c r="E96" s="194" t="s">
        <v>196</v>
      </c>
      <c r="F96" s="153" t="s">
        <v>991</v>
      </c>
      <c r="G96" s="153" t="s">
        <v>449</v>
      </c>
      <c r="H96" s="153"/>
      <c r="I96" s="153">
        <v>601053</v>
      </c>
      <c r="J96" s="153">
        <v>605617</v>
      </c>
      <c r="K96" s="153">
        <v>616305</v>
      </c>
      <c r="L96" s="153">
        <v>626348</v>
      </c>
      <c r="M96" s="153">
        <v>634516</v>
      </c>
      <c r="N96" s="153">
        <v>641827</v>
      </c>
      <c r="O96" s="153">
        <v>649844</v>
      </c>
      <c r="P96" s="153">
        <v>660198</v>
      </c>
      <c r="Q96" s="153">
        <v>670740</v>
      </c>
      <c r="R96" s="153">
        <v>681130</v>
      </c>
      <c r="S96" s="110">
        <v>688631</v>
      </c>
      <c r="T96" s="110">
        <v>697401</v>
      </c>
      <c r="U96" s="110">
        <v>707267</v>
      </c>
      <c r="V96" s="114"/>
      <c r="X96" s="121">
        <v>4564</v>
      </c>
      <c r="Y96" s="49">
        <v>10688</v>
      </c>
      <c r="Z96" s="49">
        <v>10043</v>
      </c>
      <c r="AA96" s="49">
        <v>8168</v>
      </c>
      <c r="AB96" s="49">
        <v>7311</v>
      </c>
      <c r="AC96" s="49">
        <v>8017</v>
      </c>
      <c r="AD96" s="49">
        <v>10354</v>
      </c>
      <c r="AE96" s="49">
        <v>10542</v>
      </c>
      <c r="AF96" s="49">
        <v>10390</v>
      </c>
      <c r="AG96" s="49">
        <v>7501</v>
      </c>
      <c r="AH96" s="49">
        <v>8770</v>
      </c>
      <c r="AI96" s="122">
        <v>9866</v>
      </c>
      <c r="AK96" s="270"/>
      <c r="AL96" s="270"/>
    </row>
    <row r="97" spans="2:38" ht="18.75" x14ac:dyDescent="0.25">
      <c r="B97" s="138" t="s">
        <v>1263</v>
      </c>
      <c r="C97" s="103" t="s">
        <v>200</v>
      </c>
      <c r="D97" s="103">
        <v>39783</v>
      </c>
      <c r="E97" s="194" t="s">
        <v>216</v>
      </c>
      <c r="F97" s="153" t="s">
        <v>217</v>
      </c>
      <c r="G97" s="153"/>
      <c r="H97" s="153"/>
      <c r="I97" s="153">
        <v>137307</v>
      </c>
      <c r="J97" s="153">
        <v>137657</v>
      </c>
      <c r="K97" s="153">
        <v>138330</v>
      </c>
      <c r="L97" s="153">
        <v>139023</v>
      </c>
      <c r="M97" s="153">
        <v>139726</v>
      </c>
      <c r="N97" s="153">
        <v>140512</v>
      </c>
      <c r="O97" s="153">
        <v>141353</v>
      </c>
      <c r="P97" s="153">
        <v>142438</v>
      </c>
      <c r="Q97" s="153">
        <v>143442</v>
      </c>
      <c r="R97" s="153">
        <v>144479</v>
      </c>
      <c r="S97" s="110">
        <v>145364</v>
      </c>
      <c r="T97" s="110">
        <v>146215</v>
      </c>
      <c r="U97" s="110">
        <v>147016</v>
      </c>
      <c r="V97" s="114"/>
      <c r="X97" s="121">
        <v>350</v>
      </c>
      <c r="Y97" s="49">
        <v>673</v>
      </c>
      <c r="Z97" s="49">
        <v>693</v>
      </c>
      <c r="AA97" s="49">
        <v>703</v>
      </c>
      <c r="AB97" s="49">
        <v>786</v>
      </c>
      <c r="AC97" s="49">
        <v>841</v>
      </c>
      <c r="AD97" s="49">
        <v>1085</v>
      </c>
      <c r="AE97" s="49">
        <v>1004</v>
      </c>
      <c r="AF97" s="49">
        <v>1037</v>
      </c>
      <c r="AG97" s="49">
        <v>885</v>
      </c>
      <c r="AH97" s="49">
        <v>851</v>
      </c>
      <c r="AI97" s="122">
        <v>801</v>
      </c>
      <c r="AK97" s="270"/>
      <c r="AL97" s="270"/>
    </row>
    <row r="98" spans="2:38" ht="18.75" x14ac:dyDescent="0.3">
      <c r="B98" s="227" t="s">
        <v>1447</v>
      </c>
      <c r="C98" s="221" t="s">
        <v>200</v>
      </c>
      <c r="D98" s="221">
        <v>39662</v>
      </c>
      <c r="E98" s="203" t="s">
        <v>1448</v>
      </c>
      <c r="F98" s="153" t="s">
        <v>1376</v>
      </c>
      <c r="G98" s="153"/>
      <c r="H98" s="153" t="s">
        <v>1449</v>
      </c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10">
        <v>22</v>
      </c>
      <c r="T98" s="110">
        <v>22</v>
      </c>
      <c r="U98" s="110">
        <v>22</v>
      </c>
      <c r="V98" s="114"/>
      <c r="X98" s="121" t="s">
        <v>734</v>
      </c>
      <c r="Y98" s="49" t="s">
        <v>734</v>
      </c>
      <c r="Z98" s="49" t="s">
        <v>734</v>
      </c>
      <c r="AA98" s="49" t="s">
        <v>734</v>
      </c>
      <c r="AB98" s="49" t="s">
        <v>734</v>
      </c>
      <c r="AC98" s="49" t="s">
        <v>734</v>
      </c>
      <c r="AD98" s="49" t="s">
        <v>734</v>
      </c>
      <c r="AE98" s="49" t="s">
        <v>734</v>
      </c>
      <c r="AF98" s="49" t="s">
        <v>734</v>
      </c>
      <c r="AG98" s="49" t="s">
        <v>734</v>
      </c>
      <c r="AH98" s="49">
        <v>0</v>
      </c>
      <c r="AI98" s="122">
        <v>0</v>
      </c>
      <c r="AK98" s="270"/>
      <c r="AL98" s="270"/>
    </row>
    <row r="99" spans="2:38" ht="18.75" x14ac:dyDescent="0.25">
      <c r="B99" s="131" t="s">
        <v>1299</v>
      </c>
      <c r="C99" s="4" t="s">
        <v>200</v>
      </c>
      <c r="D99" s="4">
        <v>39372</v>
      </c>
      <c r="E99" s="5" t="s">
        <v>749</v>
      </c>
      <c r="F99" s="153" t="s">
        <v>985</v>
      </c>
      <c r="G99" s="153" t="s">
        <v>913</v>
      </c>
      <c r="H99" s="153" t="s">
        <v>912</v>
      </c>
      <c r="I99" s="153">
        <v>3135</v>
      </c>
      <c r="J99" s="153">
        <v>3332</v>
      </c>
      <c r="K99" s="153">
        <v>3751</v>
      </c>
      <c r="L99" s="153">
        <v>4140</v>
      </c>
      <c r="M99" s="153">
        <v>4422</v>
      </c>
      <c r="N99" s="153">
        <v>4708</v>
      </c>
      <c r="O99" s="153">
        <v>5112</v>
      </c>
      <c r="P99" s="153">
        <v>5864</v>
      </c>
      <c r="Q99" s="153">
        <v>6880</v>
      </c>
      <c r="R99" s="153">
        <v>7508</v>
      </c>
      <c r="S99" s="110">
        <v>7926</v>
      </c>
      <c r="T99" s="110">
        <v>8234</v>
      </c>
      <c r="U99" s="110">
        <v>8595</v>
      </c>
      <c r="V99" s="114"/>
      <c r="X99" s="121">
        <v>197</v>
      </c>
      <c r="Y99" s="49">
        <v>419</v>
      </c>
      <c r="Z99" s="49">
        <v>389</v>
      </c>
      <c r="AA99" s="49">
        <v>282</v>
      </c>
      <c r="AB99" s="49">
        <v>286</v>
      </c>
      <c r="AC99" s="49">
        <v>404</v>
      </c>
      <c r="AD99" s="49">
        <v>752</v>
      </c>
      <c r="AE99" s="49">
        <v>1016</v>
      </c>
      <c r="AF99" s="49">
        <v>628</v>
      </c>
      <c r="AG99" s="49">
        <v>418</v>
      </c>
      <c r="AH99" s="49">
        <v>308</v>
      </c>
      <c r="AI99" s="122">
        <v>361</v>
      </c>
      <c r="AK99" s="270"/>
      <c r="AL99" s="270"/>
    </row>
    <row r="100" spans="2:38" ht="18.75" x14ac:dyDescent="0.25">
      <c r="B100" s="131" t="s">
        <v>877</v>
      </c>
      <c r="C100" s="4" t="s">
        <v>200</v>
      </c>
      <c r="D100" s="4">
        <v>39477</v>
      </c>
      <c r="E100" s="5" t="s">
        <v>210</v>
      </c>
      <c r="F100" s="153" t="s">
        <v>982</v>
      </c>
      <c r="G100" s="153"/>
      <c r="H100" s="153" t="s">
        <v>914</v>
      </c>
      <c r="I100" s="153">
        <v>14235</v>
      </c>
      <c r="J100" s="153">
        <v>14616</v>
      </c>
      <c r="K100" s="153">
        <v>15577</v>
      </c>
      <c r="L100" s="153">
        <v>16091</v>
      </c>
      <c r="M100" s="153">
        <v>16369</v>
      </c>
      <c r="N100" s="153">
        <v>16870</v>
      </c>
      <c r="O100" s="153">
        <v>17549</v>
      </c>
      <c r="P100" s="153">
        <v>19606</v>
      </c>
      <c r="Q100" s="153">
        <v>22126</v>
      </c>
      <c r="R100" s="153">
        <v>24420</v>
      </c>
      <c r="S100" s="110">
        <v>25431</v>
      </c>
      <c r="T100" s="110">
        <v>26278</v>
      </c>
      <c r="U100" s="110">
        <v>27204</v>
      </c>
      <c r="V100" s="114"/>
      <c r="X100" s="121">
        <v>381</v>
      </c>
      <c r="Y100" s="49">
        <v>961</v>
      </c>
      <c r="Z100" s="49">
        <v>514</v>
      </c>
      <c r="AA100" s="49">
        <v>278</v>
      </c>
      <c r="AB100" s="49">
        <v>501</v>
      </c>
      <c r="AC100" s="49">
        <v>679</v>
      </c>
      <c r="AD100" s="49">
        <v>2057</v>
      </c>
      <c r="AE100" s="49">
        <v>2520</v>
      </c>
      <c r="AF100" s="49">
        <v>2294</v>
      </c>
      <c r="AG100" s="49">
        <v>1011</v>
      </c>
      <c r="AH100" s="49">
        <v>847</v>
      </c>
      <c r="AI100" s="122">
        <v>926</v>
      </c>
      <c r="AK100" s="270"/>
      <c r="AL100" s="270"/>
    </row>
    <row r="101" spans="2:38" ht="18.75" x14ac:dyDescent="0.25">
      <c r="B101" s="131" t="s">
        <v>1092</v>
      </c>
      <c r="C101" s="15" t="s">
        <v>200</v>
      </c>
      <c r="D101" s="15">
        <v>39308</v>
      </c>
      <c r="E101" s="14" t="s">
        <v>110</v>
      </c>
      <c r="F101" s="153" t="s">
        <v>1345</v>
      </c>
      <c r="G101" s="153"/>
      <c r="H101" s="153" t="s">
        <v>1095</v>
      </c>
      <c r="I101" s="153">
        <v>0</v>
      </c>
      <c r="J101" s="153">
        <v>5</v>
      </c>
      <c r="K101" s="153">
        <v>984</v>
      </c>
      <c r="L101" s="153">
        <v>2350</v>
      </c>
      <c r="M101" s="153">
        <v>3352</v>
      </c>
      <c r="N101" s="153">
        <v>4392</v>
      </c>
      <c r="O101" s="153">
        <v>5530</v>
      </c>
      <c r="P101" s="153">
        <v>7236</v>
      </c>
      <c r="Q101" s="153">
        <v>8948</v>
      </c>
      <c r="R101" s="153">
        <v>10359</v>
      </c>
      <c r="S101" s="110">
        <v>11444</v>
      </c>
      <c r="T101" s="110">
        <v>12629</v>
      </c>
      <c r="U101" s="110">
        <v>13867</v>
      </c>
      <c r="V101" s="114"/>
      <c r="X101" s="121">
        <v>5</v>
      </c>
      <c r="Y101" s="49">
        <v>979</v>
      </c>
      <c r="Z101" s="49">
        <v>1366</v>
      </c>
      <c r="AA101" s="49">
        <v>1002</v>
      </c>
      <c r="AB101" s="49">
        <v>1040</v>
      </c>
      <c r="AC101" s="49">
        <v>1138</v>
      </c>
      <c r="AD101" s="49">
        <v>1706</v>
      </c>
      <c r="AE101" s="49">
        <v>1712</v>
      </c>
      <c r="AF101" s="49">
        <v>1411</v>
      </c>
      <c r="AG101" s="49">
        <v>1085</v>
      </c>
      <c r="AH101" s="49">
        <v>1185</v>
      </c>
      <c r="AI101" s="122">
        <v>1238</v>
      </c>
      <c r="AK101" s="270"/>
      <c r="AL101" s="270"/>
    </row>
    <row r="102" spans="2:38" ht="18.75" x14ac:dyDescent="0.25">
      <c r="B102" s="136" t="s">
        <v>1094</v>
      </c>
      <c r="C102" s="4" t="s">
        <v>200</v>
      </c>
      <c r="D102" s="4">
        <v>39587</v>
      </c>
      <c r="E102" s="5" t="s">
        <v>1093</v>
      </c>
      <c r="F102" s="153" t="s">
        <v>1346</v>
      </c>
      <c r="G102" s="153"/>
      <c r="H102" s="153" t="s">
        <v>1095</v>
      </c>
      <c r="I102" s="153">
        <v>0</v>
      </c>
      <c r="J102" s="153">
        <v>97</v>
      </c>
      <c r="K102" s="153">
        <v>197</v>
      </c>
      <c r="L102" s="153">
        <v>506</v>
      </c>
      <c r="M102" s="153">
        <v>1411</v>
      </c>
      <c r="N102" s="153">
        <v>3707</v>
      </c>
      <c r="O102" s="153">
        <v>6391</v>
      </c>
      <c r="P102" s="153">
        <v>9413</v>
      </c>
      <c r="Q102" s="153">
        <v>12193</v>
      </c>
      <c r="R102" s="153">
        <v>14767</v>
      </c>
      <c r="S102" s="110">
        <v>17003</v>
      </c>
      <c r="T102" s="110">
        <v>19496</v>
      </c>
      <c r="U102" s="110">
        <v>22476</v>
      </c>
      <c r="V102" s="114"/>
      <c r="X102" s="121">
        <v>97</v>
      </c>
      <c r="Y102" s="49">
        <v>100</v>
      </c>
      <c r="Z102" s="49">
        <v>309</v>
      </c>
      <c r="AA102" s="49">
        <v>905</v>
      </c>
      <c r="AB102" s="49">
        <v>2296</v>
      </c>
      <c r="AC102" s="49">
        <v>2684</v>
      </c>
      <c r="AD102" s="49">
        <v>3022</v>
      </c>
      <c r="AE102" s="49">
        <v>2780</v>
      </c>
      <c r="AF102" s="49">
        <v>2574</v>
      </c>
      <c r="AG102" s="49">
        <v>2236</v>
      </c>
      <c r="AH102" s="49">
        <v>2493</v>
      </c>
      <c r="AI102" s="122">
        <v>2980</v>
      </c>
      <c r="AK102" s="270"/>
      <c r="AL102" s="270"/>
    </row>
    <row r="103" spans="2:38" ht="18.75" x14ac:dyDescent="0.25">
      <c r="B103" s="131" t="s">
        <v>1259</v>
      </c>
      <c r="C103" s="15" t="s">
        <v>200</v>
      </c>
      <c r="D103" s="15">
        <v>39313</v>
      </c>
      <c r="E103" s="14" t="s">
        <v>1260</v>
      </c>
      <c r="F103" s="153" t="s">
        <v>1347</v>
      </c>
      <c r="G103" s="153"/>
      <c r="H103" s="153" t="s">
        <v>1261</v>
      </c>
      <c r="I103" s="153"/>
      <c r="J103" s="153"/>
      <c r="K103" s="153"/>
      <c r="L103" s="153">
        <v>5</v>
      </c>
      <c r="M103" s="153">
        <v>213</v>
      </c>
      <c r="N103" s="153">
        <v>976</v>
      </c>
      <c r="O103" s="153">
        <v>2045</v>
      </c>
      <c r="P103" s="153">
        <v>4154</v>
      </c>
      <c r="Q103" s="153">
        <v>6366</v>
      </c>
      <c r="R103" s="153">
        <v>8603</v>
      </c>
      <c r="S103" s="110">
        <v>10585</v>
      </c>
      <c r="T103" s="110">
        <v>12167</v>
      </c>
      <c r="U103" s="110">
        <v>13836</v>
      </c>
      <c r="V103" s="114"/>
      <c r="X103" s="121" t="s">
        <v>734</v>
      </c>
      <c r="Y103" s="49" t="s">
        <v>734</v>
      </c>
      <c r="Z103" s="49" t="s">
        <v>734</v>
      </c>
      <c r="AA103" s="49">
        <v>208</v>
      </c>
      <c r="AB103" s="49">
        <v>763</v>
      </c>
      <c r="AC103" s="49">
        <v>1069</v>
      </c>
      <c r="AD103" s="49">
        <v>2109</v>
      </c>
      <c r="AE103" s="49">
        <v>2212</v>
      </c>
      <c r="AF103" s="49">
        <v>2237</v>
      </c>
      <c r="AG103" s="49">
        <v>1982</v>
      </c>
      <c r="AH103" s="49">
        <v>1582</v>
      </c>
      <c r="AI103" s="122">
        <v>1669</v>
      </c>
      <c r="AK103" s="270"/>
      <c r="AL103" s="270"/>
    </row>
    <row r="104" spans="2:38" ht="18.75" x14ac:dyDescent="0.25">
      <c r="B104" s="131" t="s">
        <v>1118</v>
      </c>
      <c r="C104" s="15" t="s">
        <v>200</v>
      </c>
      <c r="D104" s="15">
        <v>39578</v>
      </c>
      <c r="E104" s="14" t="s">
        <v>1117</v>
      </c>
      <c r="F104" s="153" t="s">
        <v>1348</v>
      </c>
      <c r="G104" s="153"/>
      <c r="H104" s="153" t="s">
        <v>1119</v>
      </c>
      <c r="I104" s="153"/>
      <c r="J104" s="153">
        <v>5</v>
      </c>
      <c r="K104" s="153">
        <v>10</v>
      </c>
      <c r="L104" s="153">
        <v>41</v>
      </c>
      <c r="M104" s="153">
        <v>53</v>
      </c>
      <c r="N104" s="153">
        <v>60</v>
      </c>
      <c r="O104" s="153">
        <v>915</v>
      </c>
      <c r="P104" s="153">
        <v>2390</v>
      </c>
      <c r="Q104" s="153">
        <v>4048</v>
      </c>
      <c r="R104" s="153">
        <v>5507</v>
      </c>
      <c r="S104" s="110">
        <v>6544</v>
      </c>
      <c r="T104" s="110">
        <v>7702</v>
      </c>
      <c r="U104" s="110">
        <v>8966</v>
      </c>
      <c r="V104" s="114"/>
      <c r="X104" s="121" t="s">
        <v>734</v>
      </c>
      <c r="Y104" s="49">
        <v>5</v>
      </c>
      <c r="Z104" s="49">
        <v>31</v>
      </c>
      <c r="AA104" s="49">
        <v>12</v>
      </c>
      <c r="AB104" s="49">
        <v>7</v>
      </c>
      <c r="AC104" s="49">
        <v>855</v>
      </c>
      <c r="AD104" s="49">
        <v>1475</v>
      </c>
      <c r="AE104" s="49">
        <v>1658</v>
      </c>
      <c r="AF104" s="49">
        <v>1459</v>
      </c>
      <c r="AG104" s="49">
        <v>1037</v>
      </c>
      <c r="AH104" s="49">
        <v>1158</v>
      </c>
      <c r="AI104" s="122">
        <v>1264</v>
      </c>
      <c r="AK104" s="270"/>
      <c r="AL104" s="270"/>
    </row>
    <row r="105" spans="2:38" ht="18.75" x14ac:dyDescent="0.25">
      <c r="B105" s="131" t="s">
        <v>748</v>
      </c>
      <c r="C105" s="4" t="s">
        <v>200</v>
      </c>
      <c r="D105" s="4">
        <v>39931</v>
      </c>
      <c r="E105" s="5" t="s">
        <v>208</v>
      </c>
      <c r="F105" s="153" t="s">
        <v>983</v>
      </c>
      <c r="G105" s="153" t="s">
        <v>861</v>
      </c>
      <c r="H105" s="153" t="s">
        <v>911</v>
      </c>
      <c r="I105" s="153">
        <v>3994</v>
      </c>
      <c r="J105" s="153">
        <v>4166</v>
      </c>
      <c r="K105" s="153">
        <v>4547</v>
      </c>
      <c r="L105" s="153">
        <v>5000</v>
      </c>
      <c r="M105" s="153">
        <v>5420</v>
      </c>
      <c r="N105" s="153">
        <v>5861</v>
      </c>
      <c r="O105" s="153">
        <v>6283</v>
      </c>
      <c r="P105" s="153">
        <v>6825</v>
      </c>
      <c r="Q105" s="153">
        <v>7469</v>
      </c>
      <c r="R105" s="153">
        <v>8065</v>
      </c>
      <c r="S105" s="110">
        <v>8601</v>
      </c>
      <c r="T105" s="110">
        <v>9072</v>
      </c>
      <c r="U105" s="110">
        <v>9550</v>
      </c>
      <c r="V105" s="114"/>
      <c r="X105" s="121">
        <v>172</v>
      </c>
      <c r="Y105" s="49">
        <v>381</v>
      </c>
      <c r="Z105" s="49">
        <v>453</v>
      </c>
      <c r="AA105" s="49">
        <v>420</v>
      </c>
      <c r="AB105" s="49">
        <v>441</v>
      </c>
      <c r="AC105" s="49">
        <v>422</v>
      </c>
      <c r="AD105" s="49">
        <v>542</v>
      </c>
      <c r="AE105" s="49">
        <v>644</v>
      </c>
      <c r="AF105" s="49">
        <v>596</v>
      </c>
      <c r="AG105" s="49">
        <v>536</v>
      </c>
      <c r="AH105" s="49">
        <v>471</v>
      </c>
      <c r="AI105" s="122">
        <v>478</v>
      </c>
      <c r="AK105" s="270"/>
      <c r="AL105" s="270"/>
    </row>
    <row r="106" spans="2:38" ht="18.75" x14ac:dyDescent="0.25">
      <c r="B106" s="131" t="s">
        <v>1047</v>
      </c>
      <c r="C106" s="4" t="s">
        <v>200</v>
      </c>
      <c r="D106" s="4">
        <v>39581</v>
      </c>
      <c r="E106" s="5" t="s">
        <v>1359</v>
      </c>
      <c r="F106" s="153" t="s">
        <v>1059</v>
      </c>
      <c r="G106" s="153"/>
      <c r="H106" s="153" t="s">
        <v>1194</v>
      </c>
      <c r="I106" s="153">
        <v>84197</v>
      </c>
      <c r="J106" s="153">
        <v>84197</v>
      </c>
      <c r="K106" s="153">
        <v>84197</v>
      </c>
      <c r="L106" s="153">
        <v>84197</v>
      </c>
      <c r="M106" s="153">
        <v>84197</v>
      </c>
      <c r="N106" s="153">
        <v>84197</v>
      </c>
      <c r="O106" s="153">
        <v>84197</v>
      </c>
      <c r="P106" s="153">
        <v>84197</v>
      </c>
      <c r="Q106" s="153">
        <v>84197</v>
      </c>
      <c r="R106" s="153">
        <v>84197</v>
      </c>
      <c r="S106" s="110">
        <v>84197</v>
      </c>
      <c r="T106" s="110">
        <v>84197</v>
      </c>
      <c r="U106" s="110">
        <v>84197</v>
      </c>
      <c r="V106" s="114"/>
      <c r="X106" s="121">
        <v>0</v>
      </c>
      <c r="Y106" s="49">
        <v>0</v>
      </c>
      <c r="Z106" s="49">
        <v>0</v>
      </c>
      <c r="AA106" s="49">
        <v>0</v>
      </c>
      <c r="AB106" s="49">
        <v>0</v>
      </c>
      <c r="AC106" s="49">
        <v>0</v>
      </c>
      <c r="AD106" s="49">
        <v>0</v>
      </c>
      <c r="AE106" s="49">
        <v>0</v>
      </c>
      <c r="AF106" s="49">
        <v>0</v>
      </c>
      <c r="AG106" s="49">
        <v>0</v>
      </c>
      <c r="AH106" s="49">
        <v>0</v>
      </c>
      <c r="AI106" s="122">
        <v>0</v>
      </c>
      <c r="AK106" s="270"/>
      <c r="AL106" s="270"/>
    </row>
    <row r="107" spans="2:38" ht="18.75" x14ac:dyDescent="0.25">
      <c r="B107" s="131" t="s">
        <v>201</v>
      </c>
      <c r="C107" s="15" t="s">
        <v>200</v>
      </c>
      <c r="D107" s="15">
        <v>39439</v>
      </c>
      <c r="E107" s="14" t="s">
        <v>1049</v>
      </c>
      <c r="F107" s="153" t="s">
        <v>202</v>
      </c>
      <c r="G107" s="153"/>
      <c r="H107" s="153"/>
      <c r="I107" s="153">
        <v>6683</v>
      </c>
      <c r="J107" s="153">
        <v>6704</v>
      </c>
      <c r="K107" s="153">
        <v>6745</v>
      </c>
      <c r="L107" s="153">
        <v>6783</v>
      </c>
      <c r="M107" s="153">
        <v>6823</v>
      </c>
      <c r="N107" s="153">
        <v>6864</v>
      </c>
      <c r="O107" s="153">
        <v>6907</v>
      </c>
      <c r="P107" s="153">
        <v>6961</v>
      </c>
      <c r="Q107" s="153">
        <v>7014</v>
      </c>
      <c r="R107" s="153">
        <v>7064</v>
      </c>
      <c r="S107" s="110">
        <v>7106</v>
      </c>
      <c r="T107" s="110">
        <v>7150</v>
      </c>
      <c r="U107" s="110">
        <v>7192</v>
      </c>
      <c r="V107" s="114"/>
      <c r="X107" s="121">
        <v>21</v>
      </c>
      <c r="Y107" s="49">
        <v>41</v>
      </c>
      <c r="Z107" s="49">
        <v>38</v>
      </c>
      <c r="AA107" s="49">
        <v>40</v>
      </c>
      <c r="AB107" s="49">
        <v>41</v>
      </c>
      <c r="AC107" s="49">
        <v>43</v>
      </c>
      <c r="AD107" s="49">
        <v>54</v>
      </c>
      <c r="AE107" s="49">
        <v>53</v>
      </c>
      <c r="AF107" s="49">
        <v>50</v>
      </c>
      <c r="AG107" s="49">
        <v>42</v>
      </c>
      <c r="AH107" s="49">
        <v>44</v>
      </c>
      <c r="AI107" s="122">
        <v>42</v>
      </c>
      <c r="AK107" s="270"/>
      <c r="AL107" s="270"/>
    </row>
    <row r="108" spans="2:38" ht="18.75" x14ac:dyDescent="0.25">
      <c r="B108" s="131" t="s">
        <v>213</v>
      </c>
      <c r="C108" s="15" t="s">
        <v>200</v>
      </c>
      <c r="D108" s="15">
        <v>39793</v>
      </c>
      <c r="E108" s="14" t="s">
        <v>214</v>
      </c>
      <c r="F108" s="153" t="s">
        <v>215</v>
      </c>
      <c r="G108" s="153"/>
      <c r="H108" s="153"/>
      <c r="I108" s="153">
        <v>60847</v>
      </c>
      <c r="J108" s="153">
        <v>61214</v>
      </c>
      <c r="K108" s="153">
        <v>61993</v>
      </c>
      <c r="L108" s="153">
        <v>62778</v>
      </c>
      <c r="M108" s="153">
        <v>63556</v>
      </c>
      <c r="N108" s="153">
        <v>64336</v>
      </c>
      <c r="O108" s="153">
        <v>65074</v>
      </c>
      <c r="P108" s="153">
        <v>65902</v>
      </c>
      <c r="Q108" s="153">
        <v>66705</v>
      </c>
      <c r="R108" s="153">
        <v>67563</v>
      </c>
      <c r="S108" s="110">
        <v>68315</v>
      </c>
      <c r="T108" s="110">
        <v>69186</v>
      </c>
      <c r="U108" s="110">
        <v>70100</v>
      </c>
      <c r="V108" s="114"/>
      <c r="X108" s="121">
        <v>367</v>
      </c>
      <c r="Y108" s="49">
        <v>779</v>
      </c>
      <c r="Z108" s="49">
        <v>785</v>
      </c>
      <c r="AA108" s="49">
        <v>778</v>
      </c>
      <c r="AB108" s="49">
        <v>780</v>
      </c>
      <c r="AC108" s="49">
        <v>738</v>
      </c>
      <c r="AD108" s="49">
        <v>828</v>
      </c>
      <c r="AE108" s="49">
        <v>803</v>
      </c>
      <c r="AF108" s="49">
        <v>858</v>
      </c>
      <c r="AG108" s="49">
        <v>752</v>
      </c>
      <c r="AH108" s="49">
        <v>871</v>
      </c>
      <c r="AI108" s="122">
        <v>914</v>
      </c>
      <c r="AK108" s="270"/>
      <c r="AL108" s="270"/>
    </row>
    <row r="109" spans="2:38" ht="18.75" x14ac:dyDescent="0.25">
      <c r="B109" s="131" t="s">
        <v>207</v>
      </c>
      <c r="C109" s="4" t="s">
        <v>200</v>
      </c>
      <c r="D109" s="4">
        <v>39238</v>
      </c>
      <c r="E109" s="5" t="s">
        <v>208</v>
      </c>
      <c r="F109" s="153" t="s">
        <v>991</v>
      </c>
      <c r="G109" s="153"/>
      <c r="H109" s="153"/>
      <c r="I109" s="153">
        <v>154544</v>
      </c>
      <c r="J109" s="153">
        <v>155262</v>
      </c>
      <c r="K109" s="153">
        <v>156449</v>
      </c>
      <c r="L109" s="153">
        <v>157513</v>
      </c>
      <c r="M109" s="153">
        <v>158518</v>
      </c>
      <c r="N109" s="153">
        <v>159470</v>
      </c>
      <c r="O109" s="153">
        <v>160570</v>
      </c>
      <c r="P109" s="153">
        <v>162197</v>
      </c>
      <c r="Q109" s="153">
        <v>163836</v>
      </c>
      <c r="R109" s="153">
        <v>165433</v>
      </c>
      <c r="S109" s="110">
        <v>166626</v>
      </c>
      <c r="T109" s="110">
        <v>167765</v>
      </c>
      <c r="U109" s="110">
        <v>168967</v>
      </c>
      <c r="V109" s="114"/>
      <c r="X109" s="121">
        <v>718</v>
      </c>
      <c r="Y109" s="49">
        <v>1187</v>
      </c>
      <c r="Z109" s="49">
        <v>1064</v>
      </c>
      <c r="AA109" s="49">
        <v>1005</v>
      </c>
      <c r="AB109" s="49">
        <v>952</v>
      </c>
      <c r="AC109" s="49">
        <v>1100</v>
      </c>
      <c r="AD109" s="49">
        <v>1627</v>
      </c>
      <c r="AE109" s="49">
        <v>1639</v>
      </c>
      <c r="AF109" s="49">
        <v>1597</v>
      </c>
      <c r="AG109" s="49">
        <v>1193</v>
      </c>
      <c r="AH109" s="49">
        <v>1139</v>
      </c>
      <c r="AI109" s="122">
        <v>1202</v>
      </c>
      <c r="AK109" s="270"/>
      <c r="AL109" s="270"/>
    </row>
    <row r="110" spans="2:38" ht="18.75" x14ac:dyDescent="0.25">
      <c r="B110" s="131" t="s">
        <v>203</v>
      </c>
      <c r="C110" s="15" t="s">
        <v>200</v>
      </c>
      <c r="D110" s="15">
        <v>39340</v>
      </c>
      <c r="E110" s="14" t="s">
        <v>204</v>
      </c>
      <c r="F110" s="153" t="s">
        <v>990</v>
      </c>
      <c r="G110" s="153"/>
      <c r="H110" s="153" t="s">
        <v>205</v>
      </c>
      <c r="I110" s="153">
        <v>865824</v>
      </c>
      <c r="J110" s="153">
        <v>867693</v>
      </c>
      <c r="K110" s="153">
        <v>876330</v>
      </c>
      <c r="L110" s="153">
        <v>879116</v>
      </c>
      <c r="M110" s="153">
        <v>881764</v>
      </c>
      <c r="N110" s="153">
        <v>883489</v>
      </c>
      <c r="O110" s="153">
        <v>884949</v>
      </c>
      <c r="P110" s="153">
        <v>886940</v>
      </c>
      <c r="Q110" s="153">
        <v>888638</v>
      </c>
      <c r="R110" s="153">
        <v>891256</v>
      </c>
      <c r="S110" s="110">
        <v>892767</v>
      </c>
      <c r="T110" s="110">
        <v>895218</v>
      </c>
      <c r="U110" s="110">
        <v>898513</v>
      </c>
      <c r="V110" s="114"/>
      <c r="X110" s="121">
        <v>1869</v>
      </c>
      <c r="Y110" s="49">
        <v>8637</v>
      </c>
      <c r="Z110" s="49">
        <v>2786</v>
      </c>
      <c r="AA110" s="49">
        <v>2648</v>
      </c>
      <c r="AB110" s="49">
        <v>1725</v>
      </c>
      <c r="AC110" s="49">
        <v>1460</v>
      </c>
      <c r="AD110" s="49">
        <v>1991</v>
      </c>
      <c r="AE110" s="49">
        <v>1698</v>
      </c>
      <c r="AF110" s="49">
        <v>2618</v>
      </c>
      <c r="AG110" s="49">
        <v>1511</v>
      </c>
      <c r="AH110" s="49">
        <v>2451</v>
      </c>
      <c r="AI110" s="122">
        <v>3295</v>
      </c>
      <c r="AK110" s="270"/>
      <c r="AL110" s="270"/>
    </row>
    <row r="111" spans="2:38" ht="18.75" x14ac:dyDescent="0.25">
      <c r="B111" s="131" t="s">
        <v>223</v>
      </c>
      <c r="C111" s="15" t="s">
        <v>221</v>
      </c>
      <c r="D111" s="15">
        <v>39132</v>
      </c>
      <c r="E111" s="14" t="s">
        <v>224</v>
      </c>
      <c r="F111" s="153" t="s">
        <v>1138</v>
      </c>
      <c r="G111" s="153"/>
      <c r="H111" s="153"/>
      <c r="I111" s="153">
        <v>444436</v>
      </c>
      <c r="J111" s="153">
        <v>447233</v>
      </c>
      <c r="K111" s="153">
        <v>452543</v>
      </c>
      <c r="L111" s="153">
        <v>457435</v>
      </c>
      <c r="M111" s="153">
        <v>462483</v>
      </c>
      <c r="N111" s="153">
        <v>467341</v>
      </c>
      <c r="O111" s="153">
        <v>472162</v>
      </c>
      <c r="P111" s="153">
        <v>477444</v>
      </c>
      <c r="Q111" s="153">
        <v>482668</v>
      </c>
      <c r="R111" s="153">
        <v>488026</v>
      </c>
      <c r="S111" s="110">
        <v>492701</v>
      </c>
      <c r="T111" s="110">
        <v>498049</v>
      </c>
      <c r="U111" s="110">
        <v>503450</v>
      </c>
      <c r="V111" s="114"/>
      <c r="X111" s="121">
        <v>2797</v>
      </c>
      <c r="Y111" s="49">
        <v>5310</v>
      </c>
      <c r="Z111" s="49">
        <v>4892</v>
      </c>
      <c r="AA111" s="49">
        <v>5048</v>
      </c>
      <c r="AB111" s="49">
        <v>4858</v>
      </c>
      <c r="AC111" s="49">
        <v>4821</v>
      </c>
      <c r="AD111" s="49">
        <v>5282</v>
      </c>
      <c r="AE111" s="49">
        <v>5224</v>
      </c>
      <c r="AF111" s="49">
        <v>5358</v>
      </c>
      <c r="AG111" s="49">
        <v>4675</v>
      </c>
      <c r="AH111" s="49">
        <v>5348</v>
      </c>
      <c r="AI111" s="122">
        <v>5401</v>
      </c>
      <c r="AK111" s="270"/>
      <c r="AL111" s="270"/>
    </row>
    <row r="112" spans="2:38" ht="18.75" x14ac:dyDescent="0.25">
      <c r="B112" s="131" t="s">
        <v>225</v>
      </c>
      <c r="C112" s="4" t="s">
        <v>221</v>
      </c>
      <c r="D112" s="4">
        <v>39036</v>
      </c>
      <c r="E112" s="5" t="s">
        <v>226</v>
      </c>
      <c r="F112" s="153" t="s">
        <v>1139</v>
      </c>
      <c r="G112" s="153" t="s">
        <v>227</v>
      </c>
      <c r="H112" s="153"/>
      <c r="I112" s="153">
        <v>1003020</v>
      </c>
      <c r="J112" s="153">
        <v>1005804</v>
      </c>
      <c r="K112" s="153">
        <v>1012894</v>
      </c>
      <c r="L112" s="153">
        <v>1018869</v>
      </c>
      <c r="M112" s="153">
        <v>1024754</v>
      </c>
      <c r="N112" s="153">
        <v>1034002</v>
      </c>
      <c r="O112" s="153">
        <v>1042559</v>
      </c>
      <c r="P112" s="153">
        <v>1044632</v>
      </c>
      <c r="Q112" s="153">
        <v>1045822</v>
      </c>
      <c r="R112" s="153">
        <v>1046101</v>
      </c>
      <c r="S112" s="110">
        <v>1046495</v>
      </c>
      <c r="T112" s="110">
        <v>1048962</v>
      </c>
      <c r="U112" s="110">
        <v>1053449</v>
      </c>
      <c r="V112" s="114"/>
      <c r="X112" s="121">
        <v>2784</v>
      </c>
      <c r="Y112" s="49">
        <v>7090</v>
      </c>
      <c r="Z112" s="49">
        <v>5975</v>
      </c>
      <c r="AA112" s="49">
        <v>5885</v>
      </c>
      <c r="AB112" s="49">
        <v>9248</v>
      </c>
      <c r="AC112" s="49">
        <v>8557</v>
      </c>
      <c r="AD112" s="49">
        <v>2073</v>
      </c>
      <c r="AE112" s="49">
        <v>1190</v>
      </c>
      <c r="AF112" s="49">
        <v>279</v>
      </c>
      <c r="AG112" s="49">
        <v>394</v>
      </c>
      <c r="AH112" s="49">
        <v>2467</v>
      </c>
      <c r="AI112" s="122">
        <v>4487</v>
      </c>
      <c r="AK112" s="270"/>
      <c r="AL112" s="270"/>
    </row>
    <row r="113" spans="2:38" ht="18.75" x14ac:dyDescent="0.3">
      <c r="B113" s="137" t="s">
        <v>235</v>
      </c>
      <c r="C113" s="103" t="s">
        <v>228</v>
      </c>
      <c r="D113" s="103">
        <v>39381</v>
      </c>
      <c r="E113" s="104" t="s">
        <v>236</v>
      </c>
      <c r="F113" s="153" t="s">
        <v>231</v>
      </c>
      <c r="G113" s="153"/>
      <c r="H113" s="153"/>
      <c r="I113" s="153">
        <v>14872</v>
      </c>
      <c r="J113" s="153">
        <v>14958</v>
      </c>
      <c r="K113" s="153">
        <v>15135</v>
      </c>
      <c r="L113" s="153">
        <v>15280</v>
      </c>
      <c r="M113" s="153">
        <v>15385</v>
      </c>
      <c r="N113" s="153">
        <v>15526</v>
      </c>
      <c r="O113" s="153">
        <v>15724</v>
      </c>
      <c r="P113" s="153">
        <v>16071</v>
      </c>
      <c r="Q113" s="153">
        <v>16465</v>
      </c>
      <c r="R113" s="153">
        <v>16739</v>
      </c>
      <c r="S113" s="110">
        <v>16905</v>
      </c>
      <c r="T113" s="110">
        <v>17024</v>
      </c>
      <c r="U113" s="110">
        <v>17143</v>
      </c>
      <c r="V113" s="114"/>
      <c r="X113" s="121">
        <v>86</v>
      </c>
      <c r="Y113" s="49">
        <v>177</v>
      </c>
      <c r="Z113" s="49">
        <v>145</v>
      </c>
      <c r="AA113" s="49">
        <v>105</v>
      </c>
      <c r="AB113" s="49">
        <v>141</v>
      </c>
      <c r="AC113" s="49">
        <v>198</v>
      </c>
      <c r="AD113" s="49">
        <v>347</v>
      </c>
      <c r="AE113" s="49">
        <v>394</v>
      </c>
      <c r="AF113" s="49">
        <v>274</v>
      </c>
      <c r="AG113" s="49">
        <v>166</v>
      </c>
      <c r="AH113" s="49">
        <v>119</v>
      </c>
      <c r="AI113" s="122">
        <v>119</v>
      </c>
      <c r="AK113" s="270"/>
      <c r="AL113" s="270"/>
    </row>
    <row r="114" spans="2:38" ht="18.75" x14ac:dyDescent="0.25">
      <c r="B114" s="131" t="s">
        <v>229</v>
      </c>
      <c r="C114" s="4" t="s">
        <v>228</v>
      </c>
      <c r="D114" s="4">
        <v>39291</v>
      </c>
      <c r="E114" s="5" t="s">
        <v>230</v>
      </c>
      <c r="F114" s="153" t="s">
        <v>231</v>
      </c>
      <c r="G114" s="153" t="s">
        <v>232</v>
      </c>
      <c r="H114" s="153"/>
      <c r="I114" s="153">
        <v>45070</v>
      </c>
      <c r="J114" s="153">
        <v>45311</v>
      </c>
      <c r="K114" s="153">
        <v>45886</v>
      </c>
      <c r="L114" s="153">
        <v>46361</v>
      </c>
      <c r="M114" s="153">
        <v>46760</v>
      </c>
      <c r="N114" s="153">
        <v>47098</v>
      </c>
      <c r="O114" s="153">
        <v>47557</v>
      </c>
      <c r="P114" s="153">
        <v>48246</v>
      </c>
      <c r="Q114" s="153">
        <v>48495</v>
      </c>
      <c r="R114" s="153">
        <v>49600</v>
      </c>
      <c r="S114" s="110">
        <v>50224</v>
      </c>
      <c r="T114" s="110">
        <v>50809</v>
      </c>
      <c r="U114" s="110">
        <v>51406</v>
      </c>
      <c r="V114" s="114"/>
      <c r="X114" s="121">
        <v>241</v>
      </c>
      <c r="Y114" s="49">
        <v>575</v>
      </c>
      <c r="Z114" s="49">
        <v>475</v>
      </c>
      <c r="AA114" s="49">
        <v>399</v>
      </c>
      <c r="AB114" s="49">
        <v>338</v>
      </c>
      <c r="AC114" s="49">
        <v>459</v>
      </c>
      <c r="AD114" s="49">
        <v>689</v>
      </c>
      <c r="AE114" s="49">
        <v>249</v>
      </c>
      <c r="AF114" s="49">
        <v>1105</v>
      </c>
      <c r="AG114" s="49">
        <v>624</v>
      </c>
      <c r="AH114" s="49">
        <v>585</v>
      </c>
      <c r="AI114" s="122">
        <v>597</v>
      </c>
      <c r="AK114" s="270"/>
      <c r="AL114" s="270"/>
    </row>
    <row r="115" spans="2:38" ht="18.75" x14ac:dyDescent="0.3">
      <c r="B115" s="135" t="s">
        <v>1302</v>
      </c>
      <c r="C115" s="10" t="s">
        <v>240</v>
      </c>
      <c r="D115" s="10">
        <v>39010</v>
      </c>
      <c r="E115" s="11" t="s">
        <v>452</v>
      </c>
      <c r="F115" s="153" t="s">
        <v>63</v>
      </c>
      <c r="G115" s="153" t="s">
        <v>453</v>
      </c>
      <c r="H115" s="153" t="s">
        <v>445</v>
      </c>
      <c r="I115" s="153">
        <v>3063</v>
      </c>
      <c r="J115" s="153">
        <v>3063</v>
      </c>
      <c r="K115" s="153">
        <v>3063</v>
      </c>
      <c r="L115" s="153">
        <v>3174</v>
      </c>
      <c r="M115" s="153">
        <v>3397</v>
      </c>
      <c r="N115" s="153">
        <v>3621</v>
      </c>
      <c r="O115" s="153">
        <v>3839</v>
      </c>
      <c r="P115" s="153">
        <v>4181</v>
      </c>
      <c r="Q115" s="153">
        <v>4508</v>
      </c>
      <c r="R115" s="153">
        <v>4840</v>
      </c>
      <c r="S115" s="110">
        <v>5087</v>
      </c>
      <c r="T115" s="110">
        <v>5319</v>
      </c>
      <c r="U115" s="110">
        <v>5501</v>
      </c>
      <c r="V115" s="114"/>
      <c r="X115" s="121">
        <v>0</v>
      </c>
      <c r="Y115" s="49">
        <v>0</v>
      </c>
      <c r="Z115" s="49">
        <v>111</v>
      </c>
      <c r="AA115" s="49">
        <v>223</v>
      </c>
      <c r="AB115" s="49">
        <v>224</v>
      </c>
      <c r="AC115" s="49">
        <v>218</v>
      </c>
      <c r="AD115" s="49">
        <v>342</v>
      </c>
      <c r="AE115" s="49">
        <v>327</v>
      </c>
      <c r="AF115" s="49">
        <v>332</v>
      </c>
      <c r="AG115" s="49">
        <v>247</v>
      </c>
      <c r="AH115" s="49">
        <v>232</v>
      </c>
      <c r="AI115" s="122">
        <v>182</v>
      </c>
      <c r="AK115" s="270"/>
      <c r="AL115" s="270"/>
    </row>
    <row r="116" spans="2:38" ht="18.75" x14ac:dyDescent="0.25">
      <c r="B116" s="131" t="s">
        <v>241</v>
      </c>
      <c r="C116" s="4" t="s">
        <v>240</v>
      </c>
      <c r="D116" s="4">
        <v>39361</v>
      </c>
      <c r="E116" s="5" t="s">
        <v>242</v>
      </c>
      <c r="F116" s="153" t="s">
        <v>38</v>
      </c>
      <c r="G116" s="153" t="s">
        <v>243</v>
      </c>
      <c r="H116" s="153"/>
      <c r="I116" s="153">
        <v>53279</v>
      </c>
      <c r="J116" s="153">
        <v>53466</v>
      </c>
      <c r="K116" s="153">
        <v>53971</v>
      </c>
      <c r="L116" s="153">
        <v>54335</v>
      </c>
      <c r="M116" s="153">
        <v>54577</v>
      </c>
      <c r="N116" s="153">
        <v>54735</v>
      </c>
      <c r="O116" s="153">
        <v>54969</v>
      </c>
      <c r="P116" s="153">
        <v>55583</v>
      </c>
      <c r="Q116" s="153">
        <v>56309</v>
      </c>
      <c r="R116" s="153">
        <v>56901</v>
      </c>
      <c r="S116" s="110">
        <v>57359</v>
      </c>
      <c r="T116" s="110">
        <v>57679</v>
      </c>
      <c r="U116" s="110">
        <v>57995</v>
      </c>
      <c r="V116" s="114"/>
      <c r="X116" s="121">
        <v>187</v>
      </c>
      <c r="Y116" s="49">
        <v>505</v>
      </c>
      <c r="Z116" s="49">
        <v>364</v>
      </c>
      <c r="AA116" s="49">
        <v>242</v>
      </c>
      <c r="AB116" s="49">
        <v>158</v>
      </c>
      <c r="AC116" s="49">
        <v>234</v>
      </c>
      <c r="AD116" s="49">
        <v>614</v>
      </c>
      <c r="AE116" s="49">
        <v>726</v>
      </c>
      <c r="AF116" s="49">
        <v>592</v>
      </c>
      <c r="AG116" s="49">
        <v>458</v>
      </c>
      <c r="AH116" s="49">
        <v>320</v>
      </c>
      <c r="AI116" s="122">
        <v>316</v>
      </c>
      <c r="AK116" s="270"/>
      <c r="AL116" s="270"/>
    </row>
    <row r="117" spans="2:38" ht="18.75" x14ac:dyDescent="0.25">
      <c r="B117" s="131">
        <v>71300126545</v>
      </c>
      <c r="C117" s="4" t="s">
        <v>244</v>
      </c>
      <c r="D117" s="4">
        <v>39314</v>
      </c>
      <c r="E117" s="5" t="s">
        <v>250</v>
      </c>
      <c r="F117" s="153" t="s">
        <v>765</v>
      </c>
      <c r="G117" s="153" t="s">
        <v>252</v>
      </c>
      <c r="H117" s="153"/>
      <c r="I117" s="153">
        <v>124884</v>
      </c>
      <c r="J117" s="153">
        <v>125680</v>
      </c>
      <c r="K117" s="153">
        <v>126438</v>
      </c>
      <c r="L117" s="153">
        <v>128584</v>
      </c>
      <c r="M117" s="153">
        <v>130937</v>
      </c>
      <c r="N117" s="153">
        <v>131824</v>
      </c>
      <c r="O117" s="153">
        <v>132591</v>
      </c>
      <c r="P117" s="153">
        <v>133354</v>
      </c>
      <c r="Q117" s="153">
        <v>134421</v>
      </c>
      <c r="R117" s="153">
        <v>137141</v>
      </c>
      <c r="S117" s="110">
        <v>138262</v>
      </c>
      <c r="T117" s="110">
        <v>138396</v>
      </c>
      <c r="U117" s="110">
        <v>138396</v>
      </c>
      <c r="V117" s="114"/>
      <c r="X117" s="121">
        <v>796</v>
      </c>
      <c r="Y117" s="49">
        <v>758</v>
      </c>
      <c r="Z117" s="49">
        <v>2146</v>
      </c>
      <c r="AA117" s="49">
        <v>2353</v>
      </c>
      <c r="AB117" s="49">
        <v>887</v>
      </c>
      <c r="AC117" s="49">
        <v>767</v>
      </c>
      <c r="AD117" s="49">
        <v>763</v>
      </c>
      <c r="AE117" s="49">
        <v>1067</v>
      </c>
      <c r="AF117" s="49">
        <v>2720</v>
      </c>
      <c r="AG117" s="49">
        <v>1121</v>
      </c>
      <c r="AH117" s="49">
        <v>134</v>
      </c>
      <c r="AI117" s="122">
        <v>0</v>
      </c>
      <c r="AK117" s="270"/>
      <c r="AL117" s="270"/>
    </row>
    <row r="118" spans="2:38" ht="18.75" x14ac:dyDescent="0.25">
      <c r="B118" s="138">
        <v>71300126550</v>
      </c>
      <c r="C118" s="103" t="s">
        <v>244</v>
      </c>
      <c r="D118" s="103">
        <v>39028</v>
      </c>
      <c r="E118" s="105" t="s">
        <v>246</v>
      </c>
      <c r="F118" s="153" t="s">
        <v>766</v>
      </c>
      <c r="G118" s="153" t="s">
        <v>254</v>
      </c>
      <c r="H118" s="153"/>
      <c r="I118" s="153">
        <v>400788</v>
      </c>
      <c r="J118" s="153">
        <v>403064</v>
      </c>
      <c r="K118" s="153">
        <v>405597</v>
      </c>
      <c r="L118" s="153">
        <v>408286</v>
      </c>
      <c r="M118" s="153">
        <v>411049</v>
      </c>
      <c r="N118" s="153">
        <v>413492</v>
      </c>
      <c r="O118" s="153">
        <v>415633</v>
      </c>
      <c r="P118" s="153">
        <v>417761</v>
      </c>
      <c r="Q118" s="153">
        <v>419810</v>
      </c>
      <c r="R118" s="153">
        <v>422441</v>
      </c>
      <c r="S118" s="110">
        <v>424949</v>
      </c>
      <c r="T118" s="110">
        <v>428143</v>
      </c>
      <c r="U118" s="110">
        <v>431626</v>
      </c>
      <c r="V118" s="114"/>
      <c r="X118" s="121">
        <v>2276</v>
      </c>
      <c r="Y118" s="49">
        <v>2533</v>
      </c>
      <c r="Z118" s="49">
        <v>2689</v>
      </c>
      <c r="AA118" s="49">
        <v>2763</v>
      </c>
      <c r="AB118" s="49">
        <v>2443</v>
      </c>
      <c r="AC118" s="49">
        <v>2141</v>
      </c>
      <c r="AD118" s="49">
        <v>2128</v>
      </c>
      <c r="AE118" s="49">
        <v>2049</v>
      </c>
      <c r="AF118" s="49">
        <v>2631</v>
      </c>
      <c r="AG118" s="49">
        <v>2508</v>
      </c>
      <c r="AH118" s="49">
        <v>3194</v>
      </c>
      <c r="AI118" s="122">
        <v>3483</v>
      </c>
      <c r="AK118" s="270"/>
      <c r="AL118" s="270"/>
    </row>
    <row r="119" spans="2:38" ht="18.75" x14ac:dyDescent="0.25">
      <c r="B119" s="138">
        <v>71300126611</v>
      </c>
      <c r="C119" s="106" t="s">
        <v>244</v>
      </c>
      <c r="D119" s="106">
        <v>39038</v>
      </c>
      <c r="E119" s="107" t="s">
        <v>246</v>
      </c>
      <c r="F119" s="153" t="s">
        <v>767</v>
      </c>
      <c r="G119" s="153" t="s">
        <v>256</v>
      </c>
      <c r="H119" s="153"/>
      <c r="I119" s="153">
        <v>364694</v>
      </c>
      <c r="J119" s="153">
        <v>364804</v>
      </c>
      <c r="K119" s="153">
        <v>364808</v>
      </c>
      <c r="L119" s="153">
        <v>364808</v>
      </c>
      <c r="M119" s="153">
        <v>364808</v>
      </c>
      <c r="N119" s="153">
        <v>364808</v>
      </c>
      <c r="O119" s="153">
        <v>364808</v>
      </c>
      <c r="P119" s="153">
        <v>364984</v>
      </c>
      <c r="Q119" s="153">
        <v>365324</v>
      </c>
      <c r="R119" s="153">
        <v>365533</v>
      </c>
      <c r="S119" s="110">
        <v>365533</v>
      </c>
      <c r="T119" s="110">
        <v>366025</v>
      </c>
      <c r="U119" s="110">
        <v>366025</v>
      </c>
      <c r="V119" s="114"/>
      <c r="X119" s="121">
        <v>110</v>
      </c>
      <c r="Y119" s="49">
        <v>4</v>
      </c>
      <c r="Z119" s="49">
        <v>0</v>
      </c>
      <c r="AA119" s="49">
        <v>0</v>
      </c>
      <c r="AB119" s="49">
        <v>0</v>
      </c>
      <c r="AC119" s="49">
        <v>0</v>
      </c>
      <c r="AD119" s="49">
        <v>176</v>
      </c>
      <c r="AE119" s="49">
        <v>340</v>
      </c>
      <c r="AF119" s="49">
        <v>209</v>
      </c>
      <c r="AG119" s="49">
        <v>0</v>
      </c>
      <c r="AH119" s="49">
        <v>492</v>
      </c>
      <c r="AI119" s="122">
        <v>0</v>
      </c>
      <c r="AK119" s="270"/>
      <c r="AL119" s="270"/>
    </row>
    <row r="120" spans="2:38" ht="18.75" x14ac:dyDescent="0.25">
      <c r="B120" s="138">
        <v>71300126612</v>
      </c>
      <c r="C120" s="103" t="s">
        <v>244</v>
      </c>
      <c r="D120" s="103">
        <v>39139</v>
      </c>
      <c r="E120" s="194" t="s">
        <v>250</v>
      </c>
      <c r="F120" s="153" t="s">
        <v>768</v>
      </c>
      <c r="G120" s="153" t="s">
        <v>251</v>
      </c>
      <c r="H120" s="153"/>
      <c r="I120" s="153">
        <v>193943</v>
      </c>
      <c r="J120" s="153">
        <v>194282</v>
      </c>
      <c r="K120" s="153">
        <v>195196</v>
      </c>
      <c r="L120" s="153">
        <v>196191</v>
      </c>
      <c r="M120" s="153">
        <v>198076</v>
      </c>
      <c r="N120" s="153">
        <v>199835</v>
      </c>
      <c r="O120" s="153">
        <v>201372</v>
      </c>
      <c r="P120" s="153">
        <v>202425</v>
      </c>
      <c r="Q120" s="153">
        <v>203899</v>
      </c>
      <c r="R120" s="153">
        <v>205770</v>
      </c>
      <c r="S120" s="110">
        <v>207548</v>
      </c>
      <c r="T120" s="110">
        <v>209795</v>
      </c>
      <c r="U120" s="110">
        <v>212224</v>
      </c>
      <c r="V120" s="114"/>
      <c r="X120" s="121">
        <v>339</v>
      </c>
      <c r="Y120" s="49">
        <v>914</v>
      </c>
      <c r="Z120" s="49">
        <v>995</v>
      </c>
      <c r="AA120" s="49">
        <v>1885</v>
      </c>
      <c r="AB120" s="49">
        <v>1759</v>
      </c>
      <c r="AC120" s="49">
        <v>1537</v>
      </c>
      <c r="AD120" s="49">
        <v>1053</v>
      </c>
      <c r="AE120" s="49">
        <v>1474</v>
      </c>
      <c r="AF120" s="49">
        <v>1871</v>
      </c>
      <c r="AG120" s="49">
        <v>1778</v>
      </c>
      <c r="AH120" s="49">
        <v>2247</v>
      </c>
      <c r="AI120" s="122">
        <v>2429</v>
      </c>
      <c r="AK120" s="270"/>
      <c r="AL120" s="270"/>
    </row>
    <row r="121" spans="2:38" ht="18.75" x14ac:dyDescent="0.25">
      <c r="B121" s="138">
        <v>71300126614</v>
      </c>
      <c r="C121" s="106" t="s">
        <v>244</v>
      </c>
      <c r="D121" s="106">
        <v>39037</v>
      </c>
      <c r="E121" s="107" t="s">
        <v>246</v>
      </c>
      <c r="F121" s="153" t="s">
        <v>769</v>
      </c>
      <c r="G121" s="153" t="s">
        <v>255</v>
      </c>
      <c r="H121" s="153"/>
      <c r="I121" s="153">
        <v>378820</v>
      </c>
      <c r="J121" s="153">
        <v>380502</v>
      </c>
      <c r="K121" s="153">
        <v>382451</v>
      </c>
      <c r="L121" s="153">
        <v>384663</v>
      </c>
      <c r="M121" s="153">
        <v>386868</v>
      </c>
      <c r="N121" s="153">
        <v>388854</v>
      </c>
      <c r="O121" s="153">
        <v>390040</v>
      </c>
      <c r="P121" s="153">
        <v>390162</v>
      </c>
      <c r="Q121" s="153">
        <v>391990</v>
      </c>
      <c r="R121" s="153">
        <v>394307</v>
      </c>
      <c r="S121" s="110">
        <v>396453</v>
      </c>
      <c r="T121" s="110">
        <v>399146</v>
      </c>
      <c r="U121" s="110">
        <v>402033</v>
      </c>
      <c r="V121" s="114"/>
      <c r="X121" s="121">
        <v>1682</v>
      </c>
      <c r="Y121" s="49">
        <v>1949</v>
      </c>
      <c r="Z121" s="49">
        <v>2212</v>
      </c>
      <c r="AA121" s="49">
        <v>2205</v>
      </c>
      <c r="AB121" s="49">
        <v>1986</v>
      </c>
      <c r="AC121" s="49">
        <v>1186</v>
      </c>
      <c r="AD121" s="49">
        <v>122</v>
      </c>
      <c r="AE121" s="49">
        <v>1828</v>
      </c>
      <c r="AF121" s="49">
        <v>2317</v>
      </c>
      <c r="AG121" s="49">
        <v>2146</v>
      </c>
      <c r="AH121" s="49">
        <v>2693</v>
      </c>
      <c r="AI121" s="122">
        <v>2887</v>
      </c>
      <c r="AK121" s="270"/>
      <c r="AL121" s="270"/>
    </row>
    <row r="122" spans="2:38" ht="18.75" x14ac:dyDescent="0.25">
      <c r="B122" s="132">
        <v>71300126675</v>
      </c>
      <c r="C122" s="16" t="s">
        <v>244</v>
      </c>
      <c r="D122" s="16">
        <v>39024</v>
      </c>
      <c r="E122" s="9" t="s">
        <v>246</v>
      </c>
      <c r="F122" s="153" t="s">
        <v>770</v>
      </c>
      <c r="G122" s="153" t="s">
        <v>249</v>
      </c>
      <c r="H122" s="153"/>
      <c r="I122" s="153">
        <v>178063</v>
      </c>
      <c r="J122" s="153">
        <v>179137</v>
      </c>
      <c r="K122" s="153">
        <v>180991</v>
      </c>
      <c r="L122" s="153">
        <v>182454</v>
      </c>
      <c r="M122" s="153">
        <v>183892</v>
      </c>
      <c r="N122" s="153">
        <v>185160</v>
      </c>
      <c r="O122" s="153">
        <v>185967</v>
      </c>
      <c r="P122" s="153">
        <v>186004</v>
      </c>
      <c r="Q122" s="153">
        <v>186565</v>
      </c>
      <c r="R122" s="153">
        <v>187285</v>
      </c>
      <c r="S122" s="110">
        <v>187370</v>
      </c>
      <c r="T122" s="110">
        <v>188176</v>
      </c>
      <c r="U122" s="110">
        <v>189523</v>
      </c>
      <c r="V122" s="114"/>
      <c r="X122" s="121">
        <v>1074</v>
      </c>
      <c r="Y122" s="49">
        <v>1854</v>
      </c>
      <c r="Z122" s="49">
        <v>1463</v>
      </c>
      <c r="AA122" s="49">
        <v>1438</v>
      </c>
      <c r="AB122" s="49">
        <v>1268</v>
      </c>
      <c r="AC122" s="49">
        <v>807</v>
      </c>
      <c r="AD122" s="49">
        <v>37</v>
      </c>
      <c r="AE122" s="49">
        <v>561</v>
      </c>
      <c r="AF122" s="49">
        <v>720</v>
      </c>
      <c r="AG122" s="49">
        <v>85</v>
      </c>
      <c r="AH122" s="49">
        <v>806</v>
      </c>
      <c r="AI122" s="122">
        <v>1347</v>
      </c>
      <c r="AK122" s="270"/>
      <c r="AL122" s="270"/>
    </row>
    <row r="123" spans="2:38" ht="18.75" x14ac:dyDescent="0.25">
      <c r="B123" s="132">
        <v>71300126679</v>
      </c>
      <c r="C123" s="16" t="s">
        <v>244</v>
      </c>
      <c r="D123" s="16">
        <v>39019</v>
      </c>
      <c r="E123" s="9" t="s">
        <v>246</v>
      </c>
      <c r="F123" s="153" t="s">
        <v>771</v>
      </c>
      <c r="G123" s="153" t="s">
        <v>248</v>
      </c>
      <c r="H123" s="153"/>
      <c r="I123" s="153">
        <v>239052</v>
      </c>
      <c r="J123" s="153">
        <v>241319</v>
      </c>
      <c r="K123" s="153">
        <v>243472</v>
      </c>
      <c r="L123" s="153">
        <v>246448</v>
      </c>
      <c r="M123" s="153">
        <v>249488</v>
      </c>
      <c r="N123" s="153">
        <v>252149</v>
      </c>
      <c r="O123" s="153">
        <v>254346</v>
      </c>
      <c r="P123" s="153">
        <v>256114</v>
      </c>
      <c r="Q123" s="153">
        <v>258458</v>
      </c>
      <c r="R123" s="153">
        <v>261467</v>
      </c>
      <c r="S123" s="110">
        <v>264158</v>
      </c>
      <c r="T123" s="110">
        <v>267410</v>
      </c>
      <c r="U123" s="110">
        <v>270889</v>
      </c>
      <c r="V123" s="114"/>
      <c r="X123" s="121">
        <v>2267</v>
      </c>
      <c r="Y123" s="49">
        <v>2153</v>
      </c>
      <c r="Z123" s="49">
        <v>2976</v>
      </c>
      <c r="AA123" s="49">
        <v>3040</v>
      </c>
      <c r="AB123" s="49">
        <v>2661</v>
      </c>
      <c r="AC123" s="49">
        <v>2197</v>
      </c>
      <c r="AD123" s="49">
        <v>1768</v>
      </c>
      <c r="AE123" s="49">
        <v>2344</v>
      </c>
      <c r="AF123" s="49">
        <v>3009</v>
      </c>
      <c r="AG123" s="49">
        <v>2691</v>
      </c>
      <c r="AH123" s="49">
        <v>3252</v>
      </c>
      <c r="AI123" s="122">
        <v>3479</v>
      </c>
      <c r="AK123" s="270"/>
      <c r="AL123" s="270"/>
    </row>
    <row r="124" spans="2:38" ht="18.75" x14ac:dyDescent="0.25">
      <c r="B124" s="132">
        <v>71300126840</v>
      </c>
      <c r="C124" s="16" t="s">
        <v>244</v>
      </c>
      <c r="D124" s="16">
        <v>39140</v>
      </c>
      <c r="E124" s="9" t="s">
        <v>250</v>
      </c>
      <c r="F124" s="153" t="s">
        <v>772</v>
      </c>
      <c r="G124" s="153" t="s">
        <v>253</v>
      </c>
      <c r="H124" s="153"/>
      <c r="I124" s="153">
        <v>321707</v>
      </c>
      <c r="J124" s="153">
        <v>321755</v>
      </c>
      <c r="K124" s="153">
        <v>322144</v>
      </c>
      <c r="L124" s="153">
        <v>322696</v>
      </c>
      <c r="M124" s="153">
        <v>324176</v>
      </c>
      <c r="N124" s="153">
        <v>324724</v>
      </c>
      <c r="O124" s="153">
        <v>324770</v>
      </c>
      <c r="P124" s="153">
        <v>324888</v>
      </c>
      <c r="Q124" s="153">
        <v>326160</v>
      </c>
      <c r="R124" s="153">
        <v>327781</v>
      </c>
      <c r="S124" s="110">
        <v>329316</v>
      </c>
      <c r="T124" s="110">
        <v>331218</v>
      </c>
      <c r="U124" s="110">
        <v>333031</v>
      </c>
      <c r="V124" s="114"/>
      <c r="X124" s="121">
        <v>48</v>
      </c>
      <c r="Y124" s="49">
        <v>389</v>
      </c>
      <c r="Z124" s="49">
        <v>552</v>
      </c>
      <c r="AA124" s="49">
        <v>1480</v>
      </c>
      <c r="AB124" s="49">
        <v>548</v>
      </c>
      <c r="AC124" s="49">
        <v>46</v>
      </c>
      <c r="AD124" s="49">
        <v>118</v>
      </c>
      <c r="AE124" s="49">
        <v>1272</v>
      </c>
      <c r="AF124" s="49">
        <v>1621</v>
      </c>
      <c r="AG124" s="49">
        <v>1535</v>
      </c>
      <c r="AH124" s="49">
        <v>1902</v>
      </c>
      <c r="AI124" s="122">
        <v>1813</v>
      </c>
      <c r="AK124" s="270"/>
      <c r="AL124" s="270"/>
    </row>
    <row r="125" spans="2:38" ht="18.75" x14ac:dyDescent="0.25">
      <c r="B125" s="132">
        <v>71300126846</v>
      </c>
      <c r="C125" s="16" t="s">
        <v>244</v>
      </c>
      <c r="D125" s="16">
        <v>39005</v>
      </c>
      <c r="E125" s="9" t="s">
        <v>246</v>
      </c>
      <c r="F125" s="153" t="s">
        <v>773</v>
      </c>
      <c r="G125" s="153" t="s">
        <v>247</v>
      </c>
      <c r="H125" s="153"/>
      <c r="I125" s="153">
        <v>194554</v>
      </c>
      <c r="J125" s="153">
        <v>195283</v>
      </c>
      <c r="K125" s="153">
        <v>196512</v>
      </c>
      <c r="L125" s="153">
        <v>197418</v>
      </c>
      <c r="M125" s="153">
        <v>198315</v>
      </c>
      <c r="N125" s="153">
        <v>199136</v>
      </c>
      <c r="O125" s="153">
        <v>199857</v>
      </c>
      <c r="P125" s="153">
        <v>200585</v>
      </c>
      <c r="Q125" s="153">
        <v>201287</v>
      </c>
      <c r="R125" s="153">
        <v>202194</v>
      </c>
      <c r="S125" s="110">
        <v>203048</v>
      </c>
      <c r="T125" s="110">
        <v>204126</v>
      </c>
      <c r="U125" s="110">
        <v>205268</v>
      </c>
      <c r="V125" s="114"/>
      <c r="X125" s="121">
        <v>729</v>
      </c>
      <c r="Y125" s="49">
        <v>1229</v>
      </c>
      <c r="Z125" s="49">
        <v>906</v>
      </c>
      <c r="AA125" s="49">
        <v>897</v>
      </c>
      <c r="AB125" s="49">
        <v>821</v>
      </c>
      <c r="AC125" s="49">
        <v>721</v>
      </c>
      <c r="AD125" s="49">
        <v>728</v>
      </c>
      <c r="AE125" s="49">
        <v>702</v>
      </c>
      <c r="AF125" s="49">
        <v>907</v>
      </c>
      <c r="AG125" s="49">
        <v>854</v>
      </c>
      <c r="AH125" s="49">
        <v>1078</v>
      </c>
      <c r="AI125" s="122">
        <v>1142</v>
      </c>
      <c r="AK125" s="270"/>
      <c r="AL125" s="270"/>
    </row>
    <row r="126" spans="2:38" ht="18.75" x14ac:dyDescent="0.25">
      <c r="B126" s="132">
        <v>116104</v>
      </c>
      <c r="C126" s="16" t="s">
        <v>257</v>
      </c>
      <c r="D126" s="16">
        <v>39303</v>
      </c>
      <c r="E126" s="9" t="s">
        <v>250</v>
      </c>
      <c r="F126" s="153" t="s">
        <v>767</v>
      </c>
      <c r="G126" s="153" t="s">
        <v>271</v>
      </c>
      <c r="H126" s="153"/>
      <c r="I126" s="153">
        <v>319807</v>
      </c>
      <c r="J126" s="153">
        <v>321306</v>
      </c>
      <c r="K126" s="153">
        <v>323674</v>
      </c>
      <c r="L126" s="153">
        <v>325453</v>
      </c>
      <c r="M126" s="153">
        <v>327018</v>
      </c>
      <c r="N126" s="153">
        <v>329534</v>
      </c>
      <c r="O126" s="153">
        <v>329866</v>
      </c>
      <c r="P126" s="153">
        <v>331178</v>
      </c>
      <c r="Q126" s="153">
        <v>332586</v>
      </c>
      <c r="R126" s="153">
        <v>334123</v>
      </c>
      <c r="S126" s="110">
        <v>335662</v>
      </c>
      <c r="T126" s="110">
        <v>337560</v>
      </c>
      <c r="U126" s="110">
        <v>339140</v>
      </c>
      <c r="V126" s="114"/>
      <c r="X126" s="121">
        <v>1499</v>
      </c>
      <c r="Y126" s="49">
        <v>2368</v>
      </c>
      <c r="Z126" s="49">
        <v>1779</v>
      </c>
      <c r="AA126" s="49">
        <v>1565</v>
      </c>
      <c r="AB126" s="49">
        <v>2516</v>
      </c>
      <c r="AC126" s="49">
        <v>332</v>
      </c>
      <c r="AD126" s="49">
        <v>1312</v>
      </c>
      <c r="AE126" s="49">
        <v>1408</v>
      </c>
      <c r="AF126" s="49">
        <v>1537</v>
      </c>
      <c r="AG126" s="49">
        <v>1539</v>
      </c>
      <c r="AH126" s="49">
        <v>1898</v>
      </c>
      <c r="AI126" s="122">
        <v>1580</v>
      </c>
      <c r="AK126" s="270"/>
      <c r="AL126" s="270"/>
    </row>
    <row r="127" spans="2:38" ht="18.75" x14ac:dyDescent="0.25">
      <c r="B127" s="132">
        <v>116446</v>
      </c>
      <c r="C127" s="16" t="s">
        <v>257</v>
      </c>
      <c r="D127" s="16">
        <v>39319</v>
      </c>
      <c r="E127" s="9" t="s">
        <v>250</v>
      </c>
      <c r="F127" s="153" t="s">
        <v>771</v>
      </c>
      <c r="G127" s="153" t="s">
        <v>264</v>
      </c>
      <c r="H127" s="153"/>
      <c r="I127" s="153">
        <v>186195</v>
      </c>
      <c r="J127" s="153">
        <v>186945</v>
      </c>
      <c r="K127" s="153">
        <v>188216</v>
      </c>
      <c r="L127" s="153">
        <v>189210</v>
      </c>
      <c r="M127" s="153">
        <v>190148</v>
      </c>
      <c r="N127" s="153">
        <v>190848</v>
      </c>
      <c r="O127" s="153">
        <v>191552</v>
      </c>
      <c r="P127" s="153">
        <v>192376</v>
      </c>
      <c r="Q127" s="153">
        <v>193334</v>
      </c>
      <c r="R127" s="153">
        <v>194549</v>
      </c>
      <c r="S127" s="110">
        <v>195631</v>
      </c>
      <c r="T127" s="110">
        <v>196799</v>
      </c>
      <c r="U127" s="110">
        <v>197939</v>
      </c>
      <c r="V127" s="114"/>
      <c r="X127" s="121">
        <v>750</v>
      </c>
      <c r="Y127" s="49">
        <v>1271</v>
      </c>
      <c r="Z127" s="49">
        <v>994</v>
      </c>
      <c r="AA127" s="49">
        <v>938</v>
      </c>
      <c r="AB127" s="49">
        <v>700</v>
      </c>
      <c r="AC127" s="49">
        <v>704</v>
      </c>
      <c r="AD127" s="49">
        <v>824</v>
      </c>
      <c r="AE127" s="49">
        <v>958</v>
      </c>
      <c r="AF127" s="49">
        <v>1215</v>
      </c>
      <c r="AG127" s="49">
        <v>1082</v>
      </c>
      <c r="AH127" s="49">
        <v>1168</v>
      </c>
      <c r="AI127" s="122">
        <v>1140</v>
      </c>
      <c r="AK127" s="270"/>
      <c r="AL127" s="270"/>
    </row>
    <row r="128" spans="2:38" ht="18.75" x14ac:dyDescent="0.25">
      <c r="B128" s="132">
        <v>116498</v>
      </c>
      <c r="C128" s="16" t="s">
        <v>257</v>
      </c>
      <c r="D128" s="16">
        <v>39320</v>
      </c>
      <c r="E128" s="9" t="s">
        <v>250</v>
      </c>
      <c r="F128" s="153" t="s">
        <v>770</v>
      </c>
      <c r="G128" s="153" t="s">
        <v>265</v>
      </c>
      <c r="H128" s="153"/>
      <c r="I128" s="153">
        <v>167101</v>
      </c>
      <c r="J128" s="153">
        <v>168178</v>
      </c>
      <c r="K128" s="153">
        <v>170020</v>
      </c>
      <c r="L128" s="153">
        <v>171564</v>
      </c>
      <c r="M128" s="153">
        <v>172937</v>
      </c>
      <c r="N128" s="153">
        <v>174272</v>
      </c>
      <c r="O128" s="153">
        <v>175459</v>
      </c>
      <c r="P128" s="153">
        <v>176662</v>
      </c>
      <c r="Q128" s="153">
        <v>177868</v>
      </c>
      <c r="R128" s="153">
        <v>179383</v>
      </c>
      <c r="S128" s="110">
        <v>180809</v>
      </c>
      <c r="T128" s="110">
        <v>182478</v>
      </c>
      <c r="U128" s="110">
        <v>184309</v>
      </c>
      <c r="V128" s="114"/>
      <c r="X128" s="121">
        <v>1077</v>
      </c>
      <c r="Y128" s="49">
        <v>1842</v>
      </c>
      <c r="Z128" s="49">
        <v>1544</v>
      </c>
      <c r="AA128" s="49">
        <v>1373</v>
      </c>
      <c r="AB128" s="49">
        <v>1335</v>
      </c>
      <c r="AC128" s="49">
        <v>1187</v>
      </c>
      <c r="AD128" s="49">
        <v>1203</v>
      </c>
      <c r="AE128" s="49">
        <v>1206</v>
      </c>
      <c r="AF128" s="49">
        <v>1515</v>
      </c>
      <c r="AG128" s="49">
        <v>1426</v>
      </c>
      <c r="AH128" s="49">
        <v>1669</v>
      </c>
      <c r="AI128" s="122">
        <v>1831</v>
      </c>
      <c r="AK128" s="270"/>
      <c r="AL128" s="270"/>
    </row>
    <row r="129" spans="2:38" ht="18.75" x14ac:dyDescent="0.25">
      <c r="B129" s="132">
        <v>126610</v>
      </c>
      <c r="C129" s="16" t="s">
        <v>257</v>
      </c>
      <c r="D129" s="16">
        <v>39321</v>
      </c>
      <c r="E129" s="9" t="s">
        <v>250</v>
      </c>
      <c r="F129" s="153" t="s">
        <v>768</v>
      </c>
      <c r="G129" s="153" t="s">
        <v>266</v>
      </c>
      <c r="H129" s="153"/>
      <c r="I129" s="153">
        <v>163880</v>
      </c>
      <c r="J129" s="153">
        <v>164974</v>
      </c>
      <c r="K129" s="153">
        <v>166217</v>
      </c>
      <c r="L129" s="153">
        <v>167258</v>
      </c>
      <c r="M129" s="153">
        <v>168184</v>
      </c>
      <c r="N129" s="153">
        <v>169081</v>
      </c>
      <c r="O129" s="153">
        <v>169874</v>
      </c>
      <c r="P129" s="153">
        <v>170678</v>
      </c>
      <c r="Q129" s="153">
        <v>171969</v>
      </c>
      <c r="R129" s="153">
        <v>172440</v>
      </c>
      <c r="S129" s="110">
        <v>173372</v>
      </c>
      <c r="T129" s="110">
        <v>174584</v>
      </c>
      <c r="U129" s="110">
        <v>175833</v>
      </c>
      <c r="V129" s="114"/>
      <c r="X129" s="121">
        <v>1094</v>
      </c>
      <c r="Y129" s="49">
        <v>1243</v>
      </c>
      <c r="Z129" s="49">
        <v>1041</v>
      </c>
      <c r="AA129" s="49">
        <v>926</v>
      </c>
      <c r="AB129" s="49">
        <v>897</v>
      </c>
      <c r="AC129" s="49">
        <v>793</v>
      </c>
      <c r="AD129" s="49">
        <v>804</v>
      </c>
      <c r="AE129" s="49">
        <v>1291</v>
      </c>
      <c r="AF129" s="49">
        <v>471</v>
      </c>
      <c r="AG129" s="49">
        <v>932</v>
      </c>
      <c r="AH129" s="49">
        <v>1212</v>
      </c>
      <c r="AI129" s="122">
        <v>1249</v>
      </c>
      <c r="AK129" s="270"/>
      <c r="AL129" s="270"/>
    </row>
    <row r="130" spans="2:38" ht="18.75" x14ac:dyDescent="0.25">
      <c r="B130" s="131">
        <v>126682</v>
      </c>
      <c r="C130" s="4" t="s">
        <v>257</v>
      </c>
      <c r="D130" s="4">
        <v>39318</v>
      </c>
      <c r="E130" s="5" t="s">
        <v>250</v>
      </c>
      <c r="F130" s="153" t="s">
        <v>773</v>
      </c>
      <c r="G130" s="153" t="s">
        <v>263</v>
      </c>
      <c r="H130" s="153"/>
      <c r="I130" s="153">
        <v>163785</v>
      </c>
      <c r="J130" s="153">
        <v>164499</v>
      </c>
      <c r="K130" s="153">
        <v>165631</v>
      </c>
      <c r="L130" s="153">
        <v>166618</v>
      </c>
      <c r="M130" s="153">
        <v>167459</v>
      </c>
      <c r="N130" s="153">
        <v>168268</v>
      </c>
      <c r="O130" s="153">
        <v>168968</v>
      </c>
      <c r="P130" s="153">
        <v>169723</v>
      </c>
      <c r="Q130" s="153">
        <v>170590</v>
      </c>
      <c r="R130" s="153">
        <v>171731</v>
      </c>
      <c r="S130" s="110">
        <v>172789</v>
      </c>
      <c r="T130" s="110">
        <v>174141</v>
      </c>
      <c r="U130" s="110">
        <v>175514</v>
      </c>
      <c r="V130" s="114"/>
      <c r="X130" s="121">
        <v>714</v>
      </c>
      <c r="Y130" s="49">
        <v>1132</v>
      </c>
      <c r="Z130" s="49">
        <v>987</v>
      </c>
      <c r="AA130" s="49">
        <v>841</v>
      </c>
      <c r="AB130" s="49">
        <v>809</v>
      </c>
      <c r="AC130" s="49">
        <v>700</v>
      </c>
      <c r="AD130" s="49">
        <v>755</v>
      </c>
      <c r="AE130" s="49">
        <v>867</v>
      </c>
      <c r="AF130" s="49">
        <v>1141</v>
      </c>
      <c r="AG130" s="49">
        <v>1058</v>
      </c>
      <c r="AH130" s="49">
        <v>1352</v>
      </c>
      <c r="AI130" s="122">
        <v>1373</v>
      </c>
      <c r="AK130" s="270"/>
      <c r="AL130" s="270"/>
    </row>
    <row r="131" spans="2:38" ht="18.75" x14ac:dyDescent="0.25">
      <c r="B131" s="131">
        <v>140754</v>
      </c>
      <c r="C131" s="4" t="s">
        <v>257</v>
      </c>
      <c r="D131" s="4">
        <v>39302</v>
      </c>
      <c r="E131" s="5" t="s">
        <v>250</v>
      </c>
      <c r="F131" s="153" t="s">
        <v>769</v>
      </c>
      <c r="G131" s="153" t="s">
        <v>270</v>
      </c>
      <c r="H131" s="153"/>
      <c r="I131" s="153">
        <v>261619</v>
      </c>
      <c r="J131" s="153">
        <v>261905</v>
      </c>
      <c r="K131" s="153">
        <v>262408</v>
      </c>
      <c r="L131" s="153">
        <v>262839</v>
      </c>
      <c r="M131" s="153">
        <v>263247</v>
      </c>
      <c r="N131" s="153">
        <v>263606</v>
      </c>
      <c r="O131" s="153">
        <v>263899</v>
      </c>
      <c r="P131" s="153">
        <v>264258</v>
      </c>
      <c r="Q131" s="153">
        <v>264863</v>
      </c>
      <c r="R131" s="153">
        <v>265606</v>
      </c>
      <c r="S131" s="110">
        <v>266370</v>
      </c>
      <c r="T131" s="110">
        <v>266595</v>
      </c>
      <c r="U131" s="110">
        <v>266595</v>
      </c>
      <c r="V131" s="114"/>
      <c r="X131" s="121">
        <v>286</v>
      </c>
      <c r="Y131" s="49">
        <v>503</v>
      </c>
      <c r="Z131" s="49">
        <v>431</v>
      </c>
      <c r="AA131" s="49">
        <v>408</v>
      </c>
      <c r="AB131" s="49">
        <v>359</v>
      </c>
      <c r="AC131" s="49">
        <v>293</v>
      </c>
      <c r="AD131" s="49">
        <v>359</v>
      </c>
      <c r="AE131" s="49">
        <v>605</v>
      </c>
      <c r="AF131" s="49">
        <v>743</v>
      </c>
      <c r="AG131" s="49">
        <v>764</v>
      </c>
      <c r="AH131" s="49">
        <v>225</v>
      </c>
      <c r="AI131" s="122">
        <v>0</v>
      </c>
      <c r="AK131" s="270"/>
      <c r="AL131" s="270"/>
    </row>
    <row r="132" spans="2:38" ht="18.75" x14ac:dyDescent="0.3">
      <c r="B132" s="133">
        <v>65100116117</v>
      </c>
      <c r="C132" s="4" t="s">
        <v>257</v>
      </c>
      <c r="D132" s="4">
        <v>39299</v>
      </c>
      <c r="E132" s="5" t="s">
        <v>250</v>
      </c>
      <c r="F132" s="153" t="s">
        <v>765</v>
      </c>
      <c r="G132" s="153" t="s">
        <v>267</v>
      </c>
      <c r="H132" s="153"/>
      <c r="I132" s="153">
        <v>189416</v>
      </c>
      <c r="J132" s="153">
        <v>189416</v>
      </c>
      <c r="K132" s="153">
        <v>189416</v>
      </c>
      <c r="L132" s="153">
        <v>189416</v>
      </c>
      <c r="M132" s="153">
        <v>189416</v>
      </c>
      <c r="N132" s="153">
        <v>189416</v>
      </c>
      <c r="O132" s="153">
        <v>189416</v>
      </c>
      <c r="P132" s="153">
        <v>189416</v>
      </c>
      <c r="Q132" s="153">
        <v>189416</v>
      </c>
      <c r="R132" s="153">
        <v>189416</v>
      </c>
      <c r="S132" s="110">
        <v>189416</v>
      </c>
      <c r="T132" s="110">
        <v>189416</v>
      </c>
      <c r="U132" s="110">
        <v>189416</v>
      </c>
      <c r="V132" s="114"/>
      <c r="X132" s="121">
        <v>0</v>
      </c>
      <c r="Y132" s="49">
        <v>0</v>
      </c>
      <c r="Z132" s="49">
        <v>0</v>
      </c>
      <c r="AA132" s="49">
        <v>0</v>
      </c>
      <c r="AB132" s="49">
        <v>0</v>
      </c>
      <c r="AC132" s="49">
        <v>0</v>
      </c>
      <c r="AD132" s="49">
        <v>0</v>
      </c>
      <c r="AE132" s="49">
        <v>0</v>
      </c>
      <c r="AF132" s="49">
        <v>0</v>
      </c>
      <c r="AG132" s="49">
        <v>0</v>
      </c>
      <c r="AH132" s="49">
        <v>0</v>
      </c>
      <c r="AI132" s="122">
        <v>0</v>
      </c>
      <c r="AK132" s="270"/>
      <c r="AL132" s="270"/>
    </row>
    <row r="133" spans="2:38" ht="18.75" x14ac:dyDescent="0.25">
      <c r="B133" s="132">
        <v>71300126672</v>
      </c>
      <c r="C133" s="16" t="s">
        <v>257</v>
      </c>
      <c r="D133" s="16">
        <v>39301</v>
      </c>
      <c r="E133" s="14" t="s">
        <v>250</v>
      </c>
      <c r="F133" s="153" t="s">
        <v>766</v>
      </c>
      <c r="G133" s="153" t="s">
        <v>269</v>
      </c>
      <c r="H133" s="153"/>
      <c r="I133" s="153">
        <v>293037</v>
      </c>
      <c r="J133" s="153">
        <v>293556</v>
      </c>
      <c r="K133" s="153">
        <v>294092</v>
      </c>
      <c r="L133" s="153">
        <v>294551</v>
      </c>
      <c r="M133" s="153">
        <v>294956</v>
      </c>
      <c r="N133" s="153">
        <v>295270</v>
      </c>
      <c r="O133" s="153">
        <v>295615</v>
      </c>
      <c r="P133" s="153">
        <v>296006</v>
      </c>
      <c r="Q133" s="153">
        <v>296709</v>
      </c>
      <c r="R133" s="153">
        <v>297642</v>
      </c>
      <c r="S133" s="110">
        <v>298443</v>
      </c>
      <c r="T133" s="110">
        <v>299562</v>
      </c>
      <c r="U133" s="110">
        <v>300430</v>
      </c>
      <c r="V133" s="114"/>
      <c r="X133" s="121">
        <v>519</v>
      </c>
      <c r="Y133" s="49">
        <v>536</v>
      </c>
      <c r="Z133" s="49">
        <v>459</v>
      </c>
      <c r="AA133" s="49">
        <v>405</v>
      </c>
      <c r="AB133" s="49">
        <v>314</v>
      </c>
      <c r="AC133" s="49">
        <v>345</v>
      </c>
      <c r="AD133" s="49">
        <v>391</v>
      </c>
      <c r="AE133" s="49">
        <v>703</v>
      </c>
      <c r="AF133" s="49">
        <v>933</v>
      </c>
      <c r="AG133" s="49">
        <v>801</v>
      </c>
      <c r="AH133" s="49">
        <v>1119</v>
      </c>
      <c r="AI133" s="122">
        <v>868</v>
      </c>
      <c r="AK133" s="270"/>
      <c r="AL133" s="270"/>
    </row>
    <row r="134" spans="2:38" ht="18.75" x14ac:dyDescent="0.25">
      <c r="B134" s="132">
        <v>73900146533</v>
      </c>
      <c r="C134" s="16" t="s">
        <v>257</v>
      </c>
      <c r="D134" s="16">
        <v>39300</v>
      </c>
      <c r="E134" s="14" t="s">
        <v>250</v>
      </c>
      <c r="F134" s="153" t="s">
        <v>772</v>
      </c>
      <c r="G134" s="153" t="s">
        <v>268</v>
      </c>
      <c r="H134" s="153"/>
      <c r="I134" s="153">
        <v>268862</v>
      </c>
      <c r="J134" s="153">
        <v>269982</v>
      </c>
      <c r="K134" s="153">
        <v>271834</v>
      </c>
      <c r="L134" s="153">
        <v>273429</v>
      </c>
      <c r="M134" s="153">
        <v>274985</v>
      </c>
      <c r="N134" s="153">
        <v>276487</v>
      </c>
      <c r="O134" s="153">
        <v>277767</v>
      </c>
      <c r="P134" s="153">
        <v>279089</v>
      </c>
      <c r="Q134" s="153">
        <v>280479</v>
      </c>
      <c r="R134" s="153">
        <v>282185</v>
      </c>
      <c r="S134" s="110">
        <v>283473</v>
      </c>
      <c r="T134" s="110">
        <v>284939</v>
      </c>
      <c r="U134" s="110">
        <v>286398</v>
      </c>
      <c r="V134" s="114"/>
      <c r="X134" s="121">
        <v>1120</v>
      </c>
      <c r="Y134" s="49">
        <v>1852</v>
      </c>
      <c r="Z134" s="49">
        <v>1595</v>
      </c>
      <c r="AA134" s="49">
        <v>1556</v>
      </c>
      <c r="AB134" s="49">
        <v>1502</v>
      </c>
      <c r="AC134" s="49">
        <v>1280</v>
      </c>
      <c r="AD134" s="49">
        <v>1322</v>
      </c>
      <c r="AE134" s="49">
        <v>1390</v>
      </c>
      <c r="AF134" s="49">
        <v>1706</v>
      </c>
      <c r="AG134" s="49">
        <v>1288</v>
      </c>
      <c r="AH134" s="49">
        <v>1466</v>
      </c>
      <c r="AI134" s="122">
        <v>1459</v>
      </c>
      <c r="AK134" s="270"/>
      <c r="AL134" s="270"/>
    </row>
    <row r="135" spans="2:38" ht="18.75" x14ac:dyDescent="0.25">
      <c r="B135" s="132" t="s">
        <v>258</v>
      </c>
      <c r="C135" s="16" t="s">
        <v>257</v>
      </c>
      <c r="D135" s="16">
        <v>39177</v>
      </c>
      <c r="E135" s="14" t="s">
        <v>250</v>
      </c>
      <c r="F135" s="153" t="s">
        <v>63</v>
      </c>
      <c r="G135" s="153"/>
      <c r="H135" s="153"/>
      <c r="I135" s="153">
        <v>470084</v>
      </c>
      <c r="J135" s="153">
        <v>475042</v>
      </c>
      <c r="K135" s="153">
        <v>484280</v>
      </c>
      <c r="L135" s="153">
        <v>492008</v>
      </c>
      <c r="M135" s="153">
        <v>499665</v>
      </c>
      <c r="N135" s="153">
        <v>507989</v>
      </c>
      <c r="O135" s="153">
        <v>518159</v>
      </c>
      <c r="P135" s="153">
        <v>532890</v>
      </c>
      <c r="Q135" s="153">
        <v>548548</v>
      </c>
      <c r="R135" s="153">
        <v>564074</v>
      </c>
      <c r="S135" s="110">
        <v>575323</v>
      </c>
      <c r="T135" s="110">
        <v>584032</v>
      </c>
      <c r="U135" s="110">
        <v>592040</v>
      </c>
      <c r="V135" s="114"/>
      <c r="X135" s="121">
        <v>4958</v>
      </c>
      <c r="Y135" s="49">
        <v>9238</v>
      </c>
      <c r="Z135" s="49">
        <v>7728</v>
      </c>
      <c r="AA135" s="49">
        <v>7657</v>
      </c>
      <c r="AB135" s="49">
        <v>8324</v>
      </c>
      <c r="AC135" s="49">
        <v>10170</v>
      </c>
      <c r="AD135" s="49">
        <v>14731</v>
      </c>
      <c r="AE135" s="49">
        <v>15658</v>
      </c>
      <c r="AF135" s="49">
        <v>15526</v>
      </c>
      <c r="AG135" s="49">
        <v>11249</v>
      </c>
      <c r="AH135" s="49">
        <v>8709</v>
      </c>
      <c r="AI135" s="188">
        <v>8008</v>
      </c>
      <c r="AK135" s="270"/>
      <c r="AL135" s="270"/>
    </row>
    <row r="136" spans="2:38" ht="18.75" x14ac:dyDescent="0.25">
      <c r="B136" s="132" t="s">
        <v>260</v>
      </c>
      <c r="C136" s="16" t="s">
        <v>257</v>
      </c>
      <c r="D136" s="16">
        <v>39284</v>
      </c>
      <c r="E136" s="14" t="s">
        <v>261</v>
      </c>
      <c r="F136" s="153" t="s">
        <v>262</v>
      </c>
      <c r="G136" s="153"/>
      <c r="H136" s="153"/>
      <c r="I136" s="153">
        <v>231646</v>
      </c>
      <c r="J136" s="153">
        <v>232633</v>
      </c>
      <c r="K136" s="153">
        <v>234388</v>
      </c>
      <c r="L136" s="153">
        <v>235701</v>
      </c>
      <c r="M136" s="153">
        <v>237120</v>
      </c>
      <c r="N136" s="153">
        <v>238655</v>
      </c>
      <c r="O136" s="153">
        <v>240177</v>
      </c>
      <c r="P136" s="153">
        <v>242831</v>
      </c>
      <c r="Q136" s="153">
        <v>245374</v>
      </c>
      <c r="R136" s="153">
        <v>247512</v>
      </c>
      <c r="S136" s="110">
        <v>249257</v>
      </c>
      <c r="T136" s="110">
        <v>251126</v>
      </c>
      <c r="U136" s="110">
        <v>252905</v>
      </c>
      <c r="V136" s="114"/>
      <c r="X136" s="121">
        <v>987</v>
      </c>
      <c r="Y136" s="49">
        <v>1755</v>
      </c>
      <c r="Z136" s="49">
        <v>1313</v>
      </c>
      <c r="AA136" s="49">
        <v>1419</v>
      </c>
      <c r="AB136" s="49">
        <v>1535</v>
      </c>
      <c r="AC136" s="49">
        <v>1522</v>
      </c>
      <c r="AD136" s="49">
        <v>2654</v>
      </c>
      <c r="AE136" s="49">
        <v>2543</v>
      </c>
      <c r="AF136" s="49">
        <v>2138</v>
      </c>
      <c r="AG136" s="49">
        <v>1745</v>
      </c>
      <c r="AH136" s="49">
        <v>1869</v>
      </c>
      <c r="AI136" s="122">
        <v>1779</v>
      </c>
      <c r="AK136" s="270"/>
      <c r="AL136" s="270"/>
    </row>
    <row r="137" spans="2:38" ht="18.75" x14ac:dyDescent="0.25">
      <c r="B137" s="132" t="s">
        <v>259</v>
      </c>
      <c r="C137" s="16" t="s">
        <v>257</v>
      </c>
      <c r="D137" s="16">
        <v>39176</v>
      </c>
      <c r="E137" s="14" t="s">
        <v>250</v>
      </c>
      <c r="F137" s="153" t="s">
        <v>63</v>
      </c>
      <c r="G137" s="153"/>
      <c r="H137" s="153"/>
      <c r="I137" s="153">
        <v>509599</v>
      </c>
      <c r="J137" s="153">
        <v>511255</v>
      </c>
      <c r="K137" s="153">
        <v>514311</v>
      </c>
      <c r="L137" s="153">
        <v>516781</v>
      </c>
      <c r="M137" s="153">
        <v>519360</v>
      </c>
      <c r="N137" s="153">
        <v>522162</v>
      </c>
      <c r="O137" s="153">
        <v>525220</v>
      </c>
      <c r="P137" s="153">
        <v>529372</v>
      </c>
      <c r="Q137" s="153">
        <v>533588</v>
      </c>
      <c r="R137" s="153">
        <v>537755</v>
      </c>
      <c r="S137" s="110">
        <v>541098</v>
      </c>
      <c r="T137" s="110">
        <v>541519</v>
      </c>
      <c r="U137" s="110">
        <v>547998</v>
      </c>
      <c r="V137" s="114"/>
      <c r="X137" s="121">
        <v>1656</v>
      </c>
      <c r="Y137" s="49">
        <v>3056</v>
      </c>
      <c r="Z137" s="49">
        <v>2470</v>
      </c>
      <c r="AA137" s="49">
        <v>2579</v>
      </c>
      <c r="AB137" s="49">
        <v>2802</v>
      </c>
      <c r="AC137" s="49">
        <v>3058</v>
      </c>
      <c r="AD137" s="49">
        <v>4152</v>
      </c>
      <c r="AE137" s="49">
        <v>4216</v>
      </c>
      <c r="AF137" s="49">
        <v>4167</v>
      </c>
      <c r="AG137" s="49">
        <v>3343</v>
      </c>
      <c r="AH137" s="49">
        <v>421</v>
      </c>
      <c r="AI137" s="122">
        <v>6479</v>
      </c>
      <c r="AK137" s="270"/>
      <c r="AL137" s="270"/>
    </row>
    <row r="138" spans="2:38" ht="18.75" x14ac:dyDescent="0.25">
      <c r="B138" s="132">
        <v>181156</v>
      </c>
      <c r="C138" s="16" t="s">
        <v>272</v>
      </c>
      <c r="D138" s="16">
        <v>39445</v>
      </c>
      <c r="E138" s="14" t="s">
        <v>250</v>
      </c>
      <c r="F138" s="153" t="s">
        <v>774</v>
      </c>
      <c r="G138" s="153" t="s">
        <v>281</v>
      </c>
      <c r="H138" s="153"/>
      <c r="I138" s="153">
        <v>180752</v>
      </c>
      <c r="J138" s="153">
        <v>181479</v>
      </c>
      <c r="K138" s="153">
        <v>182716</v>
      </c>
      <c r="L138" s="153">
        <v>183670</v>
      </c>
      <c r="M138" s="153">
        <v>184632</v>
      </c>
      <c r="N138" s="153">
        <v>185500</v>
      </c>
      <c r="O138" s="153">
        <v>186278</v>
      </c>
      <c r="P138" s="153">
        <v>187034</v>
      </c>
      <c r="Q138" s="153">
        <v>187654</v>
      </c>
      <c r="R138" s="153">
        <v>188510</v>
      </c>
      <c r="S138" s="110">
        <v>189361</v>
      </c>
      <c r="T138" s="110">
        <v>190453</v>
      </c>
      <c r="U138" s="110">
        <v>191660</v>
      </c>
      <c r="V138" s="114"/>
      <c r="X138" s="121">
        <v>727</v>
      </c>
      <c r="Y138" s="49">
        <v>1237</v>
      </c>
      <c r="Z138" s="49">
        <v>954</v>
      </c>
      <c r="AA138" s="49">
        <v>962</v>
      </c>
      <c r="AB138" s="49">
        <v>868</v>
      </c>
      <c r="AC138" s="49">
        <v>778</v>
      </c>
      <c r="AD138" s="49">
        <v>756</v>
      </c>
      <c r="AE138" s="49">
        <v>620</v>
      </c>
      <c r="AF138" s="49">
        <v>856</v>
      </c>
      <c r="AG138" s="49">
        <v>851</v>
      </c>
      <c r="AH138" s="49">
        <v>1092</v>
      </c>
      <c r="AI138" s="122">
        <v>1207</v>
      </c>
      <c r="AK138" s="270"/>
      <c r="AL138" s="270"/>
    </row>
    <row r="139" spans="2:38" ht="18.75" x14ac:dyDescent="0.25">
      <c r="B139" s="132">
        <v>181183</v>
      </c>
      <c r="C139" s="16" t="s">
        <v>272</v>
      </c>
      <c r="D139" s="16">
        <v>39446</v>
      </c>
      <c r="E139" s="14" t="s">
        <v>250</v>
      </c>
      <c r="F139" s="153" t="s">
        <v>775</v>
      </c>
      <c r="G139" s="153" t="s">
        <v>282</v>
      </c>
      <c r="H139" s="153"/>
      <c r="I139" s="153">
        <v>246035</v>
      </c>
      <c r="J139" s="153">
        <v>247440</v>
      </c>
      <c r="K139" s="153">
        <v>249827</v>
      </c>
      <c r="L139" s="153">
        <v>251694</v>
      </c>
      <c r="M139" s="153">
        <v>253625</v>
      </c>
      <c r="N139" s="153">
        <v>255290</v>
      </c>
      <c r="O139" s="153">
        <v>256701</v>
      </c>
      <c r="P139" s="153">
        <v>258124</v>
      </c>
      <c r="Q139" s="153">
        <v>259804</v>
      </c>
      <c r="R139" s="153">
        <v>262238</v>
      </c>
      <c r="S139" s="110">
        <v>264189</v>
      </c>
      <c r="T139" s="110">
        <v>266315</v>
      </c>
      <c r="U139" s="110">
        <v>268639</v>
      </c>
      <c r="V139" s="114"/>
      <c r="X139" s="121">
        <v>1405</v>
      </c>
      <c r="Y139" s="49">
        <v>2387</v>
      </c>
      <c r="Z139" s="49">
        <v>1867</v>
      </c>
      <c r="AA139" s="49">
        <v>1931</v>
      </c>
      <c r="AB139" s="49">
        <v>1665</v>
      </c>
      <c r="AC139" s="49">
        <v>1411</v>
      </c>
      <c r="AD139" s="49">
        <v>1423</v>
      </c>
      <c r="AE139" s="49">
        <v>1680</v>
      </c>
      <c r="AF139" s="49">
        <v>2434</v>
      </c>
      <c r="AG139" s="49">
        <v>1951</v>
      </c>
      <c r="AH139" s="49">
        <v>2126</v>
      </c>
      <c r="AI139" s="122">
        <v>2324</v>
      </c>
      <c r="AK139" s="270"/>
      <c r="AL139" s="270"/>
    </row>
    <row r="140" spans="2:38" ht="18.75" x14ac:dyDescent="0.25">
      <c r="B140" s="132">
        <v>181237</v>
      </c>
      <c r="C140" s="16" t="s">
        <v>272</v>
      </c>
      <c r="D140" s="16">
        <v>39447</v>
      </c>
      <c r="E140" s="14" t="s">
        <v>250</v>
      </c>
      <c r="F140" s="153" t="s">
        <v>776</v>
      </c>
      <c r="G140" s="153" t="s">
        <v>283</v>
      </c>
      <c r="H140" s="153"/>
      <c r="I140" s="153">
        <v>227595</v>
      </c>
      <c r="J140" s="153">
        <v>229125</v>
      </c>
      <c r="K140" s="153">
        <v>231725</v>
      </c>
      <c r="L140" s="153">
        <v>233785</v>
      </c>
      <c r="M140" s="153">
        <v>235905</v>
      </c>
      <c r="N140" s="153">
        <v>237773</v>
      </c>
      <c r="O140" s="153">
        <v>239320</v>
      </c>
      <c r="P140" s="153">
        <v>240900</v>
      </c>
      <c r="Q140" s="153">
        <v>241227</v>
      </c>
      <c r="R140" s="153">
        <v>241232</v>
      </c>
      <c r="S140" s="110">
        <v>241232</v>
      </c>
      <c r="T140" s="110">
        <v>242219</v>
      </c>
      <c r="U140" s="110">
        <v>244475</v>
      </c>
      <c r="V140" s="114"/>
      <c r="X140" s="121">
        <v>1530</v>
      </c>
      <c r="Y140" s="49">
        <v>2600</v>
      </c>
      <c r="Z140" s="49">
        <v>2060</v>
      </c>
      <c r="AA140" s="49">
        <v>2120</v>
      </c>
      <c r="AB140" s="49">
        <v>1868</v>
      </c>
      <c r="AC140" s="49">
        <v>1547</v>
      </c>
      <c r="AD140" s="49">
        <v>1580</v>
      </c>
      <c r="AE140" s="49">
        <v>327</v>
      </c>
      <c r="AF140" s="49">
        <v>5</v>
      </c>
      <c r="AG140" s="49">
        <v>0</v>
      </c>
      <c r="AH140" s="49">
        <v>987</v>
      </c>
      <c r="AI140" s="122">
        <v>2256</v>
      </c>
      <c r="AK140" s="270"/>
      <c r="AL140" s="270"/>
    </row>
    <row r="141" spans="2:38" ht="18.75" x14ac:dyDescent="0.25">
      <c r="B141" s="132">
        <v>181317</v>
      </c>
      <c r="C141" s="16" t="s">
        <v>272</v>
      </c>
      <c r="D141" s="16">
        <v>39296</v>
      </c>
      <c r="E141" s="14" t="s">
        <v>250</v>
      </c>
      <c r="F141" s="153" t="s">
        <v>782</v>
      </c>
      <c r="G141" s="153" t="s">
        <v>276</v>
      </c>
      <c r="H141" s="153"/>
      <c r="I141" s="153">
        <v>123618</v>
      </c>
      <c r="J141" s="153">
        <v>124873</v>
      </c>
      <c r="K141" s="153">
        <v>127033</v>
      </c>
      <c r="L141" s="153">
        <v>128855</v>
      </c>
      <c r="M141" s="153">
        <v>130487</v>
      </c>
      <c r="N141" s="153">
        <v>132052</v>
      </c>
      <c r="O141" s="153">
        <v>133438</v>
      </c>
      <c r="P141" s="153">
        <v>134831</v>
      </c>
      <c r="Q141" s="153">
        <v>136236</v>
      </c>
      <c r="R141" s="153">
        <v>138268</v>
      </c>
      <c r="S141" s="110">
        <v>141276</v>
      </c>
      <c r="T141" s="110">
        <v>145149</v>
      </c>
      <c r="U141" s="110">
        <v>149308</v>
      </c>
      <c r="V141" s="114"/>
      <c r="X141" s="121">
        <v>1255</v>
      </c>
      <c r="Y141" s="49">
        <v>2160</v>
      </c>
      <c r="Z141" s="49">
        <v>1822</v>
      </c>
      <c r="AA141" s="49">
        <v>1632</v>
      </c>
      <c r="AB141" s="49">
        <v>1565</v>
      </c>
      <c r="AC141" s="49">
        <v>1386</v>
      </c>
      <c r="AD141" s="49">
        <v>1393</v>
      </c>
      <c r="AE141" s="49">
        <v>1405</v>
      </c>
      <c r="AF141" s="49">
        <v>2032</v>
      </c>
      <c r="AG141" s="49">
        <v>3008</v>
      </c>
      <c r="AH141" s="49">
        <v>3873</v>
      </c>
      <c r="AI141" s="122">
        <v>4159</v>
      </c>
      <c r="AK141" s="270"/>
      <c r="AL141" s="270"/>
    </row>
    <row r="142" spans="2:38" ht="18.75" x14ac:dyDescent="0.25">
      <c r="B142" s="131">
        <v>181320</v>
      </c>
      <c r="C142" s="4" t="s">
        <v>272</v>
      </c>
      <c r="D142" s="4">
        <v>39297</v>
      </c>
      <c r="E142" s="5" t="s">
        <v>250</v>
      </c>
      <c r="F142" s="153" t="s">
        <v>783</v>
      </c>
      <c r="G142" s="153" t="s">
        <v>277</v>
      </c>
      <c r="H142" s="153"/>
      <c r="I142" s="153">
        <v>159455</v>
      </c>
      <c r="J142" s="153">
        <v>161361</v>
      </c>
      <c r="K142" s="153">
        <v>164077</v>
      </c>
      <c r="L142" s="153">
        <v>166342</v>
      </c>
      <c r="M142" s="153">
        <v>168228</v>
      </c>
      <c r="N142" s="153">
        <v>169802</v>
      </c>
      <c r="O142" s="153">
        <v>171201</v>
      </c>
      <c r="P142" s="153">
        <v>172494</v>
      </c>
      <c r="Q142" s="153">
        <v>173672</v>
      </c>
      <c r="R142" s="153">
        <v>176072</v>
      </c>
      <c r="S142" s="110">
        <v>178539</v>
      </c>
      <c r="T142" s="110">
        <v>181759</v>
      </c>
      <c r="U142" s="110">
        <v>185146</v>
      </c>
      <c r="V142" s="114"/>
      <c r="X142" s="121">
        <v>1906</v>
      </c>
      <c r="Y142" s="49">
        <v>2716</v>
      </c>
      <c r="Z142" s="49">
        <v>2265</v>
      </c>
      <c r="AA142" s="49">
        <v>1886</v>
      </c>
      <c r="AB142" s="49">
        <v>1574</v>
      </c>
      <c r="AC142" s="49">
        <v>1399</v>
      </c>
      <c r="AD142" s="49">
        <v>1293</v>
      </c>
      <c r="AE142" s="49">
        <v>1178</v>
      </c>
      <c r="AF142" s="49">
        <v>2400</v>
      </c>
      <c r="AG142" s="49">
        <v>2467</v>
      </c>
      <c r="AH142" s="49">
        <v>3220</v>
      </c>
      <c r="AI142" s="122">
        <v>3387</v>
      </c>
      <c r="AK142" s="270"/>
      <c r="AL142" s="270"/>
    </row>
    <row r="143" spans="2:38" ht="18.75" x14ac:dyDescent="0.25">
      <c r="B143" s="131">
        <v>181321</v>
      </c>
      <c r="C143" s="15" t="s">
        <v>272</v>
      </c>
      <c r="D143" s="15">
        <v>39448</v>
      </c>
      <c r="E143" s="14" t="s">
        <v>250</v>
      </c>
      <c r="F143" s="153" t="s">
        <v>777</v>
      </c>
      <c r="G143" s="153" t="s">
        <v>284</v>
      </c>
      <c r="H143" s="153"/>
      <c r="I143" s="153">
        <v>278850</v>
      </c>
      <c r="J143" s="153">
        <v>280753</v>
      </c>
      <c r="K143" s="153">
        <v>284051</v>
      </c>
      <c r="L143" s="153">
        <v>286629</v>
      </c>
      <c r="M143" s="153">
        <v>289262</v>
      </c>
      <c r="N143" s="153">
        <v>291629</v>
      </c>
      <c r="O143" s="153">
        <v>293740</v>
      </c>
      <c r="P143" s="153">
        <v>293871</v>
      </c>
      <c r="Q143" s="153">
        <v>298007</v>
      </c>
      <c r="R143" s="153">
        <v>300822</v>
      </c>
      <c r="S143" s="110">
        <v>303290</v>
      </c>
      <c r="T143" s="110">
        <v>306470</v>
      </c>
      <c r="U143" s="110">
        <v>309818</v>
      </c>
      <c r="V143" s="114"/>
      <c r="X143" s="121">
        <v>1903</v>
      </c>
      <c r="Y143" s="49">
        <v>3298</v>
      </c>
      <c r="Z143" s="49">
        <v>2578</v>
      </c>
      <c r="AA143" s="49">
        <v>2633</v>
      </c>
      <c r="AB143" s="49">
        <v>2367</v>
      </c>
      <c r="AC143" s="49">
        <v>2111</v>
      </c>
      <c r="AD143" s="49">
        <v>131</v>
      </c>
      <c r="AE143" s="49">
        <v>4136</v>
      </c>
      <c r="AF143" s="49">
        <v>2815</v>
      </c>
      <c r="AG143" s="49">
        <v>2468</v>
      </c>
      <c r="AH143" s="49">
        <v>3180</v>
      </c>
      <c r="AI143" s="122">
        <v>3348</v>
      </c>
      <c r="AK143" s="270"/>
      <c r="AL143" s="270"/>
    </row>
    <row r="144" spans="2:38" ht="18.75" x14ac:dyDescent="0.25">
      <c r="B144" s="131">
        <v>181345</v>
      </c>
      <c r="C144" s="15" t="s">
        <v>272</v>
      </c>
      <c r="D144" s="15">
        <v>39294</v>
      </c>
      <c r="E144" s="14" t="s">
        <v>250</v>
      </c>
      <c r="F144" s="153" t="s">
        <v>781</v>
      </c>
      <c r="G144" s="153" t="s">
        <v>275</v>
      </c>
      <c r="H144" s="153"/>
      <c r="I144" s="153">
        <v>178526</v>
      </c>
      <c r="J144" s="153">
        <v>181136</v>
      </c>
      <c r="K144" s="153">
        <v>185605</v>
      </c>
      <c r="L144" s="153">
        <v>189306</v>
      </c>
      <c r="M144" s="153">
        <v>192584</v>
      </c>
      <c r="N144" s="153">
        <v>195693</v>
      </c>
      <c r="O144" s="153">
        <v>198344</v>
      </c>
      <c r="P144" s="153">
        <v>200852</v>
      </c>
      <c r="Q144" s="153">
        <v>203097</v>
      </c>
      <c r="R144" s="153">
        <v>206919</v>
      </c>
      <c r="S144" s="110">
        <v>208678</v>
      </c>
      <c r="T144" s="110">
        <v>212095</v>
      </c>
      <c r="U144" s="110">
        <v>215676</v>
      </c>
      <c r="V144" s="114"/>
      <c r="X144" s="121">
        <v>2610</v>
      </c>
      <c r="Y144" s="49">
        <v>4469</v>
      </c>
      <c r="Z144" s="49">
        <v>3701</v>
      </c>
      <c r="AA144" s="49">
        <v>3278</v>
      </c>
      <c r="AB144" s="49">
        <v>3109</v>
      </c>
      <c r="AC144" s="49">
        <v>2651</v>
      </c>
      <c r="AD144" s="49">
        <v>2508</v>
      </c>
      <c r="AE144" s="49">
        <v>2245</v>
      </c>
      <c r="AF144" s="49">
        <v>3822</v>
      </c>
      <c r="AG144" s="49">
        <v>1759</v>
      </c>
      <c r="AH144" s="49">
        <v>3417</v>
      </c>
      <c r="AI144" s="122">
        <v>3581</v>
      </c>
      <c r="AK144" s="270"/>
      <c r="AL144" s="270"/>
    </row>
    <row r="145" spans="2:38" ht="18.75" x14ac:dyDescent="0.25">
      <c r="B145" s="131">
        <v>181795</v>
      </c>
      <c r="C145" s="15" t="s">
        <v>272</v>
      </c>
      <c r="D145" s="15">
        <v>39298</v>
      </c>
      <c r="E145" s="14" t="s">
        <v>250</v>
      </c>
      <c r="F145" s="153" t="s">
        <v>784</v>
      </c>
      <c r="G145" s="153" t="s">
        <v>278</v>
      </c>
      <c r="H145" s="153"/>
      <c r="I145" s="153">
        <v>171381</v>
      </c>
      <c r="J145" s="153">
        <v>173133</v>
      </c>
      <c r="K145" s="153">
        <v>176154</v>
      </c>
      <c r="L145" s="153">
        <v>178660</v>
      </c>
      <c r="M145" s="153">
        <v>180895</v>
      </c>
      <c r="N145" s="153">
        <v>183033</v>
      </c>
      <c r="O145" s="153">
        <v>184912</v>
      </c>
      <c r="P145" s="153">
        <v>186709</v>
      </c>
      <c r="Q145" s="153">
        <v>188510</v>
      </c>
      <c r="R145" s="153">
        <v>190855</v>
      </c>
      <c r="S145" s="110">
        <v>192897</v>
      </c>
      <c r="T145" s="110">
        <v>195470</v>
      </c>
      <c r="U145" s="110">
        <v>197979</v>
      </c>
      <c r="V145" s="114"/>
      <c r="X145" s="121">
        <v>1752</v>
      </c>
      <c r="Y145" s="49">
        <v>3021</v>
      </c>
      <c r="Z145" s="49">
        <v>2506</v>
      </c>
      <c r="AA145" s="49">
        <v>2235</v>
      </c>
      <c r="AB145" s="49">
        <v>2138</v>
      </c>
      <c r="AC145" s="49">
        <v>1879</v>
      </c>
      <c r="AD145" s="49">
        <v>1797</v>
      </c>
      <c r="AE145" s="49">
        <v>1801</v>
      </c>
      <c r="AF145" s="49">
        <v>2345</v>
      </c>
      <c r="AG145" s="49">
        <v>2042</v>
      </c>
      <c r="AH145" s="49">
        <v>2573</v>
      </c>
      <c r="AI145" s="122">
        <v>2509</v>
      </c>
      <c r="AK145" s="270"/>
      <c r="AL145" s="270"/>
    </row>
    <row r="146" spans="2:38" ht="18.75" x14ac:dyDescent="0.25">
      <c r="B146" s="131">
        <v>349452</v>
      </c>
      <c r="C146" s="15" t="s">
        <v>272</v>
      </c>
      <c r="D146" s="15">
        <v>39449</v>
      </c>
      <c r="E146" s="14" t="s">
        <v>250</v>
      </c>
      <c r="F146" s="153" t="s">
        <v>785</v>
      </c>
      <c r="G146" s="153" t="s">
        <v>279</v>
      </c>
      <c r="H146" s="153"/>
      <c r="I146" s="153">
        <v>33845</v>
      </c>
      <c r="J146" s="153">
        <v>35861</v>
      </c>
      <c r="K146" s="153">
        <v>37445</v>
      </c>
      <c r="L146" s="153">
        <v>37445</v>
      </c>
      <c r="M146" s="153">
        <v>37445</v>
      </c>
      <c r="N146" s="153">
        <v>37445</v>
      </c>
      <c r="O146" s="153">
        <v>37445</v>
      </c>
      <c r="P146" s="153">
        <v>37445</v>
      </c>
      <c r="Q146" s="153">
        <v>37445</v>
      </c>
      <c r="R146" s="153">
        <v>39299</v>
      </c>
      <c r="S146" s="110">
        <v>41129</v>
      </c>
      <c r="T146" s="110">
        <v>43499</v>
      </c>
      <c r="U146" s="110">
        <v>45995</v>
      </c>
      <c r="V146" s="114"/>
      <c r="X146" s="121">
        <v>2016</v>
      </c>
      <c r="Y146" s="49">
        <v>1584</v>
      </c>
      <c r="Z146" s="49">
        <v>0</v>
      </c>
      <c r="AA146" s="49">
        <v>0</v>
      </c>
      <c r="AB146" s="49">
        <v>0</v>
      </c>
      <c r="AC146" s="49">
        <v>0</v>
      </c>
      <c r="AD146" s="49">
        <v>0</v>
      </c>
      <c r="AE146" s="49">
        <v>0</v>
      </c>
      <c r="AF146" s="49">
        <v>1854</v>
      </c>
      <c r="AG146" s="49">
        <v>1830</v>
      </c>
      <c r="AH146" s="49">
        <v>2370</v>
      </c>
      <c r="AI146" s="122">
        <v>2496</v>
      </c>
      <c r="AK146" s="270"/>
      <c r="AL146" s="270"/>
    </row>
    <row r="147" spans="2:38" ht="18.75" x14ac:dyDescent="0.25">
      <c r="B147" s="131">
        <v>357873</v>
      </c>
      <c r="C147" s="15" t="s">
        <v>272</v>
      </c>
      <c r="D147" s="15">
        <v>39450</v>
      </c>
      <c r="E147" s="14" t="s">
        <v>250</v>
      </c>
      <c r="F147" s="153" t="s">
        <v>786</v>
      </c>
      <c r="G147" s="153" t="s">
        <v>280</v>
      </c>
      <c r="H147" s="153"/>
      <c r="I147" s="153">
        <v>5319</v>
      </c>
      <c r="J147" s="153">
        <v>5319</v>
      </c>
      <c r="K147" s="153">
        <v>5319</v>
      </c>
      <c r="L147" s="153">
        <v>5319</v>
      </c>
      <c r="M147" s="153">
        <v>5319</v>
      </c>
      <c r="N147" s="153">
        <v>5319</v>
      </c>
      <c r="O147" s="153">
        <v>5319</v>
      </c>
      <c r="P147" s="153">
        <v>5319</v>
      </c>
      <c r="Q147" s="153">
        <v>5319</v>
      </c>
      <c r="R147" s="153">
        <v>5699</v>
      </c>
      <c r="S147" s="110">
        <v>8279</v>
      </c>
      <c r="T147" s="110">
        <v>11588</v>
      </c>
      <c r="U147" s="110">
        <v>15153</v>
      </c>
      <c r="V147" s="114"/>
      <c r="X147" s="121">
        <v>0</v>
      </c>
      <c r="Y147" s="49">
        <v>0</v>
      </c>
      <c r="Z147" s="49">
        <v>0</v>
      </c>
      <c r="AA147" s="49">
        <v>0</v>
      </c>
      <c r="AB147" s="49">
        <v>0</v>
      </c>
      <c r="AC147" s="49">
        <v>0</v>
      </c>
      <c r="AD147" s="49">
        <v>0</v>
      </c>
      <c r="AE147" s="49">
        <v>0</v>
      </c>
      <c r="AF147" s="49">
        <v>380</v>
      </c>
      <c r="AG147" s="49">
        <v>2580</v>
      </c>
      <c r="AH147" s="49">
        <v>3309</v>
      </c>
      <c r="AI147" s="122">
        <v>3565</v>
      </c>
      <c r="AK147" s="270"/>
      <c r="AL147" s="270"/>
    </row>
    <row r="148" spans="2:38" ht="18.75" x14ac:dyDescent="0.25">
      <c r="B148" s="131">
        <v>357875</v>
      </c>
      <c r="C148" s="15" t="s">
        <v>272</v>
      </c>
      <c r="D148" s="15">
        <v>39454</v>
      </c>
      <c r="E148" s="14" t="s">
        <v>250</v>
      </c>
      <c r="F148" s="153" t="s">
        <v>778</v>
      </c>
      <c r="G148" s="153" t="s">
        <v>285</v>
      </c>
      <c r="H148" s="153"/>
      <c r="I148" s="153">
        <v>14035</v>
      </c>
      <c r="J148" s="153">
        <v>14035</v>
      </c>
      <c r="K148" s="153">
        <v>14035</v>
      </c>
      <c r="L148" s="153">
        <v>14035</v>
      </c>
      <c r="M148" s="153">
        <v>14035</v>
      </c>
      <c r="N148" s="153">
        <v>14035</v>
      </c>
      <c r="O148" s="153">
        <v>14035</v>
      </c>
      <c r="P148" s="153">
        <v>14035</v>
      </c>
      <c r="Q148" s="153">
        <v>14035</v>
      </c>
      <c r="R148" s="153">
        <v>16672</v>
      </c>
      <c r="S148" s="110">
        <v>19293</v>
      </c>
      <c r="T148" s="110">
        <v>22689</v>
      </c>
      <c r="U148" s="110">
        <v>26303</v>
      </c>
      <c r="V148" s="114"/>
      <c r="X148" s="121">
        <v>0</v>
      </c>
      <c r="Y148" s="49">
        <v>0</v>
      </c>
      <c r="Z148" s="49">
        <v>0</v>
      </c>
      <c r="AA148" s="49">
        <v>0</v>
      </c>
      <c r="AB148" s="49">
        <v>0</v>
      </c>
      <c r="AC148" s="49">
        <v>0</v>
      </c>
      <c r="AD148" s="49">
        <v>0</v>
      </c>
      <c r="AE148" s="49">
        <v>0</v>
      </c>
      <c r="AF148" s="49">
        <v>2637</v>
      </c>
      <c r="AG148" s="49">
        <v>2621</v>
      </c>
      <c r="AH148" s="49">
        <v>3396</v>
      </c>
      <c r="AI148" s="122">
        <v>3614</v>
      </c>
      <c r="AK148" s="270"/>
      <c r="AL148" s="270"/>
    </row>
    <row r="149" spans="2:38" ht="18.75" x14ac:dyDescent="0.25">
      <c r="B149" s="131">
        <v>358168</v>
      </c>
      <c r="C149" s="15" t="s">
        <v>272</v>
      </c>
      <c r="D149" s="15">
        <v>39457</v>
      </c>
      <c r="E149" s="14" t="s">
        <v>250</v>
      </c>
      <c r="F149" s="153" t="s">
        <v>779</v>
      </c>
      <c r="G149" s="153" t="s">
        <v>286</v>
      </c>
      <c r="H149" s="153"/>
      <c r="I149" s="153">
        <v>27454</v>
      </c>
      <c r="J149" s="153">
        <v>29204</v>
      </c>
      <c r="K149" s="153">
        <v>32213</v>
      </c>
      <c r="L149" s="153">
        <v>34728</v>
      </c>
      <c r="M149" s="153">
        <v>36973</v>
      </c>
      <c r="N149" s="153">
        <v>39136</v>
      </c>
      <c r="O149" s="153">
        <v>41060</v>
      </c>
      <c r="P149" s="153">
        <v>42997</v>
      </c>
      <c r="Q149" s="153">
        <v>44576</v>
      </c>
      <c r="R149" s="153">
        <v>46147</v>
      </c>
      <c r="S149" s="110">
        <v>48232</v>
      </c>
      <c r="T149" s="110">
        <v>50580</v>
      </c>
      <c r="U149" s="110">
        <v>53053</v>
      </c>
      <c r="V149" s="114"/>
      <c r="X149" s="121">
        <v>1750</v>
      </c>
      <c r="Y149" s="49">
        <v>3009</v>
      </c>
      <c r="Z149" s="49">
        <v>2515</v>
      </c>
      <c r="AA149" s="49">
        <v>2245</v>
      </c>
      <c r="AB149" s="49">
        <v>2163</v>
      </c>
      <c r="AC149" s="49">
        <v>1924</v>
      </c>
      <c r="AD149" s="49">
        <v>1937</v>
      </c>
      <c r="AE149" s="49">
        <v>1579</v>
      </c>
      <c r="AF149" s="49">
        <v>1571</v>
      </c>
      <c r="AG149" s="49">
        <v>2085</v>
      </c>
      <c r="AH149" s="49">
        <v>2348</v>
      </c>
      <c r="AI149" s="122">
        <v>2473</v>
      </c>
      <c r="AK149" s="270"/>
      <c r="AL149" s="270"/>
    </row>
    <row r="150" spans="2:38" ht="18.75" x14ac:dyDescent="0.25">
      <c r="B150" s="131">
        <v>359329</v>
      </c>
      <c r="C150" s="15" t="s">
        <v>272</v>
      </c>
      <c r="D150" s="15">
        <v>39458</v>
      </c>
      <c r="E150" s="14" t="s">
        <v>250</v>
      </c>
      <c r="F150" s="153" t="s">
        <v>780</v>
      </c>
      <c r="G150" s="153" t="s">
        <v>287</v>
      </c>
      <c r="H150" s="153"/>
      <c r="I150" s="153">
        <v>31282</v>
      </c>
      <c r="J150" s="153">
        <v>33279</v>
      </c>
      <c r="K150" s="153">
        <v>36724</v>
      </c>
      <c r="L150" s="153">
        <v>39604</v>
      </c>
      <c r="M150" s="153">
        <v>42172</v>
      </c>
      <c r="N150" s="153">
        <v>44647</v>
      </c>
      <c r="O150" s="153">
        <v>46844</v>
      </c>
      <c r="P150" s="153">
        <v>49057</v>
      </c>
      <c r="Q150" s="153">
        <v>51276</v>
      </c>
      <c r="R150" s="153">
        <v>54154</v>
      </c>
      <c r="S150" s="110">
        <v>56680</v>
      </c>
      <c r="T150" s="110">
        <v>59960</v>
      </c>
      <c r="U150" s="110">
        <v>63427</v>
      </c>
      <c r="V150" s="114"/>
      <c r="X150" s="121">
        <v>1997</v>
      </c>
      <c r="Y150" s="49">
        <v>3445</v>
      </c>
      <c r="Z150" s="49">
        <v>2880</v>
      </c>
      <c r="AA150" s="49">
        <v>2568</v>
      </c>
      <c r="AB150" s="49">
        <v>2475</v>
      </c>
      <c r="AC150" s="49">
        <v>2197</v>
      </c>
      <c r="AD150" s="49">
        <v>2213</v>
      </c>
      <c r="AE150" s="49">
        <v>2219</v>
      </c>
      <c r="AF150" s="49">
        <v>2878</v>
      </c>
      <c r="AG150" s="49">
        <v>2526</v>
      </c>
      <c r="AH150" s="49">
        <v>3280</v>
      </c>
      <c r="AI150" s="122">
        <v>3467</v>
      </c>
      <c r="AK150" s="270"/>
      <c r="AL150" s="270"/>
    </row>
    <row r="151" spans="2:38" ht="18.75" x14ac:dyDescent="0.25">
      <c r="B151" s="131" t="s">
        <v>273</v>
      </c>
      <c r="C151" s="15" t="s">
        <v>272</v>
      </c>
      <c r="D151" s="15">
        <v>39267</v>
      </c>
      <c r="E151" s="14" t="s">
        <v>274</v>
      </c>
      <c r="F151" s="153" t="s">
        <v>262</v>
      </c>
      <c r="G151" s="153"/>
      <c r="H151" s="153"/>
      <c r="I151" s="153">
        <v>18246</v>
      </c>
      <c r="J151" s="153">
        <v>18246</v>
      </c>
      <c r="K151" s="153">
        <v>18247</v>
      </c>
      <c r="L151" s="153">
        <v>18248</v>
      </c>
      <c r="M151" s="153">
        <v>18252</v>
      </c>
      <c r="N151" s="153">
        <v>18253</v>
      </c>
      <c r="O151" s="153">
        <v>18583</v>
      </c>
      <c r="P151" s="153">
        <v>18907</v>
      </c>
      <c r="Q151" s="153">
        <v>19115</v>
      </c>
      <c r="R151" s="153">
        <v>19144</v>
      </c>
      <c r="S151" s="110">
        <v>19166</v>
      </c>
      <c r="T151" s="110">
        <v>19184</v>
      </c>
      <c r="U151" s="110">
        <v>19203</v>
      </c>
      <c r="V151" s="114"/>
      <c r="X151" s="121">
        <v>0</v>
      </c>
      <c r="Y151" s="49">
        <v>1</v>
      </c>
      <c r="Z151" s="49">
        <v>1</v>
      </c>
      <c r="AA151" s="49">
        <v>4</v>
      </c>
      <c r="AB151" s="49">
        <v>1</v>
      </c>
      <c r="AC151" s="49">
        <v>330</v>
      </c>
      <c r="AD151" s="49">
        <v>324</v>
      </c>
      <c r="AE151" s="49">
        <v>208</v>
      </c>
      <c r="AF151" s="49">
        <v>29</v>
      </c>
      <c r="AG151" s="49">
        <v>22</v>
      </c>
      <c r="AH151" s="49">
        <v>18</v>
      </c>
      <c r="AI151" s="122">
        <v>19</v>
      </c>
      <c r="AK151" s="270"/>
      <c r="AL151" s="270"/>
    </row>
    <row r="152" spans="2:38" ht="18.75" x14ac:dyDescent="0.25">
      <c r="B152" s="131" t="s">
        <v>428</v>
      </c>
      <c r="C152" s="15" t="s">
        <v>288</v>
      </c>
      <c r="D152" s="15">
        <v>39020</v>
      </c>
      <c r="E152" s="14" t="s">
        <v>454</v>
      </c>
      <c r="F152" s="153" t="s">
        <v>982</v>
      </c>
      <c r="G152" s="153" t="s">
        <v>870</v>
      </c>
      <c r="H152" s="153"/>
      <c r="I152" s="153">
        <v>18895</v>
      </c>
      <c r="J152" s="153">
        <v>19094</v>
      </c>
      <c r="K152" s="153">
        <v>19461</v>
      </c>
      <c r="L152" s="153">
        <v>19765</v>
      </c>
      <c r="M152" s="153">
        <v>19933</v>
      </c>
      <c r="N152" s="153">
        <v>19976</v>
      </c>
      <c r="O152" s="153">
        <v>20019</v>
      </c>
      <c r="P152" s="153">
        <v>20153</v>
      </c>
      <c r="Q152" s="153">
        <v>20281</v>
      </c>
      <c r="R152" s="153">
        <v>20418</v>
      </c>
      <c r="S152" s="110">
        <v>20536</v>
      </c>
      <c r="T152" s="110">
        <v>20747</v>
      </c>
      <c r="U152" s="110">
        <v>21057</v>
      </c>
      <c r="V152" s="114"/>
      <c r="X152" s="121">
        <v>199</v>
      </c>
      <c r="Y152" s="49">
        <v>367</v>
      </c>
      <c r="Z152" s="49">
        <v>304</v>
      </c>
      <c r="AA152" s="49">
        <v>168</v>
      </c>
      <c r="AB152" s="49">
        <v>43</v>
      </c>
      <c r="AC152" s="49">
        <v>43</v>
      </c>
      <c r="AD152" s="49">
        <v>134</v>
      </c>
      <c r="AE152" s="49">
        <v>128</v>
      </c>
      <c r="AF152" s="49">
        <v>137</v>
      </c>
      <c r="AG152" s="49">
        <v>118</v>
      </c>
      <c r="AH152" s="49">
        <v>211</v>
      </c>
      <c r="AI152" s="122">
        <v>310</v>
      </c>
      <c r="AK152" s="270"/>
      <c r="AL152" s="270"/>
    </row>
    <row r="153" spans="2:38" ht="18.75" x14ac:dyDescent="0.25">
      <c r="B153" s="131" t="s">
        <v>294</v>
      </c>
      <c r="C153" s="15" t="s">
        <v>288</v>
      </c>
      <c r="D153" s="15">
        <v>39131</v>
      </c>
      <c r="E153" s="14" t="s">
        <v>295</v>
      </c>
      <c r="F153" s="153" t="s">
        <v>991</v>
      </c>
      <c r="G153" s="153"/>
      <c r="H153" s="153"/>
      <c r="I153" s="153">
        <v>578776</v>
      </c>
      <c r="J153" s="153">
        <v>580525</v>
      </c>
      <c r="K153" s="153">
        <v>583695</v>
      </c>
      <c r="L153" s="153">
        <v>586566</v>
      </c>
      <c r="M153" s="153">
        <v>589860</v>
      </c>
      <c r="N153" s="153">
        <v>593141</v>
      </c>
      <c r="O153" s="153">
        <v>596515</v>
      </c>
      <c r="P153" s="153">
        <v>600440</v>
      </c>
      <c r="Q153" s="153">
        <v>604071</v>
      </c>
      <c r="R153" s="153">
        <v>607963</v>
      </c>
      <c r="S153" s="110">
        <v>611417</v>
      </c>
      <c r="T153" s="110">
        <v>615083</v>
      </c>
      <c r="U153" s="110">
        <v>618678</v>
      </c>
      <c r="V153" s="114"/>
      <c r="X153" s="121">
        <v>1749</v>
      </c>
      <c r="Y153" s="49">
        <v>3170</v>
      </c>
      <c r="Z153" s="49">
        <v>2871</v>
      </c>
      <c r="AA153" s="49">
        <v>3294</v>
      </c>
      <c r="AB153" s="49">
        <v>3281</v>
      </c>
      <c r="AC153" s="49">
        <v>3374</v>
      </c>
      <c r="AD153" s="49">
        <v>3925</v>
      </c>
      <c r="AE153" s="49">
        <v>3631</v>
      </c>
      <c r="AF153" s="49">
        <v>3892</v>
      </c>
      <c r="AG153" s="49">
        <v>3454</v>
      </c>
      <c r="AH153" s="49">
        <v>3666</v>
      </c>
      <c r="AI153" s="122">
        <v>3595</v>
      </c>
      <c r="AK153" s="270"/>
      <c r="AL153" s="270"/>
    </row>
    <row r="154" spans="2:38" ht="18.75" x14ac:dyDescent="0.25">
      <c r="B154" s="131" t="s">
        <v>291</v>
      </c>
      <c r="C154" s="15" t="s">
        <v>288</v>
      </c>
      <c r="D154" s="15">
        <v>39390</v>
      </c>
      <c r="E154" s="14" t="s">
        <v>292</v>
      </c>
      <c r="F154" s="153" t="s">
        <v>985</v>
      </c>
      <c r="G154" s="153"/>
      <c r="H154" s="153"/>
      <c r="I154" s="153">
        <v>24276</v>
      </c>
      <c r="J154" s="153">
        <v>24430</v>
      </c>
      <c r="K154" s="153">
        <v>24977</v>
      </c>
      <c r="L154" s="153">
        <v>24990</v>
      </c>
      <c r="M154" s="153">
        <v>25177</v>
      </c>
      <c r="N154" s="153">
        <v>25481</v>
      </c>
      <c r="O154" s="153">
        <v>25813</v>
      </c>
      <c r="P154" s="153">
        <v>26268</v>
      </c>
      <c r="Q154" s="153">
        <v>26739</v>
      </c>
      <c r="R154" s="153">
        <v>27184</v>
      </c>
      <c r="S154" s="110">
        <v>27550</v>
      </c>
      <c r="T154" s="110">
        <v>27907</v>
      </c>
      <c r="U154" s="110">
        <v>28673</v>
      </c>
      <c r="V154" s="114"/>
      <c r="X154" s="121">
        <v>154</v>
      </c>
      <c r="Y154" s="49">
        <v>547</v>
      </c>
      <c r="Z154" s="49">
        <v>13</v>
      </c>
      <c r="AA154" s="49">
        <v>187</v>
      </c>
      <c r="AB154" s="49">
        <v>304</v>
      </c>
      <c r="AC154" s="49">
        <v>332</v>
      </c>
      <c r="AD154" s="49">
        <v>455</v>
      </c>
      <c r="AE154" s="49">
        <v>471</v>
      </c>
      <c r="AF154" s="49">
        <v>445</v>
      </c>
      <c r="AG154" s="49">
        <v>366</v>
      </c>
      <c r="AH154" s="49">
        <v>357</v>
      </c>
      <c r="AI154" s="122">
        <v>766</v>
      </c>
      <c r="AK154" s="270"/>
      <c r="AL154" s="270"/>
    </row>
    <row r="155" spans="2:38" ht="18.75" x14ac:dyDescent="0.25">
      <c r="B155" s="131" t="s">
        <v>289</v>
      </c>
      <c r="C155" s="15" t="s">
        <v>288</v>
      </c>
      <c r="D155" s="15">
        <v>39006</v>
      </c>
      <c r="E155" s="14" t="s">
        <v>290</v>
      </c>
      <c r="F155" s="153" t="s">
        <v>990</v>
      </c>
      <c r="G155" s="153"/>
      <c r="H155" s="153"/>
      <c r="I155" s="153">
        <v>54790</v>
      </c>
      <c r="J155" s="153">
        <v>55272</v>
      </c>
      <c r="K155" s="153">
        <v>56389</v>
      </c>
      <c r="L155" s="153">
        <v>57120</v>
      </c>
      <c r="M155" s="153">
        <v>57615</v>
      </c>
      <c r="N155" s="153">
        <v>58006</v>
      </c>
      <c r="O155" s="153">
        <v>58477</v>
      </c>
      <c r="P155" s="153">
        <v>59319</v>
      </c>
      <c r="Q155" s="153">
        <v>60335</v>
      </c>
      <c r="R155" s="153">
        <v>61023</v>
      </c>
      <c r="S155" s="110">
        <v>61486</v>
      </c>
      <c r="T155" s="110">
        <v>62008</v>
      </c>
      <c r="U155" s="110">
        <v>62683</v>
      </c>
      <c r="V155" s="114"/>
      <c r="X155" s="121">
        <v>482</v>
      </c>
      <c r="Y155" s="49">
        <v>1117</v>
      </c>
      <c r="Z155" s="49">
        <v>731</v>
      </c>
      <c r="AA155" s="49">
        <v>495</v>
      </c>
      <c r="AB155" s="49">
        <v>391</v>
      </c>
      <c r="AC155" s="49">
        <v>471</v>
      </c>
      <c r="AD155" s="49">
        <v>842</v>
      </c>
      <c r="AE155" s="49">
        <v>1016</v>
      </c>
      <c r="AF155" s="49">
        <v>688</v>
      </c>
      <c r="AG155" s="49">
        <v>463</v>
      </c>
      <c r="AH155" s="49">
        <v>522</v>
      </c>
      <c r="AI155" s="122">
        <v>675</v>
      </c>
      <c r="AK155" s="270"/>
      <c r="AL155" s="270"/>
    </row>
    <row r="156" spans="2:38" ht="18.75" x14ac:dyDescent="0.3">
      <c r="B156" s="135">
        <v>1014100108</v>
      </c>
      <c r="C156" s="10" t="s">
        <v>296</v>
      </c>
      <c r="D156" s="10">
        <v>39505</v>
      </c>
      <c r="E156" s="11" t="s">
        <v>297</v>
      </c>
      <c r="F156" s="153" t="s">
        <v>47</v>
      </c>
      <c r="G156" s="153"/>
      <c r="H156" s="153"/>
      <c r="I156" s="153">
        <v>67261</v>
      </c>
      <c r="J156" s="153">
        <v>67649</v>
      </c>
      <c r="K156" s="153">
        <v>68235</v>
      </c>
      <c r="L156" s="153">
        <v>68750</v>
      </c>
      <c r="M156" s="153">
        <v>68843</v>
      </c>
      <c r="N156" s="153">
        <v>68854</v>
      </c>
      <c r="O156" s="153">
        <v>69982</v>
      </c>
      <c r="P156" s="153">
        <v>69992</v>
      </c>
      <c r="Q156" s="153">
        <v>69002</v>
      </c>
      <c r="R156" s="153">
        <v>69013</v>
      </c>
      <c r="S156" s="110">
        <v>69021</v>
      </c>
      <c r="T156" s="110">
        <v>69032</v>
      </c>
      <c r="U156" s="110">
        <v>69032</v>
      </c>
      <c r="V156" s="114"/>
      <c r="X156" s="121">
        <v>388</v>
      </c>
      <c r="Y156" s="49">
        <v>586</v>
      </c>
      <c r="Z156" s="49">
        <v>515</v>
      </c>
      <c r="AA156" s="49">
        <v>93</v>
      </c>
      <c r="AB156" s="49">
        <v>11</v>
      </c>
      <c r="AC156" s="49">
        <v>1128</v>
      </c>
      <c r="AD156" s="49">
        <v>10</v>
      </c>
      <c r="AE156" s="49" t="s">
        <v>856</v>
      </c>
      <c r="AF156" s="49">
        <v>11</v>
      </c>
      <c r="AG156" s="49">
        <v>8</v>
      </c>
      <c r="AH156" s="49">
        <v>11</v>
      </c>
      <c r="AI156" s="122">
        <v>0</v>
      </c>
      <c r="AK156" s="270"/>
      <c r="AL156" s="270"/>
    </row>
    <row r="157" spans="2:38" ht="18.75" x14ac:dyDescent="0.25">
      <c r="B157" s="131">
        <v>114467100</v>
      </c>
      <c r="C157" s="15" t="s">
        <v>298</v>
      </c>
      <c r="D157" s="15">
        <v>39518</v>
      </c>
      <c r="E157" s="14" t="s">
        <v>996</v>
      </c>
      <c r="F157" s="153" t="s">
        <v>47</v>
      </c>
      <c r="G157" s="153" t="s">
        <v>303</v>
      </c>
      <c r="H157" s="153"/>
      <c r="I157" s="153">
        <v>60159</v>
      </c>
      <c r="J157" s="153">
        <v>61800</v>
      </c>
      <c r="K157" s="153">
        <v>64315</v>
      </c>
      <c r="L157" s="153">
        <v>66261</v>
      </c>
      <c r="M157" s="153">
        <v>68445</v>
      </c>
      <c r="N157" s="153">
        <v>70040</v>
      </c>
      <c r="O157" s="153">
        <v>71607</v>
      </c>
      <c r="P157" s="153">
        <v>73220</v>
      </c>
      <c r="Q157" s="153">
        <v>74836</v>
      </c>
      <c r="R157" s="153">
        <v>76771</v>
      </c>
      <c r="S157" s="110">
        <v>78863</v>
      </c>
      <c r="T157" s="110">
        <v>81026</v>
      </c>
      <c r="U157" s="110">
        <v>83754</v>
      </c>
      <c r="V157" s="114"/>
      <c r="X157" s="121">
        <v>1641</v>
      </c>
      <c r="Y157" s="49">
        <v>2515</v>
      </c>
      <c r="Z157" s="49">
        <v>1946</v>
      </c>
      <c r="AA157" s="49">
        <v>2184</v>
      </c>
      <c r="AB157" s="49">
        <v>1595</v>
      </c>
      <c r="AC157" s="49">
        <v>1567</v>
      </c>
      <c r="AD157" s="49">
        <v>1613</v>
      </c>
      <c r="AE157" s="49">
        <v>1616</v>
      </c>
      <c r="AF157" s="49">
        <v>1935</v>
      </c>
      <c r="AG157" s="49">
        <v>2092</v>
      </c>
      <c r="AH157" s="49">
        <v>2163</v>
      </c>
      <c r="AI157" s="122">
        <v>2728</v>
      </c>
      <c r="AK157" s="270"/>
      <c r="AL157" s="270"/>
    </row>
    <row r="158" spans="2:38" ht="18.75" x14ac:dyDescent="0.25">
      <c r="B158" s="131">
        <v>114467132</v>
      </c>
      <c r="C158" s="4" t="s">
        <v>298</v>
      </c>
      <c r="D158" s="4">
        <v>39519</v>
      </c>
      <c r="E158" s="5" t="s">
        <v>997</v>
      </c>
      <c r="F158" s="153" t="s">
        <v>47</v>
      </c>
      <c r="G158" s="153" t="s">
        <v>304</v>
      </c>
      <c r="H158" s="153"/>
      <c r="I158" s="153">
        <v>49601</v>
      </c>
      <c r="J158" s="153">
        <v>50799</v>
      </c>
      <c r="K158" s="153">
        <v>52958</v>
      </c>
      <c r="L158" s="153">
        <v>54625</v>
      </c>
      <c r="M158" s="153">
        <v>56503</v>
      </c>
      <c r="N158" s="153">
        <v>57876</v>
      </c>
      <c r="O158" s="153">
        <v>59220</v>
      </c>
      <c r="P158" s="153">
        <v>60607</v>
      </c>
      <c r="Q158" s="153">
        <v>61999</v>
      </c>
      <c r="R158" s="153">
        <v>63656</v>
      </c>
      <c r="S158" s="110">
        <v>65207</v>
      </c>
      <c r="T158" s="110">
        <v>67319</v>
      </c>
      <c r="U158" s="110">
        <v>69661</v>
      </c>
      <c r="V158" s="114"/>
      <c r="X158" s="121">
        <v>1198</v>
      </c>
      <c r="Y158" s="49">
        <v>2159</v>
      </c>
      <c r="Z158" s="49">
        <v>1667</v>
      </c>
      <c r="AA158" s="49">
        <v>1878</v>
      </c>
      <c r="AB158" s="49">
        <v>1373</v>
      </c>
      <c r="AC158" s="49">
        <v>1344</v>
      </c>
      <c r="AD158" s="49">
        <v>1387</v>
      </c>
      <c r="AE158" s="49">
        <v>1392</v>
      </c>
      <c r="AF158" s="49">
        <v>1657</v>
      </c>
      <c r="AG158" s="49">
        <v>1551</v>
      </c>
      <c r="AH158" s="49">
        <v>2112</v>
      </c>
      <c r="AI158" s="122">
        <v>2342</v>
      </c>
      <c r="AK158" s="270"/>
      <c r="AL158" s="270"/>
    </row>
    <row r="159" spans="2:38" ht="18.75" x14ac:dyDescent="0.25">
      <c r="B159" s="131">
        <v>114484080</v>
      </c>
      <c r="C159" s="4" t="s">
        <v>298</v>
      </c>
      <c r="D159" s="4">
        <v>39517</v>
      </c>
      <c r="E159" s="5" t="s">
        <v>998</v>
      </c>
      <c r="F159" s="153" t="s">
        <v>47</v>
      </c>
      <c r="G159" s="153" t="s">
        <v>302</v>
      </c>
      <c r="H159" s="153"/>
      <c r="I159" s="153">
        <v>58390</v>
      </c>
      <c r="J159" s="153">
        <v>61605</v>
      </c>
      <c r="K159" s="153">
        <v>64150</v>
      </c>
      <c r="L159" s="153">
        <v>66124</v>
      </c>
      <c r="M159" s="153">
        <v>68335</v>
      </c>
      <c r="N159" s="153">
        <v>69948</v>
      </c>
      <c r="O159" s="153">
        <v>71533</v>
      </c>
      <c r="P159" s="153">
        <v>73168</v>
      </c>
      <c r="Q159" s="153">
        <v>74809</v>
      </c>
      <c r="R159" s="153">
        <v>76770</v>
      </c>
      <c r="S159" s="110">
        <v>78610</v>
      </c>
      <c r="T159" s="110">
        <v>81098</v>
      </c>
      <c r="U159" s="110">
        <v>83369</v>
      </c>
      <c r="V159" s="114"/>
      <c r="X159" s="121">
        <v>3215</v>
      </c>
      <c r="Y159" s="49">
        <v>2545</v>
      </c>
      <c r="Z159" s="49">
        <v>1974</v>
      </c>
      <c r="AA159" s="49">
        <v>2211</v>
      </c>
      <c r="AB159" s="49">
        <v>1613</v>
      </c>
      <c r="AC159" s="49">
        <v>1585</v>
      </c>
      <c r="AD159" s="49">
        <v>1635</v>
      </c>
      <c r="AE159" s="49">
        <v>1641</v>
      </c>
      <c r="AF159" s="49">
        <v>1961</v>
      </c>
      <c r="AG159" s="49">
        <v>1840</v>
      </c>
      <c r="AH159" s="49">
        <v>2488</v>
      </c>
      <c r="AI159" s="122">
        <v>2271</v>
      </c>
      <c r="AK159" s="270"/>
      <c r="AL159" s="270"/>
    </row>
    <row r="160" spans="2:38" ht="18.75" x14ac:dyDescent="0.25">
      <c r="B160" s="134"/>
      <c r="C160" s="17"/>
      <c r="D160" s="17"/>
      <c r="E160" s="18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10"/>
      <c r="T160" s="110"/>
      <c r="U160" s="110"/>
      <c r="V160" s="114"/>
      <c r="X160" s="121"/>
      <c r="Y160" s="49"/>
      <c r="Z160" s="49"/>
      <c r="AA160" s="49"/>
      <c r="AB160" s="49"/>
      <c r="AC160" s="49"/>
      <c r="AD160" s="49"/>
      <c r="AE160" s="49"/>
      <c r="AF160" s="49"/>
      <c r="AG160" s="49"/>
      <c r="AH160" s="49"/>
      <c r="AI160" s="122"/>
      <c r="AK160" s="270"/>
      <c r="AL160" s="270"/>
    </row>
    <row r="161" spans="2:38" ht="18.75" x14ac:dyDescent="0.25">
      <c r="B161" s="134"/>
      <c r="C161" s="17"/>
      <c r="D161" s="17"/>
      <c r="E161" s="18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10"/>
      <c r="T161" s="110"/>
      <c r="U161" s="110"/>
      <c r="V161" s="114"/>
      <c r="X161" s="121"/>
      <c r="Y161" s="49"/>
      <c r="Z161" s="49"/>
      <c r="AA161" s="49"/>
      <c r="AB161" s="49"/>
      <c r="AC161" s="49"/>
      <c r="AD161" s="49"/>
      <c r="AE161" s="49"/>
      <c r="AF161" s="49"/>
      <c r="AG161" s="49"/>
      <c r="AH161" s="49"/>
      <c r="AI161" s="122"/>
      <c r="AK161" s="270"/>
      <c r="AL161" s="270"/>
    </row>
    <row r="162" spans="2:38" ht="18.75" x14ac:dyDescent="0.25">
      <c r="B162" s="134"/>
      <c r="C162" s="17"/>
      <c r="D162" s="17"/>
      <c r="E162" s="18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10"/>
      <c r="T162" s="110"/>
      <c r="U162" s="110"/>
      <c r="V162" s="114"/>
      <c r="X162" s="121"/>
      <c r="Y162" s="49"/>
      <c r="Z162" s="49"/>
      <c r="AA162" s="49"/>
      <c r="AB162" s="49"/>
      <c r="AC162" s="49"/>
      <c r="AD162" s="49"/>
      <c r="AE162" s="49"/>
      <c r="AF162" s="49"/>
      <c r="AG162" s="49"/>
      <c r="AH162" s="49"/>
      <c r="AI162" s="122"/>
      <c r="AK162" s="270"/>
      <c r="AL162" s="270"/>
    </row>
    <row r="163" spans="2:38" ht="18.75" x14ac:dyDescent="0.25">
      <c r="B163" s="134"/>
      <c r="C163" s="17"/>
      <c r="D163" s="17"/>
      <c r="E163" s="18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10"/>
      <c r="T163" s="110"/>
      <c r="U163" s="110"/>
      <c r="V163" s="114"/>
      <c r="X163" s="121"/>
      <c r="Y163" s="49"/>
      <c r="Z163" s="49"/>
      <c r="AA163" s="49"/>
      <c r="AB163" s="49"/>
      <c r="AC163" s="49"/>
      <c r="AD163" s="49"/>
      <c r="AE163" s="49"/>
      <c r="AF163" s="49"/>
      <c r="AG163" s="49"/>
      <c r="AH163" s="49"/>
      <c r="AI163" s="122"/>
      <c r="AK163" s="270"/>
      <c r="AL163" s="270"/>
    </row>
    <row r="164" spans="2:38" ht="18.75" x14ac:dyDescent="0.25">
      <c r="B164" s="134"/>
      <c r="C164" s="17"/>
      <c r="D164" s="17"/>
      <c r="E164" s="18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10"/>
      <c r="T164" s="110"/>
      <c r="U164" s="110"/>
      <c r="V164" s="114"/>
      <c r="X164" s="121"/>
      <c r="Y164" s="49"/>
      <c r="Z164" s="49"/>
      <c r="AA164" s="49"/>
      <c r="AB164" s="49"/>
      <c r="AC164" s="49"/>
      <c r="AD164" s="49"/>
      <c r="AE164" s="49"/>
      <c r="AF164" s="49"/>
      <c r="AG164" s="49"/>
      <c r="AH164" s="49"/>
      <c r="AI164" s="122"/>
      <c r="AK164" s="270"/>
      <c r="AL164" s="270"/>
    </row>
    <row r="165" spans="2:38" ht="18.75" x14ac:dyDescent="0.25">
      <c r="B165" s="131"/>
      <c r="C165" s="15"/>
      <c r="D165" s="15"/>
      <c r="E165" s="18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10"/>
      <c r="T165" s="110"/>
      <c r="U165" s="110"/>
      <c r="V165" s="114"/>
      <c r="X165" s="121"/>
      <c r="Y165" s="49"/>
      <c r="Z165" s="49"/>
      <c r="AA165" s="49"/>
      <c r="AB165" s="49"/>
      <c r="AC165" s="49"/>
      <c r="AD165" s="49"/>
      <c r="AE165" s="49"/>
      <c r="AF165" s="49"/>
      <c r="AG165" s="49"/>
      <c r="AH165" s="49"/>
      <c r="AI165" s="122"/>
      <c r="AK165" s="270"/>
      <c r="AL165" s="270"/>
    </row>
    <row r="166" spans="2:38" ht="18.75" x14ac:dyDescent="0.25">
      <c r="B166" s="131"/>
      <c r="C166" s="15"/>
      <c r="D166" s="15"/>
      <c r="E166" s="18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10"/>
      <c r="T166" s="110"/>
      <c r="U166" s="110"/>
      <c r="V166" s="114"/>
      <c r="X166" s="121"/>
      <c r="Y166" s="49"/>
      <c r="Z166" s="49"/>
      <c r="AA166" s="49"/>
      <c r="AB166" s="49"/>
      <c r="AC166" s="49"/>
      <c r="AD166" s="49"/>
      <c r="AE166" s="49"/>
      <c r="AF166" s="49"/>
      <c r="AG166" s="49"/>
      <c r="AH166" s="49"/>
      <c r="AI166" s="122"/>
      <c r="AK166" s="270"/>
      <c r="AL166" s="270"/>
    </row>
    <row r="167" spans="2:38" ht="18.75" x14ac:dyDescent="0.25">
      <c r="B167" s="131"/>
      <c r="C167" s="15"/>
      <c r="D167" s="15"/>
      <c r="E167" s="18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10"/>
      <c r="T167" s="110"/>
      <c r="U167" s="110"/>
      <c r="V167" s="114"/>
      <c r="X167" s="121"/>
      <c r="Y167" s="49"/>
      <c r="Z167" s="49"/>
      <c r="AA167" s="49"/>
      <c r="AB167" s="49"/>
      <c r="AC167" s="49"/>
      <c r="AD167" s="49"/>
      <c r="AE167" s="49"/>
      <c r="AF167" s="49"/>
      <c r="AG167" s="49"/>
      <c r="AH167" s="49"/>
      <c r="AI167" s="122"/>
      <c r="AK167" s="270"/>
      <c r="AL167" s="270"/>
    </row>
    <row r="168" spans="2:38" ht="18.75" x14ac:dyDescent="0.25">
      <c r="B168" s="131"/>
      <c r="C168" s="15"/>
      <c r="D168" s="15"/>
      <c r="E168" s="18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10"/>
      <c r="T168" s="110"/>
      <c r="U168" s="110"/>
      <c r="V168" s="114"/>
      <c r="X168" s="121"/>
      <c r="Y168" s="49"/>
      <c r="Z168" s="49"/>
      <c r="AA168" s="49"/>
      <c r="AB168" s="49"/>
      <c r="AC168" s="49"/>
      <c r="AD168" s="49"/>
      <c r="AE168" s="49"/>
      <c r="AF168" s="49"/>
      <c r="AG168" s="49"/>
      <c r="AH168" s="49"/>
      <c r="AI168" s="122"/>
      <c r="AK168" s="270"/>
      <c r="AL168" s="270"/>
    </row>
    <row r="169" spans="2:38" ht="18.75" x14ac:dyDescent="0.25">
      <c r="B169" s="131"/>
      <c r="C169" s="15"/>
      <c r="D169" s="15"/>
      <c r="E169" s="18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10"/>
      <c r="T169" s="110"/>
      <c r="U169" s="110"/>
      <c r="V169" s="114"/>
      <c r="X169" s="121"/>
      <c r="Y169" s="49"/>
      <c r="Z169" s="49"/>
      <c r="AA169" s="49"/>
      <c r="AB169" s="49"/>
      <c r="AC169" s="49"/>
      <c r="AD169" s="49"/>
      <c r="AE169" s="49"/>
      <c r="AF169" s="49"/>
      <c r="AG169" s="49"/>
      <c r="AH169" s="49"/>
      <c r="AI169" s="122"/>
      <c r="AK169" s="270"/>
      <c r="AL169" s="270"/>
    </row>
    <row r="170" spans="2:38" ht="18.75" x14ac:dyDescent="0.25">
      <c r="B170" s="131"/>
      <c r="C170" s="15"/>
      <c r="D170" s="15"/>
      <c r="E170" s="18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10"/>
      <c r="T170" s="110"/>
      <c r="U170" s="110"/>
      <c r="V170" s="114"/>
      <c r="X170" s="121"/>
      <c r="Y170" s="49"/>
      <c r="Z170" s="49"/>
      <c r="AA170" s="49"/>
      <c r="AB170" s="49"/>
      <c r="AC170" s="49"/>
      <c r="AD170" s="49"/>
      <c r="AE170" s="49"/>
      <c r="AF170" s="49"/>
      <c r="AG170" s="49"/>
      <c r="AH170" s="49"/>
      <c r="AI170" s="122"/>
      <c r="AK170" s="270"/>
      <c r="AL170" s="270"/>
    </row>
    <row r="171" spans="2:38" ht="18.75" x14ac:dyDescent="0.25">
      <c r="B171" s="131"/>
      <c r="C171" s="15"/>
      <c r="D171" s="15"/>
      <c r="E171" s="18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10"/>
      <c r="T171" s="110"/>
      <c r="U171" s="110"/>
      <c r="V171" s="114"/>
      <c r="X171" s="121"/>
      <c r="Y171" s="49"/>
      <c r="Z171" s="49"/>
      <c r="AA171" s="49"/>
      <c r="AB171" s="49"/>
      <c r="AC171" s="49"/>
      <c r="AD171" s="49"/>
      <c r="AE171" s="49"/>
      <c r="AF171" s="49"/>
      <c r="AG171" s="49"/>
      <c r="AH171" s="49"/>
      <c r="AI171" s="122"/>
      <c r="AK171" s="270"/>
      <c r="AL171" s="270"/>
    </row>
    <row r="172" spans="2:38" ht="18.75" x14ac:dyDescent="0.25">
      <c r="B172" s="131"/>
      <c r="C172" s="15"/>
      <c r="D172" s="15"/>
      <c r="E172" s="18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10"/>
      <c r="T172" s="110"/>
      <c r="U172" s="110"/>
      <c r="V172" s="114"/>
      <c r="X172" s="121"/>
      <c r="Y172" s="49"/>
      <c r="Z172" s="49"/>
      <c r="AA172" s="49"/>
      <c r="AB172" s="49"/>
      <c r="AC172" s="49"/>
      <c r="AD172" s="49"/>
      <c r="AE172" s="49"/>
      <c r="AF172" s="49"/>
      <c r="AG172" s="49"/>
      <c r="AH172" s="49"/>
      <c r="AI172" s="122"/>
      <c r="AK172" s="270"/>
      <c r="AL172" s="270"/>
    </row>
    <row r="173" spans="2:38" ht="18.75" x14ac:dyDescent="0.25">
      <c r="B173" s="131"/>
      <c r="C173" s="15"/>
      <c r="D173" s="15"/>
      <c r="E173" s="18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10"/>
      <c r="T173" s="110"/>
      <c r="U173" s="110"/>
      <c r="V173" s="114"/>
      <c r="X173" s="121"/>
      <c r="Y173" s="49"/>
      <c r="Z173" s="49"/>
      <c r="AA173" s="49"/>
      <c r="AB173" s="49"/>
      <c r="AC173" s="49"/>
      <c r="AD173" s="49"/>
      <c r="AE173" s="49"/>
      <c r="AF173" s="49"/>
      <c r="AG173" s="49"/>
      <c r="AH173" s="49"/>
      <c r="AI173" s="122"/>
      <c r="AK173" s="270"/>
      <c r="AL173" s="270"/>
    </row>
    <row r="174" spans="2:38" ht="18.75" x14ac:dyDescent="0.25">
      <c r="B174" s="131"/>
      <c r="C174" s="15"/>
      <c r="D174" s="15"/>
      <c r="E174" s="18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10"/>
      <c r="T174" s="110"/>
      <c r="U174" s="110"/>
      <c r="V174" s="114"/>
      <c r="X174" s="121"/>
      <c r="Y174" s="49"/>
      <c r="Z174" s="49"/>
      <c r="AA174" s="49"/>
      <c r="AB174" s="49"/>
      <c r="AC174" s="49"/>
      <c r="AD174" s="49"/>
      <c r="AE174" s="49"/>
      <c r="AF174" s="49"/>
      <c r="AG174" s="49"/>
      <c r="AH174" s="49"/>
      <c r="AI174" s="122"/>
      <c r="AK174" s="270"/>
      <c r="AL174" s="270"/>
    </row>
    <row r="175" spans="2:38" ht="18.75" x14ac:dyDescent="0.25">
      <c r="B175" s="131"/>
      <c r="C175" s="15"/>
      <c r="D175" s="15"/>
      <c r="E175" s="18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10"/>
      <c r="T175" s="110"/>
      <c r="U175" s="110"/>
      <c r="V175" s="114"/>
      <c r="X175" s="121"/>
      <c r="Y175" s="49"/>
      <c r="Z175" s="49"/>
      <c r="AA175" s="49"/>
      <c r="AB175" s="49"/>
      <c r="AC175" s="49"/>
      <c r="AD175" s="49"/>
      <c r="AE175" s="49"/>
      <c r="AF175" s="49"/>
      <c r="AG175" s="49"/>
      <c r="AH175" s="49"/>
      <c r="AI175" s="122"/>
      <c r="AK175" s="270"/>
      <c r="AL175" s="270"/>
    </row>
    <row r="176" spans="2:38" ht="18.75" x14ac:dyDescent="0.25">
      <c r="B176" s="131"/>
      <c r="C176" s="15"/>
      <c r="D176" s="15"/>
      <c r="E176" s="18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10"/>
      <c r="T176" s="110"/>
      <c r="U176" s="110"/>
      <c r="V176" s="114"/>
      <c r="X176" s="121"/>
      <c r="Y176" s="49"/>
      <c r="Z176" s="49"/>
      <c r="AA176" s="49"/>
      <c r="AB176" s="49"/>
      <c r="AC176" s="49"/>
      <c r="AD176" s="49"/>
      <c r="AE176" s="49"/>
      <c r="AF176" s="49"/>
      <c r="AG176" s="49"/>
      <c r="AH176" s="49"/>
      <c r="AI176" s="122"/>
      <c r="AK176" s="270"/>
      <c r="AL176" s="270"/>
    </row>
    <row r="177" spans="2:38" ht="18.75" x14ac:dyDescent="0.25">
      <c r="B177" s="131"/>
      <c r="C177" s="15"/>
      <c r="D177" s="15"/>
      <c r="E177" s="18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10"/>
      <c r="T177" s="110"/>
      <c r="U177" s="110"/>
      <c r="V177" s="114"/>
      <c r="X177" s="121"/>
      <c r="Y177" s="49"/>
      <c r="Z177" s="49"/>
      <c r="AA177" s="49"/>
      <c r="AB177" s="49"/>
      <c r="AC177" s="49"/>
      <c r="AD177" s="49"/>
      <c r="AE177" s="49"/>
      <c r="AF177" s="49"/>
      <c r="AG177" s="49"/>
      <c r="AH177" s="49"/>
      <c r="AI177" s="122"/>
      <c r="AK177" s="270"/>
      <c r="AL177" s="270"/>
    </row>
    <row r="178" spans="2:38" ht="18.75" x14ac:dyDescent="0.25">
      <c r="B178" s="131"/>
      <c r="C178" s="15"/>
      <c r="D178" s="15"/>
      <c r="E178" s="18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10"/>
      <c r="T178" s="110"/>
      <c r="U178" s="110"/>
      <c r="V178" s="114"/>
      <c r="X178" s="121"/>
      <c r="Y178" s="49"/>
      <c r="Z178" s="49"/>
      <c r="AA178" s="49"/>
      <c r="AB178" s="49"/>
      <c r="AC178" s="49"/>
      <c r="AD178" s="49"/>
      <c r="AE178" s="49"/>
      <c r="AF178" s="49"/>
      <c r="AG178" s="49"/>
      <c r="AH178" s="49"/>
      <c r="AI178" s="122"/>
      <c r="AK178" s="270"/>
      <c r="AL178" s="270"/>
    </row>
    <row r="179" spans="2:38" ht="18.75" x14ac:dyDescent="0.25">
      <c r="B179" s="131"/>
      <c r="C179" s="15"/>
      <c r="D179" s="15"/>
      <c r="E179" s="18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10"/>
      <c r="T179" s="110"/>
      <c r="U179" s="110"/>
      <c r="V179" s="114"/>
      <c r="X179" s="121"/>
      <c r="Y179" s="49"/>
      <c r="Z179" s="49"/>
      <c r="AA179" s="49"/>
      <c r="AB179" s="49"/>
      <c r="AC179" s="49"/>
      <c r="AD179" s="49"/>
      <c r="AE179" s="49"/>
      <c r="AF179" s="49"/>
      <c r="AG179" s="49"/>
      <c r="AH179" s="49"/>
      <c r="AI179" s="122"/>
      <c r="AK179" s="270"/>
      <c r="AL179" s="270"/>
    </row>
    <row r="180" spans="2:38" ht="19.5" thickBot="1" x14ac:dyDescent="0.3">
      <c r="B180" s="131"/>
      <c r="C180" s="15"/>
      <c r="D180" s="15"/>
      <c r="E180" s="18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10"/>
      <c r="T180" s="110"/>
      <c r="U180" s="110"/>
      <c r="V180" s="114"/>
      <c r="X180" s="160"/>
      <c r="Y180" s="140"/>
      <c r="Z180" s="140"/>
      <c r="AA180" s="140"/>
      <c r="AB180" s="140"/>
      <c r="AC180" s="140"/>
      <c r="AD180" s="140"/>
      <c r="AE180" s="140"/>
      <c r="AF180" s="140"/>
      <c r="AG180" s="140"/>
      <c r="AH180" s="140"/>
      <c r="AI180" s="161"/>
      <c r="AK180" s="270"/>
      <c r="AL180" s="270"/>
    </row>
    <row r="181" spans="2:38" ht="15.75" thickBot="1" x14ac:dyDescent="0.3">
      <c r="F181" s="159"/>
      <c r="G181" s="159"/>
      <c r="H181" s="159"/>
      <c r="I181" s="159"/>
      <c r="J181" s="159"/>
      <c r="K181" s="159"/>
      <c r="L181" s="159"/>
      <c r="M181" s="159"/>
      <c r="N181" s="159"/>
      <c r="O181" s="159"/>
      <c r="P181" s="159"/>
      <c r="Q181" s="159"/>
      <c r="X181" s="91">
        <f>SUM(X4:X180)</f>
        <v>2410714</v>
      </c>
      <c r="Y181" s="92">
        <f t="shared" ref="Y181:AI181" si="0">SUM(Y4:Y180)</f>
        <v>4749764</v>
      </c>
      <c r="Z181" s="92">
        <f t="shared" si="0"/>
        <v>4411789</v>
      </c>
      <c r="AA181" s="92">
        <f t="shared" si="0"/>
        <v>4969953</v>
      </c>
      <c r="AB181" s="92">
        <f t="shared" si="0"/>
        <v>4958346</v>
      </c>
      <c r="AC181" s="92">
        <f t="shared" si="0"/>
        <v>5192518</v>
      </c>
      <c r="AD181" s="92">
        <f t="shared" si="0"/>
        <v>5437639</v>
      </c>
      <c r="AE181" s="92">
        <f t="shared" si="0"/>
        <v>5758263</v>
      </c>
      <c r="AF181" s="628">
        <f t="shared" si="0"/>
        <v>5518967</v>
      </c>
      <c r="AG181" s="628">
        <f>SUM(AG4:AG180)</f>
        <v>5309492</v>
      </c>
      <c r="AH181" s="92">
        <f>SUM(AH4:AH180)</f>
        <v>5403745</v>
      </c>
      <c r="AI181" s="144">
        <f t="shared" si="0"/>
        <v>5296766</v>
      </c>
      <c r="AK181" s="270"/>
      <c r="AL181" s="270"/>
    </row>
    <row r="182" spans="2:38" x14ac:dyDescent="0.25">
      <c r="X182" s="2">
        <f t="shared" ref="X182:AH182" si="1">SUM(X4:X24)</f>
        <v>2112168</v>
      </c>
      <c r="Y182" s="2">
        <f t="shared" si="1"/>
        <v>4179072</v>
      </c>
      <c r="Z182" s="2">
        <f t="shared" si="1"/>
        <v>3933878</v>
      </c>
      <c r="AA182" s="2">
        <f t="shared" si="1"/>
        <v>4488814</v>
      </c>
      <c r="AB182" s="2">
        <f t="shared" si="1"/>
        <v>4393254</v>
      </c>
      <c r="AC182" s="2">
        <f t="shared" si="1"/>
        <v>4705204</v>
      </c>
      <c r="AD182" s="2">
        <f t="shared" si="1"/>
        <v>4900405</v>
      </c>
      <c r="AE182" s="2">
        <f t="shared" si="1"/>
        <v>5220529</v>
      </c>
      <c r="AF182" s="2">
        <f t="shared" si="1"/>
        <v>4953468</v>
      </c>
      <c r="AG182" s="2">
        <f t="shared" si="1"/>
        <v>4800676</v>
      </c>
      <c r="AH182" s="2">
        <f t="shared" si="1"/>
        <v>4863139</v>
      </c>
      <c r="AK182" s="270"/>
      <c r="AL182" s="270"/>
    </row>
    <row r="183" spans="2:38" x14ac:dyDescent="0.25">
      <c r="X183" s="2">
        <f t="shared" ref="X183:AC183" si="2">X182/X181*100</f>
        <v>87.61586816188067</v>
      </c>
      <c r="Y183" s="2">
        <f t="shared" si="2"/>
        <v>87.984834614940866</v>
      </c>
      <c r="Z183" s="2">
        <f t="shared" si="2"/>
        <v>89.167410318127182</v>
      </c>
      <c r="AA183" s="2">
        <f t="shared" si="2"/>
        <v>90.319043258557969</v>
      </c>
      <c r="AB183" s="2">
        <f t="shared" si="2"/>
        <v>88.603215669096102</v>
      </c>
      <c r="AC183" s="2">
        <f t="shared" si="2"/>
        <v>90.615073457617285</v>
      </c>
      <c r="AD183" s="2">
        <f>AD182/AD181*100</f>
        <v>90.120087045131172</v>
      </c>
      <c r="AE183" s="2">
        <f t="shared" ref="AE183:AH183" si="3">AE182/AE181*100</f>
        <v>90.661524143652343</v>
      </c>
      <c r="AF183" s="2">
        <f t="shared" si="3"/>
        <v>89.753535398925194</v>
      </c>
      <c r="AG183" s="2">
        <f t="shared" si="3"/>
        <v>90.416860972763487</v>
      </c>
      <c r="AH183" s="2">
        <f t="shared" si="3"/>
        <v>89.995715934042039</v>
      </c>
      <c r="AK183" s="270"/>
      <c r="AL183" s="270"/>
    </row>
    <row r="184" spans="2:38" x14ac:dyDescent="0.25">
      <c r="AK184" s="270"/>
      <c r="AL184" s="270"/>
    </row>
    <row r="185" spans="2:38" x14ac:dyDescent="0.25">
      <c r="AD185" s="2">
        <f>AD181+AD242+AD286</f>
        <v>5777743.2199999997</v>
      </c>
      <c r="AK185" s="270"/>
      <c r="AL185" s="270"/>
    </row>
    <row r="186" spans="2:38" x14ac:dyDescent="0.25">
      <c r="AK186" s="270"/>
      <c r="AL186" s="270"/>
    </row>
    <row r="187" spans="2:38" ht="15.75" thickBot="1" x14ac:dyDescent="0.3">
      <c r="AK187" s="270"/>
      <c r="AL187" s="270"/>
    </row>
    <row r="188" spans="2:38" ht="15.75" thickBot="1" x14ac:dyDescent="0.3">
      <c r="B188" s="636" t="s">
        <v>717</v>
      </c>
      <c r="C188" s="637"/>
      <c r="D188" s="637"/>
      <c r="E188" s="637"/>
      <c r="F188" s="637"/>
      <c r="G188" s="637"/>
      <c r="H188" s="637"/>
      <c r="I188" s="637"/>
      <c r="J188" s="637"/>
      <c r="K188" s="637"/>
      <c r="L188" s="637"/>
      <c r="M188" s="637"/>
      <c r="N188" s="637"/>
      <c r="O188" s="637"/>
      <c r="P188" s="637"/>
      <c r="Q188" s="637"/>
      <c r="R188" s="637"/>
      <c r="S188" s="637"/>
      <c r="T188" s="637"/>
      <c r="U188" s="637"/>
      <c r="V188" s="637"/>
      <c r="W188" s="637"/>
      <c r="X188" s="637"/>
      <c r="Y188" s="637"/>
      <c r="Z188" s="637"/>
      <c r="AA188" s="637"/>
      <c r="AB188" s="637"/>
      <c r="AC188" s="637"/>
      <c r="AD188" s="637"/>
      <c r="AE188" s="637"/>
      <c r="AF188" s="637"/>
      <c r="AG188" s="637"/>
      <c r="AH188" s="637"/>
      <c r="AI188" s="639"/>
      <c r="AK188" s="270"/>
      <c r="AL188" s="270"/>
    </row>
    <row r="189" spans="2:38" ht="19.5" thickBot="1" x14ac:dyDescent="0.3">
      <c r="B189" s="141" t="s">
        <v>18</v>
      </c>
      <c r="C189" s="125" t="s">
        <v>0</v>
      </c>
      <c r="D189" s="125" t="s">
        <v>710</v>
      </c>
      <c r="E189" s="142" t="s">
        <v>1</v>
      </c>
      <c r="F189" s="142" t="s">
        <v>2</v>
      </c>
      <c r="G189" s="142" t="s">
        <v>3</v>
      </c>
      <c r="H189" s="142" t="s">
        <v>4</v>
      </c>
      <c r="I189" s="240" t="s">
        <v>1100</v>
      </c>
      <c r="J189" s="240" t="s">
        <v>1050</v>
      </c>
      <c r="K189" s="240" t="s">
        <v>1101</v>
      </c>
      <c r="L189" s="240" t="s">
        <v>1102</v>
      </c>
      <c r="M189" s="240" t="s">
        <v>1103</v>
      </c>
      <c r="N189" s="240" t="s">
        <v>1104</v>
      </c>
      <c r="O189" s="240" t="s">
        <v>1105</v>
      </c>
      <c r="P189" s="240" t="s">
        <v>1106</v>
      </c>
      <c r="Q189" s="240" t="s">
        <v>1107</v>
      </c>
      <c r="R189" s="240" t="s">
        <v>1108</v>
      </c>
      <c r="S189" s="240" t="s">
        <v>1109</v>
      </c>
      <c r="T189" s="240" t="s">
        <v>1110</v>
      </c>
      <c r="U189" s="240" t="s">
        <v>1111</v>
      </c>
      <c r="V189" s="251" t="s">
        <v>1112</v>
      </c>
      <c r="W189" s="93" t="s">
        <v>756</v>
      </c>
      <c r="X189" s="109" t="s">
        <v>488</v>
      </c>
      <c r="Y189" s="100" t="s">
        <v>489</v>
      </c>
      <c r="Z189" s="100" t="s">
        <v>490</v>
      </c>
      <c r="AA189" s="100" t="s">
        <v>491</v>
      </c>
      <c r="AB189" s="100" t="s">
        <v>492</v>
      </c>
      <c r="AC189" s="100" t="s">
        <v>493</v>
      </c>
      <c r="AD189" s="100" t="s">
        <v>494</v>
      </c>
      <c r="AE189" s="100" t="s">
        <v>495</v>
      </c>
      <c r="AF189" s="100" t="s">
        <v>496</v>
      </c>
      <c r="AG189" s="100" t="s">
        <v>497</v>
      </c>
      <c r="AH189" s="101" t="s">
        <v>498</v>
      </c>
      <c r="AI189" s="102" t="s">
        <v>499</v>
      </c>
      <c r="AK189" s="270"/>
      <c r="AL189" s="270"/>
    </row>
    <row r="190" spans="2:38" ht="18.75" x14ac:dyDescent="0.3">
      <c r="B190" s="126">
        <v>83061189</v>
      </c>
      <c r="C190" s="162" t="s">
        <v>517</v>
      </c>
      <c r="D190" s="162">
        <v>39539</v>
      </c>
      <c r="E190" s="164" t="s">
        <v>146</v>
      </c>
      <c r="F190" s="165" t="s">
        <v>1062</v>
      </c>
      <c r="G190" s="165" t="s">
        <v>1115</v>
      </c>
      <c r="H190" s="165"/>
      <c r="I190" s="165">
        <v>1275725</v>
      </c>
      <c r="J190" s="165">
        <v>1293226</v>
      </c>
      <c r="K190" s="165">
        <v>1325461</v>
      </c>
      <c r="L190" s="165">
        <v>1325461</v>
      </c>
      <c r="M190" s="165">
        <v>1385287</v>
      </c>
      <c r="N190" s="165">
        <v>1414860</v>
      </c>
      <c r="O190" s="165"/>
      <c r="P190" s="165">
        <v>1482075</v>
      </c>
      <c r="Q190" s="165">
        <v>1482075</v>
      </c>
      <c r="R190" s="165">
        <v>1558062</v>
      </c>
      <c r="S190" s="111"/>
      <c r="T190" s="111">
        <v>1558062</v>
      </c>
      <c r="U190" s="111">
        <v>1588209</v>
      </c>
      <c r="V190" s="111"/>
      <c r="W190" s="111"/>
      <c r="X190" s="119">
        <v>17501</v>
      </c>
      <c r="Y190" s="119">
        <v>32235</v>
      </c>
      <c r="Z190" s="119">
        <v>0</v>
      </c>
      <c r="AA190" s="119">
        <v>59826</v>
      </c>
      <c r="AB190" s="119">
        <v>29573</v>
      </c>
      <c r="AC190" s="119" t="s">
        <v>734</v>
      </c>
      <c r="AD190" s="119" t="s">
        <v>734</v>
      </c>
      <c r="AE190" s="119">
        <v>0</v>
      </c>
      <c r="AF190" s="119">
        <v>75987</v>
      </c>
      <c r="AG190" s="119">
        <v>0</v>
      </c>
      <c r="AH190" s="119" t="s">
        <v>734</v>
      </c>
      <c r="AI190" s="120">
        <v>30147</v>
      </c>
      <c r="AK190" s="270"/>
      <c r="AL190" s="270"/>
    </row>
    <row r="191" spans="2:38" ht="18.75" x14ac:dyDescent="0.3">
      <c r="B191" s="130">
        <v>94811334</v>
      </c>
      <c r="C191" s="13" t="s">
        <v>517</v>
      </c>
      <c r="D191" s="13">
        <v>39483</v>
      </c>
      <c r="E191" s="8" t="s">
        <v>523</v>
      </c>
      <c r="F191" s="154" t="s">
        <v>521</v>
      </c>
      <c r="G191" s="154" t="s">
        <v>524</v>
      </c>
      <c r="H191" s="154" t="s">
        <v>943</v>
      </c>
      <c r="I191" s="154">
        <v>3577120</v>
      </c>
      <c r="J191" s="154">
        <v>3579969</v>
      </c>
      <c r="K191" s="154">
        <v>3585606</v>
      </c>
      <c r="L191" s="154">
        <v>3589825</v>
      </c>
      <c r="M191" s="154">
        <v>3594728</v>
      </c>
      <c r="N191" s="154">
        <v>3598880</v>
      </c>
      <c r="O191" s="154">
        <v>3602799</v>
      </c>
      <c r="P191" s="154">
        <v>3607401</v>
      </c>
      <c r="Q191" s="154">
        <v>3611975</v>
      </c>
      <c r="R191" s="154">
        <v>3616765</v>
      </c>
      <c r="S191" s="110">
        <v>3621332</v>
      </c>
      <c r="T191" s="110">
        <v>3626098</v>
      </c>
      <c r="U191" s="110">
        <v>3630606</v>
      </c>
      <c r="V191" s="110"/>
      <c r="W191" s="110"/>
      <c r="X191" s="49">
        <v>2849</v>
      </c>
      <c r="Y191" s="49">
        <v>5637</v>
      </c>
      <c r="Z191" s="49">
        <v>4219</v>
      </c>
      <c r="AA191" s="49">
        <v>4903</v>
      </c>
      <c r="AB191" s="49">
        <v>4152</v>
      </c>
      <c r="AC191" s="49">
        <v>3919</v>
      </c>
      <c r="AD191" s="49">
        <v>4602</v>
      </c>
      <c r="AE191" s="49">
        <v>4574</v>
      </c>
      <c r="AF191" s="49">
        <v>4790</v>
      </c>
      <c r="AG191" s="49">
        <v>4567</v>
      </c>
      <c r="AH191" s="49">
        <v>4766</v>
      </c>
      <c r="AI191" s="122">
        <v>4508</v>
      </c>
      <c r="AK191" s="270"/>
      <c r="AL191" s="270"/>
    </row>
    <row r="192" spans="2:38" ht="18.75" x14ac:dyDescent="0.3">
      <c r="B192" s="130">
        <v>94811340</v>
      </c>
      <c r="C192" s="13" t="s">
        <v>517</v>
      </c>
      <c r="D192" s="13">
        <v>39947</v>
      </c>
      <c r="E192" s="8" t="s">
        <v>520</v>
      </c>
      <c r="F192" s="154" t="s">
        <v>521</v>
      </c>
      <c r="G192" s="154" t="s">
        <v>522</v>
      </c>
      <c r="H192" s="154" t="s">
        <v>944</v>
      </c>
      <c r="I192" s="154">
        <v>5044440</v>
      </c>
      <c r="J192" s="154">
        <v>5081623</v>
      </c>
      <c r="K192" s="154">
        <v>5165982</v>
      </c>
      <c r="L192" s="154">
        <v>5257835</v>
      </c>
      <c r="M192" s="154">
        <v>5327616</v>
      </c>
      <c r="N192" s="154">
        <v>5399270</v>
      </c>
      <c r="O192" s="154">
        <v>5475892</v>
      </c>
      <c r="P192" s="154">
        <v>5560453</v>
      </c>
      <c r="Q192" s="154">
        <v>5616159</v>
      </c>
      <c r="R192" s="154">
        <v>5622706</v>
      </c>
      <c r="S192" s="110">
        <v>5630166</v>
      </c>
      <c r="T192" s="110">
        <v>5640590</v>
      </c>
      <c r="U192" s="110">
        <v>5652719</v>
      </c>
      <c r="V192" s="110"/>
      <c r="W192" s="110"/>
      <c r="X192" s="49">
        <v>37183</v>
      </c>
      <c r="Y192" s="49">
        <v>84359</v>
      </c>
      <c r="Z192" s="49">
        <v>91853</v>
      </c>
      <c r="AA192" s="49">
        <v>69781</v>
      </c>
      <c r="AB192" s="49">
        <v>71654</v>
      </c>
      <c r="AC192" s="49">
        <v>76622</v>
      </c>
      <c r="AD192" s="49">
        <v>84561</v>
      </c>
      <c r="AE192" s="49">
        <v>55706</v>
      </c>
      <c r="AF192" s="49">
        <v>6547</v>
      </c>
      <c r="AG192" s="49">
        <v>7460</v>
      </c>
      <c r="AH192" s="49">
        <v>10424</v>
      </c>
      <c r="AI192" s="122">
        <v>12129</v>
      </c>
      <c r="AK192" s="270"/>
      <c r="AL192" s="270"/>
    </row>
    <row r="193" spans="2:38" ht="18.75" x14ac:dyDescent="0.3">
      <c r="B193" s="130">
        <v>94811345</v>
      </c>
      <c r="C193" s="13" t="s">
        <v>517</v>
      </c>
      <c r="D193" s="13">
        <v>39975</v>
      </c>
      <c r="E193" s="8" t="s">
        <v>528</v>
      </c>
      <c r="F193" s="154" t="s">
        <v>529</v>
      </c>
      <c r="G193" s="154" t="s">
        <v>530</v>
      </c>
      <c r="H193" s="154" t="s">
        <v>945</v>
      </c>
      <c r="I193" s="154">
        <v>2666938</v>
      </c>
      <c r="J193" s="154">
        <v>2684135</v>
      </c>
      <c r="K193" s="154">
        <v>2726188</v>
      </c>
      <c r="L193" s="154">
        <v>2762864</v>
      </c>
      <c r="M193" s="154">
        <v>2801733</v>
      </c>
      <c r="N193" s="154">
        <v>2837724</v>
      </c>
      <c r="O193" s="154">
        <v>2876360</v>
      </c>
      <c r="P193" s="154">
        <v>2923373</v>
      </c>
      <c r="Q193" s="154">
        <v>2972132</v>
      </c>
      <c r="R193" s="154">
        <v>3014242</v>
      </c>
      <c r="S193" s="110">
        <v>3044882</v>
      </c>
      <c r="T193" s="110">
        <v>3076242</v>
      </c>
      <c r="U193" s="110">
        <v>3106337</v>
      </c>
      <c r="V193" s="110"/>
      <c r="W193" s="110"/>
      <c r="X193" s="49">
        <v>17197</v>
      </c>
      <c r="Y193" s="49">
        <v>42053</v>
      </c>
      <c r="Z193" s="49">
        <v>36676</v>
      </c>
      <c r="AA193" s="49">
        <v>38869</v>
      </c>
      <c r="AB193" s="49">
        <v>35991</v>
      </c>
      <c r="AC193" s="49">
        <v>38636</v>
      </c>
      <c r="AD193" s="49">
        <v>47013</v>
      </c>
      <c r="AE193" s="49">
        <v>48759</v>
      </c>
      <c r="AF193" s="49">
        <v>42110</v>
      </c>
      <c r="AG193" s="49">
        <v>30640</v>
      </c>
      <c r="AH193" s="49">
        <v>31360</v>
      </c>
      <c r="AI193" s="122">
        <v>30095</v>
      </c>
      <c r="AK193" s="270"/>
      <c r="AL193" s="270"/>
    </row>
    <row r="194" spans="2:38" ht="18.75" x14ac:dyDescent="0.3">
      <c r="B194" s="130">
        <v>94811349</v>
      </c>
      <c r="C194" s="207" t="s">
        <v>517</v>
      </c>
      <c r="D194" s="207">
        <v>39424</v>
      </c>
      <c r="E194" s="8" t="s">
        <v>1372</v>
      </c>
      <c r="F194" s="154" t="s">
        <v>1373</v>
      </c>
      <c r="G194" s="154" t="s">
        <v>1374</v>
      </c>
      <c r="H194" s="154"/>
      <c r="I194" s="154"/>
      <c r="J194" s="154"/>
      <c r="K194" s="154"/>
      <c r="L194" s="154"/>
      <c r="M194" s="154"/>
      <c r="N194" s="154"/>
      <c r="O194" s="154">
        <v>1153006</v>
      </c>
      <c r="P194" s="154"/>
      <c r="Q194" s="154"/>
      <c r="R194" s="154">
        <v>1153006</v>
      </c>
      <c r="S194" s="110"/>
      <c r="T194" s="110">
        <v>1162976</v>
      </c>
      <c r="U194" s="110">
        <v>1165591</v>
      </c>
      <c r="V194" s="110"/>
      <c r="W194" s="110"/>
      <c r="X194" s="49" t="s">
        <v>734</v>
      </c>
      <c r="Y194" s="49" t="s">
        <v>734</v>
      </c>
      <c r="Z194" s="49" t="s">
        <v>734</v>
      </c>
      <c r="AA194" s="49" t="s">
        <v>734</v>
      </c>
      <c r="AB194" s="49" t="s">
        <v>734</v>
      </c>
      <c r="AC194" s="49" t="s">
        <v>734</v>
      </c>
      <c r="AD194" s="49" t="s">
        <v>734</v>
      </c>
      <c r="AE194" s="49" t="s">
        <v>734</v>
      </c>
      <c r="AF194" s="49" t="s">
        <v>734</v>
      </c>
      <c r="AG194" s="49" t="s">
        <v>734</v>
      </c>
      <c r="AH194" s="49" t="s">
        <v>734</v>
      </c>
      <c r="AI194" s="122">
        <v>2615</v>
      </c>
      <c r="AK194" s="270"/>
      <c r="AL194" s="270"/>
    </row>
    <row r="195" spans="2:38" ht="18.75" x14ac:dyDescent="0.3">
      <c r="B195" s="130">
        <v>94823397</v>
      </c>
      <c r="C195" s="207" t="s">
        <v>517</v>
      </c>
      <c r="D195" s="207">
        <v>39929</v>
      </c>
      <c r="E195" s="8" t="s">
        <v>518</v>
      </c>
      <c r="F195" s="154" t="s">
        <v>519</v>
      </c>
      <c r="G195" s="154"/>
      <c r="H195" s="154" t="s">
        <v>946</v>
      </c>
      <c r="I195" s="154">
        <v>2044816</v>
      </c>
      <c r="J195" s="154">
        <v>2047845</v>
      </c>
      <c r="K195" s="154">
        <v>2054431</v>
      </c>
      <c r="L195" s="154">
        <v>2059792</v>
      </c>
      <c r="M195" s="154">
        <v>2064419</v>
      </c>
      <c r="N195" s="154">
        <v>2068455</v>
      </c>
      <c r="O195" s="154">
        <v>2072920</v>
      </c>
      <c r="P195" s="154">
        <v>2077751</v>
      </c>
      <c r="Q195" s="154">
        <v>2083530</v>
      </c>
      <c r="R195" s="154">
        <v>2088761</v>
      </c>
      <c r="S195" s="110">
        <v>2093885</v>
      </c>
      <c r="T195" s="110">
        <v>2098685</v>
      </c>
      <c r="U195" s="110">
        <v>2103807</v>
      </c>
      <c r="V195" s="110"/>
      <c r="W195" s="110"/>
      <c r="X195" s="49">
        <v>3029</v>
      </c>
      <c r="Y195" s="49">
        <v>6586</v>
      </c>
      <c r="Z195" s="49">
        <v>5361</v>
      </c>
      <c r="AA195" s="49">
        <v>4627</v>
      </c>
      <c r="AB195" s="49">
        <v>4036</v>
      </c>
      <c r="AC195" s="49">
        <v>4465</v>
      </c>
      <c r="AD195" s="49">
        <v>4831</v>
      </c>
      <c r="AE195" s="49">
        <v>5779</v>
      </c>
      <c r="AF195" s="49">
        <v>5231</v>
      </c>
      <c r="AG195" s="49">
        <v>5124</v>
      </c>
      <c r="AH195" s="49">
        <v>4800</v>
      </c>
      <c r="AI195" s="122">
        <v>5122</v>
      </c>
      <c r="AK195" s="270"/>
      <c r="AL195" s="270"/>
    </row>
    <row r="196" spans="2:38" ht="18.75" x14ac:dyDescent="0.3">
      <c r="B196" s="130" t="s">
        <v>1155</v>
      </c>
      <c r="C196" s="207" t="s">
        <v>517</v>
      </c>
      <c r="D196" s="103">
        <v>39501</v>
      </c>
      <c r="E196" s="8" t="s">
        <v>532</v>
      </c>
      <c r="F196" s="154" t="s">
        <v>533</v>
      </c>
      <c r="G196" s="154" t="s">
        <v>359</v>
      </c>
      <c r="H196" s="154" t="s">
        <v>1157</v>
      </c>
      <c r="I196" s="154"/>
      <c r="J196" s="154"/>
      <c r="K196" s="154">
        <v>23</v>
      </c>
      <c r="L196" s="154">
        <v>46212</v>
      </c>
      <c r="M196" s="154">
        <v>120731</v>
      </c>
      <c r="N196" s="154">
        <v>181305</v>
      </c>
      <c r="O196" s="154">
        <v>246786</v>
      </c>
      <c r="P196" s="154">
        <v>317822</v>
      </c>
      <c r="Q196" s="154">
        <v>397165</v>
      </c>
      <c r="R196" s="154">
        <v>472924</v>
      </c>
      <c r="S196" s="110">
        <v>542932</v>
      </c>
      <c r="T196" s="110">
        <v>607647</v>
      </c>
      <c r="U196" s="110">
        <v>677250</v>
      </c>
      <c r="V196" s="110"/>
      <c r="W196" s="110"/>
      <c r="X196" s="49" t="s">
        <v>734</v>
      </c>
      <c r="Y196" s="49" t="s">
        <v>734</v>
      </c>
      <c r="Z196" s="49">
        <v>46189</v>
      </c>
      <c r="AA196" s="49">
        <v>74519</v>
      </c>
      <c r="AB196" s="49">
        <v>60574</v>
      </c>
      <c r="AC196" s="49">
        <v>65481</v>
      </c>
      <c r="AD196" s="49">
        <v>71036</v>
      </c>
      <c r="AE196" s="49">
        <v>79343</v>
      </c>
      <c r="AF196" s="49">
        <v>75759</v>
      </c>
      <c r="AG196" s="49">
        <v>70008</v>
      </c>
      <c r="AH196" s="49">
        <v>64715</v>
      </c>
      <c r="AI196" s="122">
        <v>69603</v>
      </c>
      <c r="AK196" s="270"/>
      <c r="AL196" s="270"/>
    </row>
    <row r="197" spans="2:38" ht="18.75" x14ac:dyDescent="0.3">
      <c r="B197" s="130">
        <v>61560</v>
      </c>
      <c r="C197" s="13" t="s">
        <v>541</v>
      </c>
      <c r="D197" s="13">
        <v>39945</v>
      </c>
      <c r="E197" s="8" t="s">
        <v>550</v>
      </c>
      <c r="F197" s="154" t="s">
        <v>551</v>
      </c>
      <c r="G197" s="154"/>
      <c r="H197" s="154"/>
      <c r="I197" s="154">
        <v>1135</v>
      </c>
      <c r="J197" s="154">
        <v>1135</v>
      </c>
      <c r="K197" s="154">
        <v>1135</v>
      </c>
      <c r="L197" s="154">
        <v>1135</v>
      </c>
      <c r="M197" s="154">
        <v>1135</v>
      </c>
      <c r="N197" s="154">
        <v>1135</v>
      </c>
      <c r="O197" s="154">
        <v>1135</v>
      </c>
      <c r="P197" s="154">
        <v>1135</v>
      </c>
      <c r="Q197" s="154">
        <v>1135</v>
      </c>
      <c r="R197" s="154">
        <v>1135</v>
      </c>
      <c r="S197" s="110">
        <v>1135</v>
      </c>
      <c r="T197" s="110">
        <v>1135</v>
      </c>
      <c r="U197" s="110">
        <v>1135</v>
      </c>
      <c r="V197" s="110"/>
      <c r="W197" s="110"/>
      <c r="X197" s="49">
        <v>0</v>
      </c>
      <c r="Y197" s="49">
        <v>0</v>
      </c>
      <c r="Z197" s="49">
        <v>0</v>
      </c>
      <c r="AA197" s="49">
        <v>0</v>
      </c>
      <c r="AB197" s="49">
        <v>0</v>
      </c>
      <c r="AC197" s="49">
        <v>0</v>
      </c>
      <c r="AD197" s="49">
        <v>0</v>
      </c>
      <c r="AE197" s="49">
        <v>0</v>
      </c>
      <c r="AF197" s="49">
        <v>0</v>
      </c>
      <c r="AG197" s="49">
        <v>0</v>
      </c>
      <c r="AH197" s="49">
        <v>0</v>
      </c>
      <c r="AI197" s="122">
        <v>0</v>
      </c>
      <c r="AK197" s="270"/>
      <c r="AL197" s="270"/>
    </row>
    <row r="198" spans="2:38" ht="18.75" x14ac:dyDescent="0.3">
      <c r="B198" s="130">
        <v>57868732</v>
      </c>
      <c r="C198" s="13" t="s">
        <v>541</v>
      </c>
      <c r="D198" s="13">
        <v>39939</v>
      </c>
      <c r="E198" s="8" t="s">
        <v>548</v>
      </c>
      <c r="F198" s="154" t="s">
        <v>549</v>
      </c>
      <c r="G198" s="154"/>
      <c r="H198" s="154"/>
      <c r="I198" s="154">
        <v>10456</v>
      </c>
      <c r="J198" s="154">
        <v>10489</v>
      </c>
      <c r="K198" s="154">
        <v>10573</v>
      </c>
      <c r="L198" s="154">
        <v>10644</v>
      </c>
      <c r="M198" s="154">
        <v>10682</v>
      </c>
      <c r="N198" s="154">
        <v>10748</v>
      </c>
      <c r="O198" s="154">
        <v>10818</v>
      </c>
      <c r="P198" s="154">
        <v>10972</v>
      </c>
      <c r="Q198" s="154">
        <v>11165</v>
      </c>
      <c r="R198" s="154">
        <v>11329</v>
      </c>
      <c r="S198" s="110">
        <v>11388</v>
      </c>
      <c r="T198" s="110">
        <v>11467</v>
      </c>
      <c r="U198" s="110">
        <v>11540</v>
      </c>
      <c r="V198" s="110"/>
      <c r="W198" s="110"/>
      <c r="X198" s="49">
        <v>33</v>
      </c>
      <c r="Y198" s="49">
        <v>84</v>
      </c>
      <c r="Z198" s="49">
        <v>71</v>
      </c>
      <c r="AA198" s="49">
        <v>38</v>
      </c>
      <c r="AB198" s="49">
        <v>66</v>
      </c>
      <c r="AC198" s="49">
        <v>70</v>
      </c>
      <c r="AD198" s="49">
        <v>154</v>
      </c>
      <c r="AE198" s="49">
        <v>193</v>
      </c>
      <c r="AF198" s="49">
        <v>164</v>
      </c>
      <c r="AG198" s="49">
        <v>59</v>
      </c>
      <c r="AH198" s="49">
        <v>79</v>
      </c>
      <c r="AI198" s="122">
        <v>73</v>
      </c>
      <c r="AK198" s="270"/>
      <c r="AL198" s="270"/>
    </row>
    <row r="199" spans="2:38" ht="18.75" x14ac:dyDescent="0.3">
      <c r="B199" s="130">
        <v>78126109</v>
      </c>
      <c r="C199" s="13" t="s">
        <v>541</v>
      </c>
      <c r="D199" s="13">
        <v>39582</v>
      </c>
      <c r="E199" s="8" t="s">
        <v>1198</v>
      </c>
      <c r="F199" s="154" t="s">
        <v>561</v>
      </c>
      <c r="G199" s="154"/>
      <c r="H199" s="154" t="s">
        <v>1199</v>
      </c>
      <c r="I199" s="154"/>
      <c r="J199" s="154"/>
      <c r="K199" s="154">
        <v>402294</v>
      </c>
      <c r="L199" s="154">
        <v>404117</v>
      </c>
      <c r="M199" s="154">
        <v>408558</v>
      </c>
      <c r="N199" s="154">
        <v>411457</v>
      </c>
      <c r="O199" s="154">
        <v>414779</v>
      </c>
      <c r="P199" s="154">
        <v>417686</v>
      </c>
      <c r="Q199" s="154">
        <v>420738</v>
      </c>
      <c r="R199" s="154">
        <v>424838</v>
      </c>
      <c r="S199" s="110">
        <v>426393</v>
      </c>
      <c r="T199" s="110">
        <v>431922</v>
      </c>
      <c r="U199" s="110">
        <v>440013</v>
      </c>
      <c r="V199" s="110"/>
      <c r="W199" s="110"/>
      <c r="X199" s="49" t="s">
        <v>734</v>
      </c>
      <c r="Y199" s="49" t="s">
        <v>734</v>
      </c>
      <c r="Z199" s="49">
        <v>1823</v>
      </c>
      <c r="AA199" s="49">
        <v>4441</v>
      </c>
      <c r="AB199" s="49">
        <v>2899</v>
      </c>
      <c r="AC199" s="49">
        <v>3322</v>
      </c>
      <c r="AD199" s="49">
        <v>2907</v>
      </c>
      <c r="AE199" s="49">
        <v>3052</v>
      </c>
      <c r="AF199" s="49">
        <v>4100</v>
      </c>
      <c r="AG199" s="49">
        <v>1555</v>
      </c>
      <c r="AH199" s="49">
        <v>5529</v>
      </c>
      <c r="AI199" s="122">
        <v>8091</v>
      </c>
      <c r="AK199" s="270"/>
      <c r="AL199" s="270"/>
    </row>
    <row r="200" spans="2:38" ht="18.75" x14ac:dyDescent="0.3">
      <c r="B200" s="130">
        <v>99561366</v>
      </c>
      <c r="C200" s="13" t="s">
        <v>541</v>
      </c>
      <c r="D200" s="13">
        <v>39966</v>
      </c>
      <c r="E200" s="8" t="s">
        <v>518</v>
      </c>
      <c r="F200" s="154" t="s">
        <v>547</v>
      </c>
      <c r="G200" s="154" t="s">
        <v>552</v>
      </c>
      <c r="H200" s="154" t="s">
        <v>867</v>
      </c>
      <c r="I200" s="154">
        <v>49335</v>
      </c>
      <c r="J200" s="154">
        <v>49335</v>
      </c>
      <c r="K200" s="154">
        <v>49335</v>
      </c>
      <c r="L200" s="154">
        <v>49335</v>
      </c>
      <c r="M200" s="154">
        <v>49335</v>
      </c>
      <c r="N200" s="154">
        <v>49335</v>
      </c>
      <c r="O200" s="154">
        <v>49335</v>
      </c>
      <c r="P200" s="154">
        <v>49335</v>
      </c>
      <c r="Q200" s="154">
        <v>49335</v>
      </c>
      <c r="R200" s="154">
        <v>49335</v>
      </c>
      <c r="S200" s="110">
        <v>49335</v>
      </c>
      <c r="T200" s="110">
        <v>49335</v>
      </c>
      <c r="U200" s="110">
        <v>49335</v>
      </c>
      <c r="V200" s="110"/>
      <c r="W200" s="110"/>
      <c r="X200" s="49">
        <v>0</v>
      </c>
      <c r="Y200" s="49">
        <v>0</v>
      </c>
      <c r="Z200" s="49">
        <v>0</v>
      </c>
      <c r="AA200" s="49">
        <v>0</v>
      </c>
      <c r="AB200" s="49">
        <v>0</v>
      </c>
      <c r="AC200" s="49">
        <v>0</v>
      </c>
      <c r="AD200" s="49">
        <v>0</v>
      </c>
      <c r="AE200" s="49">
        <v>0</v>
      </c>
      <c r="AF200" s="49">
        <v>0</v>
      </c>
      <c r="AG200" s="49">
        <v>0</v>
      </c>
      <c r="AH200" s="49">
        <v>0</v>
      </c>
      <c r="AI200" s="122">
        <v>0</v>
      </c>
      <c r="AK200" s="270"/>
      <c r="AL200" s="270"/>
    </row>
    <row r="201" spans="2:38" ht="18.75" x14ac:dyDescent="0.3">
      <c r="B201" s="130">
        <v>99561370</v>
      </c>
      <c r="C201" s="13" t="s">
        <v>541</v>
      </c>
      <c r="D201" s="13">
        <v>39376</v>
      </c>
      <c r="E201" s="8" t="s">
        <v>1198</v>
      </c>
      <c r="F201" s="154"/>
      <c r="G201" s="154" t="s">
        <v>1282</v>
      </c>
      <c r="H201" s="154" t="s">
        <v>1199</v>
      </c>
      <c r="I201" s="154"/>
      <c r="J201" s="154"/>
      <c r="K201" s="154">
        <v>179765</v>
      </c>
      <c r="L201" s="154">
        <v>181624</v>
      </c>
      <c r="M201" s="154">
        <v>183545</v>
      </c>
      <c r="N201" s="154">
        <v>185230</v>
      </c>
      <c r="O201" s="154">
        <v>186996</v>
      </c>
      <c r="P201" s="154">
        <v>188150</v>
      </c>
      <c r="Q201" s="154">
        <v>189740</v>
      </c>
      <c r="R201" s="154">
        <v>189740</v>
      </c>
      <c r="S201" s="110">
        <v>190478</v>
      </c>
      <c r="T201" s="110">
        <v>191737</v>
      </c>
      <c r="U201" s="110">
        <v>193291</v>
      </c>
      <c r="V201" s="110"/>
      <c r="W201" s="110"/>
      <c r="X201" s="49" t="s">
        <v>734</v>
      </c>
      <c r="Y201" s="49" t="s">
        <v>734</v>
      </c>
      <c r="Z201" s="49">
        <v>1859</v>
      </c>
      <c r="AA201" s="49">
        <v>1921</v>
      </c>
      <c r="AB201" s="49">
        <v>1685</v>
      </c>
      <c r="AC201" s="49">
        <v>1766</v>
      </c>
      <c r="AD201" s="49">
        <v>1154</v>
      </c>
      <c r="AE201" s="49">
        <v>1590</v>
      </c>
      <c r="AF201" s="49">
        <v>0</v>
      </c>
      <c r="AG201" s="49">
        <v>738</v>
      </c>
      <c r="AH201" s="49">
        <v>1259</v>
      </c>
      <c r="AI201" s="122">
        <v>1554</v>
      </c>
      <c r="AK201" s="270"/>
      <c r="AL201" s="270"/>
    </row>
    <row r="202" spans="2:38" ht="18.75" x14ac:dyDescent="0.3">
      <c r="B202" s="130">
        <v>106230738</v>
      </c>
      <c r="C202" s="13" t="s">
        <v>541</v>
      </c>
      <c r="D202" s="13">
        <v>39354</v>
      </c>
      <c r="E202" s="8" t="s">
        <v>542</v>
      </c>
      <c r="F202" s="154" t="s">
        <v>543</v>
      </c>
      <c r="G202" s="154"/>
      <c r="H202" s="154"/>
      <c r="I202" s="154">
        <v>84043</v>
      </c>
      <c r="J202" s="154">
        <v>84043</v>
      </c>
      <c r="K202" s="154">
        <v>84043</v>
      </c>
      <c r="L202" s="154">
        <v>84043</v>
      </c>
      <c r="M202" s="154">
        <v>84043</v>
      </c>
      <c r="N202" s="154">
        <v>84043</v>
      </c>
      <c r="O202" s="154">
        <v>84043</v>
      </c>
      <c r="P202" s="154">
        <v>84043</v>
      </c>
      <c r="Q202" s="154">
        <v>84043</v>
      </c>
      <c r="R202" s="154">
        <v>84043</v>
      </c>
      <c r="S202" s="110">
        <v>84043</v>
      </c>
      <c r="T202" s="110">
        <v>84043</v>
      </c>
      <c r="U202" s="110">
        <v>84043</v>
      </c>
      <c r="V202" s="110"/>
      <c r="W202" s="110"/>
      <c r="X202" s="49">
        <v>0</v>
      </c>
      <c r="Y202" s="49">
        <v>0</v>
      </c>
      <c r="Z202" s="49">
        <v>0</v>
      </c>
      <c r="AA202" s="49">
        <v>0</v>
      </c>
      <c r="AB202" s="49">
        <v>0</v>
      </c>
      <c r="AC202" s="49">
        <v>0</v>
      </c>
      <c r="AD202" s="49">
        <v>0</v>
      </c>
      <c r="AE202" s="49">
        <v>0</v>
      </c>
      <c r="AF202" s="49">
        <v>0</v>
      </c>
      <c r="AG202" s="49">
        <v>0</v>
      </c>
      <c r="AH202" s="49">
        <v>0</v>
      </c>
      <c r="AI202" s="122">
        <v>0</v>
      </c>
      <c r="AK202" s="270"/>
      <c r="AL202" s="270"/>
    </row>
    <row r="203" spans="2:38" ht="18.75" x14ac:dyDescent="0.3">
      <c r="B203" s="130" t="s">
        <v>1377</v>
      </c>
      <c r="C203" s="13" t="s">
        <v>541</v>
      </c>
      <c r="D203" s="13">
        <v>39510</v>
      </c>
      <c r="E203" s="8" t="s">
        <v>1198</v>
      </c>
      <c r="F203" s="154" t="s">
        <v>1379</v>
      </c>
      <c r="G203" s="154"/>
      <c r="H203" s="154"/>
      <c r="I203" s="154"/>
      <c r="J203" s="154"/>
      <c r="K203" s="154"/>
      <c r="L203" s="154"/>
      <c r="M203" s="154"/>
      <c r="N203" s="154"/>
      <c r="O203" s="154">
        <v>239</v>
      </c>
      <c r="P203" s="154">
        <v>263</v>
      </c>
      <c r="Q203" s="154">
        <v>263</v>
      </c>
      <c r="R203" s="154">
        <v>263</v>
      </c>
      <c r="S203" s="110">
        <v>263</v>
      </c>
      <c r="T203" s="110">
        <v>263</v>
      </c>
      <c r="U203" s="110">
        <v>263</v>
      </c>
      <c r="V203" s="110"/>
      <c r="W203" s="110"/>
      <c r="X203" s="49" t="s">
        <v>734</v>
      </c>
      <c r="Y203" s="49" t="s">
        <v>734</v>
      </c>
      <c r="Z203" s="49" t="s">
        <v>734</v>
      </c>
      <c r="AA203" s="49" t="s">
        <v>734</v>
      </c>
      <c r="AB203" s="49" t="s">
        <v>734</v>
      </c>
      <c r="AC203" s="49" t="s">
        <v>734</v>
      </c>
      <c r="AD203" s="49">
        <v>24</v>
      </c>
      <c r="AE203" s="49">
        <v>0</v>
      </c>
      <c r="AF203" s="49">
        <v>0</v>
      </c>
      <c r="AG203" s="49">
        <v>0</v>
      </c>
      <c r="AH203" s="49">
        <v>0</v>
      </c>
      <c r="AI203" s="122">
        <v>0</v>
      </c>
      <c r="AK203" s="270"/>
      <c r="AL203" s="270"/>
    </row>
    <row r="204" spans="2:38" ht="18.75" x14ac:dyDescent="0.3">
      <c r="B204" s="130" t="s">
        <v>395</v>
      </c>
      <c r="C204" s="13" t="s">
        <v>541</v>
      </c>
      <c r="D204" s="13">
        <v>39901</v>
      </c>
      <c r="E204" s="8" t="s">
        <v>544</v>
      </c>
      <c r="F204" s="154" t="s">
        <v>545</v>
      </c>
      <c r="G204" s="154"/>
      <c r="H204" s="154"/>
      <c r="I204" s="154">
        <v>978230</v>
      </c>
      <c r="J204" s="154">
        <v>998050</v>
      </c>
      <c r="K204" s="154">
        <v>998050</v>
      </c>
      <c r="L204" s="154">
        <v>998050</v>
      </c>
      <c r="M204" s="154">
        <v>989137</v>
      </c>
      <c r="N204" s="154">
        <v>992679</v>
      </c>
      <c r="O204" s="154"/>
      <c r="P204" s="154"/>
      <c r="Q204" s="154"/>
      <c r="R204" s="154"/>
      <c r="S204" s="110"/>
      <c r="T204" s="110">
        <v>992679</v>
      </c>
      <c r="U204" s="110">
        <v>1022303</v>
      </c>
      <c r="V204" s="110"/>
      <c r="W204" s="110"/>
      <c r="X204" s="49">
        <v>19820</v>
      </c>
      <c r="Y204" s="49">
        <v>0</v>
      </c>
      <c r="Z204" s="49">
        <v>0</v>
      </c>
      <c r="AA204" s="49" t="s">
        <v>856</v>
      </c>
      <c r="AB204" s="49">
        <v>3542</v>
      </c>
      <c r="AC204" s="49" t="s">
        <v>734</v>
      </c>
      <c r="AD204" s="49" t="s">
        <v>734</v>
      </c>
      <c r="AE204" s="49" t="s">
        <v>734</v>
      </c>
      <c r="AF204" s="49" t="s">
        <v>734</v>
      </c>
      <c r="AG204" s="49" t="s">
        <v>734</v>
      </c>
      <c r="AH204" s="49" t="s">
        <v>734</v>
      </c>
      <c r="AI204" s="122">
        <v>29624</v>
      </c>
      <c r="AK204" s="270"/>
      <c r="AL204" s="270"/>
    </row>
    <row r="205" spans="2:38" ht="18.75" x14ac:dyDescent="0.3">
      <c r="B205" s="130">
        <v>20583312</v>
      </c>
      <c r="C205" s="13" t="s">
        <v>560</v>
      </c>
      <c r="D205" s="13">
        <v>39978</v>
      </c>
      <c r="E205" s="8" t="s">
        <v>565</v>
      </c>
      <c r="F205" s="154" t="s">
        <v>124</v>
      </c>
      <c r="G205" s="154" t="s">
        <v>567</v>
      </c>
      <c r="H205" s="154"/>
      <c r="I205" s="154">
        <v>4199</v>
      </c>
      <c r="J205" s="154">
        <v>4240</v>
      </c>
      <c r="K205" s="154">
        <v>4304</v>
      </c>
      <c r="L205" s="154">
        <v>4315</v>
      </c>
      <c r="M205" s="154">
        <v>4315</v>
      </c>
      <c r="N205" s="154">
        <v>4320</v>
      </c>
      <c r="O205" s="154">
        <v>4334</v>
      </c>
      <c r="P205" s="154">
        <v>4340</v>
      </c>
      <c r="Q205" s="154">
        <v>4350</v>
      </c>
      <c r="R205" s="154">
        <v>4350</v>
      </c>
      <c r="S205" s="110">
        <v>4404</v>
      </c>
      <c r="T205" s="110">
        <v>4457</v>
      </c>
      <c r="U205" s="110">
        <v>4550</v>
      </c>
      <c r="V205" s="110"/>
      <c r="W205" s="110"/>
      <c r="X205" s="49">
        <v>820</v>
      </c>
      <c r="Y205" s="49">
        <v>1280</v>
      </c>
      <c r="Z205" s="49">
        <v>220</v>
      </c>
      <c r="AA205" s="49">
        <v>0</v>
      </c>
      <c r="AB205" s="49">
        <v>100</v>
      </c>
      <c r="AC205" s="49">
        <v>280</v>
      </c>
      <c r="AD205" s="49">
        <v>120</v>
      </c>
      <c r="AE205" s="49">
        <v>200</v>
      </c>
      <c r="AF205" s="49">
        <v>0</v>
      </c>
      <c r="AG205" s="49">
        <v>1080</v>
      </c>
      <c r="AH205" s="49">
        <v>1060</v>
      </c>
      <c r="AI205" s="122">
        <v>1860</v>
      </c>
      <c r="AK205" s="270"/>
      <c r="AL205" s="270"/>
    </row>
    <row r="206" spans="2:38" ht="18.75" x14ac:dyDescent="0.3">
      <c r="B206" s="130">
        <v>63000131</v>
      </c>
      <c r="C206" s="13" t="s">
        <v>560</v>
      </c>
      <c r="D206" s="13">
        <v>39405</v>
      </c>
      <c r="E206" s="8" t="s">
        <v>367</v>
      </c>
      <c r="F206" s="154" t="s">
        <v>124</v>
      </c>
      <c r="G206" s="154" t="s">
        <v>561</v>
      </c>
      <c r="H206" s="154"/>
      <c r="I206" s="154">
        <v>301734</v>
      </c>
      <c r="J206" s="154">
        <v>302818</v>
      </c>
      <c r="K206" s="154">
        <v>305521</v>
      </c>
      <c r="L206" s="154">
        <v>307759</v>
      </c>
      <c r="M206" s="154">
        <v>309546</v>
      </c>
      <c r="N206" s="154">
        <v>310604</v>
      </c>
      <c r="O206" s="154">
        <v>311747</v>
      </c>
      <c r="P206" s="154">
        <v>313807</v>
      </c>
      <c r="Q206" s="154">
        <v>316379</v>
      </c>
      <c r="R206" s="154">
        <v>318712</v>
      </c>
      <c r="S206" s="110">
        <v>319629</v>
      </c>
      <c r="T206" s="110">
        <v>321259</v>
      </c>
      <c r="U206" s="110">
        <v>323978</v>
      </c>
      <c r="V206" s="110"/>
      <c r="W206" s="110"/>
      <c r="X206" s="49">
        <v>1084</v>
      </c>
      <c r="Y206" s="49">
        <v>2703</v>
      </c>
      <c r="Z206" s="49">
        <v>2238</v>
      </c>
      <c r="AA206" s="49">
        <v>1787</v>
      </c>
      <c r="AB206" s="49">
        <v>1058</v>
      </c>
      <c r="AC206" s="49">
        <v>1143</v>
      </c>
      <c r="AD206" s="49">
        <v>2060</v>
      </c>
      <c r="AE206" s="49">
        <v>2572</v>
      </c>
      <c r="AF206" s="49">
        <v>2333</v>
      </c>
      <c r="AG206" s="49">
        <v>917</v>
      </c>
      <c r="AH206" s="49">
        <v>1630</v>
      </c>
      <c r="AI206" s="122">
        <v>2719</v>
      </c>
      <c r="AK206" s="270"/>
      <c r="AL206" s="270"/>
    </row>
    <row r="207" spans="2:38" ht="18.75" x14ac:dyDescent="0.3">
      <c r="B207" s="130">
        <v>83363214</v>
      </c>
      <c r="C207" s="13" t="s">
        <v>560</v>
      </c>
      <c r="D207" s="13">
        <v>39415</v>
      </c>
      <c r="E207" s="8" t="s">
        <v>562</v>
      </c>
      <c r="F207" s="154" t="s">
        <v>124</v>
      </c>
      <c r="G207" s="154" t="s">
        <v>1145</v>
      </c>
      <c r="H207" s="154"/>
      <c r="I207" s="154">
        <v>87738</v>
      </c>
      <c r="J207" s="154">
        <v>87898</v>
      </c>
      <c r="K207" s="154">
        <v>88160</v>
      </c>
      <c r="L207" s="154">
        <v>88411</v>
      </c>
      <c r="M207" s="154">
        <v>88734</v>
      </c>
      <c r="N207" s="154">
        <v>89112</v>
      </c>
      <c r="O207" s="154">
        <v>89635</v>
      </c>
      <c r="P207" s="154">
        <v>90127</v>
      </c>
      <c r="Q207" s="154">
        <v>90844</v>
      </c>
      <c r="R207" s="154">
        <v>91520</v>
      </c>
      <c r="S207" s="110">
        <v>91974</v>
      </c>
      <c r="T207" s="110">
        <v>92273</v>
      </c>
      <c r="U207" s="110">
        <v>92636</v>
      </c>
      <c r="V207" s="110"/>
      <c r="W207" s="110"/>
      <c r="X207" s="49">
        <v>160</v>
      </c>
      <c r="Y207" s="49">
        <v>262</v>
      </c>
      <c r="Z207" s="49">
        <v>251</v>
      </c>
      <c r="AA207" s="49">
        <v>323</v>
      </c>
      <c r="AB207" s="49">
        <v>378</v>
      </c>
      <c r="AC207" s="49">
        <v>523</v>
      </c>
      <c r="AD207" s="49">
        <v>492</v>
      </c>
      <c r="AE207" s="49">
        <v>717</v>
      </c>
      <c r="AF207" s="49">
        <v>676</v>
      </c>
      <c r="AG207" s="49">
        <v>454</v>
      </c>
      <c r="AH207" s="49">
        <v>299</v>
      </c>
      <c r="AI207" s="122">
        <v>363</v>
      </c>
      <c r="AK207" s="270"/>
      <c r="AL207" s="270"/>
    </row>
    <row r="208" spans="2:38" ht="18.75" x14ac:dyDescent="0.3">
      <c r="B208" s="130" t="s">
        <v>397</v>
      </c>
      <c r="C208" s="13" t="s">
        <v>560</v>
      </c>
      <c r="D208" s="13">
        <v>39936</v>
      </c>
      <c r="E208" s="8" t="s">
        <v>565</v>
      </c>
      <c r="F208" s="154" t="s">
        <v>124</v>
      </c>
      <c r="G208" s="154" t="s">
        <v>566</v>
      </c>
      <c r="H208" s="154"/>
      <c r="I208" s="154">
        <v>15981</v>
      </c>
      <c r="J208" s="154">
        <v>16053</v>
      </c>
      <c r="K208" s="154">
        <v>16191</v>
      </c>
      <c r="L208" s="154">
        <v>16314</v>
      </c>
      <c r="M208" s="154">
        <v>16422</v>
      </c>
      <c r="N208" s="154">
        <v>16502</v>
      </c>
      <c r="O208" s="154">
        <v>16594</v>
      </c>
      <c r="P208" s="154">
        <v>16672</v>
      </c>
      <c r="Q208" s="154">
        <v>16773</v>
      </c>
      <c r="R208" s="154">
        <v>16877</v>
      </c>
      <c r="S208" s="110">
        <v>16948</v>
      </c>
      <c r="T208" s="110">
        <v>17043</v>
      </c>
      <c r="U208" s="110">
        <v>17181</v>
      </c>
      <c r="V208" s="110"/>
      <c r="W208" s="110"/>
      <c r="X208" s="49">
        <v>2880</v>
      </c>
      <c r="Y208" s="49">
        <v>5520</v>
      </c>
      <c r="Z208" s="49">
        <v>4920</v>
      </c>
      <c r="AA208" s="49">
        <v>4320</v>
      </c>
      <c r="AB208" s="49">
        <v>3200</v>
      </c>
      <c r="AC208" s="49">
        <v>3680</v>
      </c>
      <c r="AD208" s="49">
        <v>3120</v>
      </c>
      <c r="AE208" s="49">
        <v>4040</v>
      </c>
      <c r="AF208" s="49">
        <v>4160</v>
      </c>
      <c r="AG208" s="49">
        <v>2840</v>
      </c>
      <c r="AH208" s="49">
        <v>3800</v>
      </c>
      <c r="AI208" s="122">
        <v>5520</v>
      </c>
      <c r="AK208" s="270"/>
      <c r="AL208" s="270"/>
    </row>
    <row r="209" spans="1:38" ht="18.75" x14ac:dyDescent="0.3">
      <c r="A209" s="3"/>
      <c r="B209" s="137" t="s">
        <v>396</v>
      </c>
      <c r="C209" s="207" t="s">
        <v>560</v>
      </c>
      <c r="D209" s="207">
        <v>39342</v>
      </c>
      <c r="E209" s="222" t="s">
        <v>563</v>
      </c>
      <c r="F209" s="154" t="s">
        <v>124</v>
      </c>
      <c r="G209" s="154" t="s">
        <v>564</v>
      </c>
      <c r="H209" s="154"/>
      <c r="I209" s="154">
        <v>75116</v>
      </c>
      <c r="J209" s="154">
        <v>75342</v>
      </c>
      <c r="K209" s="154">
        <v>75859</v>
      </c>
      <c r="L209" s="154">
        <v>76413</v>
      </c>
      <c r="M209" s="154">
        <v>76585</v>
      </c>
      <c r="N209" s="154">
        <v>76669</v>
      </c>
      <c r="O209" s="154">
        <v>76738</v>
      </c>
      <c r="P209" s="154">
        <v>76777</v>
      </c>
      <c r="Q209" s="154">
        <v>76915</v>
      </c>
      <c r="R209" s="154">
        <v>77028</v>
      </c>
      <c r="S209" s="110">
        <v>77080</v>
      </c>
      <c r="T209" s="110">
        <v>77126</v>
      </c>
      <c r="U209" s="110">
        <v>77179</v>
      </c>
      <c r="V209" s="110"/>
      <c r="W209" s="110"/>
      <c r="X209" s="49">
        <v>226</v>
      </c>
      <c r="Y209" s="49">
        <v>517</v>
      </c>
      <c r="Z209" s="49">
        <v>554</v>
      </c>
      <c r="AA209" s="49">
        <v>172</v>
      </c>
      <c r="AB209" s="49">
        <v>84</v>
      </c>
      <c r="AC209" s="49">
        <v>69</v>
      </c>
      <c r="AD209" s="49">
        <v>39</v>
      </c>
      <c r="AE209" s="49">
        <v>138</v>
      </c>
      <c r="AF209" s="49">
        <v>113</v>
      </c>
      <c r="AG209" s="49">
        <v>52</v>
      </c>
      <c r="AH209" s="49">
        <v>46</v>
      </c>
      <c r="AI209" s="122">
        <v>53</v>
      </c>
      <c r="AK209" s="270"/>
      <c r="AL209" s="270"/>
    </row>
    <row r="210" spans="1:38" ht="18.75" x14ac:dyDescent="0.3">
      <c r="A210" s="3"/>
      <c r="B210" s="137">
        <v>11700447</v>
      </c>
      <c r="C210" s="207" t="s">
        <v>570</v>
      </c>
      <c r="D210" s="207">
        <v>39953</v>
      </c>
      <c r="E210" s="222" t="s">
        <v>571</v>
      </c>
      <c r="F210" s="154" t="s">
        <v>572</v>
      </c>
      <c r="G210" s="154"/>
      <c r="H210" s="154"/>
      <c r="I210" s="154">
        <v>244850</v>
      </c>
      <c r="J210" s="154">
        <v>247290</v>
      </c>
      <c r="K210" s="154">
        <v>251696</v>
      </c>
      <c r="L210" s="154">
        <v>255577</v>
      </c>
      <c r="M210" s="154">
        <v>259035</v>
      </c>
      <c r="N210" s="154">
        <v>261744</v>
      </c>
      <c r="O210" s="154">
        <v>265248</v>
      </c>
      <c r="P210" s="154">
        <v>268802</v>
      </c>
      <c r="Q210" s="154">
        <v>273895</v>
      </c>
      <c r="R210" s="154">
        <v>276413</v>
      </c>
      <c r="S210" s="110">
        <v>281774</v>
      </c>
      <c r="T210" s="110">
        <v>285562</v>
      </c>
      <c r="U210" s="110">
        <v>289594</v>
      </c>
      <c r="V210" s="110"/>
      <c r="W210" s="110"/>
      <c r="X210" s="49">
        <v>2440</v>
      </c>
      <c r="Y210" s="49">
        <v>4406</v>
      </c>
      <c r="Z210" s="49">
        <v>3881</v>
      </c>
      <c r="AA210" s="49">
        <v>3458</v>
      </c>
      <c r="AB210" s="49">
        <v>2709</v>
      </c>
      <c r="AC210" s="49">
        <v>3504</v>
      </c>
      <c r="AD210" s="49">
        <v>3554</v>
      </c>
      <c r="AE210" s="49">
        <v>5093</v>
      </c>
      <c r="AF210" s="49">
        <v>2518</v>
      </c>
      <c r="AG210" s="49">
        <v>5361</v>
      </c>
      <c r="AH210" s="49">
        <v>3788</v>
      </c>
      <c r="AI210" s="122">
        <v>4032</v>
      </c>
      <c r="AK210" s="270"/>
      <c r="AL210" s="270"/>
    </row>
    <row r="211" spans="1:38" ht="18.75" x14ac:dyDescent="0.3">
      <c r="A211" s="3"/>
      <c r="B211" s="137" t="s">
        <v>1378</v>
      </c>
      <c r="C211" s="207" t="s">
        <v>570</v>
      </c>
      <c r="D211" s="207">
        <v>39819</v>
      </c>
      <c r="E211" s="222" t="s">
        <v>1380</v>
      </c>
      <c r="F211" s="154" t="s">
        <v>1381</v>
      </c>
      <c r="G211" s="154"/>
      <c r="H211" s="154"/>
      <c r="I211" s="154"/>
      <c r="J211" s="154"/>
      <c r="K211" s="154"/>
      <c r="L211" s="154"/>
      <c r="M211" s="154"/>
      <c r="N211" s="154"/>
      <c r="O211" s="154">
        <v>37</v>
      </c>
      <c r="P211" s="154">
        <v>214</v>
      </c>
      <c r="Q211" s="154">
        <v>441</v>
      </c>
      <c r="R211" s="154">
        <v>658</v>
      </c>
      <c r="S211" s="110">
        <v>776</v>
      </c>
      <c r="T211" s="110">
        <v>821</v>
      </c>
      <c r="U211" s="110">
        <v>832</v>
      </c>
      <c r="V211" s="110"/>
      <c r="W211" s="110"/>
      <c r="X211" s="49" t="s">
        <v>734</v>
      </c>
      <c r="Y211" s="49" t="s">
        <v>734</v>
      </c>
      <c r="Z211" s="49" t="s">
        <v>734</v>
      </c>
      <c r="AA211" s="49" t="s">
        <v>734</v>
      </c>
      <c r="AB211" s="49" t="s">
        <v>734</v>
      </c>
      <c r="AC211" s="49" t="s">
        <v>734</v>
      </c>
      <c r="AD211" s="49">
        <v>177</v>
      </c>
      <c r="AE211" s="49">
        <v>227</v>
      </c>
      <c r="AF211" s="49">
        <v>217</v>
      </c>
      <c r="AG211" s="49">
        <v>118</v>
      </c>
      <c r="AH211" s="49">
        <v>45</v>
      </c>
      <c r="AI211" s="122">
        <v>11</v>
      </c>
      <c r="AK211" s="270"/>
      <c r="AL211" s="270"/>
    </row>
    <row r="212" spans="1:38" ht="18.75" x14ac:dyDescent="0.3">
      <c r="A212" s="3"/>
      <c r="B212" s="137">
        <v>18506030</v>
      </c>
      <c r="C212" s="207" t="s">
        <v>579</v>
      </c>
      <c r="D212" s="207">
        <v>39435</v>
      </c>
      <c r="E212" s="222" t="s">
        <v>580</v>
      </c>
      <c r="F212" s="154" t="s">
        <v>1149</v>
      </c>
      <c r="G212" s="154"/>
      <c r="H212" s="154"/>
      <c r="I212" s="154">
        <v>2020</v>
      </c>
      <c r="J212" s="154">
        <v>2040</v>
      </c>
      <c r="K212" s="154">
        <v>2073</v>
      </c>
      <c r="L212" s="154">
        <v>2104</v>
      </c>
      <c r="M212" s="154">
        <v>2139</v>
      </c>
      <c r="N212" s="154">
        <v>2174</v>
      </c>
      <c r="O212" s="154">
        <v>2213</v>
      </c>
      <c r="P212" s="154">
        <v>2241</v>
      </c>
      <c r="Q212" s="154">
        <v>2278</v>
      </c>
      <c r="R212" s="154">
        <v>2318</v>
      </c>
      <c r="S212" s="110">
        <v>2352</v>
      </c>
      <c r="T212" s="110">
        <v>2386</v>
      </c>
      <c r="U212" s="110">
        <v>2429</v>
      </c>
      <c r="V212" s="110"/>
      <c r="W212" s="110"/>
      <c r="X212" s="49">
        <v>20</v>
      </c>
      <c r="Y212" s="49">
        <v>33</v>
      </c>
      <c r="Z212" s="49">
        <v>31</v>
      </c>
      <c r="AA212" s="49">
        <v>35</v>
      </c>
      <c r="AB212" s="49">
        <v>35</v>
      </c>
      <c r="AC212" s="49">
        <v>39</v>
      </c>
      <c r="AD212" s="49">
        <v>28</v>
      </c>
      <c r="AE212" s="49">
        <v>37</v>
      </c>
      <c r="AF212" s="49">
        <v>40</v>
      </c>
      <c r="AG212" s="49">
        <v>34</v>
      </c>
      <c r="AH212" s="49">
        <v>34</v>
      </c>
      <c r="AI212" s="122">
        <v>43</v>
      </c>
      <c r="AK212" s="270"/>
      <c r="AL212" s="270"/>
    </row>
    <row r="213" spans="1:38" ht="18.75" x14ac:dyDescent="0.3">
      <c r="A213" s="3"/>
      <c r="B213" s="137" t="s">
        <v>1456</v>
      </c>
      <c r="C213" s="207" t="s">
        <v>582</v>
      </c>
      <c r="D213" s="207">
        <v>39311</v>
      </c>
      <c r="E213" s="222" t="s">
        <v>146</v>
      </c>
      <c r="F213" s="154" t="s">
        <v>1458</v>
      </c>
      <c r="G213" s="154"/>
      <c r="H213" s="154"/>
      <c r="I213" s="154"/>
      <c r="J213" s="154"/>
      <c r="K213" s="154"/>
      <c r="L213" s="154"/>
      <c r="M213" s="154"/>
      <c r="N213" s="154"/>
      <c r="O213" s="154"/>
      <c r="P213" s="154"/>
      <c r="Q213" s="154"/>
      <c r="R213" s="154">
        <v>0</v>
      </c>
      <c r="S213" s="110">
        <v>3344</v>
      </c>
      <c r="T213" s="110">
        <v>3765</v>
      </c>
      <c r="U213" s="110">
        <v>4350</v>
      </c>
      <c r="V213" s="110"/>
      <c r="W213" s="110"/>
      <c r="X213" s="49" t="s">
        <v>734</v>
      </c>
      <c r="Y213" s="49" t="s">
        <v>734</v>
      </c>
      <c r="Z213" s="49" t="s">
        <v>734</v>
      </c>
      <c r="AA213" s="49" t="s">
        <v>734</v>
      </c>
      <c r="AB213" s="49" t="s">
        <v>734</v>
      </c>
      <c r="AC213" s="49" t="s">
        <v>734</v>
      </c>
      <c r="AD213" s="49" t="s">
        <v>734</v>
      </c>
      <c r="AE213" s="49" t="s">
        <v>734</v>
      </c>
      <c r="AF213" s="49" t="s">
        <v>734</v>
      </c>
      <c r="AG213" s="49">
        <v>3344</v>
      </c>
      <c r="AH213" s="49">
        <v>421</v>
      </c>
      <c r="AI213" s="122">
        <v>585</v>
      </c>
      <c r="AK213" s="270"/>
      <c r="AL213" s="270"/>
    </row>
    <row r="214" spans="1:38" ht="18.75" x14ac:dyDescent="0.3">
      <c r="A214" s="3"/>
      <c r="B214" s="137">
        <v>29218</v>
      </c>
      <c r="C214" s="207" t="s">
        <v>585</v>
      </c>
      <c r="D214" s="207">
        <v>39921</v>
      </c>
      <c r="E214" s="222" t="s">
        <v>586</v>
      </c>
      <c r="F214" s="154" t="s">
        <v>587</v>
      </c>
      <c r="G214" s="154"/>
      <c r="H214" s="154"/>
      <c r="I214" s="154">
        <v>257430</v>
      </c>
      <c r="J214" s="154">
        <v>257493</v>
      </c>
      <c r="K214" s="154">
        <v>257639</v>
      </c>
      <c r="L214" s="154">
        <v>257739</v>
      </c>
      <c r="M214" s="154">
        <v>257857</v>
      </c>
      <c r="N214" s="154">
        <v>258153</v>
      </c>
      <c r="O214" s="154">
        <v>258373</v>
      </c>
      <c r="P214" s="154">
        <v>258437</v>
      </c>
      <c r="Q214" s="154">
        <v>258518</v>
      </c>
      <c r="R214" s="154">
        <v>258541</v>
      </c>
      <c r="S214" s="110">
        <v>258616</v>
      </c>
      <c r="T214" s="110">
        <v>258687</v>
      </c>
      <c r="U214" s="110">
        <v>258731</v>
      </c>
      <c r="V214" s="110"/>
      <c r="W214" s="110"/>
      <c r="X214" s="49">
        <v>63</v>
      </c>
      <c r="Y214" s="49">
        <v>146</v>
      </c>
      <c r="Z214" s="49">
        <v>100</v>
      </c>
      <c r="AA214" s="49">
        <v>118</v>
      </c>
      <c r="AB214" s="49">
        <v>296</v>
      </c>
      <c r="AC214" s="49">
        <v>220</v>
      </c>
      <c r="AD214" s="49">
        <v>64</v>
      </c>
      <c r="AE214" s="49">
        <v>81</v>
      </c>
      <c r="AF214" s="49">
        <v>23</v>
      </c>
      <c r="AG214" s="49">
        <v>75</v>
      </c>
      <c r="AH214" s="49">
        <v>71</v>
      </c>
      <c r="AI214" s="122">
        <v>44</v>
      </c>
      <c r="AK214" s="270"/>
      <c r="AL214" s="270"/>
    </row>
    <row r="215" spans="1:38" ht="18.75" x14ac:dyDescent="0.3">
      <c r="A215" s="3"/>
      <c r="B215" s="137">
        <v>95164633</v>
      </c>
      <c r="C215" s="207" t="s">
        <v>589</v>
      </c>
      <c r="D215" s="207">
        <v>39484</v>
      </c>
      <c r="E215" s="222" t="s">
        <v>146</v>
      </c>
      <c r="F215" s="154" t="s">
        <v>1457</v>
      </c>
      <c r="G215" s="154"/>
      <c r="H215" s="154" t="s">
        <v>694</v>
      </c>
      <c r="I215" s="154">
        <v>4994</v>
      </c>
      <c r="J215" s="154">
        <v>5245</v>
      </c>
      <c r="K215" s="154">
        <v>5707</v>
      </c>
      <c r="L215" s="154">
        <v>6109</v>
      </c>
      <c r="M215" s="154">
        <v>6536</v>
      </c>
      <c r="N215" s="154">
        <v>6794</v>
      </c>
      <c r="O215" s="154">
        <v>7160</v>
      </c>
      <c r="P215" s="154">
        <v>7827</v>
      </c>
      <c r="Q215" s="154">
        <v>8822</v>
      </c>
      <c r="R215" s="154">
        <v>8822</v>
      </c>
      <c r="S215" s="110">
        <v>10350</v>
      </c>
      <c r="T215" s="110">
        <v>10967</v>
      </c>
      <c r="U215" s="110">
        <v>11747</v>
      </c>
      <c r="V215" s="110"/>
      <c r="W215" s="110"/>
      <c r="X215" s="49">
        <v>5020</v>
      </c>
      <c r="Y215" s="49">
        <v>9240</v>
      </c>
      <c r="Z215" s="49">
        <v>8040</v>
      </c>
      <c r="AA215" s="49">
        <v>8540</v>
      </c>
      <c r="AB215" s="49">
        <v>5160</v>
      </c>
      <c r="AC215" s="49">
        <v>7320</v>
      </c>
      <c r="AD215" s="49">
        <v>13340</v>
      </c>
      <c r="AE215" s="49">
        <v>19900</v>
      </c>
      <c r="AF215" s="49">
        <v>0</v>
      </c>
      <c r="AG215" s="49">
        <v>30560</v>
      </c>
      <c r="AH215" s="49">
        <v>12340</v>
      </c>
      <c r="AI215" s="122">
        <v>15600</v>
      </c>
      <c r="AK215" s="270"/>
      <c r="AL215" s="270"/>
    </row>
    <row r="216" spans="1:38" ht="18.75" x14ac:dyDescent="0.3">
      <c r="A216" s="3"/>
      <c r="B216" s="137" t="s">
        <v>1369</v>
      </c>
      <c r="C216" s="207" t="s">
        <v>589</v>
      </c>
      <c r="D216" s="207">
        <v>39337</v>
      </c>
      <c r="E216" s="222" t="s">
        <v>146</v>
      </c>
      <c r="F216" s="154" t="s">
        <v>1296</v>
      </c>
      <c r="G216" s="154"/>
      <c r="H216" s="154"/>
      <c r="I216" s="154"/>
      <c r="J216" s="154"/>
      <c r="K216" s="154"/>
      <c r="L216" s="154">
        <v>2155</v>
      </c>
      <c r="M216" s="154">
        <v>3114</v>
      </c>
      <c r="N216" s="154">
        <v>4004</v>
      </c>
      <c r="O216" s="154">
        <v>4881</v>
      </c>
      <c r="P216" s="154">
        <v>5527</v>
      </c>
      <c r="Q216" s="154">
        <v>6420</v>
      </c>
      <c r="R216" s="154">
        <v>7413</v>
      </c>
      <c r="S216" s="110">
        <v>8195</v>
      </c>
      <c r="T216" s="110">
        <v>9293</v>
      </c>
      <c r="U216" s="110">
        <v>10548</v>
      </c>
      <c r="V216" s="110"/>
      <c r="W216" s="110"/>
      <c r="X216" s="49" t="s">
        <v>734</v>
      </c>
      <c r="Y216" s="49" t="s">
        <v>734</v>
      </c>
      <c r="Z216" s="49" t="s">
        <v>734</v>
      </c>
      <c r="AA216" s="49">
        <v>959</v>
      </c>
      <c r="AB216" s="49">
        <v>890</v>
      </c>
      <c r="AC216" s="49">
        <v>877</v>
      </c>
      <c r="AD216" s="49">
        <v>646</v>
      </c>
      <c r="AE216" s="49">
        <v>893</v>
      </c>
      <c r="AF216" s="49">
        <v>993</v>
      </c>
      <c r="AG216" s="49">
        <v>782</v>
      </c>
      <c r="AH216" s="49">
        <v>1098</v>
      </c>
      <c r="AI216" s="122">
        <v>1255</v>
      </c>
      <c r="AK216" s="270"/>
      <c r="AL216" s="270"/>
    </row>
    <row r="217" spans="1:38" ht="18.75" x14ac:dyDescent="0.3">
      <c r="A217" s="3"/>
      <c r="B217" s="137" t="s">
        <v>1297</v>
      </c>
      <c r="C217" s="207" t="s">
        <v>589</v>
      </c>
      <c r="D217" s="207">
        <v>39418</v>
      </c>
      <c r="E217" s="222" t="s">
        <v>146</v>
      </c>
      <c r="F217" s="154" t="s">
        <v>1297</v>
      </c>
      <c r="G217" s="154"/>
      <c r="H217" s="154"/>
      <c r="I217" s="154"/>
      <c r="J217" s="154"/>
      <c r="K217" s="154"/>
      <c r="L217" s="154">
        <v>1512</v>
      </c>
      <c r="M217" s="154">
        <v>2181</v>
      </c>
      <c r="N217" s="154">
        <v>2809</v>
      </c>
      <c r="O217" s="154">
        <v>3441</v>
      </c>
      <c r="P217" s="154">
        <v>3865</v>
      </c>
      <c r="Q217" s="154">
        <v>4448</v>
      </c>
      <c r="R217" s="154">
        <v>5098</v>
      </c>
      <c r="S217" s="110">
        <v>5832</v>
      </c>
      <c r="T217" s="110">
        <v>6652</v>
      </c>
      <c r="U217" s="110">
        <v>7622</v>
      </c>
      <c r="V217" s="110"/>
      <c r="W217" s="110"/>
      <c r="X217" s="49" t="s">
        <v>734</v>
      </c>
      <c r="Y217" s="49" t="s">
        <v>734</v>
      </c>
      <c r="Z217" s="49" t="s">
        <v>734</v>
      </c>
      <c r="AA217" s="49">
        <v>669</v>
      </c>
      <c r="AB217" s="49">
        <v>628</v>
      </c>
      <c r="AC217" s="49">
        <v>632</v>
      </c>
      <c r="AD217" s="49">
        <v>424</v>
      </c>
      <c r="AE217" s="49">
        <v>583</v>
      </c>
      <c r="AF217" s="49">
        <v>650</v>
      </c>
      <c r="AG217" s="49">
        <v>734</v>
      </c>
      <c r="AH217" s="49">
        <v>820</v>
      </c>
      <c r="AI217" s="122">
        <v>970</v>
      </c>
      <c r="AK217" s="270"/>
      <c r="AL217" s="270"/>
    </row>
    <row r="218" spans="1:38" ht="18.75" x14ac:dyDescent="0.3">
      <c r="A218" s="3"/>
      <c r="B218" s="137" t="s">
        <v>1298</v>
      </c>
      <c r="C218" s="207" t="s">
        <v>589</v>
      </c>
      <c r="D218" s="207">
        <v>39833</v>
      </c>
      <c r="E218" s="222" t="s">
        <v>146</v>
      </c>
      <c r="F218" s="154" t="s">
        <v>1298</v>
      </c>
      <c r="G218" s="154"/>
      <c r="H218" s="154"/>
      <c r="I218" s="154"/>
      <c r="J218" s="154"/>
      <c r="K218" s="154"/>
      <c r="L218" s="154">
        <v>65</v>
      </c>
      <c r="M218" s="154">
        <v>258</v>
      </c>
      <c r="N218" s="154">
        <v>399</v>
      </c>
      <c r="O218" s="154">
        <v>644</v>
      </c>
      <c r="P218" s="154">
        <v>1116</v>
      </c>
      <c r="Q218" s="154">
        <v>1763</v>
      </c>
      <c r="R218" s="154">
        <v>2426</v>
      </c>
      <c r="S218" s="110">
        <v>3166</v>
      </c>
      <c r="T218" s="110">
        <v>4015</v>
      </c>
      <c r="U218" s="110">
        <v>5198</v>
      </c>
      <c r="V218" s="110"/>
      <c r="W218" s="110"/>
      <c r="X218" s="49" t="s">
        <v>734</v>
      </c>
      <c r="Y218" s="49" t="s">
        <v>734</v>
      </c>
      <c r="Z218" s="49" t="s">
        <v>734</v>
      </c>
      <c r="AA218" s="49">
        <v>193</v>
      </c>
      <c r="AB218" s="49">
        <v>141</v>
      </c>
      <c r="AC218" s="49">
        <v>245</v>
      </c>
      <c r="AD218" s="49">
        <v>472</v>
      </c>
      <c r="AE218" s="49">
        <v>647</v>
      </c>
      <c r="AF218" s="49">
        <v>663</v>
      </c>
      <c r="AG218" s="49">
        <v>740</v>
      </c>
      <c r="AH218" s="49">
        <v>849</v>
      </c>
      <c r="AI218" s="122">
        <v>1183</v>
      </c>
      <c r="AK218" s="270"/>
      <c r="AL218" s="270"/>
    </row>
    <row r="219" spans="1:38" ht="18.75" x14ac:dyDescent="0.3">
      <c r="A219" s="3"/>
      <c r="B219" s="137" t="s">
        <v>1366</v>
      </c>
      <c r="C219" s="207" t="s">
        <v>589</v>
      </c>
      <c r="D219" s="207">
        <v>39156</v>
      </c>
      <c r="E219" s="222" t="s">
        <v>146</v>
      </c>
      <c r="F219" s="154" t="s">
        <v>1287</v>
      </c>
      <c r="G219" s="154"/>
      <c r="H219" s="154"/>
      <c r="I219" s="154"/>
      <c r="J219" s="154"/>
      <c r="K219" s="154"/>
      <c r="L219" s="154">
        <v>2586</v>
      </c>
      <c r="M219" s="154">
        <v>3357</v>
      </c>
      <c r="N219" s="154">
        <v>4018</v>
      </c>
      <c r="O219" s="154">
        <v>4700</v>
      </c>
      <c r="P219" s="154">
        <v>5155</v>
      </c>
      <c r="Q219" s="154">
        <v>5801</v>
      </c>
      <c r="R219" s="154">
        <v>6532</v>
      </c>
      <c r="S219" s="110">
        <v>7306</v>
      </c>
      <c r="T219" s="110">
        <v>8138</v>
      </c>
      <c r="U219" s="110">
        <v>9123</v>
      </c>
      <c r="V219" s="110"/>
      <c r="W219" s="110"/>
      <c r="X219" s="49" t="s">
        <v>734</v>
      </c>
      <c r="Y219" s="49" t="s">
        <v>734</v>
      </c>
      <c r="Z219" s="49" t="s">
        <v>734</v>
      </c>
      <c r="AA219" s="49">
        <v>771</v>
      </c>
      <c r="AB219" s="49">
        <v>661</v>
      </c>
      <c r="AC219" s="49">
        <v>682</v>
      </c>
      <c r="AD219" s="49">
        <v>455</v>
      </c>
      <c r="AE219" s="49">
        <v>646</v>
      </c>
      <c r="AF219" s="49">
        <v>731</v>
      </c>
      <c r="AG219" s="49">
        <v>774</v>
      </c>
      <c r="AH219" s="49">
        <v>832</v>
      </c>
      <c r="AI219" s="122">
        <v>985</v>
      </c>
      <c r="AK219" s="270"/>
      <c r="AL219" s="270"/>
    </row>
    <row r="220" spans="1:38" ht="18.75" x14ac:dyDescent="0.3">
      <c r="A220" s="3"/>
      <c r="B220" s="137" t="s">
        <v>1288</v>
      </c>
      <c r="C220" s="207" t="s">
        <v>589</v>
      </c>
      <c r="D220" s="207">
        <v>39293</v>
      </c>
      <c r="E220" s="222" t="s">
        <v>146</v>
      </c>
      <c r="F220" s="154" t="s">
        <v>1288</v>
      </c>
      <c r="G220" s="154"/>
      <c r="H220" s="154"/>
      <c r="I220" s="154"/>
      <c r="J220" s="154"/>
      <c r="K220" s="154"/>
      <c r="L220" s="154">
        <v>413</v>
      </c>
      <c r="M220" s="154">
        <v>555</v>
      </c>
      <c r="N220" s="154">
        <v>678</v>
      </c>
      <c r="O220" s="154">
        <v>809</v>
      </c>
      <c r="P220" s="154">
        <v>891</v>
      </c>
      <c r="Q220" s="154">
        <v>1005</v>
      </c>
      <c r="R220" s="154">
        <v>1140</v>
      </c>
      <c r="S220" s="110">
        <v>1289</v>
      </c>
      <c r="T220" s="110">
        <v>1473</v>
      </c>
      <c r="U220" s="110">
        <v>1717</v>
      </c>
      <c r="V220" s="110"/>
      <c r="W220" s="110"/>
      <c r="X220" s="49" t="s">
        <v>734</v>
      </c>
      <c r="Y220" s="49" t="s">
        <v>734</v>
      </c>
      <c r="Z220" s="49" t="s">
        <v>734</v>
      </c>
      <c r="AA220" s="49">
        <v>142</v>
      </c>
      <c r="AB220" s="49">
        <v>123</v>
      </c>
      <c r="AC220" s="49">
        <v>131</v>
      </c>
      <c r="AD220" s="49">
        <v>82</v>
      </c>
      <c r="AE220" s="49">
        <v>114</v>
      </c>
      <c r="AF220" s="49">
        <v>135</v>
      </c>
      <c r="AG220" s="49">
        <v>149</v>
      </c>
      <c r="AH220" s="49">
        <v>184</v>
      </c>
      <c r="AI220" s="122">
        <v>244</v>
      </c>
      <c r="AK220" s="270"/>
      <c r="AL220" s="270"/>
    </row>
    <row r="221" spans="1:38" ht="18.75" x14ac:dyDescent="0.3">
      <c r="A221" s="3"/>
      <c r="B221" s="137" t="s">
        <v>1289</v>
      </c>
      <c r="C221" s="207" t="s">
        <v>589</v>
      </c>
      <c r="D221" s="207">
        <v>39379</v>
      </c>
      <c r="E221" s="222" t="s">
        <v>146</v>
      </c>
      <c r="F221" s="154" t="s">
        <v>1289</v>
      </c>
      <c r="G221" s="154"/>
      <c r="H221" s="154"/>
      <c r="I221" s="154"/>
      <c r="J221" s="154"/>
      <c r="K221" s="154"/>
      <c r="L221" s="154">
        <v>1742</v>
      </c>
      <c r="M221" s="154">
        <v>2820</v>
      </c>
      <c r="N221" s="154">
        <v>3741</v>
      </c>
      <c r="O221" s="154">
        <v>4679</v>
      </c>
      <c r="P221" s="154">
        <v>5319</v>
      </c>
      <c r="Q221" s="154">
        <v>6161</v>
      </c>
      <c r="R221" s="154">
        <v>7137</v>
      </c>
      <c r="S221" s="110">
        <v>8197</v>
      </c>
      <c r="T221" s="110">
        <v>9338</v>
      </c>
      <c r="U221" s="110">
        <v>10733</v>
      </c>
      <c r="V221" s="110"/>
      <c r="W221" s="110"/>
      <c r="X221" s="49" t="s">
        <v>734</v>
      </c>
      <c r="Y221" s="49" t="s">
        <v>734</v>
      </c>
      <c r="Z221" s="49" t="s">
        <v>734</v>
      </c>
      <c r="AA221" s="49">
        <v>1078</v>
      </c>
      <c r="AB221" s="49">
        <v>921</v>
      </c>
      <c r="AC221" s="49">
        <v>938</v>
      </c>
      <c r="AD221" s="49">
        <v>640</v>
      </c>
      <c r="AE221" s="49">
        <v>842</v>
      </c>
      <c r="AF221" s="49">
        <v>976</v>
      </c>
      <c r="AG221" s="49">
        <v>1060</v>
      </c>
      <c r="AH221" s="49">
        <v>1141</v>
      </c>
      <c r="AI221" s="122">
        <v>1395</v>
      </c>
      <c r="AK221" s="270"/>
      <c r="AL221" s="270"/>
    </row>
    <row r="222" spans="1:38" ht="18.75" x14ac:dyDescent="0.3">
      <c r="A222" s="3"/>
      <c r="B222" s="137" t="s">
        <v>1367</v>
      </c>
      <c r="C222" s="207" t="s">
        <v>589</v>
      </c>
      <c r="D222" s="207">
        <v>39585</v>
      </c>
      <c r="E222" s="222" t="s">
        <v>146</v>
      </c>
      <c r="F222" s="154" t="s">
        <v>1290</v>
      </c>
      <c r="G222" s="154"/>
      <c r="H222" s="154"/>
      <c r="I222" s="154"/>
      <c r="J222" s="154"/>
      <c r="K222" s="154"/>
      <c r="L222" s="154">
        <v>386</v>
      </c>
      <c r="M222" s="154">
        <v>465</v>
      </c>
      <c r="N222" s="154">
        <v>494</v>
      </c>
      <c r="O222" s="154">
        <v>568</v>
      </c>
      <c r="P222" s="154">
        <v>598</v>
      </c>
      <c r="Q222" s="154">
        <v>674</v>
      </c>
      <c r="R222" s="154">
        <v>732</v>
      </c>
      <c r="S222" s="110">
        <v>867</v>
      </c>
      <c r="T222" s="110">
        <v>993</v>
      </c>
      <c r="U222" s="110">
        <v>1192</v>
      </c>
      <c r="V222" s="110"/>
      <c r="W222" s="110"/>
      <c r="X222" s="49" t="s">
        <v>734</v>
      </c>
      <c r="Y222" s="49" t="s">
        <v>734</v>
      </c>
      <c r="Z222" s="49" t="s">
        <v>734</v>
      </c>
      <c r="AA222" s="49">
        <v>79</v>
      </c>
      <c r="AB222" s="49">
        <v>29</v>
      </c>
      <c r="AC222" s="49">
        <v>74</v>
      </c>
      <c r="AD222" s="49">
        <v>30</v>
      </c>
      <c r="AE222" s="49">
        <v>76</v>
      </c>
      <c r="AF222" s="49">
        <v>58</v>
      </c>
      <c r="AG222" s="49">
        <v>135</v>
      </c>
      <c r="AH222" s="49">
        <v>126</v>
      </c>
      <c r="AI222" s="122">
        <v>199</v>
      </c>
      <c r="AK222" s="270"/>
      <c r="AL222" s="270"/>
    </row>
    <row r="223" spans="1:38" ht="18.75" x14ac:dyDescent="0.3">
      <c r="A223" s="3"/>
      <c r="B223" s="137" t="s">
        <v>1291</v>
      </c>
      <c r="C223" s="207" t="s">
        <v>589</v>
      </c>
      <c r="D223" s="207">
        <v>39844</v>
      </c>
      <c r="E223" s="222" t="s">
        <v>146</v>
      </c>
      <c r="F223" s="154" t="s">
        <v>1291</v>
      </c>
      <c r="G223" s="154"/>
      <c r="H223" s="154"/>
      <c r="I223" s="154">
        <v>12856</v>
      </c>
      <c r="J223" s="154">
        <v>14012</v>
      </c>
      <c r="K223" s="154">
        <v>15860</v>
      </c>
      <c r="L223" s="154">
        <v>17241</v>
      </c>
      <c r="M223" s="154">
        <v>18784</v>
      </c>
      <c r="N223" s="154">
        <v>20215</v>
      </c>
      <c r="O223" s="154">
        <v>21704</v>
      </c>
      <c r="P223" s="154">
        <v>22729</v>
      </c>
      <c r="Q223" s="154">
        <v>24010</v>
      </c>
      <c r="R223" s="154">
        <v>25549</v>
      </c>
      <c r="S223" s="110">
        <v>27072</v>
      </c>
      <c r="T223" s="110">
        <v>28757</v>
      </c>
      <c r="U223" s="110">
        <v>30653</v>
      </c>
      <c r="V223" s="110"/>
      <c r="W223" s="110"/>
      <c r="X223" s="49">
        <v>1156</v>
      </c>
      <c r="Y223" s="49">
        <v>1848</v>
      </c>
      <c r="Z223" s="49">
        <v>1381</v>
      </c>
      <c r="AA223" s="49">
        <v>1543</v>
      </c>
      <c r="AB223" s="49">
        <v>1431</v>
      </c>
      <c r="AC223" s="49">
        <v>1489</v>
      </c>
      <c r="AD223" s="49">
        <v>1025</v>
      </c>
      <c r="AE223" s="49">
        <v>1281</v>
      </c>
      <c r="AF223" s="49">
        <v>1539</v>
      </c>
      <c r="AG223" s="49">
        <v>1523</v>
      </c>
      <c r="AH223" s="49">
        <v>1685</v>
      </c>
      <c r="AI223" s="122">
        <v>1896</v>
      </c>
      <c r="AK223" s="270"/>
      <c r="AL223" s="270"/>
    </row>
    <row r="224" spans="1:38" ht="18.75" x14ac:dyDescent="0.3">
      <c r="A224" s="3"/>
      <c r="B224" s="137" t="s">
        <v>1292</v>
      </c>
      <c r="C224" s="207" t="s">
        <v>589</v>
      </c>
      <c r="D224" s="207">
        <v>39490</v>
      </c>
      <c r="E224" s="222" t="s">
        <v>146</v>
      </c>
      <c r="F224" s="154" t="s">
        <v>1292</v>
      </c>
      <c r="G224" s="154"/>
      <c r="H224" s="154"/>
      <c r="I224" s="154">
        <v>7878</v>
      </c>
      <c r="J224" s="154">
        <v>9421</v>
      </c>
      <c r="K224" s="154">
        <v>11839</v>
      </c>
      <c r="L224" s="154">
        <v>13626</v>
      </c>
      <c r="M224" s="154">
        <v>15754</v>
      </c>
      <c r="N224" s="154">
        <v>17572</v>
      </c>
      <c r="O224" s="154">
        <v>19430</v>
      </c>
      <c r="P224" s="154">
        <v>20710</v>
      </c>
      <c r="Q224" s="154">
        <v>22409</v>
      </c>
      <c r="R224" s="154">
        <v>24392</v>
      </c>
      <c r="S224" s="110">
        <v>25200</v>
      </c>
      <c r="T224" s="110">
        <v>28786</v>
      </c>
      <c r="U224" s="110">
        <v>31451</v>
      </c>
      <c r="V224" s="110"/>
      <c r="W224" s="110"/>
      <c r="X224" s="49">
        <v>1543</v>
      </c>
      <c r="Y224" s="49">
        <v>2418</v>
      </c>
      <c r="Z224" s="49">
        <v>1787</v>
      </c>
      <c r="AA224" s="49">
        <v>2128</v>
      </c>
      <c r="AB224" s="49">
        <v>1818</v>
      </c>
      <c r="AC224" s="49">
        <v>1858</v>
      </c>
      <c r="AD224" s="49">
        <v>1280</v>
      </c>
      <c r="AE224" s="49">
        <v>1699</v>
      </c>
      <c r="AF224" s="49">
        <v>1983</v>
      </c>
      <c r="AG224" s="49">
        <v>808</v>
      </c>
      <c r="AH224" s="49">
        <v>3586</v>
      </c>
      <c r="AI224" s="122">
        <v>2665</v>
      </c>
      <c r="AK224" s="270"/>
      <c r="AL224" s="270"/>
    </row>
    <row r="225" spans="1:38" ht="18.75" x14ac:dyDescent="0.3">
      <c r="A225" s="3"/>
      <c r="B225" s="137" t="s">
        <v>1368</v>
      </c>
      <c r="C225" s="207" t="s">
        <v>589</v>
      </c>
      <c r="D225" s="207">
        <v>39306</v>
      </c>
      <c r="E225" s="222" t="s">
        <v>146</v>
      </c>
      <c r="F225" s="154" t="s">
        <v>1293</v>
      </c>
      <c r="G225" s="154"/>
      <c r="H225" s="154"/>
      <c r="I225" s="154"/>
      <c r="J225" s="154"/>
      <c r="K225" s="154"/>
      <c r="L225" s="154">
        <v>665</v>
      </c>
      <c r="M225" s="154">
        <v>1717</v>
      </c>
      <c r="N225" s="154">
        <v>2630</v>
      </c>
      <c r="O225" s="154">
        <v>3563</v>
      </c>
      <c r="P225" s="154">
        <v>4213</v>
      </c>
      <c r="Q225" s="154">
        <v>5107</v>
      </c>
      <c r="R225" s="154">
        <v>6095</v>
      </c>
      <c r="S225" s="110">
        <v>7184</v>
      </c>
      <c r="T225" s="110">
        <v>8355</v>
      </c>
      <c r="U225" s="110">
        <v>9728</v>
      </c>
      <c r="V225" s="110"/>
      <c r="W225" s="110"/>
      <c r="X225" s="49" t="s">
        <v>734</v>
      </c>
      <c r="Y225" s="49" t="s">
        <v>734</v>
      </c>
      <c r="Z225" s="49" t="s">
        <v>734</v>
      </c>
      <c r="AA225" s="49">
        <v>1052</v>
      </c>
      <c r="AB225" s="49">
        <v>913</v>
      </c>
      <c r="AC225" s="49">
        <v>933</v>
      </c>
      <c r="AD225" s="49">
        <v>650</v>
      </c>
      <c r="AE225" s="49">
        <v>894</v>
      </c>
      <c r="AF225" s="49">
        <v>988</v>
      </c>
      <c r="AG225" s="49">
        <v>1089</v>
      </c>
      <c r="AH225" s="49">
        <v>1171</v>
      </c>
      <c r="AI225" s="122">
        <v>1373</v>
      </c>
      <c r="AK225" s="270"/>
      <c r="AL225" s="270"/>
    </row>
    <row r="226" spans="1:38" ht="18.75" x14ac:dyDescent="0.3">
      <c r="A226" s="3"/>
      <c r="B226" s="137" t="s">
        <v>1294</v>
      </c>
      <c r="C226" s="207" t="s">
        <v>589</v>
      </c>
      <c r="D226" s="207">
        <v>39307</v>
      </c>
      <c r="E226" s="222" t="s">
        <v>146</v>
      </c>
      <c r="F226" s="154" t="s">
        <v>1294</v>
      </c>
      <c r="G226" s="154"/>
      <c r="H226" s="154"/>
      <c r="I226" s="154"/>
      <c r="J226" s="154"/>
      <c r="K226" s="154"/>
      <c r="L226" s="154">
        <v>671</v>
      </c>
      <c r="M226" s="154">
        <v>1758</v>
      </c>
      <c r="N226" s="154">
        <v>2701</v>
      </c>
      <c r="O226" s="154">
        <v>3669</v>
      </c>
      <c r="P226" s="154">
        <v>4343</v>
      </c>
      <c r="Q226" s="154">
        <v>5271</v>
      </c>
      <c r="R226" s="154">
        <v>6283</v>
      </c>
      <c r="S226" s="110">
        <v>7399</v>
      </c>
      <c r="T226" s="110">
        <v>8600</v>
      </c>
      <c r="U226" s="110">
        <v>10019</v>
      </c>
      <c r="V226" s="110"/>
      <c r="W226" s="110"/>
      <c r="X226" s="49" t="s">
        <v>734</v>
      </c>
      <c r="Y226" s="49" t="s">
        <v>734</v>
      </c>
      <c r="Z226" s="49" t="s">
        <v>734</v>
      </c>
      <c r="AA226" s="49">
        <v>1087</v>
      </c>
      <c r="AB226" s="49">
        <v>943</v>
      </c>
      <c r="AC226" s="49">
        <v>968</v>
      </c>
      <c r="AD226" s="49">
        <v>674</v>
      </c>
      <c r="AE226" s="49">
        <v>928</v>
      </c>
      <c r="AF226" s="49">
        <v>1012</v>
      </c>
      <c r="AG226" s="49">
        <v>1116</v>
      </c>
      <c r="AH226" s="49">
        <v>1201</v>
      </c>
      <c r="AI226" s="122">
        <v>1419</v>
      </c>
      <c r="AK226" s="270"/>
      <c r="AL226" s="270"/>
    </row>
    <row r="227" spans="1:38" ht="18.75" x14ac:dyDescent="0.3">
      <c r="A227" s="3"/>
      <c r="B227" s="137" t="s">
        <v>1459</v>
      </c>
      <c r="C227" s="207" t="s">
        <v>593</v>
      </c>
      <c r="D227" s="207">
        <v>39854</v>
      </c>
      <c r="E227" s="222" t="s">
        <v>146</v>
      </c>
      <c r="F227" s="154" t="s">
        <v>1457</v>
      </c>
      <c r="G227" s="154"/>
      <c r="H227" s="154"/>
      <c r="I227" s="154"/>
      <c r="J227" s="154"/>
      <c r="K227" s="154"/>
      <c r="L227" s="154"/>
      <c r="M227" s="154"/>
      <c r="N227" s="154"/>
      <c r="O227" s="154"/>
      <c r="P227" s="154"/>
      <c r="Q227" s="154"/>
      <c r="R227" s="154">
        <v>0</v>
      </c>
      <c r="S227" s="110">
        <v>1176</v>
      </c>
      <c r="T227" s="110">
        <v>1490</v>
      </c>
      <c r="U227" s="110">
        <v>2231</v>
      </c>
      <c r="V227" s="110"/>
      <c r="W227" s="110"/>
      <c r="X227" s="49" t="s">
        <v>734</v>
      </c>
      <c r="Y227" s="49" t="s">
        <v>734</v>
      </c>
      <c r="Z227" s="49" t="s">
        <v>734</v>
      </c>
      <c r="AA227" s="49" t="s">
        <v>734</v>
      </c>
      <c r="AB227" s="49" t="s">
        <v>734</v>
      </c>
      <c r="AC227" s="49" t="s">
        <v>734</v>
      </c>
      <c r="AD227" s="49" t="s">
        <v>734</v>
      </c>
      <c r="AE227" s="49" t="s">
        <v>734</v>
      </c>
      <c r="AF227" s="49" t="s">
        <v>734</v>
      </c>
      <c r="AG227" s="49">
        <v>1176</v>
      </c>
      <c r="AH227" s="49">
        <v>314</v>
      </c>
      <c r="AI227" s="122">
        <v>741</v>
      </c>
      <c r="AK227" s="270"/>
      <c r="AL227" s="270"/>
    </row>
    <row r="228" spans="1:38" ht="18.75" x14ac:dyDescent="0.3">
      <c r="A228" s="3"/>
      <c r="B228" s="137">
        <v>5355249</v>
      </c>
      <c r="C228" s="207" t="s">
        <v>601</v>
      </c>
      <c r="D228" s="207">
        <v>39992</v>
      </c>
      <c r="E228" s="222" t="s">
        <v>602</v>
      </c>
      <c r="F228" s="154" t="s">
        <v>603</v>
      </c>
      <c r="G228" s="154"/>
      <c r="H228" s="154"/>
      <c r="I228" s="154">
        <v>6025</v>
      </c>
      <c r="J228" s="154">
        <v>6053</v>
      </c>
      <c r="K228" s="154">
        <v>6107</v>
      </c>
      <c r="L228" s="154">
        <v>6156</v>
      </c>
      <c r="M228" s="154">
        <v>6199</v>
      </c>
      <c r="N228" s="154">
        <v>6225</v>
      </c>
      <c r="O228" s="154">
        <v>6262</v>
      </c>
      <c r="P228" s="154">
        <v>6308</v>
      </c>
      <c r="Q228" s="154">
        <v>6379</v>
      </c>
      <c r="R228" s="154">
        <v>6437</v>
      </c>
      <c r="S228" s="110">
        <v>6475</v>
      </c>
      <c r="T228" s="110">
        <v>6510</v>
      </c>
      <c r="U228" s="110">
        <v>6562</v>
      </c>
      <c r="V228" s="110"/>
      <c r="W228" s="110"/>
      <c r="X228" s="49">
        <v>560</v>
      </c>
      <c r="Y228" s="49">
        <v>1080</v>
      </c>
      <c r="Z228" s="49">
        <v>980</v>
      </c>
      <c r="AA228" s="49">
        <v>860</v>
      </c>
      <c r="AB228" s="49">
        <v>520</v>
      </c>
      <c r="AC228" s="49">
        <v>740</v>
      </c>
      <c r="AD228" s="49">
        <v>920</v>
      </c>
      <c r="AE228" s="49">
        <v>1420</v>
      </c>
      <c r="AF228" s="49">
        <v>1160</v>
      </c>
      <c r="AG228" s="49">
        <v>760</v>
      </c>
      <c r="AH228" s="49">
        <v>700</v>
      </c>
      <c r="AI228" s="122">
        <v>1040</v>
      </c>
      <c r="AK228" s="270"/>
      <c r="AL228" s="270"/>
    </row>
    <row r="229" spans="1:38" ht="18.75" x14ac:dyDescent="0.3">
      <c r="A229" s="3"/>
      <c r="B229" s="137" t="s">
        <v>432</v>
      </c>
      <c r="C229" s="207" t="s">
        <v>601</v>
      </c>
      <c r="D229" s="207">
        <v>39285</v>
      </c>
      <c r="E229" s="222" t="s">
        <v>608</v>
      </c>
      <c r="F229" s="154" t="s">
        <v>63</v>
      </c>
      <c r="G229" s="154"/>
      <c r="H229" s="154" t="s">
        <v>609</v>
      </c>
      <c r="I229" s="154">
        <v>10175</v>
      </c>
      <c r="J229" s="154">
        <v>10553</v>
      </c>
      <c r="K229" s="154">
        <v>11159</v>
      </c>
      <c r="L229" s="154">
        <v>11724</v>
      </c>
      <c r="M229" s="154">
        <v>12233</v>
      </c>
      <c r="N229" s="154">
        <v>12776</v>
      </c>
      <c r="O229" s="154">
        <v>13474</v>
      </c>
      <c r="P229" s="154">
        <v>14010</v>
      </c>
      <c r="Q229" s="154">
        <v>14716</v>
      </c>
      <c r="R229" s="154">
        <v>15444</v>
      </c>
      <c r="S229" s="110">
        <v>16021</v>
      </c>
      <c r="T229" s="110">
        <v>16534</v>
      </c>
      <c r="U229" s="110">
        <v>17030</v>
      </c>
      <c r="V229" s="110"/>
      <c r="W229" s="110"/>
      <c r="X229" s="49">
        <v>378</v>
      </c>
      <c r="Y229" s="49">
        <v>606</v>
      </c>
      <c r="Z229" s="49">
        <v>565</v>
      </c>
      <c r="AA229" s="49">
        <v>509</v>
      </c>
      <c r="AB229" s="49">
        <v>543</v>
      </c>
      <c r="AC229" s="49">
        <v>698</v>
      </c>
      <c r="AD229" s="49">
        <v>536</v>
      </c>
      <c r="AE229" s="49">
        <v>706</v>
      </c>
      <c r="AF229" s="49">
        <v>728</v>
      </c>
      <c r="AG229" s="49">
        <v>577</v>
      </c>
      <c r="AH229" s="49">
        <v>513</v>
      </c>
      <c r="AI229" s="122">
        <v>496</v>
      </c>
      <c r="AK229" s="270"/>
      <c r="AL229" s="270"/>
    </row>
    <row r="230" spans="1:38" ht="18.75" x14ac:dyDescent="0.3">
      <c r="A230" s="3"/>
      <c r="B230" s="137" t="s">
        <v>399</v>
      </c>
      <c r="C230" s="207" t="s">
        <v>601</v>
      </c>
      <c r="D230" s="207">
        <v>39995</v>
      </c>
      <c r="E230" s="222" t="s">
        <v>606</v>
      </c>
      <c r="F230" s="154" t="s">
        <v>605</v>
      </c>
      <c r="G230" s="154"/>
      <c r="H230" s="154"/>
      <c r="I230" s="154">
        <v>439475</v>
      </c>
      <c r="J230" s="154">
        <v>444756</v>
      </c>
      <c r="K230" s="154">
        <v>452540</v>
      </c>
      <c r="L230" s="154">
        <v>459081</v>
      </c>
      <c r="M230" s="154">
        <v>466189</v>
      </c>
      <c r="N230" s="154">
        <v>473404</v>
      </c>
      <c r="O230" s="154">
        <v>481374</v>
      </c>
      <c r="P230" s="154">
        <v>491663</v>
      </c>
      <c r="Q230" s="154">
        <v>505067</v>
      </c>
      <c r="R230" s="154">
        <v>517699</v>
      </c>
      <c r="S230" s="110">
        <v>524785</v>
      </c>
      <c r="T230" s="110">
        <v>530507</v>
      </c>
      <c r="U230" s="110">
        <v>536691</v>
      </c>
      <c r="V230" s="110"/>
      <c r="W230" s="110"/>
      <c r="X230" s="49">
        <v>5281</v>
      </c>
      <c r="Y230" s="49">
        <v>7784</v>
      </c>
      <c r="Z230" s="49">
        <v>6541</v>
      </c>
      <c r="AA230" s="49">
        <v>7108</v>
      </c>
      <c r="AB230" s="49">
        <v>7215</v>
      </c>
      <c r="AC230" s="49">
        <v>7970</v>
      </c>
      <c r="AD230" s="49">
        <v>10289</v>
      </c>
      <c r="AE230" s="49">
        <v>13404</v>
      </c>
      <c r="AF230" s="49">
        <v>12632</v>
      </c>
      <c r="AG230" s="49">
        <v>7086</v>
      </c>
      <c r="AH230" s="49">
        <v>5722</v>
      </c>
      <c r="AI230" s="122">
        <v>6184</v>
      </c>
      <c r="AK230" s="270"/>
      <c r="AL230" s="270"/>
    </row>
    <row r="231" spans="1:38" ht="18.75" x14ac:dyDescent="0.3">
      <c r="B231" s="130" t="s">
        <v>398</v>
      </c>
      <c r="C231" s="13" t="s">
        <v>601</v>
      </c>
      <c r="D231" s="13">
        <v>39993</v>
      </c>
      <c r="E231" s="8" t="s">
        <v>604</v>
      </c>
      <c r="F231" s="154" t="s">
        <v>605</v>
      </c>
      <c r="G231" s="154" t="s">
        <v>140</v>
      </c>
      <c r="H231" s="154"/>
      <c r="I231" s="154">
        <v>113519</v>
      </c>
      <c r="J231" s="154">
        <v>114824</v>
      </c>
      <c r="K231" s="154">
        <v>117522</v>
      </c>
      <c r="L231" s="154">
        <v>119765</v>
      </c>
      <c r="M231" s="154">
        <v>121734</v>
      </c>
      <c r="N231" s="154">
        <v>123122</v>
      </c>
      <c r="O231" s="154">
        <v>124630</v>
      </c>
      <c r="P231" s="154">
        <v>126148</v>
      </c>
      <c r="Q231" s="154">
        <v>128211</v>
      </c>
      <c r="R231" s="154">
        <v>130112</v>
      </c>
      <c r="S231" s="110">
        <v>131427</v>
      </c>
      <c r="T231" s="110">
        <v>133052</v>
      </c>
      <c r="U231" s="110">
        <v>135481</v>
      </c>
      <c r="V231" s="110"/>
      <c r="W231" s="110"/>
      <c r="X231" s="49">
        <v>1305</v>
      </c>
      <c r="Y231" s="49">
        <v>2698</v>
      </c>
      <c r="Z231" s="49">
        <v>2243</v>
      </c>
      <c r="AA231" s="49">
        <v>1969</v>
      </c>
      <c r="AB231" s="49">
        <v>1388</v>
      </c>
      <c r="AC231" s="49">
        <v>1508</v>
      </c>
      <c r="AD231" s="49">
        <v>1518</v>
      </c>
      <c r="AE231" s="49">
        <v>2063</v>
      </c>
      <c r="AF231" s="49">
        <v>1901</v>
      </c>
      <c r="AG231" s="49">
        <v>1315</v>
      </c>
      <c r="AH231" s="49">
        <v>1625</v>
      </c>
      <c r="AI231" s="122">
        <v>2429</v>
      </c>
      <c r="AK231" s="270"/>
      <c r="AL231" s="270"/>
    </row>
    <row r="232" spans="1:38" ht="18.75" x14ac:dyDescent="0.3">
      <c r="B232" s="130"/>
      <c r="C232" s="13"/>
      <c r="D232" s="13"/>
      <c r="E232" s="8"/>
      <c r="F232" s="154"/>
      <c r="G232" s="154"/>
      <c r="H232" s="154"/>
      <c r="I232" s="154"/>
      <c r="J232" s="154"/>
      <c r="K232" s="154"/>
      <c r="L232" s="154"/>
      <c r="M232" s="154"/>
      <c r="N232" s="154"/>
      <c r="O232" s="154"/>
      <c r="P232" s="154"/>
      <c r="Q232" s="154"/>
      <c r="R232" s="154"/>
      <c r="S232" s="110"/>
      <c r="T232" s="110"/>
      <c r="U232" s="110"/>
      <c r="V232" s="110"/>
      <c r="W232" s="110"/>
      <c r="X232" s="49"/>
      <c r="Y232" s="49"/>
      <c r="Z232" s="49"/>
      <c r="AA232" s="49"/>
      <c r="AB232" s="49"/>
      <c r="AC232" s="49"/>
      <c r="AD232" s="49"/>
      <c r="AE232" s="49"/>
      <c r="AF232" s="49"/>
      <c r="AG232" s="49"/>
      <c r="AH232" s="49"/>
      <c r="AI232" s="122"/>
      <c r="AK232" s="270"/>
      <c r="AL232" s="270"/>
    </row>
    <row r="233" spans="1:38" ht="18.75" x14ac:dyDescent="0.3">
      <c r="B233" s="130"/>
      <c r="C233" s="13"/>
      <c r="D233" s="13"/>
      <c r="E233" s="8"/>
      <c r="F233" s="154"/>
      <c r="G233" s="154"/>
      <c r="H233" s="154"/>
      <c r="I233" s="154"/>
      <c r="J233" s="154"/>
      <c r="K233" s="154"/>
      <c r="L233" s="154"/>
      <c r="M233" s="154"/>
      <c r="N233" s="154"/>
      <c r="O233" s="154"/>
      <c r="P233" s="154"/>
      <c r="Q233" s="154"/>
      <c r="R233" s="154"/>
      <c r="S233" s="110"/>
      <c r="T233" s="110"/>
      <c r="U233" s="110"/>
      <c r="V233" s="110"/>
      <c r="W233" s="110"/>
      <c r="X233" s="49"/>
      <c r="Y233" s="49"/>
      <c r="Z233" s="49"/>
      <c r="AA233" s="49"/>
      <c r="AB233" s="49"/>
      <c r="AC233" s="49"/>
      <c r="AD233" s="49"/>
      <c r="AE233" s="49"/>
      <c r="AF233" s="49"/>
      <c r="AG233" s="49"/>
      <c r="AH233" s="49"/>
      <c r="AI233" s="122"/>
      <c r="AK233" s="270"/>
      <c r="AL233" s="270"/>
    </row>
    <row r="234" spans="1:38" ht="18.75" x14ac:dyDescent="0.3">
      <c r="B234" s="130"/>
      <c r="C234" s="13"/>
      <c r="D234" s="13"/>
      <c r="E234" s="8"/>
      <c r="F234" s="154"/>
      <c r="G234" s="154"/>
      <c r="H234" s="154"/>
      <c r="I234" s="154"/>
      <c r="J234" s="154"/>
      <c r="K234" s="154"/>
      <c r="L234" s="154"/>
      <c r="M234" s="154"/>
      <c r="N234" s="154"/>
      <c r="O234" s="154"/>
      <c r="P234" s="154"/>
      <c r="Q234" s="154"/>
      <c r="R234" s="154"/>
      <c r="S234" s="110"/>
      <c r="T234" s="110"/>
      <c r="U234" s="110"/>
      <c r="V234" s="110"/>
      <c r="W234" s="110"/>
      <c r="X234" s="49"/>
      <c r="Y234" s="49"/>
      <c r="Z234" s="49"/>
      <c r="AA234" s="49"/>
      <c r="AB234" s="49"/>
      <c r="AC234" s="49"/>
      <c r="AD234" s="49"/>
      <c r="AE234" s="49"/>
      <c r="AF234" s="49"/>
      <c r="AG234" s="49"/>
      <c r="AH234" s="49"/>
      <c r="AI234" s="122"/>
      <c r="AK234" s="270"/>
      <c r="AL234" s="270"/>
    </row>
    <row r="235" spans="1:38" x14ac:dyDescent="0.25">
      <c r="B235" s="113"/>
      <c r="C235" s="110"/>
      <c r="D235" s="110"/>
      <c r="E235" s="110"/>
      <c r="F235" s="154"/>
      <c r="G235" s="154"/>
      <c r="H235" s="154"/>
      <c r="I235" s="154"/>
      <c r="J235" s="154"/>
      <c r="K235" s="154"/>
      <c r="L235" s="154"/>
      <c r="M235" s="154"/>
      <c r="N235" s="154"/>
      <c r="O235" s="154"/>
      <c r="P235" s="154"/>
      <c r="Q235" s="154"/>
      <c r="R235" s="154"/>
      <c r="S235" s="110"/>
      <c r="T235" s="110"/>
      <c r="U235" s="110"/>
      <c r="V235" s="110"/>
      <c r="W235" s="110"/>
      <c r="X235" s="49"/>
      <c r="Y235" s="49"/>
      <c r="Z235" s="49"/>
      <c r="AA235" s="49"/>
      <c r="AB235" s="49"/>
      <c r="AC235" s="49"/>
      <c r="AD235" s="49"/>
      <c r="AE235" s="49"/>
      <c r="AF235" s="49"/>
      <c r="AG235" s="49"/>
      <c r="AH235" s="49"/>
      <c r="AI235" s="122"/>
      <c r="AK235" s="270"/>
      <c r="AL235" s="270"/>
    </row>
    <row r="236" spans="1:38" x14ac:dyDescent="0.25">
      <c r="B236" s="113"/>
      <c r="C236" s="110"/>
      <c r="D236" s="110"/>
      <c r="E236" s="110"/>
      <c r="F236" s="154"/>
      <c r="G236" s="154"/>
      <c r="H236" s="154"/>
      <c r="I236" s="154"/>
      <c r="J236" s="154"/>
      <c r="K236" s="154"/>
      <c r="L236" s="154"/>
      <c r="M236" s="154"/>
      <c r="N236" s="154"/>
      <c r="O236" s="154"/>
      <c r="P236" s="154"/>
      <c r="Q236" s="154"/>
      <c r="R236" s="154"/>
      <c r="S236" s="110"/>
      <c r="T236" s="110"/>
      <c r="U236" s="110"/>
      <c r="V236" s="110"/>
      <c r="W236" s="110"/>
      <c r="X236" s="49"/>
      <c r="Y236" s="49"/>
      <c r="Z236" s="49"/>
      <c r="AA236" s="49"/>
      <c r="AB236" s="49"/>
      <c r="AC236" s="49"/>
      <c r="AD236" s="49"/>
      <c r="AE236" s="49"/>
      <c r="AF236" s="49"/>
      <c r="AG236" s="49"/>
      <c r="AH236" s="49"/>
      <c r="AI236" s="122"/>
      <c r="AK236" s="270"/>
      <c r="AL236" s="270"/>
    </row>
    <row r="237" spans="1:38" x14ac:dyDescent="0.25">
      <c r="B237" s="113"/>
      <c r="C237" s="110"/>
      <c r="D237" s="110"/>
      <c r="E237" s="110"/>
      <c r="F237" s="154"/>
      <c r="G237" s="154"/>
      <c r="H237" s="154"/>
      <c r="I237" s="154"/>
      <c r="J237" s="154"/>
      <c r="K237" s="154"/>
      <c r="L237" s="154"/>
      <c r="M237" s="154"/>
      <c r="N237" s="154"/>
      <c r="O237" s="154"/>
      <c r="P237" s="154"/>
      <c r="Q237" s="154"/>
      <c r="R237" s="154"/>
      <c r="S237" s="110"/>
      <c r="T237" s="110"/>
      <c r="U237" s="110"/>
      <c r="V237" s="110"/>
      <c r="W237" s="110"/>
      <c r="X237" s="49"/>
      <c r="Y237" s="49"/>
      <c r="Z237" s="49"/>
      <c r="AA237" s="49"/>
      <c r="AB237" s="49"/>
      <c r="AC237" s="49"/>
      <c r="AD237" s="49"/>
      <c r="AE237" s="49"/>
      <c r="AF237" s="49"/>
      <c r="AG237" s="49"/>
      <c r="AH237" s="49"/>
      <c r="AI237" s="122"/>
      <c r="AK237" s="270"/>
      <c r="AL237" s="270"/>
    </row>
    <row r="238" spans="1:38" x14ac:dyDescent="0.25">
      <c r="B238" s="113"/>
      <c r="C238" s="110"/>
      <c r="D238" s="110"/>
      <c r="E238" s="110"/>
      <c r="F238" s="154"/>
      <c r="G238" s="154"/>
      <c r="H238" s="154"/>
      <c r="I238" s="154"/>
      <c r="J238" s="154"/>
      <c r="K238" s="154"/>
      <c r="L238" s="154"/>
      <c r="M238" s="154"/>
      <c r="N238" s="154"/>
      <c r="O238" s="154"/>
      <c r="P238" s="154"/>
      <c r="Q238" s="154"/>
      <c r="R238" s="154"/>
      <c r="S238" s="110"/>
      <c r="T238" s="110"/>
      <c r="U238" s="110"/>
      <c r="V238" s="110"/>
      <c r="W238" s="110"/>
      <c r="X238" s="49"/>
      <c r="Y238" s="49"/>
      <c r="Z238" s="49"/>
      <c r="AA238" s="49"/>
      <c r="AB238" s="49"/>
      <c r="AC238" s="49"/>
      <c r="AD238" s="49"/>
      <c r="AE238" s="49"/>
      <c r="AF238" s="49"/>
      <c r="AG238" s="49"/>
      <c r="AH238" s="49"/>
      <c r="AI238" s="122"/>
      <c r="AK238" s="270"/>
      <c r="AL238" s="270"/>
    </row>
    <row r="239" spans="1:38" x14ac:dyDescent="0.25">
      <c r="B239" s="113"/>
      <c r="C239" s="110"/>
      <c r="D239" s="110"/>
      <c r="E239" s="110"/>
      <c r="F239" s="154"/>
      <c r="G239" s="154"/>
      <c r="H239" s="154"/>
      <c r="I239" s="154"/>
      <c r="J239" s="154"/>
      <c r="K239" s="154"/>
      <c r="L239" s="154"/>
      <c r="M239" s="154"/>
      <c r="N239" s="154"/>
      <c r="O239" s="154"/>
      <c r="P239" s="154"/>
      <c r="Q239" s="154"/>
      <c r="R239" s="154"/>
      <c r="S239" s="110"/>
      <c r="T239" s="110"/>
      <c r="U239" s="110"/>
      <c r="V239" s="110"/>
      <c r="W239" s="110"/>
      <c r="X239" s="49"/>
      <c r="Y239" s="49"/>
      <c r="Z239" s="49"/>
      <c r="AA239" s="49"/>
      <c r="AB239" s="49"/>
      <c r="AC239" s="49"/>
      <c r="AD239" s="49"/>
      <c r="AE239" s="49"/>
      <c r="AF239" s="49"/>
      <c r="AG239" s="49"/>
      <c r="AH239" s="49"/>
      <c r="AI239" s="122"/>
      <c r="AK239" s="270"/>
      <c r="AL239" s="270"/>
    </row>
    <row r="240" spans="1:38" x14ac:dyDescent="0.25">
      <c r="B240" s="113"/>
      <c r="C240" s="110"/>
      <c r="D240" s="110"/>
      <c r="E240" s="110"/>
      <c r="F240" s="154"/>
      <c r="G240" s="154"/>
      <c r="H240" s="154"/>
      <c r="I240" s="154"/>
      <c r="J240" s="154"/>
      <c r="K240" s="154"/>
      <c r="L240" s="154"/>
      <c r="M240" s="154"/>
      <c r="N240" s="154"/>
      <c r="O240" s="154"/>
      <c r="P240" s="154"/>
      <c r="Q240" s="154"/>
      <c r="R240" s="154"/>
      <c r="S240" s="110"/>
      <c r="T240" s="110"/>
      <c r="U240" s="110"/>
      <c r="V240" s="110"/>
      <c r="W240" s="110"/>
      <c r="X240" s="49"/>
      <c r="Y240" s="49"/>
      <c r="Z240" s="49"/>
      <c r="AA240" s="49"/>
      <c r="AB240" s="49"/>
      <c r="AC240" s="49"/>
      <c r="AD240" s="49"/>
      <c r="AE240" s="49"/>
      <c r="AF240" s="49"/>
      <c r="AG240" s="49"/>
      <c r="AH240" s="49"/>
      <c r="AI240" s="122"/>
      <c r="AK240" s="270"/>
      <c r="AL240" s="270"/>
    </row>
    <row r="241" spans="2:38" ht="15.75" thickBot="1" x14ac:dyDescent="0.3">
      <c r="B241" s="115"/>
      <c r="C241" s="116"/>
      <c r="D241" s="116"/>
      <c r="E241" s="116"/>
      <c r="F241" s="166"/>
      <c r="G241" s="166"/>
      <c r="H241" s="166"/>
      <c r="I241" s="166"/>
      <c r="J241" s="166"/>
      <c r="K241" s="166"/>
      <c r="L241" s="166"/>
      <c r="M241" s="166"/>
      <c r="N241" s="166"/>
      <c r="O241" s="166"/>
      <c r="P241" s="166"/>
      <c r="Q241" s="166"/>
      <c r="R241" s="166"/>
      <c r="S241" s="116"/>
      <c r="T241" s="116"/>
      <c r="U241" s="116"/>
      <c r="V241" s="116"/>
      <c r="W241" s="116"/>
      <c r="X241" s="123"/>
      <c r="Y241" s="123"/>
      <c r="Z241" s="123"/>
      <c r="AA241" s="123"/>
      <c r="AB241" s="123"/>
      <c r="AC241" s="123"/>
      <c r="AD241" s="123"/>
      <c r="AE241" s="123"/>
      <c r="AF241" s="123"/>
      <c r="AG241" s="123"/>
      <c r="AH241" s="123"/>
      <c r="AI241" s="124"/>
      <c r="AK241" s="270"/>
      <c r="AL241" s="270"/>
    </row>
    <row r="242" spans="2:38" ht="15.75" thickBot="1" x14ac:dyDescent="0.3">
      <c r="X242" s="94">
        <f>SUM(X190:X241)</f>
        <v>120548</v>
      </c>
      <c r="Y242" s="94">
        <f t="shared" ref="Y242:AI242" si="4">SUM(Y190:Y241)</f>
        <v>211495</v>
      </c>
      <c r="Z242" s="94">
        <f t="shared" si="4"/>
        <v>221783</v>
      </c>
      <c r="AA242" s="94">
        <f t="shared" si="4"/>
        <v>297825</v>
      </c>
      <c r="AB242" s="94">
        <f t="shared" si="4"/>
        <v>245356</v>
      </c>
      <c r="AC242" s="94">
        <f t="shared" si="4"/>
        <v>230802</v>
      </c>
      <c r="AD242" s="94">
        <f t="shared" si="4"/>
        <v>258917</v>
      </c>
      <c r="AE242" s="94">
        <f t="shared" si="4"/>
        <v>258197</v>
      </c>
      <c r="AF242" s="94">
        <f t="shared" si="4"/>
        <v>250917</v>
      </c>
      <c r="AG242" s="94">
        <f t="shared" si="4"/>
        <v>184810</v>
      </c>
      <c r="AH242" s="94">
        <f t="shared" si="4"/>
        <v>168033</v>
      </c>
      <c r="AI242" s="94">
        <f t="shared" si="4"/>
        <v>248865</v>
      </c>
      <c r="AK242" s="270"/>
      <c r="AL242" s="270"/>
    </row>
    <row r="243" spans="2:38" x14ac:dyDescent="0.25">
      <c r="AK243" s="270"/>
      <c r="AL243" s="270"/>
    </row>
    <row r="244" spans="2:38" x14ac:dyDescent="0.25">
      <c r="AK244" s="270"/>
      <c r="AL244" s="270"/>
    </row>
    <row r="245" spans="2:38" x14ac:dyDescent="0.25">
      <c r="AK245" s="270"/>
      <c r="AL245" s="270"/>
    </row>
    <row r="246" spans="2:38" x14ac:dyDescent="0.25">
      <c r="AK246" s="270"/>
      <c r="AL246" s="270"/>
    </row>
    <row r="247" spans="2:38" ht="15.75" thickBot="1" x14ac:dyDescent="0.3">
      <c r="AK247" s="270"/>
      <c r="AL247" s="270"/>
    </row>
    <row r="248" spans="2:38" ht="15.75" thickBot="1" x14ac:dyDescent="0.3">
      <c r="B248" s="636" t="s">
        <v>718</v>
      </c>
      <c r="C248" s="637"/>
      <c r="D248" s="637"/>
      <c r="E248" s="637"/>
      <c r="F248" s="638"/>
      <c r="G248" s="638"/>
      <c r="H248" s="638"/>
      <c r="I248" s="638"/>
      <c r="J248" s="638"/>
      <c r="K248" s="638"/>
      <c r="L248" s="638"/>
      <c r="M248" s="638"/>
      <c r="N248" s="638"/>
      <c r="O248" s="638"/>
      <c r="P248" s="638"/>
      <c r="Q248" s="638"/>
      <c r="R248" s="638"/>
      <c r="S248" s="638"/>
      <c r="T248" s="638"/>
      <c r="U248" s="638"/>
      <c r="V248" s="638"/>
      <c r="W248" s="637"/>
      <c r="X248" s="637"/>
      <c r="Y248" s="637"/>
      <c r="Z248" s="637"/>
      <c r="AA248" s="637"/>
      <c r="AB248" s="637"/>
      <c r="AC248" s="637"/>
      <c r="AD248" s="637"/>
      <c r="AE248" s="637"/>
      <c r="AF248" s="637"/>
      <c r="AG248" s="637"/>
      <c r="AH248" s="637"/>
      <c r="AI248" s="639"/>
      <c r="AK248" s="270"/>
      <c r="AL248" s="270"/>
    </row>
    <row r="249" spans="2:38" ht="19.5" thickBot="1" x14ac:dyDescent="0.3">
      <c r="B249" s="139"/>
      <c r="C249" s="98"/>
      <c r="D249" s="98"/>
      <c r="E249" s="155"/>
      <c r="F249" s="142"/>
      <c r="G249" s="142"/>
      <c r="H249" s="142"/>
      <c r="I249" s="240"/>
      <c r="J249" s="240"/>
      <c r="K249" s="240"/>
      <c r="L249" s="240"/>
      <c r="M249" s="240"/>
      <c r="N249" s="240"/>
      <c r="O249" s="240"/>
      <c r="P249" s="240"/>
      <c r="Q249" s="240"/>
      <c r="R249" s="240"/>
      <c r="S249" s="240"/>
      <c r="T249" s="240"/>
      <c r="U249" s="240"/>
      <c r="V249" s="251"/>
      <c r="W249" s="150"/>
      <c r="X249" s="100" t="s">
        <v>488</v>
      </c>
      <c r="Y249" s="100" t="s">
        <v>489</v>
      </c>
      <c r="Z249" s="100" t="s">
        <v>490</v>
      </c>
      <c r="AA249" s="100" t="s">
        <v>491</v>
      </c>
      <c r="AB249" s="100" t="s">
        <v>492</v>
      </c>
      <c r="AC249" s="100" t="s">
        <v>493</v>
      </c>
      <c r="AD249" s="100" t="s">
        <v>494</v>
      </c>
      <c r="AE249" s="100" t="s">
        <v>495</v>
      </c>
      <c r="AF249" s="100" t="s">
        <v>496</v>
      </c>
      <c r="AG249" s="100" t="s">
        <v>497</v>
      </c>
      <c r="AH249" s="101" t="s">
        <v>498</v>
      </c>
      <c r="AI249" s="102" t="s">
        <v>499</v>
      </c>
      <c r="AK249" s="270"/>
      <c r="AL249" s="270"/>
    </row>
    <row r="250" spans="2:38" ht="18.75" x14ac:dyDescent="0.3">
      <c r="B250" s="126">
        <v>547463</v>
      </c>
      <c r="C250" s="162" t="s">
        <v>617</v>
      </c>
      <c r="D250" s="162">
        <v>39832</v>
      </c>
      <c r="E250" s="189" t="s">
        <v>634</v>
      </c>
      <c r="F250" s="190" t="s">
        <v>635</v>
      </c>
      <c r="G250" s="154" t="s">
        <v>1400</v>
      </c>
      <c r="H250" s="154"/>
      <c r="I250" s="154">
        <v>19029</v>
      </c>
      <c r="J250" s="154">
        <v>19114</v>
      </c>
      <c r="K250" s="154">
        <v>19371</v>
      </c>
      <c r="L250" s="154">
        <v>19859</v>
      </c>
      <c r="M250" s="154">
        <v>19929</v>
      </c>
      <c r="N250" s="154">
        <v>19955</v>
      </c>
      <c r="O250" s="154">
        <v>20007</v>
      </c>
      <c r="P250" s="154">
        <v>20013</v>
      </c>
      <c r="Q250" s="154">
        <v>20076</v>
      </c>
      <c r="R250" s="154">
        <v>20121</v>
      </c>
      <c r="S250" s="110">
        <v>20137</v>
      </c>
      <c r="T250" s="110">
        <v>20263</v>
      </c>
      <c r="U250" s="110">
        <v>20377</v>
      </c>
      <c r="V250" s="114"/>
      <c r="X250" s="118">
        <v>85</v>
      </c>
      <c r="Y250" s="119">
        <v>257</v>
      </c>
      <c r="Z250" s="119">
        <v>488</v>
      </c>
      <c r="AA250" s="119">
        <v>70</v>
      </c>
      <c r="AB250" s="119">
        <v>26</v>
      </c>
      <c r="AC250" s="119">
        <v>52</v>
      </c>
      <c r="AD250" s="119">
        <v>6</v>
      </c>
      <c r="AE250" s="119">
        <v>63</v>
      </c>
      <c r="AF250" s="119">
        <v>45</v>
      </c>
      <c r="AG250" s="119">
        <v>16</v>
      </c>
      <c r="AH250" s="119">
        <v>126</v>
      </c>
      <c r="AI250" s="120">
        <v>114</v>
      </c>
      <c r="AK250" s="270"/>
      <c r="AL250" s="270"/>
    </row>
    <row r="251" spans="2:38" ht="18.75" x14ac:dyDescent="0.3">
      <c r="B251" s="130">
        <v>4492967</v>
      </c>
      <c r="C251" s="13" t="s">
        <v>617</v>
      </c>
      <c r="D251" s="13">
        <v>39875</v>
      </c>
      <c r="E251" s="156" t="s">
        <v>550</v>
      </c>
      <c r="F251" s="190" t="s">
        <v>664</v>
      </c>
      <c r="G251" s="154" t="s">
        <v>665</v>
      </c>
      <c r="H251" s="154"/>
      <c r="I251" s="154">
        <v>17051</v>
      </c>
      <c r="J251" s="154">
        <v>17105</v>
      </c>
      <c r="K251" s="154">
        <v>17179</v>
      </c>
      <c r="L251" s="154">
        <v>17291</v>
      </c>
      <c r="M251" s="154">
        <v>17361</v>
      </c>
      <c r="N251" s="154">
        <v>17462</v>
      </c>
      <c r="O251" s="154">
        <v>17645</v>
      </c>
      <c r="P251" s="154">
        <v>17758</v>
      </c>
      <c r="Q251" s="154">
        <v>17908</v>
      </c>
      <c r="R251" s="154">
        <v>18048</v>
      </c>
      <c r="S251" s="110">
        <v>18170</v>
      </c>
      <c r="T251" s="110">
        <v>18362</v>
      </c>
      <c r="U251" s="110">
        <v>18450</v>
      </c>
      <c r="V251" s="114"/>
      <c r="X251" s="121">
        <v>54</v>
      </c>
      <c r="Y251" s="49">
        <v>74</v>
      </c>
      <c r="Z251" s="49">
        <v>112</v>
      </c>
      <c r="AA251" s="49">
        <v>70</v>
      </c>
      <c r="AB251" s="49">
        <v>101</v>
      </c>
      <c r="AC251" s="49">
        <v>183</v>
      </c>
      <c r="AD251" s="49">
        <v>113</v>
      </c>
      <c r="AE251" s="49">
        <v>150</v>
      </c>
      <c r="AF251" s="49">
        <v>140</v>
      </c>
      <c r="AG251" s="49">
        <v>122</v>
      </c>
      <c r="AH251" s="49">
        <v>192</v>
      </c>
      <c r="AI251" s="122">
        <v>88</v>
      </c>
      <c r="AK251" s="270"/>
      <c r="AL251" s="270"/>
    </row>
    <row r="252" spans="2:38" ht="18.75" x14ac:dyDescent="0.3">
      <c r="B252" s="137">
        <v>7107776</v>
      </c>
      <c r="C252" s="207" t="s">
        <v>617</v>
      </c>
      <c r="D252" s="207">
        <v>39478</v>
      </c>
      <c r="E252" s="230" t="s">
        <v>902</v>
      </c>
      <c r="F252" s="190" t="s">
        <v>903</v>
      </c>
      <c r="G252" s="154" t="s">
        <v>1419</v>
      </c>
      <c r="H252" s="154" t="s">
        <v>904</v>
      </c>
      <c r="I252" s="154">
        <v>74224</v>
      </c>
      <c r="J252" s="154">
        <v>74224</v>
      </c>
      <c r="K252" s="154">
        <v>74224</v>
      </c>
      <c r="L252" s="154">
        <v>74224</v>
      </c>
      <c r="M252" s="154">
        <v>74230</v>
      </c>
      <c r="N252" s="154">
        <v>74230</v>
      </c>
      <c r="O252" s="154">
        <v>74294</v>
      </c>
      <c r="P252" s="154">
        <v>74294</v>
      </c>
      <c r="Q252" s="154">
        <v>74692</v>
      </c>
      <c r="R252" s="154">
        <v>74781</v>
      </c>
      <c r="S252" s="110">
        <v>74781</v>
      </c>
      <c r="T252" s="110">
        <v>74793</v>
      </c>
      <c r="U252" s="110">
        <v>74892</v>
      </c>
      <c r="V252" s="114"/>
      <c r="X252" s="121">
        <v>0</v>
      </c>
      <c r="Y252" s="49">
        <v>0</v>
      </c>
      <c r="Z252" s="49">
        <v>0</v>
      </c>
      <c r="AA252" s="49">
        <v>6</v>
      </c>
      <c r="AB252" s="49">
        <v>0</v>
      </c>
      <c r="AC252" s="49">
        <v>64</v>
      </c>
      <c r="AD252" s="49">
        <v>0</v>
      </c>
      <c r="AE252" s="49">
        <v>398</v>
      </c>
      <c r="AF252" s="49">
        <v>89</v>
      </c>
      <c r="AG252" s="49">
        <v>0</v>
      </c>
      <c r="AH252" s="49">
        <v>12</v>
      </c>
      <c r="AI252" s="122">
        <v>99</v>
      </c>
      <c r="AK252" s="270"/>
      <c r="AL252" s="270"/>
    </row>
    <row r="253" spans="2:38" ht="18.75" x14ac:dyDescent="0.3">
      <c r="B253" s="137">
        <v>10283585</v>
      </c>
      <c r="C253" s="207" t="s">
        <v>617</v>
      </c>
      <c r="D253" s="207">
        <v>39859</v>
      </c>
      <c r="E253" s="230" t="s">
        <v>630</v>
      </c>
      <c r="F253" s="190" t="s">
        <v>636</v>
      </c>
      <c r="G253" s="154" t="s">
        <v>1398</v>
      </c>
      <c r="H253" s="154"/>
      <c r="I253" s="154">
        <v>51387</v>
      </c>
      <c r="J253" s="154">
        <v>51590</v>
      </c>
      <c r="K253" s="154">
        <v>52465</v>
      </c>
      <c r="L253" s="154">
        <v>53937.4</v>
      </c>
      <c r="M253" s="154">
        <v>54739</v>
      </c>
      <c r="N253" s="154">
        <v>55210</v>
      </c>
      <c r="O253" s="154">
        <v>55868.7</v>
      </c>
      <c r="P253" s="154">
        <v>57093.599999999999</v>
      </c>
      <c r="Q253" s="154">
        <v>58432.1</v>
      </c>
      <c r="R253" s="154">
        <v>59211.8</v>
      </c>
      <c r="S253" s="110">
        <v>60591.1</v>
      </c>
      <c r="T253" s="110">
        <v>61836.1</v>
      </c>
      <c r="U253" s="110">
        <v>62859.3</v>
      </c>
      <c r="V253" s="114"/>
      <c r="X253" s="121">
        <v>203</v>
      </c>
      <c r="Y253" s="49">
        <v>875</v>
      </c>
      <c r="Z253" s="49">
        <v>1472.4000000000015</v>
      </c>
      <c r="AA253" s="49">
        <v>801.59999999999854</v>
      </c>
      <c r="AB253" s="49">
        <v>471</v>
      </c>
      <c r="AC253" s="49">
        <v>658.69999999999709</v>
      </c>
      <c r="AD253" s="49">
        <v>1224.9000000000015</v>
      </c>
      <c r="AE253" s="49">
        <v>1338.5</v>
      </c>
      <c r="AF253" s="49">
        <v>779.70000000000437</v>
      </c>
      <c r="AG253" s="49">
        <v>1379.2999999999956</v>
      </c>
      <c r="AH253" s="49">
        <v>1245</v>
      </c>
      <c r="AI253" s="122">
        <v>1023.2000000000044</v>
      </c>
      <c r="AK253" s="270"/>
      <c r="AL253" s="270"/>
    </row>
    <row r="254" spans="2:38" ht="18.75" x14ac:dyDescent="0.3">
      <c r="B254" s="137">
        <v>10735985</v>
      </c>
      <c r="C254" s="207" t="s">
        <v>617</v>
      </c>
      <c r="D254" s="207">
        <v>39441</v>
      </c>
      <c r="E254" s="230" t="s">
        <v>902</v>
      </c>
      <c r="F254" s="190" t="s">
        <v>636</v>
      </c>
      <c r="G254" s="154" t="s">
        <v>1420</v>
      </c>
      <c r="H254" s="154"/>
      <c r="I254" s="154">
        <v>4517</v>
      </c>
      <c r="J254" s="154">
        <v>4517</v>
      </c>
      <c r="K254" s="154">
        <v>4517</v>
      </c>
      <c r="L254" s="154">
        <v>4531</v>
      </c>
      <c r="M254" s="154">
        <v>4583.8</v>
      </c>
      <c r="N254" s="154">
        <v>4583.8</v>
      </c>
      <c r="O254" s="154">
        <v>4827.3</v>
      </c>
      <c r="P254" s="154">
        <v>5459.5</v>
      </c>
      <c r="Q254" s="154">
        <v>6453.4</v>
      </c>
      <c r="R254" s="154">
        <v>7093</v>
      </c>
      <c r="S254" s="110">
        <v>7093</v>
      </c>
      <c r="T254" s="110">
        <v>7138.9</v>
      </c>
      <c r="U254" s="110">
        <v>7451.5</v>
      </c>
      <c r="V254" s="114"/>
      <c r="X254" s="121">
        <v>0</v>
      </c>
      <c r="Y254" s="49">
        <v>0</v>
      </c>
      <c r="Z254" s="49">
        <v>14</v>
      </c>
      <c r="AA254" s="49">
        <v>52.800000000000182</v>
      </c>
      <c r="AB254" s="49">
        <v>0</v>
      </c>
      <c r="AC254" s="49">
        <v>243.5</v>
      </c>
      <c r="AD254" s="49">
        <v>632.19999999999982</v>
      </c>
      <c r="AE254" s="49">
        <v>993.89999999999964</v>
      </c>
      <c r="AF254" s="49">
        <v>639.60000000000036</v>
      </c>
      <c r="AG254" s="49">
        <v>0</v>
      </c>
      <c r="AH254" s="49">
        <v>45.899999999999636</v>
      </c>
      <c r="AI254" s="122">
        <v>312.60000000000036</v>
      </c>
      <c r="AK254" s="270"/>
      <c r="AL254" s="270"/>
    </row>
    <row r="255" spans="2:38" ht="18.75" x14ac:dyDescent="0.3">
      <c r="B255" s="137">
        <v>11808535</v>
      </c>
      <c r="C255" s="207" t="s">
        <v>617</v>
      </c>
      <c r="D255" s="207">
        <v>39858</v>
      </c>
      <c r="E255" s="230" t="s">
        <v>630</v>
      </c>
      <c r="F255" s="190" t="s">
        <v>633</v>
      </c>
      <c r="G255" s="154" t="s">
        <v>1399</v>
      </c>
      <c r="H255" s="154"/>
      <c r="I255" s="154">
        <v>38934</v>
      </c>
      <c r="J255" s="154">
        <v>38974</v>
      </c>
      <c r="K255" s="154">
        <v>39352</v>
      </c>
      <c r="L255" s="154">
        <v>39684</v>
      </c>
      <c r="M255" s="154">
        <v>39831</v>
      </c>
      <c r="N255" s="154">
        <v>39939</v>
      </c>
      <c r="O255" s="154">
        <v>39990</v>
      </c>
      <c r="P255" s="154">
        <v>40118</v>
      </c>
      <c r="Q255" s="154">
        <v>40171</v>
      </c>
      <c r="R255" s="154">
        <v>40175</v>
      </c>
      <c r="S255" s="110">
        <v>40179</v>
      </c>
      <c r="T255" s="110">
        <v>40401</v>
      </c>
      <c r="U255" s="110">
        <v>40459</v>
      </c>
      <c r="V255" s="114"/>
      <c r="X255" s="121">
        <v>40</v>
      </c>
      <c r="Y255" s="49">
        <v>378</v>
      </c>
      <c r="Z255" s="49">
        <v>332</v>
      </c>
      <c r="AA255" s="49">
        <v>147</v>
      </c>
      <c r="AB255" s="49">
        <v>108</v>
      </c>
      <c r="AC255" s="49">
        <v>51</v>
      </c>
      <c r="AD255" s="49">
        <v>128</v>
      </c>
      <c r="AE255" s="49">
        <v>53</v>
      </c>
      <c r="AF255" s="49">
        <v>4</v>
      </c>
      <c r="AG255" s="49">
        <v>4</v>
      </c>
      <c r="AH255" s="49">
        <v>222</v>
      </c>
      <c r="AI255" s="122">
        <v>58</v>
      </c>
      <c r="AK255" s="270"/>
      <c r="AL255" s="270"/>
    </row>
    <row r="256" spans="2:38" ht="18.75" x14ac:dyDescent="0.3">
      <c r="B256" s="137">
        <v>50037472</v>
      </c>
      <c r="C256" s="207" t="s">
        <v>617</v>
      </c>
      <c r="D256" s="103">
        <v>39880</v>
      </c>
      <c r="E256" s="230" t="s">
        <v>628</v>
      </c>
      <c r="F256" s="190" t="s">
        <v>629</v>
      </c>
      <c r="G256" s="154" t="s">
        <v>1397</v>
      </c>
      <c r="H256" s="154"/>
      <c r="I256" s="154">
        <v>12783</v>
      </c>
      <c r="J256" s="154">
        <v>12816</v>
      </c>
      <c r="K256" s="154">
        <v>12860</v>
      </c>
      <c r="L256" s="154">
        <v>12916</v>
      </c>
      <c r="M256" s="154">
        <v>12936</v>
      </c>
      <c r="N256" s="154">
        <v>12958</v>
      </c>
      <c r="O256" s="154">
        <v>12992</v>
      </c>
      <c r="P256" s="154">
        <v>13020</v>
      </c>
      <c r="Q256" s="154">
        <v>13129</v>
      </c>
      <c r="R256" s="154">
        <v>13207</v>
      </c>
      <c r="S256" s="110">
        <v>13269</v>
      </c>
      <c r="T256" s="110">
        <v>13298</v>
      </c>
      <c r="U256" s="110">
        <v>13324</v>
      </c>
      <c r="V256" s="114"/>
      <c r="X256" s="121">
        <v>33</v>
      </c>
      <c r="Y256" s="49">
        <v>44</v>
      </c>
      <c r="Z256" s="49">
        <v>56</v>
      </c>
      <c r="AA256" s="49">
        <v>20</v>
      </c>
      <c r="AB256" s="49">
        <v>22</v>
      </c>
      <c r="AC256" s="49">
        <v>34</v>
      </c>
      <c r="AD256" s="49">
        <v>28</v>
      </c>
      <c r="AE256" s="49">
        <v>109</v>
      </c>
      <c r="AF256" s="49">
        <v>78</v>
      </c>
      <c r="AG256" s="49">
        <v>62</v>
      </c>
      <c r="AH256" s="49">
        <v>29</v>
      </c>
      <c r="AI256" s="122">
        <v>26</v>
      </c>
      <c r="AK256" s="270"/>
      <c r="AL256" s="270"/>
    </row>
    <row r="257" spans="2:38" ht="18.75" x14ac:dyDescent="0.3">
      <c r="B257" s="137">
        <v>73321615</v>
      </c>
      <c r="C257" s="207" t="s">
        <v>617</v>
      </c>
      <c r="D257" s="207">
        <v>39890</v>
      </c>
      <c r="E257" s="230" t="s">
        <v>639</v>
      </c>
      <c r="F257" s="190" t="s">
        <v>640</v>
      </c>
      <c r="G257" s="154" t="s">
        <v>1422</v>
      </c>
      <c r="H257" s="154"/>
      <c r="I257" s="154">
        <v>289079</v>
      </c>
      <c r="J257" s="154">
        <v>290797</v>
      </c>
      <c r="K257" s="154">
        <v>293783</v>
      </c>
      <c r="L257" s="154">
        <v>297877</v>
      </c>
      <c r="M257" s="154">
        <v>300541</v>
      </c>
      <c r="N257" s="154">
        <v>304158</v>
      </c>
      <c r="O257" s="154">
        <v>309701</v>
      </c>
      <c r="P257" s="154">
        <v>314281</v>
      </c>
      <c r="Q257" s="154">
        <v>316769</v>
      </c>
      <c r="R257" s="154">
        <v>319872</v>
      </c>
      <c r="S257" s="110">
        <v>321660</v>
      </c>
      <c r="T257" s="110">
        <v>324085</v>
      </c>
      <c r="U257" s="110">
        <v>326625</v>
      </c>
      <c r="V257" s="114"/>
      <c r="X257" s="121">
        <v>1718</v>
      </c>
      <c r="Y257" s="49">
        <v>2986</v>
      </c>
      <c r="Z257" s="49">
        <v>4094</v>
      </c>
      <c r="AA257" s="49">
        <v>2664</v>
      </c>
      <c r="AB257" s="49">
        <v>3617</v>
      </c>
      <c r="AC257" s="49">
        <v>5543</v>
      </c>
      <c r="AD257" s="49">
        <v>4580</v>
      </c>
      <c r="AE257" s="49">
        <v>2488</v>
      </c>
      <c r="AF257" s="49">
        <v>3103</v>
      </c>
      <c r="AG257" s="49">
        <v>1788</v>
      </c>
      <c r="AH257" s="49">
        <v>2425</v>
      </c>
      <c r="AI257" s="122">
        <v>2540</v>
      </c>
      <c r="AK257" s="270"/>
      <c r="AL257" s="270"/>
    </row>
    <row r="258" spans="2:38" ht="18.75" x14ac:dyDescent="0.3">
      <c r="B258" s="137" t="s">
        <v>408</v>
      </c>
      <c r="C258" s="207" t="s">
        <v>617</v>
      </c>
      <c r="D258" s="207">
        <v>39895</v>
      </c>
      <c r="E258" s="230" t="s">
        <v>1396</v>
      </c>
      <c r="F258" s="190" t="s">
        <v>621</v>
      </c>
      <c r="G258" s="154" t="s">
        <v>627</v>
      </c>
      <c r="H258" s="154"/>
      <c r="I258" s="154">
        <v>464871</v>
      </c>
      <c r="J258" s="154">
        <v>467124</v>
      </c>
      <c r="K258" s="154">
        <v>470774</v>
      </c>
      <c r="L258" s="154">
        <v>474505</v>
      </c>
      <c r="M258" s="154">
        <v>476609</v>
      </c>
      <c r="N258" s="154">
        <v>478406</v>
      </c>
      <c r="O258" s="154">
        <v>481052</v>
      </c>
      <c r="P258" s="154">
        <v>484020</v>
      </c>
      <c r="Q258" s="154">
        <v>488784</v>
      </c>
      <c r="R258" s="154">
        <v>492692</v>
      </c>
      <c r="S258" s="110">
        <v>495088</v>
      </c>
      <c r="T258" s="110">
        <v>497877</v>
      </c>
      <c r="U258" s="110">
        <v>500627</v>
      </c>
      <c r="V258" s="114"/>
      <c r="X258" s="121">
        <v>2253</v>
      </c>
      <c r="Y258" s="49">
        <v>3650</v>
      </c>
      <c r="Z258" s="49">
        <v>3731</v>
      </c>
      <c r="AA258" s="49">
        <v>2104</v>
      </c>
      <c r="AB258" s="49">
        <v>1797</v>
      </c>
      <c r="AC258" s="49">
        <v>2646</v>
      </c>
      <c r="AD258" s="49">
        <v>2968</v>
      </c>
      <c r="AE258" s="49">
        <v>4764</v>
      </c>
      <c r="AF258" s="49">
        <v>3908</v>
      </c>
      <c r="AG258" s="49">
        <v>2396</v>
      </c>
      <c r="AH258" s="49">
        <v>2789</v>
      </c>
      <c r="AI258" s="122">
        <v>2750</v>
      </c>
      <c r="AK258" s="270"/>
      <c r="AL258" s="270"/>
    </row>
    <row r="259" spans="2:38" ht="18.75" x14ac:dyDescent="0.3">
      <c r="B259" s="137" t="s">
        <v>404</v>
      </c>
      <c r="C259" s="207" t="s">
        <v>617</v>
      </c>
      <c r="D259" s="207">
        <v>39835</v>
      </c>
      <c r="E259" s="230" t="s">
        <v>623</v>
      </c>
      <c r="F259" s="190" t="s">
        <v>624</v>
      </c>
      <c r="G259" s="154" t="s">
        <v>1395</v>
      </c>
      <c r="H259" s="154"/>
      <c r="I259" s="154">
        <v>96158</v>
      </c>
      <c r="J259" s="154">
        <v>96720</v>
      </c>
      <c r="K259" s="154">
        <v>97520</v>
      </c>
      <c r="L259" s="154">
        <v>98334</v>
      </c>
      <c r="M259" s="154">
        <v>98771</v>
      </c>
      <c r="N259" s="154">
        <v>99302</v>
      </c>
      <c r="O259" s="154">
        <v>100059</v>
      </c>
      <c r="P259" s="154">
        <v>100659</v>
      </c>
      <c r="Q259" s="154">
        <v>101340</v>
      </c>
      <c r="R259" s="154">
        <v>102179</v>
      </c>
      <c r="S259" s="110">
        <v>102810</v>
      </c>
      <c r="T259" s="110">
        <v>103455</v>
      </c>
      <c r="U259" s="110">
        <v>104025</v>
      </c>
      <c r="V259" s="114"/>
      <c r="X259" s="121">
        <v>562</v>
      </c>
      <c r="Y259" s="49">
        <v>800</v>
      </c>
      <c r="Z259" s="49">
        <v>814</v>
      </c>
      <c r="AA259" s="49">
        <v>437</v>
      </c>
      <c r="AB259" s="49">
        <v>531</v>
      </c>
      <c r="AC259" s="49">
        <v>757</v>
      </c>
      <c r="AD259" s="49">
        <v>600</v>
      </c>
      <c r="AE259" s="49">
        <v>681</v>
      </c>
      <c r="AF259" s="49">
        <v>839</v>
      </c>
      <c r="AG259" s="49">
        <v>631</v>
      </c>
      <c r="AH259" s="49">
        <v>645</v>
      </c>
      <c r="AI259" s="122">
        <v>570</v>
      </c>
      <c r="AK259" s="270"/>
      <c r="AL259" s="270"/>
    </row>
    <row r="260" spans="2:38" ht="18.75" x14ac:dyDescent="0.3">
      <c r="B260" s="137" t="s">
        <v>403</v>
      </c>
      <c r="C260" s="207" t="s">
        <v>617</v>
      </c>
      <c r="D260" s="207">
        <v>39305</v>
      </c>
      <c r="E260" s="230" t="s">
        <v>658</v>
      </c>
      <c r="F260" s="190" t="s">
        <v>621</v>
      </c>
      <c r="G260" s="154" t="s">
        <v>1394</v>
      </c>
      <c r="H260" s="154"/>
      <c r="I260" s="154">
        <v>711792</v>
      </c>
      <c r="J260" s="154">
        <v>713442</v>
      </c>
      <c r="K260" s="154">
        <v>716175</v>
      </c>
      <c r="L260" s="154">
        <v>718864</v>
      </c>
      <c r="M260" s="154">
        <v>721529</v>
      </c>
      <c r="N260" s="154">
        <v>725204</v>
      </c>
      <c r="O260" s="154">
        <v>730104</v>
      </c>
      <c r="P260" s="154">
        <v>733390</v>
      </c>
      <c r="Q260" s="154">
        <v>736933</v>
      </c>
      <c r="R260" s="154">
        <v>739134</v>
      </c>
      <c r="S260" s="110">
        <v>741682</v>
      </c>
      <c r="T260" s="110">
        <v>745758</v>
      </c>
      <c r="U260" s="110">
        <v>749942</v>
      </c>
      <c r="V260" s="114"/>
      <c r="X260" s="121">
        <v>1650</v>
      </c>
      <c r="Y260" s="49">
        <v>2733</v>
      </c>
      <c r="Z260" s="49">
        <v>2689</v>
      </c>
      <c r="AA260" s="49">
        <v>2665</v>
      </c>
      <c r="AB260" s="49">
        <v>3675</v>
      </c>
      <c r="AC260" s="49">
        <v>4900</v>
      </c>
      <c r="AD260" s="49">
        <v>3286</v>
      </c>
      <c r="AE260" s="49">
        <v>3543</v>
      </c>
      <c r="AF260" s="49">
        <v>2201</v>
      </c>
      <c r="AG260" s="49">
        <v>2548</v>
      </c>
      <c r="AH260" s="49">
        <v>4076</v>
      </c>
      <c r="AI260" s="122">
        <v>4184</v>
      </c>
      <c r="AK260" s="270"/>
      <c r="AL260" s="270"/>
    </row>
    <row r="261" spans="2:38" ht="18.75" x14ac:dyDescent="0.3">
      <c r="B261" s="137" t="s">
        <v>1426</v>
      </c>
      <c r="C261" s="207" t="s">
        <v>617</v>
      </c>
      <c r="D261" s="207">
        <v>39324</v>
      </c>
      <c r="E261" s="230" t="s">
        <v>1388</v>
      </c>
      <c r="F261" s="190" t="s">
        <v>636</v>
      </c>
      <c r="G261" s="154" t="s">
        <v>1403</v>
      </c>
      <c r="H261" s="154" t="s">
        <v>1389</v>
      </c>
      <c r="I261" s="154"/>
      <c r="J261" s="154"/>
      <c r="K261" s="154"/>
      <c r="L261" s="154"/>
      <c r="M261" s="154"/>
      <c r="N261" s="154"/>
      <c r="O261" s="154"/>
      <c r="P261" s="154"/>
      <c r="Q261" s="154">
        <v>424</v>
      </c>
      <c r="R261" s="154">
        <v>450</v>
      </c>
      <c r="S261" s="110">
        <v>565</v>
      </c>
      <c r="T261" s="110">
        <v>775</v>
      </c>
      <c r="U261" s="110">
        <v>953</v>
      </c>
      <c r="V261" s="114"/>
      <c r="X261" s="121" t="s">
        <v>734</v>
      </c>
      <c r="Y261" s="49" t="s">
        <v>734</v>
      </c>
      <c r="Z261" s="49" t="s">
        <v>734</v>
      </c>
      <c r="AA261" s="49" t="s">
        <v>734</v>
      </c>
      <c r="AB261" s="49" t="s">
        <v>734</v>
      </c>
      <c r="AC261" s="49" t="s">
        <v>734</v>
      </c>
      <c r="AD261" s="49" t="s">
        <v>734</v>
      </c>
      <c r="AE261" s="49" t="s">
        <v>734</v>
      </c>
      <c r="AF261" s="49">
        <v>26</v>
      </c>
      <c r="AG261" s="49">
        <v>115</v>
      </c>
      <c r="AH261" s="49">
        <v>210</v>
      </c>
      <c r="AI261" s="122">
        <v>178</v>
      </c>
      <c r="AK261" s="270"/>
      <c r="AL261" s="270"/>
    </row>
    <row r="262" spans="2:38" ht="18.75" x14ac:dyDescent="0.3">
      <c r="B262" s="137">
        <v>3789280061</v>
      </c>
      <c r="C262" s="207" t="s">
        <v>650</v>
      </c>
      <c r="D262" s="207">
        <v>39886</v>
      </c>
      <c r="E262" s="230" t="s">
        <v>651</v>
      </c>
      <c r="F262" s="190" t="s">
        <v>1362</v>
      </c>
      <c r="G262" s="154" t="s">
        <v>1363</v>
      </c>
      <c r="H262" s="154" t="s">
        <v>1364</v>
      </c>
      <c r="I262" s="154"/>
      <c r="J262" s="154"/>
      <c r="K262" s="154"/>
      <c r="L262" s="154"/>
      <c r="M262" s="154"/>
      <c r="N262" s="154">
        <v>0</v>
      </c>
      <c r="O262" s="154">
        <v>7</v>
      </c>
      <c r="P262" s="154">
        <v>18.920000000000002</v>
      </c>
      <c r="Q262" s="154">
        <v>32.82</v>
      </c>
      <c r="R262" s="154">
        <v>537.9</v>
      </c>
      <c r="S262" s="110">
        <v>1549.8</v>
      </c>
      <c r="T262" s="110">
        <v>2645.5</v>
      </c>
      <c r="U262" s="110">
        <v>3859.2</v>
      </c>
      <c r="V262" s="114"/>
      <c r="X262" s="121" t="s">
        <v>734</v>
      </c>
      <c r="Y262" s="49" t="s">
        <v>734</v>
      </c>
      <c r="Z262" s="49" t="s">
        <v>734</v>
      </c>
      <c r="AA262" s="49" t="s">
        <v>734</v>
      </c>
      <c r="AB262" s="49" t="s">
        <v>734</v>
      </c>
      <c r="AC262" s="49">
        <v>7</v>
      </c>
      <c r="AD262" s="49">
        <v>11.920000000000002</v>
      </c>
      <c r="AE262" s="49">
        <v>13.899999999999999</v>
      </c>
      <c r="AF262" s="49">
        <v>505.08</v>
      </c>
      <c r="AG262" s="49">
        <v>1011.9</v>
      </c>
      <c r="AH262" s="49">
        <v>1095.7</v>
      </c>
      <c r="AI262" s="122">
        <v>1213.6999999999998</v>
      </c>
      <c r="AK262" s="270"/>
      <c r="AL262" s="270"/>
    </row>
    <row r="263" spans="2:38" ht="18.75" x14ac:dyDescent="0.3">
      <c r="B263" s="137" t="s">
        <v>417</v>
      </c>
      <c r="C263" s="207" t="s">
        <v>650</v>
      </c>
      <c r="D263" s="207">
        <v>39881</v>
      </c>
      <c r="E263" s="230" t="s">
        <v>651</v>
      </c>
      <c r="F263" s="190" t="s">
        <v>654</v>
      </c>
      <c r="G263" s="154" t="s">
        <v>655</v>
      </c>
      <c r="H263" s="154"/>
      <c r="I263" s="154">
        <v>76319</v>
      </c>
      <c r="J263" s="154">
        <v>76651</v>
      </c>
      <c r="K263" s="154">
        <v>76871</v>
      </c>
      <c r="L263" s="154">
        <v>77387</v>
      </c>
      <c r="M263" s="154">
        <v>78206</v>
      </c>
      <c r="N263" s="154">
        <v>78493</v>
      </c>
      <c r="O263" s="154">
        <v>79053</v>
      </c>
      <c r="P263" s="154">
        <v>79769</v>
      </c>
      <c r="Q263" s="154">
        <v>79771</v>
      </c>
      <c r="R263" s="154">
        <v>80000</v>
      </c>
      <c r="S263" s="110">
        <v>80475</v>
      </c>
      <c r="T263" s="110">
        <v>81085</v>
      </c>
      <c r="U263" s="110">
        <v>81847</v>
      </c>
      <c r="V263" s="114"/>
      <c r="X263" s="121">
        <v>332</v>
      </c>
      <c r="Y263" s="49">
        <v>220</v>
      </c>
      <c r="Z263" s="49">
        <v>516</v>
      </c>
      <c r="AA263" s="49">
        <v>819</v>
      </c>
      <c r="AB263" s="49">
        <v>287</v>
      </c>
      <c r="AC263" s="49">
        <v>560</v>
      </c>
      <c r="AD263" s="49">
        <v>716</v>
      </c>
      <c r="AE263" s="49">
        <v>2</v>
      </c>
      <c r="AF263" s="49">
        <v>229</v>
      </c>
      <c r="AG263" s="49">
        <v>475</v>
      </c>
      <c r="AH263" s="49">
        <v>610</v>
      </c>
      <c r="AI263" s="122">
        <v>762</v>
      </c>
      <c r="AK263" s="270"/>
      <c r="AL263" s="270"/>
    </row>
    <row r="264" spans="2:38" ht="18.75" x14ac:dyDescent="0.3">
      <c r="B264" s="137" t="s">
        <v>418</v>
      </c>
      <c r="C264" s="207" t="s">
        <v>650</v>
      </c>
      <c r="D264" s="207">
        <v>39882</v>
      </c>
      <c r="E264" s="230" t="s">
        <v>651</v>
      </c>
      <c r="F264" s="190" t="s">
        <v>654</v>
      </c>
      <c r="G264" s="154" t="s">
        <v>656</v>
      </c>
      <c r="H264" s="154"/>
      <c r="I264" s="154">
        <v>68642</v>
      </c>
      <c r="J264" s="154">
        <v>68788</v>
      </c>
      <c r="K264" s="154">
        <v>69240</v>
      </c>
      <c r="L264" s="154">
        <v>69744</v>
      </c>
      <c r="M264" s="154">
        <v>70221</v>
      </c>
      <c r="N264" s="154">
        <v>70633</v>
      </c>
      <c r="O264" s="154">
        <v>70770</v>
      </c>
      <c r="P264" s="154">
        <v>70777</v>
      </c>
      <c r="Q264" s="154">
        <v>70787</v>
      </c>
      <c r="R264" s="154">
        <v>71256</v>
      </c>
      <c r="S264" s="110">
        <v>71539</v>
      </c>
      <c r="T264" s="110">
        <v>71747</v>
      </c>
      <c r="U264" s="110">
        <v>72275</v>
      </c>
      <c r="V264" s="114"/>
      <c r="X264" s="121">
        <v>146</v>
      </c>
      <c r="Y264" s="49">
        <v>452</v>
      </c>
      <c r="Z264" s="49">
        <v>504</v>
      </c>
      <c r="AA264" s="49">
        <v>477</v>
      </c>
      <c r="AB264" s="49">
        <v>412</v>
      </c>
      <c r="AC264" s="49">
        <v>137</v>
      </c>
      <c r="AD264" s="49">
        <v>7</v>
      </c>
      <c r="AE264" s="49">
        <v>10</v>
      </c>
      <c r="AF264" s="49">
        <v>469</v>
      </c>
      <c r="AG264" s="49">
        <v>283</v>
      </c>
      <c r="AH264" s="49">
        <v>208</v>
      </c>
      <c r="AI264" s="122">
        <v>528</v>
      </c>
      <c r="AK264" s="270"/>
      <c r="AL264" s="270"/>
    </row>
    <row r="265" spans="2:38" ht="18.75" x14ac:dyDescent="0.3">
      <c r="B265" s="137" t="s">
        <v>419</v>
      </c>
      <c r="C265" s="207" t="s">
        <v>650</v>
      </c>
      <c r="D265" s="207">
        <v>39065</v>
      </c>
      <c r="E265" s="230" t="s">
        <v>651</v>
      </c>
      <c r="F265" s="190" t="s">
        <v>654</v>
      </c>
      <c r="G265" s="154" t="s">
        <v>1406</v>
      </c>
      <c r="H265" s="154"/>
      <c r="I265" s="154">
        <v>12979</v>
      </c>
      <c r="J265" s="154">
        <v>13742</v>
      </c>
      <c r="K265" s="154">
        <v>13923</v>
      </c>
      <c r="L265" s="154">
        <v>13976</v>
      </c>
      <c r="M265" s="154">
        <v>14089</v>
      </c>
      <c r="N265" s="154">
        <v>14089</v>
      </c>
      <c r="O265" s="154">
        <v>14181</v>
      </c>
      <c r="P265" s="154">
        <v>14181</v>
      </c>
      <c r="Q265" s="154">
        <v>14181</v>
      </c>
      <c r="R265" s="154">
        <v>14181</v>
      </c>
      <c r="S265" s="110">
        <v>14181</v>
      </c>
      <c r="T265" s="110">
        <v>15045</v>
      </c>
      <c r="U265" s="110">
        <v>15650</v>
      </c>
      <c r="V265" s="114"/>
      <c r="X265" s="121">
        <v>763</v>
      </c>
      <c r="Y265" s="49">
        <v>181</v>
      </c>
      <c r="Z265" s="49">
        <v>53</v>
      </c>
      <c r="AA265" s="49">
        <v>113</v>
      </c>
      <c r="AB265" s="49">
        <v>0</v>
      </c>
      <c r="AC265" s="49">
        <v>92</v>
      </c>
      <c r="AD265" s="49">
        <v>0</v>
      </c>
      <c r="AE265" s="49">
        <v>0</v>
      </c>
      <c r="AF265" s="49">
        <v>0</v>
      </c>
      <c r="AG265" s="49">
        <v>0</v>
      </c>
      <c r="AH265" s="49">
        <v>864</v>
      </c>
      <c r="AI265" s="122">
        <v>605</v>
      </c>
      <c r="AK265" s="270"/>
      <c r="AL265" s="270"/>
    </row>
    <row r="266" spans="2:38" ht="18.75" x14ac:dyDescent="0.3">
      <c r="B266" s="137" t="s">
        <v>420</v>
      </c>
      <c r="C266" s="207" t="s">
        <v>650</v>
      </c>
      <c r="D266" s="207">
        <v>39658</v>
      </c>
      <c r="E266" s="230" t="s">
        <v>651</v>
      </c>
      <c r="F266" s="190" t="s">
        <v>654</v>
      </c>
      <c r="G266" s="154" t="s">
        <v>1408</v>
      </c>
      <c r="H266" s="154" t="s">
        <v>1466</v>
      </c>
      <c r="I266" s="154"/>
      <c r="J266" s="154"/>
      <c r="K266" s="154"/>
      <c r="L266" s="154"/>
      <c r="M266" s="154"/>
      <c r="N266" s="154"/>
      <c r="O266" s="154"/>
      <c r="P266" s="154"/>
      <c r="Q266" s="154"/>
      <c r="R266" s="154"/>
      <c r="S266" s="110"/>
      <c r="T266" s="110">
        <v>25046</v>
      </c>
      <c r="U266" s="110">
        <v>25813.7</v>
      </c>
      <c r="V266" s="114"/>
      <c r="X266" s="121" t="s">
        <v>734</v>
      </c>
      <c r="Y266" s="49" t="s">
        <v>734</v>
      </c>
      <c r="Z266" s="49" t="s">
        <v>734</v>
      </c>
      <c r="AA266" s="49" t="s">
        <v>734</v>
      </c>
      <c r="AB266" s="49" t="s">
        <v>734</v>
      </c>
      <c r="AC266" s="49" t="s">
        <v>734</v>
      </c>
      <c r="AD266" s="49" t="s">
        <v>734</v>
      </c>
      <c r="AE266" s="49" t="s">
        <v>734</v>
      </c>
      <c r="AF266" s="49" t="s">
        <v>734</v>
      </c>
      <c r="AG266" s="49" t="s">
        <v>734</v>
      </c>
      <c r="AH266" s="49" t="s">
        <v>734</v>
      </c>
      <c r="AI266" s="122">
        <v>767.70000000000073</v>
      </c>
      <c r="AK266" s="270"/>
      <c r="AL266" s="270"/>
    </row>
    <row r="267" spans="2:38" ht="18.75" x14ac:dyDescent="0.3">
      <c r="B267" s="137" t="s">
        <v>424</v>
      </c>
      <c r="C267" s="207" t="s">
        <v>650</v>
      </c>
      <c r="D267" s="207">
        <v>39899</v>
      </c>
      <c r="E267" s="230" t="s">
        <v>651</v>
      </c>
      <c r="F267" s="190" t="s">
        <v>654</v>
      </c>
      <c r="G267" s="154" t="s">
        <v>1409</v>
      </c>
      <c r="H267" s="154"/>
      <c r="I267" s="154">
        <v>41088</v>
      </c>
      <c r="J267" s="154">
        <v>41388</v>
      </c>
      <c r="K267" s="154">
        <v>41478</v>
      </c>
      <c r="L267" s="154">
        <v>42467</v>
      </c>
      <c r="M267" s="154">
        <v>42509</v>
      </c>
      <c r="N267" s="154">
        <v>42665</v>
      </c>
      <c r="O267" s="154">
        <v>42739</v>
      </c>
      <c r="P267" s="154">
        <v>42797</v>
      </c>
      <c r="Q267" s="154">
        <v>42953</v>
      </c>
      <c r="R267" s="154">
        <v>43289</v>
      </c>
      <c r="S267" s="110">
        <v>43699</v>
      </c>
      <c r="T267" s="110">
        <v>44478</v>
      </c>
      <c r="U267" s="110">
        <v>45436</v>
      </c>
      <c r="V267" s="114"/>
      <c r="X267" s="121">
        <v>300</v>
      </c>
      <c r="Y267" s="49">
        <v>90</v>
      </c>
      <c r="Z267" s="49">
        <v>989</v>
      </c>
      <c r="AA267" s="49">
        <v>42</v>
      </c>
      <c r="AB267" s="49">
        <v>156</v>
      </c>
      <c r="AC267" s="49">
        <v>74</v>
      </c>
      <c r="AD267" s="49">
        <v>58</v>
      </c>
      <c r="AE267" s="49">
        <v>156</v>
      </c>
      <c r="AF267" s="49">
        <v>336</v>
      </c>
      <c r="AG267" s="49">
        <v>410</v>
      </c>
      <c r="AH267" s="49">
        <v>779</v>
      </c>
      <c r="AI267" s="122">
        <v>958</v>
      </c>
      <c r="AK267" s="270"/>
      <c r="AL267" s="270"/>
    </row>
    <row r="268" spans="2:38" ht="18.75" x14ac:dyDescent="0.3">
      <c r="B268" s="137">
        <v>542779</v>
      </c>
      <c r="C268" s="207" t="s">
        <v>667</v>
      </c>
      <c r="D268" s="207">
        <v>39869</v>
      </c>
      <c r="E268" s="230" t="s">
        <v>668</v>
      </c>
      <c r="F268" s="190" t="s">
        <v>669</v>
      </c>
      <c r="G268" s="154" t="s">
        <v>1410</v>
      </c>
      <c r="H268" s="154" t="s">
        <v>359</v>
      </c>
      <c r="I268" s="154">
        <v>1626579.4</v>
      </c>
      <c r="J268" s="154">
        <v>1630882.5</v>
      </c>
      <c r="K268" s="154">
        <v>1640092</v>
      </c>
      <c r="L268" s="154">
        <v>1675749</v>
      </c>
      <c r="M268" s="154">
        <v>1694058.6</v>
      </c>
      <c r="N268" s="154">
        <v>1711356.6</v>
      </c>
      <c r="O268" s="154">
        <v>1748131</v>
      </c>
      <c r="P268" s="154">
        <v>1753182</v>
      </c>
      <c r="Q268" s="154">
        <v>1759379.6</v>
      </c>
      <c r="R268" s="154">
        <v>1765037.2</v>
      </c>
      <c r="S268" s="110">
        <v>1770494</v>
      </c>
      <c r="T268" s="110">
        <v>1776466</v>
      </c>
      <c r="U268" s="110">
        <v>1782313</v>
      </c>
      <c r="V268" s="114"/>
      <c r="X268" s="121">
        <v>4303.1000000000931</v>
      </c>
      <c r="Y268" s="49">
        <v>9209.5</v>
      </c>
      <c r="Z268" s="49">
        <v>35657</v>
      </c>
      <c r="AA268" s="49">
        <v>18309.600000000093</v>
      </c>
      <c r="AB268" s="49">
        <v>17298</v>
      </c>
      <c r="AC268" s="49">
        <v>36774.399999999907</v>
      </c>
      <c r="AD268" s="49">
        <v>5051</v>
      </c>
      <c r="AE268" s="49">
        <v>6197.6000000000931</v>
      </c>
      <c r="AF268" s="49">
        <v>5657.5999999998603</v>
      </c>
      <c r="AG268" s="49">
        <v>5456.8000000000466</v>
      </c>
      <c r="AH268" s="49">
        <v>5972</v>
      </c>
      <c r="AI268" s="122">
        <v>5847</v>
      </c>
      <c r="AK268" s="270"/>
      <c r="AL268" s="270"/>
    </row>
    <row r="269" spans="2:38" ht="18.75" x14ac:dyDescent="0.3">
      <c r="B269" s="137">
        <v>17070</v>
      </c>
      <c r="C269" s="207" t="s">
        <v>670</v>
      </c>
      <c r="D269" s="207">
        <v>39873</v>
      </c>
      <c r="E269" s="230" t="s">
        <v>1411</v>
      </c>
      <c r="F269" s="190" t="s">
        <v>672</v>
      </c>
      <c r="G269" s="154" t="s">
        <v>673</v>
      </c>
      <c r="H269" s="154" t="s">
        <v>908</v>
      </c>
      <c r="I269" s="154">
        <v>13666</v>
      </c>
      <c r="J269" s="154">
        <v>13694</v>
      </c>
      <c r="K269" s="154">
        <v>13745</v>
      </c>
      <c r="L269" s="154">
        <v>13779</v>
      </c>
      <c r="M269" s="154">
        <v>13819</v>
      </c>
      <c r="N269" s="154">
        <v>13869</v>
      </c>
      <c r="O269" s="154">
        <v>14058</v>
      </c>
      <c r="P269" s="154">
        <v>13909</v>
      </c>
      <c r="Q269" s="154">
        <v>15314</v>
      </c>
      <c r="R269" s="154">
        <v>15395</v>
      </c>
      <c r="S269" s="110">
        <v>15457</v>
      </c>
      <c r="T269" s="110">
        <v>15518</v>
      </c>
      <c r="U269" s="110">
        <v>15560</v>
      </c>
      <c r="V269" s="114"/>
      <c r="X269" s="121">
        <v>28</v>
      </c>
      <c r="Y269" s="49">
        <v>51</v>
      </c>
      <c r="Z269" s="49">
        <v>34</v>
      </c>
      <c r="AA269" s="49">
        <v>40</v>
      </c>
      <c r="AB269" s="49">
        <v>50</v>
      </c>
      <c r="AC269" s="49">
        <v>189</v>
      </c>
      <c r="AD269" s="49" t="s">
        <v>856</v>
      </c>
      <c r="AE269" s="49">
        <v>1405</v>
      </c>
      <c r="AF269" s="49">
        <v>81</v>
      </c>
      <c r="AG269" s="49">
        <v>62</v>
      </c>
      <c r="AH269" s="49">
        <v>61</v>
      </c>
      <c r="AI269" s="122">
        <v>42</v>
      </c>
      <c r="AK269" s="270"/>
      <c r="AL269" s="270"/>
    </row>
    <row r="270" spans="2:38" ht="18.75" x14ac:dyDescent="0.3">
      <c r="B270" s="137">
        <v>50564017</v>
      </c>
      <c r="C270" s="207" t="s">
        <v>670</v>
      </c>
      <c r="D270" s="207">
        <v>39878</v>
      </c>
      <c r="E270" s="230" t="s">
        <v>630</v>
      </c>
      <c r="F270" s="190" t="s">
        <v>674</v>
      </c>
      <c r="G270" s="154" t="s">
        <v>675</v>
      </c>
      <c r="H270" s="154"/>
      <c r="I270" s="154">
        <v>190615.2</v>
      </c>
      <c r="J270" s="154">
        <v>191770</v>
      </c>
      <c r="K270" s="154">
        <v>193262</v>
      </c>
      <c r="L270" s="154">
        <v>195197</v>
      </c>
      <c r="M270" s="154">
        <v>196742.2</v>
      </c>
      <c r="N270" s="154">
        <v>198717.6</v>
      </c>
      <c r="O270" s="154">
        <v>201554.8</v>
      </c>
      <c r="P270" s="154">
        <v>203326</v>
      </c>
      <c r="Q270" s="154">
        <v>205896.1</v>
      </c>
      <c r="R270" s="154">
        <v>208547.1</v>
      </c>
      <c r="S270" s="110">
        <v>210624.6</v>
      </c>
      <c r="T270" s="110">
        <v>212517.4</v>
      </c>
      <c r="U270" s="110">
        <v>213802.4</v>
      </c>
      <c r="V270" s="114"/>
      <c r="X270" s="121">
        <v>1154.7999999999884</v>
      </c>
      <c r="Y270" s="49">
        <v>1492</v>
      </c>
      <c r="Z270" s="49">
        <v>1935</v>
      </c>
      <c r="AA270" s="49">
        <v>1545.2000000000116</v>
      </c>
      <c r="AB270" s="49">
        <v>1975.3999999999942</v>
      </c>
      <c r="AC270" s="49">
        <v>2837.1999999999825</v>
      </c>
      <c r="AD270" s="49">
        <v>1771.2000000000116</v>
      </c>
      <c r="AE270" s="49">
        <v>2570.1000000000058</v>
      </c>
      <c r="AF270" s="49">
        <v>2651</v>
      </c>
      <c r="AG270" s="49">
        <v>2077.5</v>
      </c>
      <c r="AH270" s="49">
        <v>1892.7999999999884</v>
      </c>
      <c r="AI270" s="122">
        <v>1285</v>
      </c>
      <c r="AK270" s="270"/>
      <c r="AL270" s="270"/>
    </row>
    <row r="271" spans="2:38" ht="18.75" x14ac:dyDescent="0.3">
      <c r="B271" s="137">
        <v>85006712</v>
      </c>
      <c r="C271" s="207" t="s">
        <v>670</v>
      </c>
      <c r="D271" s="207">
        <v>39809</v>
      </c>
      <c r="E271" s="230" t="s">
        <v>630</v>
      </c>
      <c r="F271" s="190" t="s">
        <v>676</v>
      </c>
      <c r="G271" s="154" t="s">
        <v>1412</v>
      </c>
      <c r="H271" s="154"/>
      <c r="I271" s="154">
        <v>1873733</v>
      </c>
      <c r="J271" s="154">
        <v>1882841</v>
      </c>
      <c r="K271" s="154">
        <v>1908601</v>
      </c>
      <c r="L271" s="154">
        <v>1933502</v>
      </c>
      <c r="M271" s="154">
        <v>1957151</v>
      </c>
      <c r="N271" s="154">
        <v>1985357</v>
      </c>
      <c r="O271" s="154">
        <v>2004699</v>
      </c>
      <c r="P271" s="154">
        <v>2049880</v>
      </c>
      <c r="Q271" s="154">
        <v>2108451</v>
      </c>
      <c r="R271" s="154">
        <v>2135488</v>
      </c>
      <c r="S271" s="110">
        <v>2160046</v>
      </c>
      <c r="T271" s="110">
        <v>2183947</v>
      </c>
      <c r="U271" s="110">
        <v>2196997</v>
      </c>
      <c r="V271" s="114"/>
      <c r="X271" s="121">
        <v>9108</v>
      </c>
      <c r="Y271" s="49">
        <v>25760</v>
      </c>
      <c r="Z271" s="49">
        <v>24901</v>
      </c>
      <c r="AA271" s="49">
        <v>23649</v>
      </c>
      <c r="AB271" s="49">
        <v>28206</v>
      </c>
      <c r="AC271" s="49">
        <v>19342</v>
      </c>
      <c r="AD271" s="49">
        <v>45181</v>
      </c>
      <c r="AE271" s="49">
        <v>58571</v>
      </c>
      <c r="AF271" s="49">
        <v>27037</v>
      </c>
      <c r="AG271" s="49">
        <v>24558</v>
      </c>
      <c r="AH271" s="49">
        <v>23901</v>
      </c>
      <c r="AI271" s="122">
        <v>13050</v>
      </c>
      <c r="AK271" s="270"/>
      <c r="AL271" s="270"/>
    </row>
    <row r="272" spans="2:38" ht="18.75" x14ac:dyDescent="0.3">
      <c r="B272" s="137">
        <v>85006713</v>
      </c>
      <c r="C272" s="207" t="s">
        <v>670</v>
      </c>
      <c r="D272" s="207">
        <v>39810</v>
      </c>
      <c r="E272" s="230" t="s">
        <v>630</v>
      </c>
      <c r="F272" s="190" t="s">
        <v>676</v>
      </c>
      <c r="G272" s="154" t="s">
        <v>1424</v>
      </c>
      <c r="H272" s="154"/>
      <c r="I272" s="154">
        <v>750303</v>
      </c>
      <c r="J272" s="154">
        <v>754908</v>
      </c>
      <c r="K272" s="154">
        <v>764284</v>
      </c>
      <c r="L272" s="154">
        <v>775179</v>
      </c>
      <c r="M272" s="154">
        <v>782534</v>
      </c>
      <c r="N272" s="154">
        <v>790872</v>
      </c>
      <c r="O272" s="154">
        <v>803414</v>
      </c>
      <c r="P272" s="154">
        <v>818239</v>
      </c>
      <c r="Q272" s="154">
        <v>841942</v>
      </c>
      <c r="R272" s="154">
        <v>860869</v>
      </c>
      <c r="S272" s="110">
        <v>871732</v>
      </c>
      <c r="T272" s="110">
        <v>882023</v>
      </c>
      <c r="U272" s="110">
        <v>889369</v>
      </c>
      <c r="V272" s="114"/>
      <c r="X272" s="121">
        <v>4605</v>
      </c>
      <c r="Y272" s="49">
        <v>9376</v>
      </c>
      <c r="Z272" s="49">
        <v>10895</v>
      </c>
      <c r="AA272" s="49">
        <v>7355</v>
      </c>
      <c r="AB272" s="49">
        <v>8338</v>
      </c>
      <c r="AC272" s="49">
        <v>12542</v>
      </c>
      <c r="AD272" s="49">
        <v>14825</v>
      </c>
      <c r="AE272" s="49">
        <v>23703</v>
      </c>
      <c r="AF272" s="49">
        <v>18927</v>
      </c>
      <c r="AG272" s="49">
        <v>10863</v>
      </c>
      <c r="AH272" s="49">
        <v>10291</v>
      </c>
      <c r="AI272" s="122">
        <v>7346</v>
      </c>
      <c r="AK272" s="270"/>
      <c r="AL272" s="270"/>
    </row>
    <row r="273" spans="2:38" ht="18.75" x14ac:dyDescent="0.3">
      <c r="B273" s="137"/>
      <c r="C273" s="207"/>
      <c r="D273" s="207"/>
      <c r="E273" s="230"/>
      <c r="F273" s="190"/>
      <c r="G273" s="154"/>
      <c r="H273" s="154"/>
      <c r="I273" s="154"/>
      <c r="J273" s="154"/>
      <c r="K273" s="154"/>
      <c r="L273" s="154"/>
      <c r="M273" s="154"/>
      <c r="N273" s="154"/>
      <c r="O273" s="154"/>
      <c r="P273" s="154"/>
      <c r="Q273" s="154"/>
      <c r="R273" s="154"/>
      <c r="S273" s="110"/>
      <c r="T273" s="110"/>
      <c r="U273" s="110"/>
      <c r="V273" s="114"/>
      <c r="X273" s="121"/>
      <c r="Y273" s="49"/>
      <c r="Z273" s="49"/>
      <c r="AA273" s="49"/>
      <c r="AB273" s="49"/>
      <c r="AC273" s="49"/>
      <c r="AD273" s="49"/>
      <c r="AE273" s="49"/>
      <c r="AF273" s="49"/>
      <c r="AG273" s="49"/>
      <c r="AH273" s="49"/>
      <c r="AI273" s="122"/>
      <c r="AK273" s="270"/>
      <c r="AL273" s="270"/>
    </row>
    <row r="274" spans="2:38" ht="18.75" x14ac:dyDescent="0.3">
      <c r="B274" s="137"/>
      <c r="C274" s="207"/>
      <c r="D274" s="207"/>
      <c r="E274" s="230"/>
      <c r="F274" s="190"/>
      <c r="G274" s="154"/>
      <c r="H274" s="154"/>
      <c r="I274" s="154"/>
      <c r="J274" s="154"/>
      <c r="K274" s="154"/>
      <c r="L274" s="154"/>
      <c r="M274" s="154"/>
      <c r="N274" s="154"/>
      <c r="O274" s="154"/>
      <c r="P274" s="154"/>
      <c r="Q274" s="154"/>
      <c r="R274" s="154"/>
      <c r="S274" s="110"/>
      <c r="T274" s="110"/>
      <c r="U274" s="110"/>
      <c r="V274" s="114"/>
      <c r="X274" s="121"/>
      <c r="Y274" s="49"/>
      <c r="Z274" s="49"/>
      <c r="AA274" s="49"/>
      <c r="AB274" s="49"/>
      <c r="AC274" s="49"/>
      <c r="AD274" s="49"/>
      <c r="AE274" s="49"/>
      <c r="AF274" s="49"/>
      <c r="AG274" s="49"/>
      <c r="AH274" s="49"/>
      <c r="AI274" s="122"/>
      <c r="AK274" s="270"/>
      <c r="AL274" s="270"/>
    </row>
    <row r="275" spans="2:38" ht="18.75" x14ac:dyDescent="0.3">
      <c r="B275" s="137"/>
      <c r="C275" s="207"/>
      <c r="D275" s="207"/>
      <c r="E275" s="230"/>
      <c r="F275" s="190"/>
      <c r="G275" s="154"/>
      <c r="H275" s="154"/>
      <c r="I275" s="154"/>
      <c r="J275" s="154"/>
      <c r="K275" s="154"/>
      <c r="L275" s="154"/>
      <c r="M275" s="154"/>
      <c r="N275" s="154"/>
      <c r="O275" s="154"/>
      <c r="P275" s="154"/>
      <c r="Q275" s="154"/>
      <c r="R275" s="154"/>
      <c r="S275" s="110"/>
      <c r="T275" s="110"/>
      <c r="U275" s="110"/>
      <c r="V275" s="114"/>
      <c r="X275" s="121"/>
      <c r="Y275" s="49"/>
      <c r="Z275" s="49"/>
      <c r="AA275" s="49"/>
      <c r="AB275" s="49"/>
      <c r="AC275" s="49"/>
      <c r="AD275" s="49"/>
      <c r="AE275" s="49"/>
      <c r="AF275" s="49"/>
      <c r="AG275" s="49"/>
      <c r="AH275" s="49"/>
      <c r="AI275" s="122"/>
      <c r="AK275" s="270"/>
      <c r="AL275" s="270"/>
    </row>
    <row r="276" spans="2:38" ht="18.75" x14ac:dyDescent="0.3">
      <c r="B276" s="137"/>
      <c r="C276" s="207"/>
      <c r="D276" s="207"/>
      <c r="E276" s="230"/>
      <c r="F276" s="190"/>
      <c r="G276" s="154"/>
      <c r="H276" s="154"/>
      <c r="I276" s="154"/>
      <c r="J276" s="154"/>
      <c r="K276" s="154"/>
      <c r="L276" s="154"/>
      <c r="M276" s="154"/>
      <c r="N276" s="154"/>
      <c r="O276" s="154"/>
      <c r="P276" s="154"/>
      <c r="Q276" s="154"/>
      <c r="R276" s="154"/>
      <c r="S276" s="110"/>
      <c r="T276" s="110"/>
      <c r="U276" s="110"/>
      <c r="V276" s="114"/>
      <c r="X276" s="121"/>
      <c r="Y276" s="49"/>
      <c r="Z276" s="49"/>
      <c r="AA276" s="49"/>
      <c r="AB276" s="49"/>
      <c r="AC276" s="49"/>
      <c r="AD276" s="49"/>
      <c r="AE276" s="49"/>
      <c r="AF276" s="49"/>
      <c r="AG276" s="49"/>
      <c r="AH276" s="49"/>
      <c r="AI276" s="122"/>
      <c r="AK276" s="270"/>
      <c r="AL276" s="270"/>
    </row>
    <row r="277" spans="2:38" ht="18.75" x14ac:dyDescent="0.3">
      <c r="B277" s="137"/>
      <c r="C277" s="207"/>
      <c r="D277" s="207"/>
      <c r="E277" s="230"/>
      <c r="F277" s="190"/>
      <c r="G277" s="154"/>
      <c r="H277" s="154"/>
      <c r="I277" s="154"/>
      <c r="J277" s="154"/>
      <c r="K277" s="154"/>
      <c r="L277" s="154"/>
      <c r="M277" s="154"/>
      <c r="N277" s="154"/>
      <c r="O277" s="154"/>
      <c r="P277" s="154"/>
      <c r="Q277" s="154"/>
      <c r="R277" s="154"/>
      <c r="S277" s="110"/>
      <c r="T277" s="110"/>
      <c r="U277" s="110"/>
      <c r="V277" s="114"/>
      <c r="X277" s="121"/>
      <c r="Y277" s="49"/>
      <c r="Z277" s="49"/>
      <c r="AA277" s="49"/>
      <c r="AB277" s="49"/>
      <c r="AC277" s="49"/>
      <c r="AD277" s="49"/>
      <c r="AE277" s="49"/>
      <c r="AF277" s="49"/>
      <c r="AG277" s="49"/>
      <c r="AH277" s="49"/>
      <c r="AI277" s="122"/>
      <c r="AK277" s="270"/>
      <c r="AL277" s="270"/>
    </row>
    <row r="278" spans="2:38" ht="18.75" x14ac:dyDescent="0.3">
      <c r="B278" s="137"/>
      <c r="C278" s="207"/>
      <c r="D278" s="207"/>
      <c r="E278" s="230"/>
      <c r="F278" s="190"/>
      <c r="G278" s="154"/>
      <c r="H278" s="154"/>
      <c r="I278" s="154"/>
      <c r="J278" s="154"/>
      <c r="K278" s="154"/>
      <c r="L278" s="154"/>
      <c r="M278" s="154"/>
      <c r="N278" s="154"/>
      <c r="O278" s="154"/>
      <c r="P278" s="154"/>
      <c r="Q278" s="154"/>
      <c r="R278" s="154"/>
      <c r="S278" s="110"/>
      <c r="T278" s="110"/>
      <c r="U278" s="110"/>
      <c r="V278" s="114"/>
      <c r="X278" s="121"/>
      <c r="Y278" s="49"/>
      <c r="Z278" s="49"/>
      <c r="AA278" s="49"/>
      <c r="AB278" s="49"/>
      <c r="AC278" s="49"/>
      <c r="AD278" s="49"/>
      <c r="AE278" s="49"/>
      <c r="AF278" s="49"/>
      <c r="AG278" s="49"/>
      <c r="AH278" s="49"/>
      <c r="AI278" s="122"/>
      <c r="AK278" s="270"/>
      <c r="AL278" s="270"/>
    </row>
    <row r="279" spans="2:38" ht="18.75" x14ac:dyDescent="0.3">
      <c r="B279" s="130"/>
      <c r="C279" s="13"/>
      <c r="D279" s="13"/>
      <c r="E279" s="156"/>
      <c r="F279" s="190"/>
      <c r="G279" s="154"/>
      <c r="H279" s="154"/>
      <c r="I279" s="154"/>
      <c r="J279" s="154"/>
      <c r="K279" s="154"/>
      <c r="L279" s="154"/>
      <c r="M279" s="154"/>
      <c r="N279" s="154"/>
      <c r="O279" s="154"/>
      <c r="P279" s="154"/>
      <c r="Q279" s="154"/>
      <c r="R279" s="154"/>
      <c r="S279" s="110"/>
      <c r="T279" s="110"/>
      <c r="U279" s="110"/>
      <c r="V279" s="114"/>
      <c r="X279" s="121"/>
      <c r="Y279" s="49"/>
      <c r="Z279" s="49"/>
      <c r="AA279" s="49"/>
      <c r="AB279" s="49"/>
      <c r="AC279" s="49"/>
      <c r="AD279" s="49"/>
      <c r="AE279" s="49"/>
      <c r="AF279" s="49"/>
      <c r="AG279" s="49"/>
      <c r="AH279" s="49"/>
      <c r="AI279" s="122"/>
      <c r="AK279" s="270"/>
      <c r="AL279" s="270"/>
    </row>
    <row r="280" spans="2:38" ht="18.75" x14ac:dyDescent="0.3">
      <c r="B280" s="130"/>
      <c r="C280" s="13"/>
      <c r="D280" s="13"/>
      <c r="E280" s="156"/>
      <c r="F280" s="190"/>
      <c r="G280" s="154"/>
      <c r="H280" s="154"/>
      <c r="I280" s="154"/>
      <c r="J280" s="154"/>
      <c r="K280" s="154"/>
      <c r="L280" s="154"/>
      <c r="M280" s="154"/>
      <c r="N280" s="154"/>
      <c r="O280" s="154"/>
      <c r="P280" s="154"/>
      <c r="Q280" s="154"/>
      <c r="R280" s="154"/>
      <c r="S280" s="110"/>
      <c r="T280" s="110"/>
      <c r="U280" s="110"/>
      <c r="V280" s="114"/>
      <c r="X280" s="121"/>
      <c r="Y280" s="49"/>
      <c r="Z280" s="49"/>
      <c r="AA280" s="49"/>
      <c r="AB280" s="49"/>
      <c r="AC280" s="49"/>
      <c r="AD280" s="49"/>
      <c r="AE280" s="49"/>
      <c r="AF280" s="49"/>
      <c r="AG280" s="49"/>
      <c r="AH280" s="49"/>
      <c r="AI280" s="122"/>
      <c r="AK280" s="270"/>
      <c r="AL280" s="270"/>
    </row>
    <row r="281" spans="2:38" ht="18.75" x14ac:dyDescent="0.3">
      <c r="B281" s="130"/>
      <c r="C281" s="13"/>
      <c r="D281" s="13"/>
      <c r="E281" s="156"/>
      <c r="F281" s="190"/>
      <c r="G281" s="154"/>
      <c r="H281" s="154"/>
      <c r="I281" s="154"/>
      <c r="J281" s="154"/>
      <c r="K281" s="154"/>
      <c r="L281" s="154"/>
      <c r="M281" s="154"/>
      <c r="N281" s="154"/>
      <c r="O281" s="154"/>
      <c r="P281" s="154"/>
      <c r="Q281" s="154"/>
      <c r="R281" s="154"/>
      <c r="S281" s="110"/>
      <c r="T281" s="110"/>
      <c r="U281" s="110"/>
      <c r="V281" s="114"/>
      <c r="X281" s="121"/>
      <c r="Y281" s="49"/>
      <c r="Z281" s="49"/>
      <c r="AA281" s="49"/>
      <c r="AB281" s="49"/>
      <c r="AC281" s="49"/>
      <c r="AD281" s="49"/>
      <c r="AE281" s="49"/>
      <c r="AF281" s="49"/>
      <c r="AG281" s="49"/>
      <c r="AH281" s="49"/>
      <c r="AI281" s="122"/>
      <c r="AK281" s="270"/>
      <c r="AL281" s="270"/>
    </row>
    <row r="282" spans="2:38" ht="18.75" x14ac:dyDescent="0.3">
      <c r="B282" s="130"/>
      <c r="C282" s="13"/>
      <c r="D282" s="13"/>
      <c r="E282" s="156"/>
      <c r="F282" s="190"/>
      <c r="G282" s="154"/>
      <c r="H282" s="154"/>
      <c r="I282" s="154"/>
      <c r="J282" s="154"/>
      <c r="K282" s="154"/>
      <c r="L282" s="154"/>
      <c r="M282" s="154"/>
      <c r="N282" s="154"/>
      <c r="O282" s="154"/>
      <c r="P282" s="154"/>
      <c r="Q282" s="154"/>
      <c r="R282" s="154"/>
      <c r="S282" s="110"/>
      <c r="T282" s="110"/>
      <c r="U282" s="110"/>
      <c r="V282" s="114"/>
      <c r="X282" s="121"/>
      <c r="Y282" s="49"/>
      <c r="Z282" s="49"/>
      <c r="AA282" s="49"/>
      <c r="AB282" s="49"/>
      <c r="AC282" s="49"/>
      <c r="AD282" s="49"/>
      <c r="AE282" s="49"/>
      <c r="AF282" s="49"/>
      <c r="AG282" s="49"/>
      <c r="AH282" s="49"/>
      <c r="AI282" s="122"/>
      <c r="AK282" s="270"/>
      <c r="AL282" s="270"/>
    </row>
    <row r="283" spans="2:38" ht="18.75" x14ac:dyDescent="0.3">
      <c r="B283" s="130"/>
      <c r="C283" s="13"/>
      <c r="D283" s="13"/>
      <c r="E283" s="156"/>
      <c r="F283" s="190"/>
      <c r="G283" s="154"/>
      <c r="H283" s="154"/>
      <c r="I283" s="154"/>
      <c r="J283" s="154"/>
      <c r="K283" s="154"/>
      <c r="L283" s="154"/>
      <c r="M283" s="154"/>
      <c r="N283" s="154"/>
      <c r="O283" s="154"/>
      <c r="P283" s="154"/>
      <c r="Q283" s="154"/>
      <c r="R283" s="154"/>
      <c r="S283" s="110"/>
      <c r="T283" s="110"/>
      <c r="U283" s="110"/>
      <c r="V283" s="114"/>
      <c r="X283" s="121"/>
      <c r="Y283" s="49"/>
      <c r="Z283" s="49"/>
      <c r="AA283" s="49"/>
      <c r="AB283" s="49"/>
      <c r="AC283" s="49"/>
      <c r="AD283" s="49"/>
      <c r="AE283" s="49"/>
      <c r="AF283" s="49"/>
      <c r="AG283" s="49"/>
      <c r="AH283" s="49"/>
      <c r="AI283" s="122"/>
      <c r="AK283" s="270"/>
      <c r="AL283" s="270"/>
    </row>
    <row r="284" spans="2:38" ht="18.75" x14ac:dyDescent="0.3">
      <c r="B284" s="130"/>
      <c r="C284" s="13"/>
      <c r="D284" s="13"/>
      <c r="E284" s="156"/>
      <c r="F284" s="190"/>
      <c r="G284" s="154"/>
      <c r="H284" s="154"/>
      <c r="I284" s="154"/>
      <c r="J284" s="154"/>
      <c r="K284" s="154"/>
      <c r="L284" s="154"/>
      <c r="M284" s="154"/>
      <c r="N284" s="154"/>
      <c r="O284" s="154"/>
      <c r="P284" s="154"/>
      <c r="Q284" s="154"/>
      <c r="R284" s="154"/>
      <c r="S284" s="110"/>
      <c r="T284" s="110"/>
      <c r="U284" s="110"/>
      <c r="V284" s="114"/>
      <c r="X284" s="121"/>
      <c r="Y284" s="49"/>
      <c r="Z284" s="49"/>
      <c r="AA284" s="49"/>
      <c r="AB284" s="49"/>
      <c r="AC284" s="49"/>
      <c r="AD284" s="49"/>
      <c r="AE284" s="49"/>
      <c r="AF284" s="49"/>
      <c r="AG284" s="49"/>
      <c r="AH284" s="49"/>
      <c r="AI284" s="122"/>
      <c r="AK284" s="270"/>
      <c r="AL284" s="270"/>
    </row>
    <row r="285" spans="2:38" ht="19.5" thickBot="1" x14ac:dyDescent="0.35">
      <c r="B285" s="163"/>
      <c r="C285" s="149"/>
      <c r="D285" s="149"/>
      <c r="E285" s="157"/>
      <c r="F285" s="191"/>
      <c r="G285" s="166"/>
      <c r="H285" s="166"/>
      <c r="I285" s="166"/>
      <c r="J285" s="166"/>
      <c r="K285" s="166"/>
      <c r="L285" s="166"/>
      <c r="M285" s="166"/>
      <c r="N285" s="166"/>
      <c r="O285" s="166"/>
      <c r="P285" s="166"/>
      <c r="Q285" s="166"/>
      <c r="R285" s="166"/>
      <c r="S285" s="116"/>
      <c r="T285" s="116"/>
      <c r="U285" s="116"/>
      <c r="V285" s="117"/>
      <c r="X285" s="160"/>
      <c r="Y285" s="140"/>
      <c r="Z285" s="140"/>
      <c r="AA285" s="140"/>
      <c r="AB285" s="140"/>
      <c r="AC285" s="140"/>
      <c r="AD285" s="140"/>
      <c r="AE285" s="140"/>
      <c r="AF285" s="140"/>
      <c r="AG285" s="140"/>
      <c r="AH285" s="140"/>
      <c r="AI285" s="161"/>
      <c r="AK285" s="270"/>
      <c r="AL285" s="270"/>
    </row>
    <row r="286" spans="2:38" ht="15.75" thickBot="1" x14ac:dyDescent="0.3">
      <c r="B286" t="s">
        <v>417</v>
      </c>
      <c r="C286" t="s">
        <v>650</v>
      </c>
      <c r="D286">
        <v>39881</v>
      </c>
      <c r="E286" t="s">
        <v>651</v>
      </c>
      <c r="F286" s="158" t="s">
        <v>654</v>
      </c>
      <c r="G286" s="158" t="s">
        <v>655</v>
      </c>
      <c r="I286" s="158">
        <v>76319</v>
      </c>
      <c r="J286" s="158">
        <v>76651</v>
      </c>
      <c r="K286" s="158">
        <v>76871</v>
      </c>
      <c r="L286" s="158">
        <v>77387</v>
      </c>
      <c r="M286" s="158">
        <v>78206</v>
      </c>
      <c r="N286" s="158">
        <v>78493</v>
      </c>
      <c r="O286" s="158">
        <v>79053</v>
      </c>
      <c r="P286" s="158">
        <v>79769</v>
      </c>
      <c r="Q286" s="158">
        <v>79771</v>
      </c>
      <c r="R286" s="158">
        <v>80000</v>
      </c>
      <c r="X286" s="91">
        <f>SUM(X250:X285)</f>
        <v>27337.900000000081</v>
      </c>
      <c r="Y286" s="91">
        <f t="shared" ref="Y286:AJ286" si="5">SUM(Y250:Y285)</f>
        <v>58628.5</v>
      </c>
      <c r="Z286" s="91">
        <f t="shared" si="5"/>
        <v>89286.399999999994</v>
      </c>
      <c r="AA286" s="91">
        <f t="shared" si="5"/>
        <v>61387.200000000099</v>
      </c>
      <c r="AB286" s="91">
        <f t="shared" si="5"/>
        <v>67070.399999999994</v>
      </c>
      <c r="AC286" s="91">
        <f t="shared" si="5"/>
        <v>87686.799999999886</v>
      </c>
      <c r="AD286" s="91">
        <f t="shared" si="5"/>
        <v>81187.220000000016</v>
      </c>
      <c r="AE286" s="91">
        <f t="shared" si="5"/>
        <v>107210.0000000001</v>
      </c>
      <c r="AF286" s="91">
        <f t="shared" si="5"/>
        <v>67744.979999999865</v>
      </c>
      <c r="AG286" s="91">
        <f t="shared" si="5"/>
        <v>54258.500000000044</v>
      </c>
      <c r="AH286" s="91">
        <f t="shared" si="5"/>
        <v>57691.399999999987</v>
      </c>
      <c r="AI286" s="91">
        <f t="shared" si="5"/>
        <v>44347.200000000004</v>
      </c>
      <c r="AJ286" s="91">
        <f t="shared" si="5"/>
        <v>0</v>
      </c>
    </row>
    <row r="287" spans="2:38" x14ac:dyDescent="0.25">
      <c r="B287" t="s">
        <v>418</v>
      </c>
      <c r="C287" t="s">
        <v>650</v>
      </c>
      <c r="D287">
        <v>39882</v>
      </c>
      <c r="E287" t="s">
        <v>651</v>
      </c>
      <c r="F287" s="158" t="s">
        <v>654</v>
      </c>
      <c r="G287" s="158" t="s">
        <v>656</v>
      </c>
      <c r="I287" s="158">
        <v>68642</v>
      </c>
      <c r="J287" s="158">
        <v>68788</v>
      </c>
      <c r="K287" s="158">
        <v>69240</v>
      </c>
      <c r="L287" s="158">
        <v>69744</v>
      </c>
      <c r="M287" s="158">
        <v>70221</v>
      </c>
      <c r="N287" s="158">
        <v>70633</v>
      </c>
      <c r="O287" s="158">
        <v>70770</v>
      </c>
      <c r="P287" s="158">
        <v>70777</v>
      </c>
      <c r="Q287" s="158">
        <v>70787</v>
      </c>
      <c r="R287" s="158">
        <v>71256</v>
      </c>
      <c r="X287" s="2">
        <v>146</v>
      </c>
      <c r="Y287" s="2">
        <v>452</v>
      </c>
      <c r="Z287" s="2">
        <v>504</v>
      </c>
      <c r="AA287" s="2">
        <v>477</v>
      </c>
      <c r="AB287" s="2">
        <v>412</v>
      </c>
      <c r="AC287" s="2">
        <v>137</v>
      </c>
      <c r="AD287" s="2">
        <v>7</v>
      </c>
      <c r="AE287" s="2">
        <v>10</v>
      </c>
      <c r="AF287" s="2">
        <v>469</v>
      </c>
      <c r="AG287" s="2" t="s">
        <v>734</v>
      </c>
      <c r="AH287" s="2" t="s">
        <v>734</v>
      </c>
      <c r="AI287" s="2" t="s">
        <v>734</v>
      </c>
    </row>
    <row r="288" spans="2:38" x14ac:dyDescent="0.25">
      <c r="B288" t="s">
        <v>419</v>
      </c>
      <c r="C288" t="s">
        <v>650</v>
      </c>
      <c r="D288">
        <v>39065</v>
      </c>
      <c r="E288" t="s">
        <v>651</v>
      </c>
      <c r="F288" s="158" t="s">
        <v>654</v>
      </c>
      <c r="G288" s="158" t="s">
        <v>1406</v>
      </c>
      <c r="I288" s="158">
        <v>12979</v>
      </c>
      <c r="J288" s="158">
        <v>13742</v>
      </c>
      <c r="K288" s="158">
        <v>13923</v>
      </c>
      <c r="L288" s="158">
        <v>13976</v>
      </c>
      <c r="M288" s="158">
        <v>14089</v>
      </c>
      <c r="N288" s="158">
        <v>14089</v>
      </c>
      <c r="O288" s="158">
        <v>14181</v>
      </c>
      <c r="P288" s="158">
        <v>14181</v>
      </c>
      <c r="Q288" s="158">
        <v>14181</v>
      </c>
      <c r="R288" s="158">
        <v>14181</v>
      </c>
      <c r="X288" s="2">
        <v>763</v>
      </c>
      <c r="Y288" s="2">
        <v>181</v>
      </c>
      <c r="Z288" s="2">
        <v>53</v>
      </c>
      <c r="AA288" s="2">
        <v>113</v>
      </c>
      <c r="AB288" s="2">
        <v>0</v>
      </c>
      <c r="AC288" s="2">
        <v>92</v>
      </c>
      <c r="AD288" s="2">
        <v>0</v>
      </c>
      <c r="AE288" s="2">
        <v>0</v>
      </c>
      <c r="AF288" s="2">
        <v>0</v>
      </c>
      <c r="AG288" s="2" t="s">
        <v>734</v>
      </c>
      <c r="AH288" s="2" t="s">
        <v>734</v>
      </c>
      <c r="AI288" s="2" t="s">
        <v>734</v>
      </c>
    </row>
    <row r="289" spans="2:35" x14ac:dyDescent="0.25">
      <c r="B289" t="s">
        <v>425</v>
      </c>
      <c r="C289" t="s">
        <v>650</v>
      </c>
      <c r="D289">
        <v>3</v>
      </c>
      <c r="E289" t="s">
        <v>21</v>
      </c>
      <c r="F289" s="158" t="s">
        <v>654</v>
      </c>
      <c r="G289" s="158" t="s">
        <v>1407</v>
      </c>
      <c r="I289" s="158">
        <v>3593.8</v>
      </c>
      <c r="J289" s="158">
        <v>3593.8</v>
      </c>
      <c r="K289" s="158">
        <v>3593.8</v>
      </c>
      <c r="L289" s="158">
        <v>3593.8</v>
      </c>
      <c r="M289" s="158">
        <v>3593.8</v>
      </c>
      <c r="N289" s="158">
        <v>3593.8</v>
      </c>
      <c r="O289" s="158">
        <v>3595.5</v>
      </c>
      <c r="P289" s="158">
        <v>3595.5</v>
      </c>
      <c r="Q289" s="158">
        <v>3595.5</v>
      </c>
      <c r="R289" s="158">
        <v>3595.5</v>
      </c>
      <c r="X289" s="2">
        <v>0</v>
      </c>
      <c r="Y289" s="2">
        <v>0</v>
      </c>
      <c r="Z289" s="2">
        <v>0</v>
      </c>
      <c r="AA289" s="2">
        <v>0</v>
      </c>
      <c r="AB289" s="2">
        <v>0</v>
      </c>
      <c r="AC289" s="2">
        <v>1.6999999999998181</v>
      </c>
      <c r="AD289" s="2">
        <v>0</v>
      </c>
      <c r="AE289" s="2">
        <v>0</v>
      </c>
      <c r="AF289" s="2">
        <v>0</v>
      </c>
      <c r="AG289" s="2" t="s">
        <v>734</v>
      </c>
      <c r="AH289" s="2" t="s">
        <v>734</v>
      </c>
      <c r="AI289" s="2" t="s">
        <v>734</v>
      </c>
    </row>
    <row r="290" spans="2:35" x14ac:dyDescent="0.25">
      <c r="B290" t="s">
        <v>420</v>
      </c>
      <c r="C290" t="s">
        <v>650</v>
      </c>
      <c r="D290">
        <v>39941</v>
      </c>
      <c r="E290" t="s">
        <v>1186</v>
      </c>
      <c r="F290" s="158" t="s">
        <v>654</v>
      </c>
      <c r="G290" s="158" t="s">
        <v>1408</v>
      </c>
      <c r="H290" s="158" t="s">
        <v>1431</v>
      </c>
      <c r="K290" s="158">
        <v>24029</v>
      </c>
      <c r="L290" s="158">
        <v>24029.1</v>
      </c>
      <c r="M290" s="158">
        <v>24068.6</v>
      </c>
      <c r="N290" s="158">
        <v>24188.6</v>
      </c>
      <c r="O290" s="158">
        <v>24350.7</v>
      </c>
      <c r="P290" s="158">
        <v>24442.5</v>
      </c>
      <c r="Q290" s="158">
        <v>24659.7</v>
      </c>
      <c r="R290" s="158">
        <v>24861.9</v>
      </c>
      <c r="X290" s="2" t="s">
        <v>734</v>
      </c>
      <c r="Y290" s="2" t="s">
        <v>734</v>
      </c>
      <c r="Z290" s="2">
        <v>9.9999999998544808E-2</v>
      </c>
      <c r="AA290" s="2">
        <v>39.5</v>
      </c>
      <c r="AB290" s="2">
        <v>120</v>
      </c>
      <c r="AC290" s="2">
        <v>162.10000000000218</v>
      </c>
      <c r="AD290" s="2">
        <v>91.799999999999272</v>
      </c>
      <c r="AE290" s="2">
        <v>217.20000000000073</v>
      </c>
      <c r="AF290" s="2">
        <v>202.20000000000073</v>
      </c>
      <c r="AG290" s="2" t="s">
        <v>734</v>
      </c>
      <c r="AH290" s="2" t="s">
        <v>734</v>
      </c>
      <c r="AI290" s="2" t="s">
        <v>734</v>
      </c>
    </row>
    <row r="291" spans="2:35" x14ac:dyDescent="0.25">
      <c r="B291" t="s">
        <v>420</v>
      </c>
      <c r="C291" t="s">
        <v>650</v>
      </c>
      <c r="D291">
        <v>39874</v>
      </c>
      <c r="E291" t="s">
        <v>658</v>
      </c>
      <c r="F291" s="158" t="s">
        <v>654</v>
      </c>
      <c r="G291" s="158" t="s">
        <v>659</v>
      </c>
      <c r="I291" s="158">
        <v>24029</v>
      </c>
      <c r="J291" s="158">
        <v>24029</v>
      </c>
      <c r="K291" s="158">
        <v>24029</v>
      </c>
      <c r="X291" s="2">
        <v>0</v>
      </c>
      <c r="Y291" s="2">
        <v>0</v>
      </c>
      <c r="Z291" s="2" t="s">
        <v>734</v>
      </c>
      <c r="AA291" s="2" t="s">
        <v>734</v>
      </c>
      <c r="AB291" s="2" t="s">
        <v>734</v>
      </c>
      <c r="AC291" s="2" t="s">
        <v>734</v>
      </c>
      <c r="AD291" s="2" t="s">
        <v>734</v>
      </c>
      <c r="AE291" s="2" t="s">
        <v>734</v>
      </c>
      <c r="AF291" s="2" t="s">
        <v>734</v>
      </c>
      <c r="AG291" s="2" t="s">
        <v>734</v>
      </c>
      <c r="AH291" s="2" t="s">
        <v>734</v>
      </c>
      <c r="AI291" s="2" t="s">
        <v>734</v>
      </c>
    </row>
    <row r="292" spans="2:35" x14ac:dyDescent="0.25">
      <c r="B292" t="s">
        <v>421</v>
      </c>
      <c r="C292" t="s">
        <v>650</v>
      </c>
      <c r="D292">
        <v>3</v>
      </c>
      <c r="E292" t="s">
        <v>21</v>
      </c>
      <c r="F292" s="158" t="s">
        <v>654</v>
      </c>
      <c r="G292" s="158" t="s">
        <v>660</v>
      </c>
      <c r="I292" s="158">
        <v>168294.3</v>
      </c>
      <c r="J292" s="158">
        <v>169495.6</v>
      </c>
      <c r="K292" s="158">
        <v>170443</v>
      </c>
      <c r="L292" s="158">
        <v>171927.1</v>
      </c>
      <c r="M292" s="158">
        <v>172904.9</v>
      </c>
      <c r="N292" s="158">
        <v>173866.7</v>
      </c>
      <c r="O292" s="158">
        <v>174612.2</v>
      </c>
      <c r="P292" s="158">
        <v>175465.8</v>
      </c>
      <c r="Q292" s="158">
        <v>175466</v>
      </c>
      <c r="R292" s="158">
        <v>175466</v>
      </c>
      <c r="X292" s="2">
        <v>1201.3000000000175</v>
      </c>
      <c r="Y292" s="2">
        <v>947.39999999999418</v>
      </c>
      <c r="Z292" s="2">
        <v>1484.1000000000058</v>
      </c>
      <c r="AA292" s="2">
        <v>977.79999999998836</v>
      </c>
      <c r="AB292" s="2">
        <v>961.80000000001746</v>
      </c>
      <c r="AC292" s="2">
        <v>745.5</v>
      </c>
      <c r="AD292" s="2">
        <v>853.59999999997672</v>
      </c>
      <c r="AE292" s="2">
        <v>0.20000000001164153</v>
      </c>
      <c r="AF292" s="2">
        <v>0</v>
      </c>
      <c r="AG292" s="2" t="s">
        <v>734</v>
      </c>
      <c r="AH292" s="2" t="s">
        <v>734</v>
      </c>
      <c r="AI292" s="2" t="s">
        <v>734</v>
      </c>
    </row>
    <row r="293" spans="2:35" x14ac:dyDescent="0.25">
      <c r="B293" t="s">
        <v>422</v>
      </c>
      <c r="C293" t="s">
        <v>650</v>
      </c>
      <c r="D293">
        <v>3</v>
      </c>
      <c r="E293" t="s">
        <v>21</v>
      </c>
      <c r="F293" s="158" t="s">
        <v>654</v>
      </c>
      <c r="G293" s="158" t="s">
        <v>661</v>
      </c>
      <c r="I293" s="158">
        <v>602.5</v>
      </c>
      <c r="J293" s="158">
        <v>602.5</v>
      </c>
      <c r="K293" s="158">
        <v>602.5</v>
      </c>
      <c r="L293" s="158">
        <v>602.5</v>
      </c>
      <c r="M293" s="158">
        <v>602.5</v>
      </c>
      <c r="N293" s="158">
        <v>602.5</v>
      </c>
      <c r="O293" s="158">
        <v>602.5</v>
      </c>
      <c r="P293" s="158">
        <v>602.5</v>
      </c>
      <c r="Q293" s="158">
        <v>602.5</v>
      </c>
      <c r="R293" s="158">
        <v>602.5</v>
      </c>
      <c r="X293" s="2">
        <v>0</v>
      </c>
      <c r="Y293" s="2">
        <v>0</v>
      </c>
      <c r="Z293" s="2">
        <v>0</v>
      </c>
      <c r="AA293" s="2">
        <v>0</v>
      </c>
      <c r="AB293" s="2">
        <v>0</v>
      </c>
      <c r="AC293" s="2">
        <v>0</v>
      </c>
      <c r="AD293" s="2">
        <v>0</v>
      </c>
      <c r="AE293" s="2">
        <v>0</v>
      </c>
      <c r="AF293" s="2">
        <v>0</v>
      </c>
      <c r="AG293" s="2" t="s">
        <v>734</v>
      </c>
      <c r="AH293" s="2" t="s">
        <v>734</v>
      </c>
      <c r="AI293" s="2" t="s">
        <v>734</v>
      </c>
    </row>
    <row r="294" spans="2:35" x14ac:dyDescent="0.25">
      <c r="B294" t="s">
        <v>423</v>
      </c>
      <c r="C294" t="s">
        <v>650</v>
      </c>
      <c r="D294">
        <v>3</v>
      </c>
      <c r="E294" t="s">
        <v>21</v>
      </c>
      <c r="F294" s="158" t="s">
        <v>654</v>
      </c>
      <c r="G294" s="158" t="s">
        <v>662</v>
      </c>
      <c r="H294" s="158" t="s">
        <v>663</v>
      </c>
      <c r="I294" s="158">
        <v>52232.3</v>
      </c>
      <c r="J294" s="158">
        <v>53554</v>
      </c>
      <c r="K294" s="158">
        <v>55252</v>
      </c>
      <c r="L294" s="158">
        <v>57192.3</v>
      </c>
      <c r="M294" s="158">
        <v>58484.4</v>
      </c>
      <c r="N294" s="158">
        <v>59730.6</v>
      </c>
      <c r="O294" s="158">
        <v>61163.6</v>
      </c>
      <c r="P294" s="158">
        <v>62020.5</v>
      </c>
      <c r="Q294" s="158">
        <v>63233.7</v>
      </c>
      <c r="R294" s="158">
        <v>64601.599999999999</v>
      </c>
      <c r="X294" s="2">
        <v>1321.6999999999971</v>
      </c>
      <c r="Y294" s="2">
        <v>1698</v>
      </c>
      <c r="Z294" s="2">
        <v>1940.3000000000029</v>
      </c>
      <c r="AA294" s="2">
        <v>1292.0999999999985</v>
      </c>
      <c r="AB294" s="2">
        <v>1246.1999999999971</v>
      </c>
      <c r="AC294" s="2">
        <v>1433</v>
      </c>
      <c r="AD294" s="2">
        <v>856.90000000000146</v>
      </c>
      <c r="AE294" s="2">
        <v>1213.1999999999971</v>
      </c>
      <c r="AF294" s="2">
        <v>1367.9000000000015</v>
      </c>
      <c r="AG294" s="2" t="s">
        <v>734</v>
      </c>
      <c r="AH294" s="2" t="s">
        <v>734</v>
      </c>
      <c r="AI294" s="2" t="s">
        <v>734</v>
      </c>
    </row>
    <row r="295" spans="2:35" x14ac:dyDescent="0.25">
      <c r="B295" t="s">
        <v>424</v>
      </c>
      <c r="C295" t="s">
        <v>650</v>
      </c>
      <c r="D295">
        <v>39899</v>
      </c>
      <c r="E295" t="s">
        <v>651</v>
      </c>
      <c r="F295" s="158" t="s">
        <v>654</v>
      </c>
      <c r="G295" s="158" t="s">
        <v>1409</v>
      </c>
      <c r="I295" s="158">
        <v>41088</v>
      </c>
      <c r="J295" s="158">
        <v>41388</v>
      </c>
      <c r="K295" s="158">
        <v>41478</v>
      </c>
      <c r="L295" s="158">
        <v>42467</v>
      </c>
      <c r="M295" s="158">
        <v>42509</v>
      </c>
      <c r="N295" s="158">
        <v>42665</v>
      </c>
      <c r="O295" s="158">
        <v>42739</v>
      </c>
      <c r="P295" s="158">
        <v>42797</v>
      </c>
      <c r="Q295" s="158">
        <v>42953</v>
      </c>
      <c r="R295" s="158">
        <v>43289</v>
      </c>
      <c r="X295" s="2">
        <v>300</v>
      </c>
      <c r="Y295" s="2">
        <v>90</v>
      </c>
      <c r="Z295" s="2">
        <v>989</v>
      </c>
      <c r="AA295" s="2">
        <v>42</v>
      </c>
      <c r="AB295" s="2">
        <v>156</v>
      </c>
      <c r="AC295" s="2">
        <v>74</v>
      </c>
      <c r="AD295" s="2">
        <v>58</v>
      </c>
      <c r="AE295" s="2">
        <v>156</v>
      </c>
      <c r="AF295" s="2">
        <v>336</v>
      </c>
      <c r="AG295" s="2" t="s">
        <v>734</v>
      </c>
      <c r="AH295" s="2" t="s">
        <v>734</v>
      </c>
      <c r="AI295" s="2" t="s">
        <v>734</v>
      </c>
    </row>
    <row r="296" spans="2:35" x14ac:dyDescent="0.25">
      <c r="B296">
        <v>542779</v>
      </c>
      <c r="C296" t="s">
        <v>667</v>
      </c>
      <c r="D296">
        <v>39869</v>
      </c>
      <c r="E296" t="s">
        <v>668</v>
      </c>
      <c r="F296" s="158" t="s">
        <v>669</v>
      </c>
      <c r="G296" s="158" t="s">
        <v>1410</v>
      </c>
      <c r="H296" s="158" t="s">
        <v>359</v>
      </c>
      <c r="I296" s="158">
        <v>1626579.4</v>
      </c>
      <c r="J296" s="158">
        <v>1630882.5</v>
      </c>
      <c r="K296" s="158">
        <v>1640092</v>
      </c>
      <c r="L296" s="158">
        <v>1675749</v>
      </c>
      <c r="M296" s="158">
        <v>1694058.6</v>
      </c>
      <c r="N296" s="158">
        <v>1711356.6</v>
      </c>
      <c r="O296" s="158">
        <v>1748131</v>
      </c>
      <c r="P296" s="158">
        <v>1753182</v>
      </c>
      <c r="Q296" s="158">
        <v>1759379.6</v>
      </c>
      <c r="R296" s="158">
        <v>1765037.2</v>
      </c>
      <c r="X296" s="2">
        <v>4303.1000000000931</v>
      </c>
      <c r="Y296" s="2">
        <v>9209.5</v>
      </c>
      <c r="Z296" s="2">
        <v>35657</v>
      </c>
      <c r="AA296" s="2">
        <v>18309.600000000093</v>
      </c>
      <c r="AB296" s="2">
        <v>17298</v>
      </c>
      <c r="AC296" s="2">
        <v>36774.399999999907</v>
      </c>
      <c r="AD296" s="2">
        <v>5051</v>
      </c>
      <c r="AE296" s="2">
        <v>6197.6000000000931</v>
      </c>
      <c r="AF296" s="2">
        <v>5657.5999999998603</v>
      </c>
      <c r="AG296" s="2" t="s">
        <v>734</v>
      </c>
      <c r="AH296" s="2" t="s">
        <v>734</v>
      </c>
      <c r="AI296" s="2" t="s">
        <v>734</v>
      </c>
    </row>
    <row r="297" spans="2:35" x14ac:dyDescent="0.25">
      <c r="B297">
        <v>17070</v>
      </c>
      <c r="C297" t="s">
        <v>670</v>
      </c>
      <c r="D297">
        <v>39873</v>
      </c>
      <c r="E297" t="s">
        <v>671</v>
      </c>
      <c r="F297" s="158" t="s">
        <v>672</v>
      </c>
      <c r="G297" s="158" t="s">
        <v>673</v>
      </c>
      <c r="H297" s="158" t="s">
        <v>907</v>
      </c>
      <c r="Y297" s="2" t="s">
        <v>734</v>
      </c>
      <c r="Z297" s="2" t="s">
        <v>734</v>
      </c>
      <c r="AA297" s="2" t="s">
        <v>734</v>
      </c>
      <c r="AB297" s="2" t="s">
        <v>734</v>
      </c>
      <c r="AC297" s="2" t="s">
        <v>734</v>
      </c>
      <c r="AD297" s="2" t="s">
        <v>734</v>
      </c>
      <c r="AE297" s="2" t="s">
        <v>734</v>
      </c>
      <c r="AF297" s="2" t="s">
        <v>734</v>
      </c>
      <c r="AG297" s="2" t="s">
        <v>734</v>
      </c>
      <c r="AH297" s="2" t="s">
        <v>734</v>
      </c>
      <c r="AI297" s="2" t="s">
        <v>734</v>
      </c>
    </row>
    <row r="298" spans="2:35" x14ac:dyDescent="0.25">
      <c r="B298">
        <v>17070</v>
      </c>
      <c r="C298" t="s">
        <v>670</v>
      </c>
      <c r="D298">
        <v>39873</v>
      </c>
      <c r="E298" t="s">
        <v>1411</v>
      </c>
      <c r="F298" t="s">
        <v>672</v>
      </c>
      <c r="G298" t="s">
        <v>673</v>
      </c>
      <c r="H298" t="s">
        <v>908</v>
      </c>
      <c r="I298">
        <v>13666</v>
      </c>
      <c r="J298">
        <v>13694</v>
      </c>
      <c r="K298">
        <v>13745</v>
      </c>
      <c r="L298">
        <v>13779</v>
      </c>
      <c r="M298">
        <v>13819</v>
      </c>
      <c r="N298">
        <v>13869</v>
      </c>
      <c r="O298">
        <v>14058</v>
      </c>
      <c r="P298">
        <v>13909</v>
      </c>
      <c r="Q298">
        <v>15314</v>
      </c>
      <c r="R298">
        <v>15395</v>
      </c>
      <c r="X298">
        <v>28</v>
      </c>
      <c r="Y298">
        <v>51</v>
      </c>
      <c r="Z298">
        <v>34</v>
      </c>
      <c r="AA298">
        <v>40</v>
      </c>
      <c r="AB298">
        <v>50</v>
      </c>
      <c r="AC298">
        <v>189</v>
      </c>
      <c r="AD298" t="s">
        <v>856</v>
      </c>
      <c r="AE298">
        <v>1405</v>
      </c>
      <c r="AF298">
        <v>81</v>
      </c>
      <c r="AG298" s="2" t="s">
        <v>734</v>
      </c>
      <c r="AH298" s="2" t="s">
        <v>734</v>
      </c>
      <c r="AI298" s="2" t="s">
        <v>734</v>
      </c>
    </row>
    <row r="299" spans="2:35" x14ac:dyDescent="0.25">
      <c r="B299">
        <v>30574059</v>
      </c>
      <c r="C299" t="s">
        <v>670</v>
      </c>
      <c r="D299">
        <v>3</v>
      </c>
      <c r="E299" t="s">
        <v>21</v>
      </c>
      <c r="F299" t="s">
        <v>679</v>
      </c>
      <c r="G299" t="s">
        <v>678</v>
      </c>
      <c r="H299" t="s">
        <v>680</v>
      </c>
      <c r="I299">
        <v>139470</v>
      </c>
      <c r="J299">
        <v>140851.6</v>
      </c>
      <c r="K299">
        <v>142580</v>
      </c>
      <c r="L299">
        <v>144614.5</v>
      </c>
      <c r="M299">
        <v>146111.9</v>
      </c>
      <c r="N299">
        <v>147565.9</v>
      </c>
      <c r="O299">
        <v>149284.20000000001</v>
      </c>
      <c r="P299">
        <v>150343</v>
      </c>
      <c r="Q299">
        <v>151912.1</v>
      </c>
      <c r="R299">
        <v>153602.4</v>
      </c>
      <c r="X299">
        <v>1381.6000000000058</v>
      </c>
      <c r="Y299">
        <v>1728.3999999999942</v>
      </c>
      <c r="Z299">
        <v>2034.5</v>
      </c>
      <c r="AA299">
        <v>1497.3999999999942</v>
      </c>
      <c r="AB299">
        <v>1454</v>
      </c>
      <c r="AC299">
        <v>1718.3000000000175</v>
      </c>
      <c r="AD299">
        <v>1058.7999999999884</v>
      </c>
      <c r="AE299">
        <v>1569.1000000000058</v>
      </c>
      <c r="AF299">
        <v>1690.2999999999884</v>
      </c>
      <c r="AG299" s="2" t="s">
        <v>734</v>
      </c>
      <c r="AH299" s="2" t="s">
        <v>734</v>
      </c>
      <c r="AI299" s="2" t="s">
        <v>734</v>
      </c>
    </row>
    <row r="300" spans="2:35" x14ac:dyDescent="0.25">
      <c r="B300">
        <v>50564017</v>
      </c>
      <c r="C300" t="s">
        <v>670</v>
      </c>
      <c r="D300">
        <v>39878</v>
      </c>
      <c r="E300" t="s">
        <v>630</v>
      </c>
      <c r="F300" t="s">
        <v>674</v>
      </c>
      <c r="G300" t="s">
        <v>675</v>
      </c>
      <c r="H300"/>
      <c r="I300">
        <v>190615.2</v>
      </c>
      <c r="J300">
        <v>191770</v>
      </c>
      <c r="K300">
        <v>193262</v>
      </c>
      <c r="L300">
        <v>195197</v>
      </c>
      <c r="M300">
        <v>196742.2</v>
      </c>
      <c r="N300">
        <v>198717.6</v>
      </c>
      <c r="O300">
        <v>201554.8</v>
      </c>
      <c r="P300">
        <v>203326</v>
      </c>
      <c r="Q300">
        <v>205896.1</v>
      </c>
      <c r="R300">
        <v>208547.1</v>
      </c>
      <c r="X300">
        <v>1154.7999999999884</v>
      </c>
      <c r="Y300">
        <v>1492</v>
      </c>
      <c r="Z300">
        <v>1935</v>
      </c>
      <c r="AA300">
        <v>1545.2000000000116</v>
      </c>
      <c r="AB300">
        <v>1975.3999999999942</v>
      </c>
      <c r="AC300">
        <v>2837.1999999999825</v>
      </c>
      <c r="AD300">
        <v>1771.2000000000116</v>
      </c>
      <c r="AE300">
        <v>2570.1000000000058</v>
      </c>
      <c r="AF300">
        <v>2651</v>
      </c>
      <c r="AG300" s="2" t="s">
        <v>734</v>
      </c>
      <c r="AH300" s="2" t="s">
        <v>734</v>
      </c>
      <c r="AI300" s="2" t="s">
        <v>734</v>
      </c>
    </row>
    <row r="301" spans="2:35" x14ac:dyDescent="0.25">
      <c r="B301">
        <v>85006712</v>
      </c>
      <c r="C301" t="s">
        <v>670</v>
      </c>
      <c r="D301">
        <v>39809</v>
      </c>
      <c r="E301" t="s">
        <v>630</v>
      </c>
      <c r="F301" t="s">
        <v>676</v>
      </c>
      <c r="G301" t="s">
        <v>1412</v>
      </c>
      <c r="H301"/>
      <c r="I301">
        <v>1873733</v>
      </c>
      <c r="J301">
        <v>1882841</v>
      </c>
      <c r="K301">
        <v>1908601</v>
      </c>
      <c r="L301">
        <v>1933502</v>
      </c>
      <c r="M301">
        <v>1957151</v>
      </c>
      <c r="N301">
        <v>1985357</v>
      </c>
      <c r="O301">
        <v>2004699</v>
      </c>
      <c r="P301">
        <v>2049880</v>
      </c>
      <c r="Q301">
        <v>2108451</v>
      </c>
      <c r="R301">
        <v>2135488</v>
      </c>
      <c r="X301">
        <v>9108</v>
      </c>
      <c r="Y301">
        <v>25760</v>
      </c>
      <c r="Z301">
        <v>24901</v>
      </c>
      <c r="AA301">
        <v>23649</v>
      </c>
      <c r="AB301">
        <v>28206</v>
      </c>
      <c r="AC301">
        <v>19342</v>
      </c>
      <c r="AD301">
        <v>45181</v>
      </c>
      <c r="AE301">
        <v>58571</v>
      </c>
      <c r="AF301">
        <v>27037</v>
      </c>
      <c r="AG301" s="2" t="s">
        <v>734</v>
      </c>
      <c r="AH301" s="2" t="s">
        <v>734</v>
      </c>
      <c r="AI301" s="2" t="s">
        <v>734</v>
      </c>
    </row>
    <row r="302" spans="2:35" x14ac:dyDescent="0.25">
      <c r="B302">
        <v>85006713</v>
      </c>
      <c r="C302" t="s">
        <v>670</v>
      </c>
      <c r="D302">
        <v>39810</v>
      </c>
      <c r="E302" t="s">
        <v>630</v>
      </c>
      <c r="F302" t="s">
        <v>676</v>
      </c>
      <c r="G302" t="s">
        <v>1424</v>
      </c>
      <c r="H302"/>
      <c r="I302">
        <v>750303</v>
      </c>
      <c r="J302">
        <v>754908</v>
      </c>
      <c r="K302">
        <v>764284</v>
      </c>
      <c r="L302">
        <v>775179</v>
      </c>
      <c r="M302">
        <v>782534</v>
      </c>
      <c r="N302">
        <v>790872</v>
      </c>
      <c r="O302">
        <v>803414</v>
      </c>
      <c r="P302">
        <v>818239</v>
      </c>
      <c r="Q302">
        <v>841942</v>
      </c>
      <c r="R302">
        <v>860869</v>
      </c>
      <c r="X302">
        <v>4605</v>
      </c>
      <c r="Y302">
        <v>9376</v>
      </c>
      <c r="Z302">
        <v>10895</v>
      </c>
      <c r="AA302">
        <v>7355</v>
      </c>
      <c r="AB302">
        <v>8338</v>
      </c>
      <c r="AC302">
        <v>12542</v>
      </c>
      <c r="AD302">
        <v>14825</v>
      </c>
      <c r="AE302">
        <v>23703</v>
      </c>
      <c r="AF302">
        <v>18927</v>
      </c>
      <c r="AG302" s="2" t="s">
        <v>734</v>
      </c>
      <c r="AH302" s="2" t="s">
        <v>734</v>
      </c>
      <c r="AI302" s="2" t="s">
        <v>734</v>
      </c>
    </row>
    <row r="303" spans="2:35" x14ac:dyDescent="0.25">
      <c r="B303" t="s">
        <v>426</v>
      </c>
      <c r="C303" t="s">
        <v>670</v>
      </c>
      <c r="D303">
        <v>3</v>
      </c>
      <c r="E303" t="s">
        <v>677</v>
      </c>
      <c r="F303" t="s">
        <v>676</v>
      </c>
      <c r="G303" t="s">
        <v>1413</v>
      </c>
      <c r="H303"/>
      <c r="I303">
        <v>626223.6</v>
      </c>
      <c r="J303">
        <v>627368</v>
      </c>
      <c r="K303">
        <v>628804</v>
      </c>
      <c r="L303">
        <v>630582.6</v>
      </c>
      <c r="M303">
        <v>631933.30000000005</v>
      </c>
      <c r="N303">
        <v>633217.69999999995</v>
      </c>
      <c r="O303">
        <v>634675.30000000005</v>
      </c>
      <c r="P303">
        <v>636503</v>
      </c>
      <c r="Q303">
        <v>637025.4</v>
      </c>
      <c r="R303">
        <v>638530.69999999995</v>
      </c>
      <c r="X303">
        <v>1144.4000000000233</v>
      </c>
      <c r="Y303">
        <v>1436</v>
      </c>
      <c r="Z303">
        <v>1778.5999999999767</v>
      </c>
      <c r="AA303">
        <v>1350.7000000000698</v>
      </c>
      <c r="AB303">
        <v>1284.3999999999069</v>
      </c>
      <c r="AC303">
        <v>1457.6000000000931</v>
      </c>
      <c r="AD303">
        <v>1827.6999999999534</v>
      </c>
      <c r="AE303">
        <v>522.40000000002328</v>
      </c>
      <c r="AF303">
        <v>1505.2999999999302</v>
      </c>
      <c r="AG303" s="2" t="s">
        <v>734</v>
      </c>
      <c r="AH303" s="2" t="s">
        <v>734</v>
      </c>
      <c r="AI303" s="2" t="s">
        <v>734</v>
      </c>
    </row>
    <row r="304" spans="2:35" x14ac:dyDescent="0.25">
      <c r="B304">
        <v>50767753</v>
      </c>
      <c r="C304" t="s">
        <v>681</v>
      </c>
      <c r="D304">
        <v>3</v>
      </c>
      <c r="E304" t="s">
        <v>21</v>
      </c>
      <c r="F304" t="s">
        <v>1414</v>
      </c>
      <c r="G304" t="s">
        <v>1415</v>
      </c>
      <c r="H304"/>
      <c r="I304">
        <v>1638</v>
      </c>
      <c r="J304">
        <v>1735</v>
      </c>
      <c r="K304">
        <v>1877</v>
      </c>
      <c r="L304">
        <v>2039</v>
      </c>
      <c r="M304">
        <v>2140</v>
      </c>
      <c r="N304">
        <v>2218</v>
      </c>
      <c r="O304">
        <v>2271</v>
      </c>
      <c r="P304">
        <v>2272</v>
      </c>
      <c r="Q304">
        <v>2272</v>
      </c>
      <c r="R304">
        <v>2272</v>
      </c>
      <c r="X304">
        <v>97</v>
      </c>
      <c r="Y304">
        <v>142</v>
      </c>
      <c r="Z304">
        <v>162</v>
      </c>
      <c r="AA304">
        <v>101</v>
      </c>
      <c r="AB304">
        <v>78</v>
      </c>
      <c r="AC304">
        <v>53</v>
      </c>
      <c r="AD304">
        <v>1</v>
      </c>
      <c r="AE304">
        <v>0</v>
      </c>
      <c r="AF304">
        <v>0</v>
      </c>
      <c r="AG304" s="2" t="s">
        <v>734</v>
      </c>
      <c r="AH304" s="2" t="s">
        <v>734</v>
      </c>
      <c r="AI304" s="2" t="s">
        <v>734</v>
      </c>
    </row>
    <row r="305" spans="2:35" x14ac:dyDescent="0.25">
      <c r="B305">
        <v>50767755</v>
      </c>
      <c r="C305" t="s">
        <v>681</v>
      </c>
      <c r="D305">
        <v>3</v>
      </c>
      <c r="E305" t="s">
        <v>21</v>
      </c>
      <c r="F305" t="s">
        <v>1414</v>
      </c>
      <c r="G305" t="s">
        <v>1416</v>
      </c>
      <c r="H305"/>
      <c r="I305">
        <v>1259</v>
      </c>
      <c r="J305">
        <v>1324</v>
      </c>
      <c r="K305">
        <v>1416</v>
      </c>
      <c r="L305">
        <v>1525</v>
      </c>
      <c r="M305">
        <v>1594</v>
      </c>
      <c r="N305">
        <v>1654</v>
      </c>
      <c r="O305">
        <v>1695</v>
      </c>
      <c r="P305">
        <v>1715</v>
      </c>
      <c r="Q305">
        <v>1742</v>
      </c>
      <c r="R305">
        <v>1776</v>
      </c>
      <c r="X305">
        <v>65</v>
      </c>
      <c r="Y305">
        <v>92</v>
      </c>
      <c r="Z305">
        <v>109</v>
      </c>
      <c r="AA305">
        <v>69</v>
      </c>
      <c r="AB305">
        <v>60</v>
      </c>
      <c r="AC305">
        <v>41</v>
      </c>
      <c r="AD305">
        <v>20</v>
      </c>
      <c r="AE305">
        <v>27</v>
      </c>
      <c r="AF305">
        <v>34</v>
      </c>
      <c r="AG305" s="2" t="s">
        <v>734</v>
      </c>
      <c r="AH305" s="2" t="s">
        <v>734</v>
      </c>
      <c r="AI305" s="2" t="s">
        <v>734</v>
      </c>
    </row>
    <row r="306" spans="2:35" x14ac:dyDescent="0.25">
      <c r="B306" t="s">
        <v>427</v>
      </c>
      <c r="C306" t="s">
        <v>681</v>
      </c>
      <c r="D306">
        <v>3</v>
      </c>
      <c r="E306" t="s">
        <v>21</v>
      </c>
      <c r="F306" t="s">
        <v>1414</v>
      </c>
      <c r="G306" t="s">
        <v>682</v>
      </c>
      <c r="H306"/>
      <c r="I306">
        <v>276109.90000000002</v>
      </c>
      <c r="J306">
        <v>280206.09999999998</v>
      </c>
      <c r="K306">
        <v>286798</v>
      </c>
      <c r="L306">
        <v>295330.40000000002</v>
      </c>
      <c r="M306">
        <v>301155.90000000002</v>
      </c>
      <c r="N306">
        <v>306659.20000000001</v>
      </c>
      <c r="O306">
        <v>313121.2</v>
      </c>
      <c r="P306">
        <v>313275.26</v>
      </c>
      <c r="Q306">
        <v>323495.59999999998</v>
      </c>
      <c r="R306">
        <v>330094.7</v>
      </c>
      <c r="X306">
        <v>4096.1999999999534</v>
      </c>
      <c r="Y306">
        <v>6591.9000000000233</v>
      </c>
      <c r="Z306">
        <v>8532.4000000000233</v>
      </c>
      <c r="AA306">
        <v>5825.5</v>
      </c>
      <c r="AB306">
        <v>5503.2999999999884</v>
      </c>
      <c r="AC306">
        <v>6462</v>
      </c>
      <c r="AD306">
        <v>154.05999999999767</v>
      </c>
      <c r="AE306">
        <v>10220.339999999967</v>
      </c>
      <c r="AF306">
        <v>6599.1000000000349</v>
      </c>
      <c r="AG306" s="2" t="s">
        <v>734</v>
      </c>
      <c r="AH306" s="2" t="s">
        <v>734</v>
      </c>
      <c r="AI306" s="2" t="s">
        <v>734</v>
      </c>
    </row>
    <row r="307" spans="2:35" x14ac:dyDescent="0.25">
      <c r="B307">
        <v>41709388</v>
      </c>
      <c r="C307" t="s">
        <v>683</v>
      </c>
      <c r="D307">
        <v>3</v>
      </c>
      <c r="E307" t="s">
        <v>21</v>
      </c>
      <c r="F307" t="s">
        <v>645</v>
      </c>
      <c r="G307" t="s">
        <v>684</v>
      </c>
      <c r="H307" t="s">
        <v>1417</v>
      </c>
      <c r="I307">
        <v>35387</v>
      </c>
      <c r="J307">
        <v>35833</v>
      </c>
      <c r="K307">
        <v>36198.5</v>
      </c>
      <c r="L307">
        <v>36564</v>
      </c>
      <c r="M307">
        <v>36743</v>
      </c>
      <c r="N307">
        <v>37393</v>
      </c>
      <c r="O307">
        <v>38478</v>
      </c>
      <c r="P307">
        <v>39007</v>
      </c>
      <c r="Q307"/>
      <c r="R307">
        <v>0</v>
      </c>
      <c r="X307">
        <v>446</v>
      </c>
      <c r="Y307">
        <v>365.5</v>
      </c>
      <c r="Z307">
        <v>365.5</v>
      </c>
      <c r="AA307">
        <v>179</v>
      </c>
      <c r="AB307">
        <v>650</v>
      </c>
      <c r="AC307">
        <v>1085</v>
      </c>
      <c r="AD307">
        <v>529</v>
      </c>
      <c r="AE307" t="s">
        <v>734</v>
      </c>
      <c r="AF307" t="s">
        <v>734</v>
      </c>
      <c r="AG307" s="2" t="s">
        <v>734</v>
      </c>
      <c r="AH307" s="2" t="s">
        <v>734</v>
      </c>
      <c r="AI307" s="2" t="s">
        <v>734</v>
      </c>
    </row>
    <row r="308" spans="2:35" x14ac:dyDescent="0.25">
      <c r="B308">
        <v>28302205</v>
      </c>
      <c r="C308" t="s">
        <v>517</v>
      </c>
      <c r="D308">
        <v>39501</v>
      </c>
      <c r="E308" t="s">
        <v>532</v>
      </c>
      <c r="F308" t="s">
        <v>533</v>
      </c>
      <c r="G308" t="s">
        <v>359</v>
      </c>
      <c r="H308" t="s">
        <v>1156</v>
      </c>
      <c r="I308">
        <v>2241787</v>
      </c>
      <c r="J308">
        <v>2283465</v>
      </c>
      <c r="K308">
        <v>2366636</v>
      </c>
      <c r="L308"/>
      <c r="M308"/>
      <c r="N308"/>
      <c r="O308"/>
      <c r="P308"/>
      <c r="Q308"/>
      <c r="R308"/>
      <c r="X308">
        <v>41678</v>
      </c>
      <c r="Y308">
        <v>83171</v>
      </c>
      <c r="Z308" t="s">
        <v>734</v>
      </c>
      <c r="AA308" t="s">
        <v>734</v>
      </c>
      <c r="AB308" t="s">
        <v>734</v>
      </c>
      <c r="AC308" t="s">
        <v>734</v>
      </c>
      <c r="AD308" t="s">
        <v>734</v>
      </c>
      <c r="AE308" t="s">
        <v>734</v>
      </c>
      <c r="AF308" t="s">
        <v>734</v>
      </c>
      <c r="AG308" s="2" t="s">
        <v>734</v>
      </c>
      <c r="AH308" s="2" t="s">
        <v>734</v>
      </c>
      <c r="AI308" s="2" t="s">
        <v>734</v>
      </c>
    </row>
    <row r="309" spans="2:35" x14ac:dyDescent="0.25">
      <c r="B309">
        <v>83061189</v>
      </c>
      <c r="C309" t="s">
        <v>517</v>
      </c>
      <c r="D309">
        <v>39539</v>
      </c>
      <c r="E309" t="s">
        <v>146</v>
      </c>
      <c r="F309" t="s">
        <v>1062</v>
      </c>
      <c r="G309" t="s">
        <v>1115</v>
      </c>
      <c r="H309"/>
      <c r="I309">
        <v>1275725</v>
      </c>
      <c r="J309">
        <v>1293226</v>
      </c>
      <c r="K309">
        <v>1325461</v>
      </c>
      <c r="L309">
        <v>1325461</v>
      </c>
      <c r="M309">
        <v>1385287</v>
      </c>
      <c r="N309">
        <v>1414860</v>
      </c>
      <c r="O309"/>
      <c r="P309">
        <v>1482075</v>
      </c>
      <c r="Q309"/>
      <c r="R309">
        <v>1558062</v>
      </c>
      <c r="X309">
        <v>17501</v>
      </c>
      <c r="Y309">
        <v>32235</v>
      </c>
      <c r="Z309">
        <v>0</v>
      </c>
      <c r="AA309">
        <v>59826</v>
      </c>
      <c r="AB309">
        <v>29573</v>
      </c>
      <c r="AC309" t="s">
        <v>734</v>
      </c>
      <c r="AD309" t="s">
        <v>734</v>
      </c>
      <c r="AE309" t="s">
        <v>734</v>
      </c>
      <c r="AF309" t="s">
        <v>734</v>
      </c>
      <c r="AG309" s="2" t="s">
        <v>734</v>
      </c>
      <c r="AH309" s="2" t="s">
        <v>734</v>
      </c>
      <c r="AI309" s="2" t="s">
        <v>734</v>
      </c>
    </row>
    <row r="310" spans="2:35" x14ac:dyDescent="0.25">
      <c r="B310">
        <v>94811189</v>
      </c>
      <c r="C310" t="s">
        <v>517</v>
      </c>
      <c r="D310" t="s">
        <v>1060</v>
      </c>
      <c r="E310" t="s">
        <v>1064</v>
      </c>
      <c r="F310" t="s">
        <v>519</v>
      </c>
      <c r="G310" t="s">
        <v>531</v>
      </c>
      <c r="H310" t="s">
        <v>942</v>
      </c>
      <c r="I310"/>
      <c r="J310"/>
      <c r="K310"/>
      <c r="L310"/>
      <c r="M310"/>
      <c r="N310"/>
      <c r="O310"/>
      <c r="P310"/>
      <c r="Q310"/>
      <c r="R310"/>
      <c r="X310" t="s">
        <v>734</v>
      </c>
      <c r="Y310" t="s">
        <v>734</v>
      </c>
      <c r="Z310" t="s">
        <v>734</v>
      </c>
      <c r="AA310" t="s">
        <v>734</v>
      </c>
      <c r="AB310" t="s">
        <v>734</v>
      </c>
      <c r="AC310" t="s">
        <v>734</v>
      </c>
      <c r="AD310" t="s">
        <v>734</v>
      </c>
      <c r="AE310" t="s">
        <v>734</v>
      </c>
      <c r="AF310" t="s">
        <v>734</v>
      </c>
      <c r="AG310" s="2" t="s">
        <v>734</v>
      </c>
      <c r="AH310" s="2" t="s">
        <v>734</v>
      </c>
      <c r="AI310" s="2" t="s">
        <v>734</v>
      </c>
    </row>
    <row r="311" spans="2:35" x14ac:dyDescent="0.25">
      <c r="B311">
        <v>94811334</v>
      </c>
      <c r="C311" t="s">
        <v>517</v>
      </c>
      <c r="D311">
        <v>39483</v>
      </c>
      <c r="E311" t="s">
        <v>523</v>
      </c>
      <c r="F311" t="s">
        <v>521</v>
      </c>
      <c r="G311" t="s">
        <v>524</v>
      </c>
      <c r="H311" t="s">
        <v>943</v>
      </c>
      <c r="I311">
        <v>3577120</v>
      </c>
      <c r="J311">
        <v>3579969</v>
      </c>
      <c r="K311">
        <v>3585606</v>
      </c>
      <c r="L311">
        <v>3589825</v>
      </c>
      <c r="M311">
        <v>3594728</v>
      </c>
      <c r="N311">
        <v>3598880</v>
      </c>
      <c r="O311">
        <v>3602799</v>
      </c>
      <c r="P311">
        <v>3607401</v>
      </c>
      <c r="Q311">
        <v>3611975</v>
      </c>
      <c r="R311">
        <v>3616765</v>
      </c>
      <c r="X311">
        <v>2849</v>
      </c>
      <c r="Y311">
        <v>5637</v>
      </c>
      <c r="Z311">
        <v>4219</v>
      </c>
      <c r="AA311">
        <v>4903</v>
      </c>
      <c r="AB311">
        <v>4152</v>
      </c>
      <c r="AC311">
        <v>3919</v>
      </c>
      <c r="AD311">
        <v>4602</v>
      </c>
      <c r="AE311">
        <v>4574</v>
      </c>
      <c r="AF311">
        <v>4790</v>
      </c>
      <c r="AG311" s="2" t="s">
        <v>734</v>
      </c>
      <c r="AH311" s="2" t="s">
        <v>734</v>
      </c>
      <c r="AI311" s="2" t="s">
        <v>734</v>
      </c>
    </row>
    <row r="312" spans="2:35" x14ac:dyDescent="0.25">
      <c r="B312">
        <v>94811340</v>
      </c>
      <c r="C312" t="s">
        <v>517</v>
      </c>
      <c r="D312">
        <v>39947</v>
      </c>
      <c r="E312" t="s">
        <v>520</v>
      </c>
      <c r="F312" t="s">
        <v>521</v>
      </c>
      <c r="G312" t="s">
        <v>522</v>
      </c>
      <c r="H312" t="s">
        <v>944</v>
      </c>
      <c r="I312">
        <v>5044440</v>
      </c>
      <c r="J312">
        <v>5081623</v>
      </c>
      <c r="K312">
        <v>5165982</v>
      </c>
      <c r="L312">
        <v>5257835</v>
      </c>
      <c r="M312">
        <v>5327616</v>
      </c>
      <c r="N312">
        <v>5399270</v>
      </c>
      <c r="O312">
        <v>5475892</v>
      </c>
      <c r="P312">
        <v>5560453</v>
      </c>
      <c r="Q312">
        <v>5616159</v>
      </c>
      <c r="R312">
        <v>5622706</v>
      </c>
      <c r="X312">
        <v>37183</v>
      </c>
      <c r="Y312">
        <v>84359</v>
      </c>
      <c r="Z312">
        <v>91853</v>
      </c>
      <c r="AA312">
        <v>69781</v>
      </c>
      <c r="AB312">
        <v>71654</v>
      </c>
      <c r="AC312">
        <v>76622</v>
      </c>
      <c r="AD312">
        <v>84561</v>
      </c>
      <c r="AE312">
        <v>55706</v>
      </c>
      <c r="AF312">
        <v>6547</v>
      </c>
      <c r="AG312" s="2" t="s">
        <v>734</v>
      </c>
      <c r="AH312" s="2" t="s">
        <v>734</v>
      </c>
      <c r="AI312" s="2" t="s">
        <v>734</v>
      </c>
    </row>
    <row r="313" spans="2:35" x14ac:dyDescent="0.25">
      <c r="B313">
        <v>94811345</v>
      </c>
      <c r="C313" t="s">
        <v>517</v>
      </c>
      <c r="D313">
        <v>39975</v>
      </c>
      <c r="E313" t="s">
        <v>528</v>
      </c>
      <c r="F313" t="s">
        <v>529</v>
      </c>
      <c r="G313" t="s">
        <v>530</v>
      </c>
      <c r="H313" t="s">
        <v>945</v>
      </c>
      <c r="I313">
        <v>2666938</v>
      </c>
      <c r="J313">
        <v>2684135</v>
      </c>
      <c r="K313">
        <v>2726188</v>
      </c>
      <c r="L313">
        <v>2762864</v>
      </c>
      <c r="M313">
        <v>2801733</v>
      </c>
      <c r="N313">
        <v>2837724</v>
      </c>
      <c r="O313">
        <v>2876360</v>
      </c>
      <c r="P313">
        <v>2923373</v>
      </c>
      <c r="Q313">
        <v>2972132</v>
      </c>
      <c r="R313">
        <v>3014242</v>
      </c>
      <c r="X313">
        <v>17197</v>
      </c>
      <c r="Y313">
        <v>42053</v>
      </c>
      <c r="Z313">
        <v>36676</v>
      </c>
      <c r="AA313">
        <v>38869</v>
      </c>
      <c r="AB313">
        <v>35991</v>
      </c>
      <c r="AC313">
        <v>38636</v>
      </c>
      <c r="AD313">
        <v>47013</v>
      </c>
      <c r="AE313">
        <v>48759</v>
      </c>
      <c r="AF313">
        <v>42110</v>
      </c>
      <c r="AG313" s="2" t="s">
        <v>734</v>
      </c>
      <c r="AH313" s="2" t="s">
        <v>734</v>
      </c>
      <c r="AI313" s="2" t="s">
        <v>734</v>
      </c>
    </row>
    <row r="314" spans="2:35" x14ac:dyDescent="0.25">
      <c r="B314">
        <v>94811349</v>
      </c>
      <c r="C314" t="s">
        <v>517</v>
      </c>
      <c r="D314">
        <v>39971</v>
      </c>
      <c r="E314" t="s">
        <v>525</v>
      </c>
      <c r="F314" t="s">
        <v>526</v>
      </c>
      <c r="G314" t="s">
        <v>527</v>
      </c>
      <c r="H314" t="s">
        <v>359</v>
      </c>
      <c r="I314"/>
      <c r="J314"/>
      <c r="K314"/>
      <c r="L314"/>
      <c r="M314"/>
      <c r="N314"/>
      <c r="O314">
        <v>1153006</v>
      </c>
      <c r="P314"/>
      <c r="Q314"/>
      <c r="R314"/>
      <c r="X314" t="s">
        <v>734</v>
      </c>
      <c r="Y314" t="s">
        <v>734</v>
      </c>
      <c r="Z314" t="s">
        <v>734</v>
      </c>
      <c r="AA314" t="s">
        <v>734</v>
      </c>
      <c r="AB314" t="s">
        <v>734</v>
      </c>
      <c r="AC314" t="s">
        <v>734</v>
      </c>
      <c r="AD314" t="s">
        <v>734</v>
      </c>
      <c r="AE314" t="s">
        <v>734</v>
      </c>
      <c r="AF314" t="s">
        <v>734</v>
      </c>
      <c r="AG314" s="2" t="s">
        <v>734</v>
      </c>
      <c r="AH314" s="2" t="s">
        <v>734</v>
      </c>
      <c r="AI314" s="2" t="s">
        <v>734</v>
      </c>
    </row>
    <row r="315" spans="2:35" x14ac:dyDescent="0.25">
      <c r="B315">
        <v>94811349</v>
      </c>
      <c r="C315" t="s">
        <v>517</v>
      </c>
      <c r="D315">
        <v>39424</v>
      </c>
      <c r="E315" t="s">
        <v>1372</v>
      </c>
      <c r="F315" t="s">
        <v>1373</v>
      </c>
      <c r="G315" t="s">
        <v>1374</v>
      </c>
      <c r="H315"/>
      <c r="I315"/>
      <c r="J315"/>
      <c r="K315"/>
      <c r="L315"/>
      <c r="M315"/>
      <c r="N315"/>
      <c r="O315">
        <v>1153006</v>
      </c>
      <c r="P315"/>
      <c r="Q315"/>
      <c r="R315"/>
      <c r="X315" t="s">
        <v>734</v>
      </c>
      <c r="Y315" t="s">
        <v>734</v>
      </c>
      <c r="Z315" t="s">
        <v>734</v>
      </c>
      <c r="AA315" t="s">
        <v>734</v>
      </c>
      <c r="AB315" t="s">
        <v>734</v>
      </c>
      <c r="AC315" t="s">
        <v>734</v>
      </c>
      <c r="AD315" t="s">
        <v>734</v>
      </c>
      <c r="AE315" t="s">
        <v>734</v>
      </c>
      <c r="AF315" t="s">
        <v>734</v>
      </c>
      <c r="AG315" s="2" t="s">
        <v>734</v>
      </c>
      <c r="AH315" s="2" t="s">
        <v>734</v>
      </c>
      <c r="AI315" s="2" t="s">
        <v>734</v>
      </c>
    </row>
    <row r="316" spans="2:35" x14ac:dyDescent="0.25">
      <c r="B316">
        <v>94823397</v>
      </c>
      <c r="C316" t="s">
        <v>517</v>
      </c>
      <c r="D316">
        <v>39929</v>
      </c>
      <c r="E316" t="s">
        <v>518</v>
      </c>
      <c r="F316" t="s">
        <v>519</v>
      </c>
      <c r="G316"/>
      <c r="H316" t="s">
        <v>946</v>
      </c>
      <c r="I316">
        <v>2044816</v>
      </c>
      <c r="J316">
        <v>2047845</v>
      </c>
      <c r="K316">
        <v>2054431</v>
      </c>
      <c r="L316">
        <v>2059792</v>
      </c>
      <c r="M316">
        <v>2064419</v>
      </c>
      <c r="N316">
        <v>2068455</v>
      </c>
      <c r="O316">
        <v>2072920</v>
      </c>
      <c r="P316">
        <v>2077751</v>
      </c>
      <c r="Q316">
        <v>2083530</v>
      </c>
      <c r="R316">
        <v>2088761</v>
      </c>
      <c r="X316">
        <v>3029</v>
      </c>
      <c r="Y316">
        <v>6586</v>
      </c>
      <c r="Z316">
        <v>5361</v>
      </c>
      <c r="AA316">
        <v>4627</v>
      </c>
      <c r="AB316">
        <v>4036</v>
      </c>
      <c r="AC316">
        <v>4465</v>
      </c>
      <c r="AD316">
        <v>4831</v>
      </c>
      <c r="AE316">
        <v>5779</v>
      </c>
      <c r="AF316">
        <v>5231</v>
      </c>
      <c r="AG316" s="2" t="s">
        <v>734</v>
      </c>
      <c r="AH316" s="2" t="s">
        <v>734</v>
      </c>
      <c r="AI316" s="2" t="s">
        <v>734</v>
      </c>
    </row>
    <row r="317" spans="2:35" x14ac:dyDescent="0.25">
      <c r="B317" t="s">
        <v>1155</v>
      </c>
      <c r="C317" t="s">
        <v>517</v>
      </c>
      <c r="D317">
        <v>39501</v>
      </c>
      <c r="E317" t="s">
        <v>532</v>
      </c>
      <c r="F317" t="s">
        <v>533</v>
      </c>
      <c r="G317" t="s">
        <v>359</v>
      </c>
      <c r="H317" t="s">
        <v>1157</v>
      </c>
      <c r="I317"/>
      <c r="J317"/>
      <c r="K317">
        <v>23</v>
      </c>
      <c r="L317">
        <v>46212</v>
      </c>
      <c r="M317">
        <v>120731</v>
      </c>
      <c r="N317">
        <v>181305</v>
      </c>
      <c r="O317">
        <v>246786</v>
      </c>
      <c r="P317">
        <v>317822</v>
      </c>
      <c r="Q317">
        <v>397165</v>
      </c>
      <c r="R317">
        <v>472924</v>
      </c>
      <c r="X317" t="s">
        <v>734</v>
      </c>
      <c r="Y317" t="s">
        <v>734</v>
      </c>
      <c r="Z317">
        <v>46189</v>
      </c>
      <c r="AA317">
        <v>74519</v>
      </c>
      <c r="AB317">
        <v>60574</v>
      </c>
      <c r="AC317">
        <v>65481</v>
      </c>
      <c r="AD317">
        <v>71036</v>
      </c>
      <c r="AE317">
        <v>79343</v>
      </c>
      <c r="AF317">
        <v>75759</v>
      </c>
      <c r="AG317" s="2" t="s">
        <v>734</v>
      </c>
      <c r="AH317" s="2" t="s">
        <v>734</v>
      </c>
      <c r="AI317" s="2" t="s">
        <v>734</v>
      </c>
    </row>
    <row r="318" spans="2:35" x14ac:dyDescent="0.25">
      <c r="B318">
        <v>95589744</v>
      </c>
      <c r="C318" t="s">
        <v>356</v>
      </c>
      <c r="D318">
        <v>39000</v>
      </c>
      <c r="E318" t="s">
        <v>372</v>
      </c>
      <c r="F318" t="s">
        <v>372</v>
      </c>
      <c r="G318" t="s">
        <v>699</v>
      </c>
      <c r="H318" t="s">
        <v>959</v>
      </c>
      <c r="I318">
        <v>2049816</v>
      </c>
      <c r="J318">
        <v>2057539</v>
      </c>
      <c r="K318">
        <v>2076213</v>
      </c>
      <c r="L318">
        <v>2093233</v>
      </c>
      <c r="M318">
        <v>2111338</v>
      </c>
      <c r="N318">
        <v>2129797</v>
      </c>
      <c r="O318">
        <v>2150803</v>
      </c>
      <c r="P318">
        <v>2172036</v>
      </c>
      <c r="Q318">
        <v>2191924</v>
      </c>
      <c r="R318">
        <v>2213289</v>
      </c>
      <c r="X318">
        <v>7723</v>
      </c>
      <c r="Y318">
        <v>18674</v>
      </c>
      <c r="Z318">
        <v>17020</v>
      </c>
      <c r="AA318">
        <v>18105</v>
      </c>
      <c r="AB318">
        <v>18459</v>
      </c>
      <c r="AC318">
        <v>21006</v>
      </c>
      <c r="AD318">
        <v>21233</v>
      </c>
      <c r="AE318">
        <v>19888</v>
      </c>
      <c r="AF318">
        <v>21365</v>
      </c>
      <c r="AG318" s="2" t="s">
        <v>734</v>
      </c>
      <c r="AH318" s="2" t="s">
        <v>734</v>
      </c>
      <c r="AI318" s="2" t="s">
        <v>734</v>
      </c>
    </row>
    <row r="319" spans="2:35" x14ac:dyDescent="0.25">
      <c r="B319">
        <v>95589705</v>
      </c>
      <c r="C319" t="s">
        <v>356</v>
      </c>
      <c r="D319">
        <v>39017</v>
      </c>
      <c r="E319" t="s">
        <v>108</v>
      </c>
      <c r="F319" t="s">
        <v>467</v>
      </c>
      <c r="G319" t="s">
        <v>700</v>
      </c>
      <c r="H319" t="s">
        <v>951</v>
      </c>
      <c r="I319">
        <v>823015</v>
      </c>
      <c r="J319">
        <v>823015</v>
      </c>
      <c r="K319">
        <v>823015</v>
      </c>
      <c r="L319">
        <v>823015</v>
      </c>
      <c r="M319">
        <v>823015</v>
      </c>
      <c r="N319">
        <v>823015</v>
      </c>
      <c r="O319">
        <v>823015</v>
      </c>
      <c r="P319">
        <v>823015</v>
      </c>
      <c r="Q319">
        <v>823015</v>
      </c>
      <c r="R319">
        <v>823015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 s="2" t="s">
        <v>734</v>
      </c>
      <c r="AH319" s="2" t="s">
        <v>734</v>
      </c>
      <c r="AI319" s="2" t="s">
        <v>734</v>
      </c>
    </row>
    <row r="320" spans="2:35" x14ac:dyDescent="0.25">
      <c r="B320">
        <v>15051348800</v>
      </c>
      <c r="C320" t="s">
        <v>356</v>
      </c>
      <c r="D320">
        <v>39030</v>
      </c>
      <c r="E320" t="s">
        <v>108</v>
      </c>
      <c r="F320" t="s">
        <v>469</v>
      </c>
      <c r="G320" t="s">
        <v>468</v>
      </c>
      <c r="H320" t="s">
        <v>960</v>
      </c>
      <c r="I320">
        <v>130839</v>
      </c>
      <c r="J320">
        <v>131223</v>
      </c>
      <c r="K320">
        <v>131970</v>
      </c>
      <c r="L320">
        <v>132630</v>
      </c>
      <c r="M320">
        <v>133371</v>
      </c>
      <c r="N320">
        <v>134021</v>
      </c>
      <c r="O320">
        <v>134707</v>
      </c>
      <c r="P320">
        <v>135444</v>
      </c>
      <c r="Q320">
        <v>136121</v>
      </c>
      <c r="R320"/>
      <c r="X320">
        <v>384</v>
      </c>
      <c r="Y320">
        <v>747</v>
      </c>
      <c r="Z320">
        <v>660</v>
      </c>
      <c r="AA320">
        <v>741</v>
      </c>
      <c r="AB320">
        <v>650</v>
      </c>
      <c r="AC320">
        <v>686</v>
      </c>
      <c r="AD320">
        <v>737</v>
      </c>
      <c r="AE320">
        <v>677</v>
      </c>
      <c r="AF320" t="s">
        <v>734</v>
      </c>
      <c r="AG320" s="2" t="s">
        <v>734</v>
      </c>
      <c r="AH320" s="2" t="s">
        <v>734</v>
      </c>
      <c r="AI320" s="2" t="s">
        <v>734</v>
      </c>
    </row>
    <row r="321" spans="2:35" x14ac:dyDescent="0.25">
      <c r="B321" t="s">
        <v>1268</v>
      </c>
      <c r="C321" t="s">
        <v>356</v>
      </c>
      <c r="D321">
        <v>39053</v>
      </c>
      <c r="E321" t="s">
        <v>365</v>
      </c>
      <c r="F321" t="s">
        <v>366</v>
      </c>
      <c r="G321"/>
      <c r="H321" t="s">
        <v>957</v>
      </c>
      <c r="I321">
        <v>15415454</v>
      </c>
      <c r="J321">
        <v>15508849</v>
      </c>
      <c r="K321">
        <v>15664868</v>
      </c>
      <c r="L321">
        <v>15807632</v>
      </c>
      <c r="M321">
        <v>15973907</v>
      </c>
      <c r="N321">
        <v>16144008</v>
      </c>
      <c r="O321">
        <v>16340739</v>
      </c>
      <c r="P321">
        <v>16558262</v>
      </c>
      <c r="Q321">
        <v>16801362</v>
      </c>
      <c r="R321">
        <v>17034214</v>
      </c>
      <c r="X321">
        <v>93395</v>
      </c>
      <c r="Y321">
        <v>156019</v>
      </c>
      <c r="Z321">
        <v>142764</v>
      </c>
      <c r="AA321">
        <v>166275</v>
      </c>
      <c r="AB321">
        <v>170101</v>
      </c>
      <c r="AC321">
        <v>196731</v>
      </c>
      <c r="AD321">
        <v>217523</v>
      </c>
      <c r="AE321">
        <v>243100</v>
      </c>
      <c r="AF321">
        <v>232852</v>
      </c>
      <c r="AG321" s="2" t="s">
        <v>734</v>
      </c>
      <c r="AH321" s="2" t="s">
        <v>734</v>
      </c>
      <c r="AI321" s="2" t="s">
        <v>734</v>
      </c>
    </row>
    <row r="322" spans="2:35" x14ac:dyDescent="0.25">
      <c r="B322" t="s">
        <v>1275</v>
      </c>
      <c r="C322" t="s">
        <v>356</v>
      </c>
      <c r="D322">
        <v>39100</v>
      </c>
      <c r="E322" t="s">
        <v>357</v>
      </c>
      <c r="F322" t="s">
        <v>358</v>
      </c>
      <c r="G322"/>
      <c r="H322" t="s">
        <v>963</v>
      </c>
      <c r="I322">
        <v>101942261</v>
      </c>
      <c r="J322">
        <v>102409094</v>
      </c>
      <c r="K322">
        <v>103295839</v>
      </c>
      <c r="L322">
        <v>104090702</v>
      </c>
      <c r="M322">
        <v>105043569</v>
      </c>
      <c r="N322">
        <v>106019875</v>
      </c>
      <c r="O322">
        <v>106972646</v>
      </c>
      <c r="P322">
        <v>107913204</v>
      </c>
      <c r="Q322">
        <v>108871677</v>
      </c>
      <c r="R322">
        <v>109864704</v>
      </c>
      <c r="X322">
        <v>466833</v>
      </c>
      <c r="Y322">
        <v>886745</v>
      </c>
      <c r="Z322">
        <v>794863</v>
      </c>
      <c r="AA322">
        <v>952867</v>
      </c>
      <c r="AB322">
        <v>976306</v>
      </c>
      <c r="AC322">
        <v>952771</v>
      </c>
      <c r="AD322">
        <v>940558</v>
      </c>
      <c r="AE322">
        <v>958473</v>
      </c>
      <c r="AF322">
        <v>993027</v>
      </c>
      <c r="AG322" s="2" t="s">
        <v>734</v>
      </c>
      <c r="AH322" s="2" t="s">
        <v>734</v>
      </c>
      <c r="AI322" s="2" t="s">
        <v>734</v>
      </c>
    </row>
    <row r="323" spans="2:35" x14ac:dyDescent="0.25">
      <c r="B323">
        <v>95589721</v>
      </c>
      <c r="C323" t="s">
        <v>356</v>
      </c>
      <c r="D323">
        <v>39145</v>
      </c>
      <c r="E323" t="s">
        <v>108</v>
      </c>
      <c r="F323" t="s">
        <v>382</v>
      </c>
      <c r="G323" t="s">
        <v>1195</v>
      </c>
      <c r="H323" t="s">
        <v>954</v>
      </c>
      <c r="I323">
        <v>3238642</v>
      </c>
      <c r="J323">
        <v>3238714</v>
      </c>
      <c r="K323">
        <v>3238755</v>
      </c>
      <c r="L323">
        <v>3238773</v>
      </c>
      <c r="M323">
        <v>3238798</v>
      </c>
      <c r="N323">
        <v>3239000</v>
      </c>
      <c r="O323">
        <v>3239395</v>
      </c>
      <c r="P323">
        <v>3240128</v>
      </c>
      <c r="Q323">
        <v>3241494</v>
      </c>
      <c r="R323">
        <v>3242033</v>
      </c>
      <c r="X323">
        <v>72</v>
      </c>
      <c r="Y323">
        <v>41</v>
      </c>
      <c r="Z323">
        <v>18</v>
      </c>
      <c r="AA323">
        <v>25</v>
      </c>
      <c r="AB323">
        <v>202</v>
      </c>
      <c r="AC323">
        <v>395</v>
      </c>
      <c r="AD323">
        <v>733</v>
      </c>
      <c r="AE323">
        <v>1366</v>
      </c>
      <c r="AF323">
        <v>539</v>
      </c>
      <c r="AG323" s="2" t="s">
        <v>734</v>
      </c>
      <c r="AH323" s="2" t="s">
        <v>734</v>
      </c>
      <c r="AI323" s="2" t="s">
        <v>734</v>
      </c>
    </row>
    <row r="324" spans="2:35" x14ac:dyDescent="0.25">
      <c r="B324" t="s">
        <v>1278</v>
      </c>
      <c r="C324" t="s">
        <v>356</v>
      </c>
      <c r="D324">
        <v>39189</v>
      </c>
      <c r="E324" t="s">
        <v>363</v>
      </c>
      <c r="F324" t="s">
        <v>364</v>
      </c>
      <c r="G324"/>
      <c r="H324" t="s">
        <v>958</v>
      </c>
      <c r="I324">
        <v>3221218</v>
      </c>
      <c r="J324">
        <v>3235609</v>
      </c>
      <c r="K324">
        <v>3267992</v>
      </c>
      <c r="L324">
        <v>3293683</v>
      </c>
      <c r="M324">
        <v>3317971</v>
      </c>
      <c r="N324">
        <v>3341858</v>
      </c>
      <c r="O324">
        <v>3370057</v>
      </c>
      <c r="P324">
        <v>3403906</v>
      </c>
      <c r="Q324">
        <v>3437946</v>
      </c>
      <c r="R324">
        <v>3471036</v>
      </c>
      <c r="X324">
        <v>14391</v>
      </c>
      <c r="Y324">
        <v>32383</v>
      </c>
      <c r="Z324">
        <v>25691</v>
      </c>
      <c r="AA324">
        <v>24288</v>
      </c>
      <c r="AB324">
        <v>23887</v>
      </c>
      <c r="AC324">
        <v>28199</v>
      </c>
      <c r="AD324">
        <v>33849</v>
      </c>
      <c r="AE324">
        <v>34040</v>
      </c>
      <c r="AF324">
        <v>33090</v>
      </c>
      <c r="AG324" s="2" t="s">
        <v>734</v>
      </c>
      <c r="AH324" s="2" t="s">
        <v>734</v>
      </c>
      <c r="AI324" s="2" t="s">
        <v>734</v>
      </c>
    </row>
    <row r="325" spans="2:35" x14ac:dyDescent="0.25">
      <c r="B325" t="s">
        <v>1270</v>
      </c>
      <c r="C325" t="s">
        <v>356</v>
      </c>
      <c r="D325">
        <v>39202</v>
      </c>
      <c r="E325" t="s">
        <v>383</v>
      </c>
      <c r="F325" t="s">
        <v>384</v>
      </c>
      <c r="G325"/>
      <c r="H325" t="s">
        <v>947</v>
      </c>
      <c r="I325">
        <v>607923</v>
      </c>
      <c r="J325">
        <v>608951</v>
      </c>
      <c r="K325">
        <v>615746</v>
      </c>
      <c r="L325">
        <v>615746</v>
      </c>
      <c r="M325">
        <v>624005</v>
      </c>
      <c r="N325">
        <v>625674</v>
      </c>
      <c r="O325">
        <v>629788</v>
      </c>
      <c r="P325">
        <v>632946</v>
      </c>
      <c r="Q325">
        <v>638530</v>
      </c>
      <c r="R325">
        <v>641782</v>
      </c>
      <c r="X325">
        <v>1028</v>
      </c>
      <c r="Y325">
        <v>6795</v>
      </c>
      <c r="Z325">
        <v>0</v>
      </c>
      <c r="AA325">
        <v>8259</v>
      </c>
      <c r="AB325">
        <v>1669</v>
      </c>
      <c r="AC325">
        <v>4114</v>
      </c>
      <c r="AD325">
        <v>3158</v>
      </c>
      <c r="AE325">
        <v>5584</v>
      </c>
      <c r="AF325">
        <v>3252</v>
      </c>
      <c r="AG325" s="2" t="s">
        <v>734</v>
      </c>
      <c r="AH325" s="2" t="s">
        <v>734</v>
      </c>
      <c r="AI325" s="2" t="s">
        <v>734</v>
      </c>
    </row>
    <row r="326" spans="2:35" x14ac:dyDescent="0.25">
      <c r="B326" t="s">
        <v>1276</v>
      </c>
      <c r="C326" t="s">
        <v>356</v>
      </c>
      <c r="D326">
        <v>39235</v>
      </c>
      <c r="E326" t="s">
        <v>360</v>
      </c>
      <c r="F326" t="s">
        <v>361</v>
      </c>
      <c r="G326"/>
      <c r="H326" t="s">
        <v>952</v>
      </c>
      <c r="I326">
        <v>6459464</v>
      </c>
      <c r="J326">
        <v>6496610</v>
      </c>
      <c r="K326">
        <v>6562458</v>
      </c>
      <c r="L326">
        <v>6615471</v>
      </c>
      <c r="M326">
        <v>6667726</v>
      </c>
      <c r="N326">
        <v>6711894</v>
      </c>
      <c r="O326">
        <v>6765189</v>
      </c>
      <c r="P326">
        <v>6820701</v>
      </c>
      <c r="Q326">
        <v>6885150</v>
      </c>
      <c r="R326">
        <v>6952024</v>
      </c>
      <c r="X326">
        <v>37146</v>
      </c>
      <c r="Y326">
        <v>65848</v>
      </c>
      <c r="Z326">
        <v>53013</v>
      </c>
      <c r="AA326">
        <v>52255</v>
      </c>
      <c r="AB326">
        <v>44168</v>
      </c>
      <c r="AC326">
        <v>53295</v>
      </c>
      <c r="AD326">
        <v>55512</v>
      </c>
      <c r="AE326">
        <v>64449</v>
      </c>
      <c r="AF326">
        <v>66874</v>
      </c>
      <c r="AG326" s="2" t="s">
        <v>734</v>
      </c>
      <c r="AH326" s="2" t="s">
        <v>734</v>
      </c>
      <c r="AI326" s="2" t="s">
        <v>734</v>
      </c>
    </row>
    <row r="327" spans="2:35" x14ac:dyDescent="0.25">
      <c r="B327">
        <v>97560644</v>
      </c>
      <c r="C327" t="s">
        <v>356</v>
      </c>
      <c r="D327">
        <v>39281</v>
      </c>
      <c r="E327" t="s">
        <v>385</v>
      </c>
      <c r="F327" t="s">
        <v>386</v>
      </c>
      <c r="G327"/>
      <c r="H327" t="s">
        <v>941</v>
      </c>
      <c r="I327">
        <v>3721448</v>
      </c>
      <c r="J327">
        <v>3748557</v>
      </c>
      <c r="K327">
        <v>3814751</v>
      </c>
      <c r="L327">
        <v>3877465</v>
      </c>
      <c r="M327">
        <v>3927214</v>
      </c>
      <c r="N327">
        <v>3977390</v>
      </c>
      <c r="O327">
        <v>4020300</v>
      </c>
      <c r="P327">
        <v>4058166</v>
      </c>
      <c r="Q327">
        <v>4096724</v>
      </c>
      <c r="R327">
        <v>4139772</v>
      </c>
      <c r="X327">
        <v>27109</v>
      </c>
      <c r="Y327">
        <v>66194</v>
      </c>
      <c r="Z327">
        <v>62714</v>
      </c>
      <c r="AA327">
        <v>49749</v>
      </c>
      <c r="AB327">
        <v>50176</v>
      </c>
      <c r="AC327">
        <v>42910</v>
      </c>
      <c r="AD327">
        <v>37866</v>
      </c>
      <c r="AE327">
        <v>38558</v>
      </c>
      <c r="AF327">
        <v>43048</v>
      </c>
      <c r="AG327" s="2" t="s">
        <v>734</v>
      </c>
      <c r="AH327" s="2" t="s">
        <v>734</v>
      </c>
      <c r="AI327" s="2" t="s">
        <v>734</v>
      </c>
    </row>
    <row r="328" spans="2:35" x14ac:dyDescent="0.25">
      <c r="B328" t="s">
        <v>1277</v>
      </c>
      <c r="C328" t="s">
        <v>356</v>
      </c>
      <c r="D328">
        <v>39316</v>
      </c>
      <c r="E328" t="s">
        <v>373</v>
      </c>
      <c r="F328" t="s">
        <v>374</v>
      </c>
      <c r="G328"/>
      <c r="H328" t="s">
        <v>956</v>
      </c>
      <c r="I328">
        <v>7186198</v>
      </c>
      <c r="J328">
        <v>7199078</v>
      </c>
      <c r="K328">
        <v>7226901</v>
      </c>
      <c r="L328">
        <v>7261619</v>
      </c>
      <c r="M328">
        <v>7284951</v>
      </c>
      <c r="N328">
        <v>7325169</v>
      </c>
      <c r="O328">
        <v>7361398</v>
      </c>
      <c r="P328">
        <v>7378684</v>
      </c>
      <c r="Q328">
        <v>7403380</v>
      </c>
      <c r="R328">
        <v>7424493</v>
      </c>
      <c r="X328">
        <v>12880</v>
      </c>
      <c r="Y328">
        <v>27823</v>
      </c>
      <c r="Z328">
        <v>34718</v>
      </c>
      <c r="AA328">
        <v>23332</v>
      </c>
      <c r="AB328">
        <v>40218</v>
      </c>
      <c r="AC328">
        <v>36229</v>
      </c>
      <c r="AD328">
        <v>17286</v>
      </c>
      <c r="AE328">
        <v>24696</v>
      </c>
      <c r="AF328">
        <v>21113</v>
      </c>
      <c r="AG328" s="2" t="s">
        <v>734</v>
      </c>
      <c r="AH328" s="2" t="s">
        <v>734</v>
      </c>
      <c r="AI328" s="2" t="s">
        <v>734</v>
      </c>
    </row>
    <row r="329" spans="2:35" x14ac:dyDescent="0.25">
      <c r="B329" t="s">
        <v>1280</v>
      </c>
      <c r="C329" t="s">
        <v>356</v>
      </c>
      <c r="D329">
        <v>39407</v>
      </c>
      <c r="E329" t="s">
        <v>388</v>
      </c>
      <c r="F329" t="s">
        <v>389</v>
      </c>
      <c r="G329" t="s">
        <v>390</v>
      </c>
      <c r="H329" t="s">
        <v>940</v>
      </c>
      <c r="I329">
        <v>1509556</v>
      </c>
      <c r="J329">
        <v>1520182</v>
      </c>
      <c r="K329">
        <v>1542014</v>
      </c>
      <c r="L329">
        <v>1560656</v>
      </c>
      <c r="M329">
        <v>1578470</v>
      </c>
      <c r="N329">
        <v>1594809</v>
      </c>
      <c r="O329">
        <v>1613165</v>
      </c>
      <c r="P329">
        <v>1637209</v>
      </c>
      <c r="Q329">
        <v>1664712</v>
      </c>
      <c r="R329">
        <v>1690378</v>
      </c>
      <c r="X329">
        <v>10626</v>
      </c>
      <c r="Y329">
        <v>21832</v>
      </c>
      <c r="Z329">
        <v>18642</v>
      </c>
      <c r="AA329">
        <v>17814</v>
      </c>
      <c r="AB329">
        <v>16339</v>
      </c>
      <c r="AC329">
        <v>18356</v>
      </c>
      <c r="AD329">
        <v>24044</v>
      </c>
      <c r="AE329">
        <v>27503</v>
      </c>
      <c r="AF329">
        <v>25666</v>
      </c>
      <c r="AG329" s="2" t="s">
        <v>734</v>
      </c>
      <c r="AH329" s="2" t="s">
        <v>734</v>
      </c>
      <c r="AI329" s="2" t="s">
        <v>734</v>
      </c>
    </row>
    <row r="330" spans="2:35" x14ac:dyDescent="0.25">
      <c r="B330" t="s">
        <v>1271</v>
      </c>
      <c r="C330" t="s">
        <v>356</v>
      </c>
      <c r="D330">
        <v>39473</v>
      </c>
      <c r="E330" t="s">
        <v>367</v>
      </c>
      <c r="F330" t="s">
        <v>367</v>
      </c>
      <c r="G330" t="s">
        <v>368</v>
      </c>
      <c r="H330" t="s">
        <v>948</v>
      </c>
      <c r="I330">
        <v>2028556</v>
      </c>
      <c r="J330">
        <v>2040827</v>
      </c>
      <c r="K330">
        <v>2064138</v>
      </c>
      <c r="L330">
        <v>2083580</v>
      </c>
      <c r="M330">
        <v>2101095</v>
      </c>
      <c r="N330">
        <v>2114151</v>
      </c>
      <c r="O330"/>
      <c r="P330"/>
      <c r="Q330"/>
      <c r="R330"/>
      <c r="X330">
        <v>8589.6999999999989</v>
      </c>
      <c r="Y330">
        <v>16317.699999999999</v>
      </c>
      <c r="Z330">
        <v>13609.4</v>
      </c>
      <c r="AA330">
        <v>12260.5</v>
      </c>
      <c r="AB330">
        <v>9139.1999999999989</v>
      </c>
      <c r="AC330" t="s">
        <v>734</v>
      </c>
      <c r="AD330" t="s">
        <v>734</v>
      </c>
      <c r="AE330" t="s">
        <v>734</v>
      </c>
      <c r="AF330" t="s">
        <v>734</v>
      </c>
      <c r="AG330" s="2" t="s">
        <v>734</v>
      </c>
      <c r="AH330" s="2" t="s">
        <v>734</v>
      </c>
      <c r="AI330" s="2" t="s">
        <v>734</v>
      </c>
    </row>
    <row r="331" spans="2:35" x14ac:dyDescent="0.25">
      <c r="B331" t="s">
        <v>1271</v>
      </c>
      <c r="C331" t="s">
        <v>356</v>
      </c>
      <c r="D331">
        <v>39486</v>
      </c>
      <c r="E331" t="s">
        <v>369</v>
      </c>
      <c r="F331" t="s">
        <v>370</v>
      </c>
      <c r="G331" t="s">
        <v>371</v>
      </c>
      <c r="H331" t="s">
        <v>949</v>
      </c>
      <c r="I331">
        <v>2028556</v>
      </c>
      <c r="J331">
        <v>2040827</v>
      </c>
      <c r="K331">
        <v>2064138</v>
      </c>
      <c r="L331">
        <v>2083580</v>
      </c>
      <c r="M331">
        <v>2101095</v>
      </c>
      <c r="N331">
        <v>2114151</v>
      </c>
      <c r="O331"/>
      <c r="P331"/>
      <c r="Q331"/>
      <c r="R331"/>
      <c r="X331">
        <v>3681.2999999999997</v>
      </c>
      <c r="Y331">
        <v>6993.3</v>
      </c>
      <c r="Z331">
        <v>5832.5999999999995</v>
      </c>
      <c r="AA331">
        <v>5254.5</v>
      </c>
      <c r="AB331">
        <v>3916.7999999999997</v>
      </c>
      <c r="AC331" t="s">
        <v>734</v>
      </c>
      <c r="AD331" t="s">
        <v>734</v>
      </c>
      <c r="AE331" t="s">
        <v>734</v>
      </c>
      <c r="AF331" t="s">
        <v>734</v>
      </c>
      <c r="AG331" s="2" t="s">
        <v>734</v>
      </c>
      <c r="AH331" s="2" t="s">
        <v>734</v>
      </c>
      <c r="AI331" s="2" t="s">
        <v>734</v>
      </c>
    </row>
    <row r="332" spans="2:35" x14ac:dyDescent="0.25">
      <c r="B332" t="s">
        <v>1272</v>
      </c>
      <c r="C332" t="s">
        <v>356</v>
      </c>
      <c r="D332">
        <v>0</v>
      </c>
      <c r="E332" t="s">
        <v>391</v>
      </c>
      <c r="F332" t="s">
        <v>392</v>
      </c>
      <c r="G332"/>
      <c r="H332" t="s">
        <v>960</v>
      </c>
      <c r="I332">
        <v>185893</v>
      </c>
      <c r="J332">
        <v>186803</v>
      </c>
      <c r="K332">
        <v>188456</v>
      </c>
      <c r="L332">
        <v>189930</v>
      </c>
      <c r="M332">
        <v>191626</v>
      </c>
      <c r="N332">
        <v>193091</v>
      </c>
      <c r="O332">
        <v>194550</v>
      </c>
      <c r="P332">
        <v>196354</v>
      </c>
      <c r="Q332">
        <v>197678</v>
      </c>
      <c r="R332"/>
      <c r="X332">
        <v>910</v>
      </c>
      <c r="Y332">
        <v>1653</v>
      </c>
      <c r="Z332">
        <v>1474</v>
      </c>
      <c r="AA332">
        <v>1696</v>
      </c>
      <c r="AB332">
        <v>1465</v>
      </c>
      <c r="AC332">
        <v>1459</v>
      </c>
      <c r="AD332">
        <v>1804</v>
      </c>
      <c r="AE332">
        <v>1324</v>
      </c>
      <c r="AF332" t="s">
        <v>734</v>
      </c>
      <c r="AG332" s="2" t="s">
        <v>734</v>
      </c>
      <c r="AH332" s="2" t="s">
        <v>734</v>
      </c>
      <c r="AI332" s="2" t="s">
        <v>734</v>
      </c>
    </row>
    <row r="333" spans="2:35" x14ac:dyDescent="0.25">
      <c r="B333" t="s">
        <v>1273</v>
      </c>
      <c r="C333" t="s">
        <v>356</v>
      </c>
      <c r="D333">
        <v>0</v>
      </c>
      <c r="E333" t="s">
        <v>393</v>
      </c>
      <c r="F333" t="s">
        <v>394</v>
      </c>
      <c r="G333"/>
      <c r="H333" t="s">
        <v>960</v>
      </c>
      <c r="I333">
        <v>353452</v>
      </c>
      <c r="J333">
        <v>355112</v>
      </c>
      <c r="K333">
        <v>358868</v>
      </c>
      <c r="L333">
        <v>361575</v>
      </c>
      <c r="M333">
        <v>364541</v>
      </c>
      <c r="N333">
        <v>367292</v>
      </c>
      <c r="O333">
        <v>370518</v>
      </c>
      <c r="P333">
        <v>375675</v>
      </c>
      <c r="Q333">
        <v>380290</v>
      </c>
      <c r="R333"/>
      <c r="X333">
        <v>1660</v>
      </c>
      <c r="Y333">
        <v>3756</v>
      </c>
      <c r="Z333">
        <v>2707</v>
      </c>
      <c r="AA333">
        <v>2966</v>
      </c>
      <c r="AB333">
        <v>2751</v>
      </c>
      <c r="AC333">
        <v>3226</v>
      </c>
      <c r="AD333">
        <v>5157</v>
      </c>
      <c r="AE333">
        <v>4615</v>
      </c>
      <c r="AF333" t="s">
        <v>734</v>
      </c>
      <c r="AG333" s="2" t="s">
        <v>734</v>
      </c>
      <c r="AH333" s="2" t="s">
        <v>734</v>
      </c>
      <c r="AI333" s="2" t="s">
        <v>734</v>
      </c>
    </row>
    <row r="334" spans="2:35" x14ac:dyDescent="0.25">
      <c r="B334" t="s">
        <v>1269</v>
      </c>
      <c r="C334" t="s">
        <v>356</v>
      </c>
      <c r="D334">
        <v>39413</v>
      </c>
      <c r="E334" t="s">
        <v>377</v>
      </c>
      <c r="F334" t="s">
        <v>378</v>
      </c>
      <c r="G334" t="s">
        <v>378</v>
      </c>
      <c r="H334" t="s">
        <v>955</v>
      </c>
      <c r="I334">
        <v>899408</v>
      </c>
      <c r="J334">
        <v>900665</v>
      </c>
      <c r="K334">
        <v>902721</v>
      </c>
      <c r="L334">
        <v>904150</v>
      </c>
      <c r="M334">
        <v>905765</v>
      </c>
      <c r="N334">
        <v>907365</v>
      </c>
      <c r="O334">
        <v>908912</v>
      </c>
      <c r="P334">
        <v>910463</v>
      </c>
      <c r="Q334">
        <v>911970</v>
      </c>
      <c r="R334">
        <v>913706</v>
      </c>
      <c r="X334">
        <v>1257</v>
      </c>
      <c r="Y334">
        <v>2056</v>
      </c>
      <c r="Z334">
        <v>1429</v>
      </c>
      <c r="AA334">
        <v>1615</v>
      </c>
      <c r="AB334">
        <v>1600</v>
      </c>
      <c r="AC334">
        <v>1547</v>
      </c>
      <c r="AD334">
        <v>1551</v>
      </c>
      <c r="AE334">
        <v>1507</v>
      </c>
      <c r="AF334">
        <v>1736</v>
      </c>
      <c r="AG334" s="2" t="s">
        <v>734</v>
      </c>
      <c r="AH334" s="2" t="s">
        <v>734</v>
      </c>
      <c r="AI334" s="2" t="s">
        <v>734</v>
      </c>
    </row>
    <row r="335" spans="2:35" x14ac:dyDescent="0.25">
      <c r="B335">
        <v>95589698</v>
      </c>
      <c r="C335" t="s">
        <v>356</v>
      </c>
      <c r="D335">
        <v>39471</v>
      </c>
      <c r="E335" t="s">
        <v>379</v>
      </c>
      <c r="F335" t="s">
        <v>380</v>
      </c>
      <c r="G335"/>
      <c r="H335" t="s">
        <v>950</v>
      </c>
      <c r="I335">
        <v>5837416</v>
      </c>
      <c r="J335">
        <v>5866300</v>
      </c>
      <c r="K335">
        <v>5892084</v>
      </c>
      <c r="L335">
        <v>5923665</v>
      </c>
      <c r="M335">
        <v>5956278</v>
      </c>
      <c r="N335">
        <v>5986343</v>
      </c>
      <c r="O335">
        <v>6019193</v>
      </c>
      <c r="P335">
        <v>6051587</v>
      </c>
      <c r="Q335">
        <v>6087835</v>
      </c>
      <c r="R335">
        <v>6122468</v>
      </c>
      <c r="X335">
        <v>28884</v>
      </c>
      <c r="Y335">
        <v>25784</v>
      </c>
      <c r="Z335">
        <v>31581</v>
      </c>
      <c r="AA335">
        <v>32613</v>
      </c>
      <c r="AB335">
        <v>30065</v>
      </c>
      <c r="AC335">
        <v>32850</v>
      </c>
      <c r="AD335">
        <v>32394</v>
      </c>
      <c r="AE335">
        <v>36248</v>
      </c>
      <c r="AF335">
        <v>34633</v>
      </c>
      <c r="AG335" s="2" t="s">
        <v>734</v>
      </c>
      <c r="AH335" s="2" t="s">
        <v>734</v>
      </c>
      <c r="AI335" s="2" t="s">
        <v>734</v>
      </c>
    </row>
    <row r="336" spans="2:35" x14ac:dyDescent="0.25">
      <c r="B336" t="s">
        <v>1271</v>
      </c>
      <c r="C336" t="s">
        <v>356</v>
      </c>
      <c r="D336">
        <v>39486</v>
      </c>
      <c r="E336" t="s">
        <v>369</v>
      </c>
      <c r="F336" t="s">
        <v>370</v>
      </c>
      <c r="G336" t="s">
        <v>1353</v>
      </c>
      <c r="H336" t="s">
        <v>1352</v>
      </c>
      <c r="I336"/>
      <c r="J336"/>
      <c r="K336"/>
      <c r="L336"/>
      <c r="M336"/>
      <c r="N336">
        <v>2114151</v>
      </c>
      <c r="O336">
        <v>2127503</v>
      </c>
      <c r="P336">
        <v>2143371</v>
      </c>
      <c r="Q336">
        <v>2161042</v>
      </c>
      <c r="R336">
        <v>2177366</v>
      </c>
      <c r="X336" t="s">
        <v>734</v>
      </c>
      <c r="Y336" t="s">
        <v>734</v>
      </c>
      <c r="Z336" t="s">
        <v>734</v>
      </c>
      <c r="AA336" t="s">
        <v>734</v>
      </c>
      <c r="AB336" t="s">
        <v>734</v>
      </c>
      <c r="AC336">
        <v>13352</v>
      </c>
      <c r="AD336">
        <v>15868</v>
      </c>
      <c r="AE336">
        <v>17671</v>
      </c>
      <c r="AF336">
        <v>16324</v>
      </c>
      <c r="AG336" s="2" t="s">
        <v>734</v>
      </c>
      <c r="AH336" s="2" t="s">
        <v>734</v>
      </c>
      <c r="AI336" s="2" t="s">
        <v>734</v>
      </c>
    </row>
    <row r="337" spans="2:35" x14ac:dyDescent="0.25">
      <c r="B337" t="s">
        <v>1266</v>
      </c>
      <c r="C337" t="s">
        <v>356</v>
      </c>
      <c r="D337">
        <v>39509</v>
      </c>
      <c r="E337" t="s">
        <v>1046</v>
      </c>
      <c r="F337" t="s">
        <v>868</v>
      </c>
      <c r="G337"/>
      <c r="H337" t="s">
        <v>1114</v>
      </c>
      <c r="I337">
        <v>92895</v>
      </c>
      <c r="J337">
        <v>101478</v>
      </c>
      <c r="K337">
        <v>110692</v>
      </c>
      <c r="L337">
        <v>123228</v>
      </c>
      <c r="M337">
        <v>138325</v>
      </c>
      <c r="N337">
        <v>151766</v>
      </c>
      <c r="O337">
        <v>162135</v>
      </c>
      <c r="P337">
        <v>173618</v>
      </c>
      <c r="Q337">
        <v>186923</v>
      </c>
      <c r="R337"/>
      <c r="X337">
        <v>8583</v>
      </c>
      <c r="Y337">
        <v>9214</v>
      </c>
      <c r="Z337">
        <v>12536</v>
      </c>
      <c r="AA337">
        <v>15097</v>
      </c>
      <c r="AB337">
        <v>13441</v>
      </c>
      <c r="AC337">
        <v>10369</v>
      </c>
      <c r="AD337">
        <v>11483</v>
      </c>
      <c r="AE337">
        <v>13305</v>
      </c>
      <c r="AF337" t="s">
        <v>734</v>
      </c>
      <c r="AG337" s="2" t="s">
        <v>734</v>
      </c>
      <c r="AH337" s="2" t="s">
        <v>734</v>
      </c>
      <c r="AI337" s="2" t="s">
        <v>734</v>
      </c>
    </row>
    <row r="338" spans="2:35" x14ac:dyDescent="0.25">
      <c r="B338" t="s">
        <v>1274</v>
      </c>
      <c r="C338" t="s">
        <v>356</v>
      </c>
      <c r="D338">
        <v>39514</v>
      </c>
      <c r="E338" t="s">
        <v>381</v>
      </c>
      <c r="F338" t="s">
        <v>876</v>
      </c>
      <c r="G338"/>
      <c r="H338" t="s">
        <v>962</v>
      </c>
      <c r="I338">
        <v>6438581</v>
      </c>
      <c r="J338">
        <v>6455272</v>
      </c>
      <c r="K338">
        <v>6568207</v>
      </c>
      <c r="L338">
        <v>6616408</v>
      </c>
      <c r="M338">
        <v>6690544</v>
      </c>
      <c r="N338">
        <v>6732495</v>
      </c>
      <c r="O338">
        <v>6772714</v>
      </c>
      <c r="P338">
        <v>6821943</v>
      </c>
      <c r="Q338">
        <v>6854607</v>
      </c>
      <c r="R338">
        <v>6902078</v>
      </c>
      <c r="X338">
        <v>16691</v>
      </c>
      <c r="Y338">
        <v>112935</v>
      </c>
      <c r="Z338">
        <v>48201</v>
      </c>
      <c r="AA338">
        <v>74136</v>
      </c>
      <c r="AB338">
        <v>41951</v>
      </c>
      <c r="AC338">
        <v>40219</v>
      </c>
      <c r="AD338">
        <v>49229</v>
      </c>
      <c r="AE338">
        <v>32664</v>
      </c>
      <c r="AF338">
        <v>47471</v>
      </c>
      <c r="AG338" s="2" t="s">
        <v>734</v>
      </c>
      <c r="AH338" s="2" t="s">
        <v>734</v>
      </c>
      <c r="AI338" s="2" t="s">
        <v>734</v>
      </c>
    </row>
    <row r="339" spans="2:35" x14ac:dyDescent="0.25">
      <c r="B339">
        <v>95589723</v>
      </c>
      <c r="C339" t="s">
        <v>356</v>
      </c>
      <c r="D339">
        <v>39667</v>
      </c>
      <c r="E339" t="s">
        <v>108</v>
      </c>
      <c r="F339" t="s">
        <v>362</v>
      </c>
      <c r="G339"/>
      <c r="H339" t="s">
        <v>953</v>
      </c>
      <c r="I339">
        <v>84411211</v>
      </c>
      <c r="J339">
        <v>84868187</v>
      </c>
      <c r="K339">
        <v>85743935</v>
      </c>
      <c r="L339">
        <v>86600074</v>
      </c>
      <c r="M339">
        <v>87577861</v>
      </c>
      <c r="N339">
        <v>88463497</v>
      </c>
      <c r="O339">
        <v>89355053</v>
      </c>
      <c r="P339">
        <v>90336422</v>
      </c>
      <c r="Q339">
        <v>91506503</v>
      </c>
      <c r="R339">
        <v>92573213</v>
      </c>
      <c r="X339">
        <v>456976</v>
      </c>
      <c r="Y339">
        <v>875748</v>
      </c>
      <c r="Z339">
        <v>856139</v>
      </c>
      <c r="AA339">
        <v>977787</v>
      </c>
      <c r="AB339">
        <v>885636</v>
      </c>
      <c r="AC339">
        <v>891556</v>
      </c>
      <c r="AD339">
        <v>981369</v>
      </c>
      <c r="AE339">
        <v>1170081</v>
      </c>
      <c r="AF339">
        <v>1066710</v>
      </c>
      <c r="AG339" s="2" t="s">
        <v>734</v>
      </c>
      <c r="AH339" s="2" t="s">
        <v>734</v>
      </c>
      <c r="AI339" s="2" t="s">
        <v>734</v>
      </c>
    </row>
    <row r="340" spans="2:35" x14ac:dyDescent="0.25">
      <c r="B340">
        <v>95589730</v>
      </c>
      <c r="C340" t="s">
        <v>356</v>
      </c>
      <c r="D340">
        <v>39729</v>
      </c>
      <c r="E340" t="s">
        <v>375</v>
      </c>
      <c r="F340" t="s">
        <v>376</v>
      </c>
      <c r="G340"/>
      <c r="H340" t="s">
        <v>961</v>
      </c>
      <c r="I340">
        <v>6877654</v>
      </c>
      <c r="J340">
        <v>6907607</v>
      </c>
      <c r="K340">
        <v>6962662</v>
      </c>
      <c r="L340">
        <v>7006492</v>
      </c>
      <c r="M340">
        <v>7044688</v>
      </c>
      <c r="N340">
        <v>7087545</v>
      </c>
      <c r="O340">
        <v>7148990</v>
      </c>
      <c r="P340">
        <v>7256363</v>
      </c>
      <c r="Q340">
        <v>7386585</v>
      </c>
      <c r="R340">
        <v>7505905</v>
      </c>
      <c r="X340">
        <v>29953</v>
      </c>
      <c r="Y340">
        <v>55055</v>
      </c>
      <c r="Z340">
        <v>43830</v>
      </c>
      <c r="AA340">
        <v>38196</v>
      </c>
      <c r="AB340">
        <v>42857</v>
      </c>
      <c r="AC340">
        <v>61445</v>
      </c>
      <c r="AD340">
        <v>107373</v>
      </c>
      <c r="AE340">
        <v>130222</v>
      </c>
      <c r="AF340">
        <v>119320</v>
      </c>
      <c r="AG340" s="2" t="s">
        <v>734</v>
      </c>
      <c r="AH340" s="2" t="s">
        <v>734</v>
      </c>
      <c r="AI340" s="2" t="s">
        <v>734</v>
      </c>
    </row>
    <row r="341" spans="2:35" x14ac:dyDescent="0.25">
      <c r="B341" t="s">
        <v>1279</v>
      </c>
      <c r="C341" t="s">
        <v>356</v>
      </c>
      <c r="D341">
        <v>39760</v>
      </c>
      <c r="E341" t="s">
        <v>192</v>
      </c>
      <c r="F341" t="s">
        <v>387</v>
      </c>
      <c r="G341" t="s">
        <v>866</v>
      </c>
      <c r="H341" t="s">
        <v>939</v>
      </c>
      <c r="I341">
        <v>138624110</v>
      </c>
      <c r="J341">
        <v>139522347</v>
      </c>
      <c r="K341">
        <v>141337526</v>
      </c>
      <c r="L341">
        <v>143127585</v>
      </c>
      <c r="M341">
        <v>145163245</v>
      </c>
      <c r="N341">
        <v>147198774</v>
      </c>
      <c r="O341">
        <v>149497948</v>
      </c>
      <c r="P341">
        <v>151846587</v>
      </c>
      <c r="Q341">
        <v>154247084</v>
      </c>
      <c r="R341">
        <v>156461091</v>
      </c>
      <c r="X341">
        <v>898237</v>
      </c>
      <c r="Y341">
        <v>1815179</v>
      </c>
      <c r="Z341">
        <v>1790059</v>
      </c>
      <c r="AA341">
        <v>2035660</v>
      </c>
      <c r="AB341">
        <v>2035529</v>
      </c>
      <c r="AC341">
        <v>2299174</v>
      </c>
      <c r="AD341">
        <v>2348639</v>
      </c>
      <c r="AE341">
        <v>2400497</v>
      </c>
      <c r="AF341">
        <v>2214007</v>
      </c>
      <c r="AG341" s="2" t="s">
        <v>734</v>
      </c>
      <c r="AH341" s="2" t="s">
        <v>734</v>
      </c>
      <c r="AI341" s="2" t="s">
        <v>734</v>
      </c>
    </row>
    <row r="342" spans="2:35" x14ac:dyDescent="0.25">
      <c r="B342">
        <v>5355250</v>
      </c>
      <c r="C342" t="s">
        <v>535</v>
      </c>
      <c r="D342">
        <v>2</v>
      </c>
      <c r="E342" t="s">
        <v>536</v>
      </c>
      <c r="F342"/>
      <c r="G342"/>
      <c r="H342"/>
      <c r="I342">
        <v>14113</v>
      </c>
      <c r="J342">
        <v>14113</v>
      </c>
      <c r="K342">
        <v>14115</v>
      </c>
      <c r="L342">
        <v>14162</v>
      </c>
      <c r="M342">
        <v>14209</v>
      </c>
      <c r="N342">
        <v>14259</v>
      </c>
      <c r="O342">
        <v>14303</v>
      </c>
      <c r="P342">
        <v>14339</v>
      </c>
      <c r="Q342">
        <v>14386</v>
      </c>
      <c r="R342">
        <v>14398</v>
      </c>
      <c r="X342">
        <v>0</v>
      </c>
      <c r="Y342">
        <v>40</v>
      </c>
      <c r="Z342">
        <v>940</v>
      </c>
      <c r="AA342">
        <v>940</v>
      </c>
      <c r="AB342">
        <v>1000</v>
      </c>
      <c r="AC342">
        <v>880</v>
      </c>
      <c r="AD342">
        <v>720</v>
      </c>
      <c r="AE342">
        <v>940</v>
      </c>
      <c r="AF342">
        <v>240</v>
      </c>
      <c r="AG342" s="2" t="s">
        <v>734</v>
      </c>
      <c r="AH342" s="2" t="s">
        <v>734</v>
      </c>
      <c r="AI342" s="2" t="s">
        <v>734</v>
      </c>
    </row>
    <row r="343" spans="2:35" x14ac:dyDescent="0.25">
      <c r="B343">
        <v>5355251</v>
      </c>
      <c r="C343" t="s">
        <v>537</v>
      </c>
      <c r="D343">
        <v>2</v>
      </c>
      <c r="E343" t="s">
        <v>538</v>
      </c>
      <c r="F343"/>
      <c r="G343"/>
      <c r="H343"/>
      <c r="I343">
        <v>17089</v>
      </c>
      <c r="J343">
        <v>17089</v>
      </c>
      <c r="K343">
        <v>17089</v>
      </c>
      <c r="L343">
        <v>17089</v>
      </c>
      <c r="M343">
        <v>17089</v>
      </c>
      <c r="N343">
        <v>17089</v>
      </c>
      <c r="O343">
        <v>17089</v>
      </c>
      <c r="P343">
        <v>17089</v>
      </c>
      <c r="Q343">
        <v>17089</v>
      </c>
      <c r="R343">
        <v>17089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 s="2" t="s">
        <v>734</v>
      </c>
      <c r="AH343" s="2" t="s">
        <v>734</v>
      </c>
      <c r="AI343" s="2" t="s">
        <v>734</v>
      </c>
    </row>
    <row r="344" spans="2:35" x14ac:dyDescent="0.25">
      <c r="B344">
        <v>5356223</v>
      </c>
      <c r="C344" t="s">
        <v>539</v>
      </c>
      <c r="D344">
        <v>2</v>
      </c>
      <c r="E344" t="s">
        <v>540</v>
      </c>
      <c r="F344"/>
      <c r="G344"/>
      <c r="H344"/>
      <c r="I344">
        <v>6411</v>
      </c>
      <c r="J344">
        <v>6411</v>
      </c>
      <c r="K344">
        <v>6411</v>
      </c>
      <c r="L344">
        <v>6411</v>
      </c>
      <c r="M344">
        <v>6411</v>
      </c>
      <c r="N344">
        <v>6411</v>
      </c>
      <c r="O344">
        <v>6411</v>
      </c>
      <c r="P344">
        <v>6411</v>
      </c>
      <c r="Q344">
        <v>6411</v>
      </c>
      <c r="R344">
        <v>6411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 s="2" t="s">
        <v>734</v>
      </c>
      <c r="AH344" s="2" t="s">
        <v>734</v>
      </c>
      <c r="AI344" s="2" t="s">
        <v>734</v>
      </c>
    </row>
    <row r="345" spans="2:35" x14ac:dyDescent="0.25">
      <c r="B345">
        <v>17070</v>
      </c>
      <c r="C345" t="s">
        <v>541</v>
      </c>
      <c r="D345">
        <v>2</v>
      </c>
      <c r="E345" t="s">
        <v>557</v>
      </c>
      <c r="F345"/>
      <c r="G345" t="s">
        <v>65</v>
      </c>
      <c r="H345" t="s">
        <v>869</v>
      </c>
      <c r="I345"/>
      <c r="J345"/>
      <c r="K345"/>
      <c r="L345"/>
      <c r="M345"/>
      <c r="N345"/>
      <c r="O345"/>
      <c r="P345">
        <v>0</v>
      </c>
      <c r="Q345"/>
      <c r="R345">
        <v>139</v>
      </c>
      <c r="X345" t="s">
        <v>734</v>
      </c>
      <c r="Y345" t="s">
        <v>734</v>
      </c>
      <c r="Z345" t="s">
        <v>734</v>
      </c>
      <c r="AA345" t="s">
        <v>734</v>
      </c>
      <c r="AB345" t="s">
        <v>734</v>
      </c>
      <c r="AC345" t="s">
        <v>734</v>
      </c>
      <c r="AD345" t="s">
        <v>734</v>
      </c>
      <c r="AE345" t="s">
        <v>734</v>
      </c>
      <c r="AF345" t="s">
        <v>734</v>
      </c>
      <c r="AG345" s="2" t="s">
        <v>734</v>
      </c>
      <c r="AH345" s="2" t="s">
        <v>734</v>
      </c>
      <c r="AI345" s="2" t="s">
        <v>734</v>
      </c>
    </row>
    <row r="346" spans="2:35" x14ac:dyDescent="0.25">
      <c r="B346">
        <v>61560</v>
      </c>
      <c r="C346" t="s">
        <v>541</v>
      </c>
      <c r="D346">
        <v>39945</v>
      </c>
      <c r="E346" t="s">
        <v>550</v>
      </c>
      <c r="F346" t="s">
        <v>551</v>
      </c>
      <c r="G346"/>
      <c r="H346"/>
      <c r="I346">
        <v>1135</v>
      </c>
      <c r="J346">
        <v>1135</v>
      </c>
      <c r="K346">
        <v>1135</v>
      </c>
      <c r="L346">
        <v>1135</v>
      </c>
      <c r="M346">
        <v>1135</v>
      </c>
      <c r="N346">
        <v>1135</v>
      </c>
      <c r="O346">
        <v>1135</v>
      </c>
      <c r="P346">
        <v>1135</v>
      </c>
      <c r="Q346">
        <v>1135</v>
      </c>
      <c r="R346">
        <v>1135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 s="2" t="s">
        <v>734</v>
      </c>
      <c r="AH346" s="2" t="s">
        <v>734</v>
      </c>
      <c r="AI346" s="2" t="s">
        <v>734</v>
      </c>
    </row>
    <row r="347" spans="2:35" x14ac:dyDescent="0.25">
      <c r="B347">
        <v>57868732</v>
      </c>
      <c r="C347" t="s">
        <v>541</v>
      </c>
      <c r="D347">
        <v>39939</v>
      </c>
      <c r="E347" t="s">
        <v>548</v>
      </c>
      <c r="F347" t="s">
        <v>549</v>
      </c>
      <c r="G347"/>
      <c r="H347"/>
      <c r="I347">
        <v>10456</v>
      </c>
      <c r="J347">
        <v>10489</v>
      </c>
      <c r="K347">
        <v>10573</v>
      </c>
      <c r="L347">
        <v>10644</v>
      </c>
      <c r="M347">
        <v>10682</v>
      </c>
      <c r="N347">
        <v>10748</v>
      </c>
      <c r="O347">
        <v>10818</v>
      </c>
      <c r="P347">
        <v>10972</v>
      </c>
      <c r="Q347">
        <v>11165</v>
      </c>
      <c r="R347">
        <v>11329</v>
      </c>
      <c r="X347">
        <v>33</v>
      </c>
      <c r="Y347">
        <v>84</v>
      </c>
      <c r="Z347">
        <v>71</v>
      </c>
      <c r="AA347">
        <v>38</v>
      </c>
      <c r="AB347">
        <v>66</v>
      </c>
      <c r="AC347">
        <v>70</v>
      </c>
      <c r="AD347">
        <v>154</v>
      </c>
      <c r="AE347">
        <v>193</v>
      </c>
      <c r="AF347">
        <v>164</v>
      </c>
      <c r="AG347" s="2" t="s">
        <v>734</v>
      </c>
      <c r="AH347" s="2" t="s">
        <v>734</v>
      </c>
      <c r="AI347" s="2" t="s">
        <v>734</v>
      </c>
    </row>
    <row r="348" spans="2:35" x14ac:dyDescent="0.25">
      <c r="B348">
        <v>62079903</v>
      </c>
      <c r="C348" t="s">
        <v>541</v>
      </c>
      <c r="D348">
        <v>2</v>
      </c>
      <c r="E348" t="s">
        <v>1174</v>
      </c>
      <c r="F348" t="s">
        <v>1173</v>
      </c>
      <c r="G348"/>
      <c r="H348"/>
      <c r="I348"/>
      <c r="J348"/>
      <c r="K348">
        <v>54</v>
      </c>
      <c r="L348"/>
      <c r="M348"/>
      <c r="N348"/>
      <c r="O348"/>
      <c r="P348">
        <v>0</v>
      </c>
      <c r="Q348"/>
      <c r="R348"/>
      <c r="X348" t="s">
        <v>734</v>
      </c>
      <c r="Y348" t="s">
        <v>734</v>
      </c>
      <c r="Z348" t="s">
        <v>734</v>
      </c>
      <c r="AA348" t="s">
        <v>734</v>
      </c>
      <c r="AB348" t="s">
        <v>734</v>
      </c>
      <c r="AC348" t="s">
        <v>734</v>
      </c>
      <c r="AD348" t="s">
        <v>734</v>
      </c>
      <c r="AE348" t="s">
        <v>734</v>
      </c>
      <c r="AF348" t="s">
        <v>734</v>
      </c>
      <c r="AG348" s="2" t="s">
        <v>734</v>
      </c>
      <c r="AH348" s="2" t="s">
        <v>734</v>
      </c>
      <c r="AI348" s="2" t="s">
        <v>734</v>
      </c>
    </row>
    <row r="349" spans="2:35" x14ac:dyDescent="0.25">
      <c r="B349">
        <v>78126109</v>
      </c>
      <c r="C349" t="s">
        <v>541</v>
      </c>
      <c r="D349">
        <v>39582</v>
      </c>
      <c r="E349" t="s">
        <v>1198</v>
      </c>
      <c r="F349" t="s">
        <v>561</v>
      </c>
      <c r="G349"/>
      <c r="H349" t="s">
        <v>1199</v>
      </c>
      <c r="I349"/>
      <c r="J349"/>
      <c r="K349">
        <v>402294</v>
      </c>
      <c r="L349">
        <v>404117</v>
      </c>
      <c r="M349">
        <v>408558</v>
      </c>
      <c r="N349">
        <v>411457</v>
      </c>
      <c r="O349">
        <v>414779</v>
      </c>
      <c r="P349">
        <v>417686</v>
      </c>
      <c r="Q349">
        <v>420738</v>
      </c>
      <c r="R349">
        <v>424838</v>
      </c>
      <c r="X349" t="s">
        <v>734</v>
      </c>
      <c r="Y349" t="s">
        <v>734</v>
      </c>
      <c r="Z349">
        <v>1823</v>
      </c>
      <c r="AA349">
        <v>4441</v>
      </c>
      <c r="AB349">
        <v>2899</v>
      </c>
      <c r="AC349">
        <v>3322</v>
      </c>
      <c r="AD349">
        <v>2907</v>
      </c>
      <c r="AE349">
        <v>3052</v>
      </c>
      <c r="AF349">
        <v>4100</v>
      </c>
      <c r="AG349" s="2" t="s">
        <v>734</v>
      </c>
      <c r="AH349" s="2" t="s">
        <v>734</v>
      </c>
      <c r="AI349" s="2" t="s">
        <v>734</v>
      </c>
    </row>
    <row r="350" spans="2:35" x14ac:dyDescent="0.25">
      <c r="B350">
        <v>78126109</v>
      </c>
      <c r="C350" t="s">
        <v>541</v>
      </c>
      <c r="D350">
        <v>39919</v>
      </c>
      <c r="E350" t="s">
        <v>546</v>
      </c>
      <c r="F350" t="s">
        <v>547</v>
      </c>
      <c r="G350"/>
      <c r="H350" t="s">
        <v>1140</v>
      </c>
      <c r="I350">
        <v>398851</v>
      </c>
      <c r="J350">
        <v>399459</v>
      </c>
      <c r="K350">
        <v>402294</v>
      </c>
      <c r="L350"/>
      <c r="M350"/>
      <c r="N350"/>
      <c r="O350"/>
      <c r="P350"/>
      <c r="Q350"/>
      <c r="R350"/>
      <c r="X350">
        <v>608</v>
      </c>
      <c r="Y350">
        <v>2835</v>
      </c>
      <c r="Z350" t="s">
        <v>734</v>
      </c>
      <c r="AA350" t="s">
        <v>734</v>
      </c>
      <c r="AB350" t="s">
        <v>734</v>
      </c>
      <c r="AC350" t="s">
        <v>734</v>
      </c>
      <c r="AD350" t="s">
        <v>734</v>
      </c>
      <c r="AE350" t="s">
        <v>734</v>
      </c>
      <c r="AF350" t="s">
        <v>734</v>
      </c>
      <c r="AG350" s="2" t="s">
        <v>734</v>
      </c>
      <c r="AH350" s="2" t="s">
        <v>734</v>
      </c>
      <c r="AI350" s="2" t="s">
        <v>734</v>
      </c>
    </row>
    <row r="351" spans="2:35" x14ac:dyDescent="0.25">
      <c r="B351">
        <v>99561366</v>
      </c>
      <c r="C351" t="s">
        <v>541</v>
      </c>
      <c r="D351">
        <v>39966</v>
      </c>
      <c r="E351" t="s">
        <v>518</v>
      </c>
      <c r="F351" t="s">
        <v>547</v>
      </c>
      <c r="G351" t="s">
        <v>552</v>
      </c>
      <c r="H351" t="s">
        <v>867</v>
      </c>
      <c r="I351">
        <v>49335</v>
      </c>
      <c r="J351">
        <v>49335</v>
      </c>
      <c r="K351">
        <v>49335</v>
      </c>
      <c r="L351">
        <v>49335</v>
      </c>
      <c r="M351">
        <v>49335</v>
      </c>
      <c r="N351">
        <v>49335</v>
      </c>
      <c r="O351">
        <v>49335</v>
      </c>
      <c r="P351">
        <v>49335</v>
      </c>
      <c r="Q351">
        <v>49335</v>
      </c>
      <c r="R351">
        <v>49335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 s="2" t="s">
        <v>734</v>
      </c>
      <c r="AH351" s="2" t="s">
        <v>734</v>
      </c>
      <c r="AI351" s="2" t="s">
        <v>734</v>
      </c>
    </row>
    <row r="352" spans="2:35" x14ac:dyDescent="0.25">
      <c r="B352">
        <v>99561370</v>
      </c>
      <c r="C352" t="s">
        <v>541</v>
      </c>
      <c r="D352">
        <v>39376</v>
      </c>
      <c r="E352" t="s">
        <v>1198</v>
      </c>
      <c r="F352"/>
      <c r="G352" t="s">
        <v>1282</v>
      </c>
      <c r="H352" t="s">
        <v>1199</v>
      </c>
      <c r="I352"/>
      <c r="J352"/>
      <c r="K352">
        <v>179765</v>
      </c>
      <c r="L352">
        <v>181624</v>
      </c>
      <c r="M352">
        <v>183545</v>
      </c>
      <c r="N352">
        <v>185230</v>
      </c>
      <c r="O352">
        <v>186996</v>
      </c>
      <c r="P352">
        <v>188150</v>
      </c>
      <c r="Q352">
        <v>189740</v>
      </c>
      <c r="R352"/>
      <c r="X352" t="s">
        <v>734</v>
      </c>
      <c r="Y352" t="s">
        <v>734</v>
      </c>
      <c r="Z352">
        <v>1859</v>
      </c>
      <c r="AA352">
        <v>1921</v>
      </c>
      <c r="AB352">
        <v>1685</v>
      </c>
      <c r="AC352">
        <v>1766</v>
      </c>
      <c r="AD352">
        <v>1154</v>
      </c>
      <c r="AE352">
        <v>1590</v>
      </c>
      <c r="AF352" t="s">
        <v>734</v>
      </c>
      <c r="AG352" s="2" t="s">
        <v>734</v>
      </c>
      <c r="AH352" s="2" t="s">
        <v>734</v>
      </c>
      <c r="AI352" s="2" t="s">
        <v>734</v>
      </c>
    </row>
    <row r="353" spans="2:35" x14ac:dyDescent="0.25">
      <c r="B353">
        <v>99561370</v>
      </c>
      <c r="C353" t="s">
        <v>541</v>
      </c>
      <c r="D353">
        <v>39967</v>
      </c>
      <c r="E353" t="s">
        <v>546</v>
      </c>
      <c r="F353" t="s">
        <v>553</v>
      </c>
      <c r="G353"/>
      <c r="H353" t="s">
        <v>1140</v>
      </c>
      <c r="I353">
        <v>176392</v>
      </c>
      <c r="J353">
        <v>177688</v>
      </c>
      <c r="K353">
        <v>179765</v>
      </c>
      <c r="L353"/>
      <c r="M353"/>
      <c r="N353"/>
      <c r="O353"/>
      <c r="P353"/>
      <c r="Q353"/>
      <c r="R353"/>
      <c r="X353">
        <v>1296</v>
      </c>
      <c r="Y353">
        <v>2077</v>
      </c>
      <c r="Z353" t="s">
        <v>734</v>
      </c>
      <c r="AA353" t="s">
        <v>734</v>
      </c>
      <c r="AB353" t="s">
        <v>734</v>
      </c>
      <c r="AC353" t="s">
        <v>734</v>
      </c>
      <c r="AD353" t="s">
        <v>734</v>
      </c>
      <c r="AE353" t="s">
        <v>734</v>
      </c>
      <c r="AF353" t="s">
        <v>734</v>
      </c>
      <c r="AG353" s="2" t="s">
        <v>734</v>
      </c>
      <c r="AH353" s="2" t="s">
        <v>734</v>
      </c>
      <c r="AI353" s="2" t="s">
        <v>734</v>
      </c>
    </row>
    <row r="354" spans="2:35" x14ac:dyDescent="0.25">
      <c r="B354">
        <v>106230738</v>
      </c>
      <c r="C354" t="s">
        <v>541</v>
      </c>
      <c r="D354">
        <v>39354</v>
      </c>
      <c r="E354" t="s">
        <v>542</v>
      </c>
      <c r="F354" t="s">
        <v>543</v>
      </c>
      <c r="G354"/>
      <c r="H354"/>
      <c r="I354">
        <v>84043</v>
      </c>
      <c r="J354">
        <v>84043</v>
      </c>
      <c r="K354">
        <v>84043</v>
      </c>
      <c r="L354">
        <v>84043</v>
      </c>
      <c r="M354">
        <v>84043</v>
      </c>
      <c r="N354">
        <v>84043</v>
      </c>
      <c r="O354">
        <v>84043</v>
      </c>
      <c r="P354">
        <v>84043</v>
      </c>
      <c r="Q354">
        <v>84043</v>
      </c>
      <c r="R354">
        <v>84043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 s="2" t="s">
        <v>734</v>
      </c>
      <c r="AH354" s="2" t="s">
        <v>734</v>
      </c>
      <c r="AI354" s="2" t="s">
        <v>734</v>
      </c>
    </row>
    <row r="355" spans="2:35" x14ac:dyDescent="0.25">
      <c r="B355" t="s">
        <v>1377</v>
      </c>
      <c r="C355" t="s">
        <v>541</v>
      </c>
      <c r="D355">
        <v>39510</v>
      </c>
      <c r="E355" t="s">
        <v>1198</v>
      </c>
      <c r="F355" t="s">
        <v>1379</v>
      </c>
      <c r="G355"/>
      <c r="H355"/>
      <c r="I355"/>
      <c r="J355"/>
      <c r="K355"/>
      <c r="L355"/>
      <c r="M355"/>
      <c r="N355"/>
      <c r="O355">
        <v>239</v>
      </c>
      <c r="P355">
        <v>263</v>
      </c>
      <c r="Q355">
        <v>263</v>
      </c>
      <c r="R355"/>
      <c r="X355" t="s">
        <v>734</v>
      </c>
      <c r="Y355" t="s">
        <v>734</v>
      </c>
      <c r="Z355" t="s">
        <v>734</v>
      </c>
      <c r="AA355" t="s">
        <v>734</v>
      </c>
      <c r="AB355" t="s">
        <v>734</v>
      </c>
      <c r="AC355" t="s">
        <v>734</v>
      </c>
      <c r="AD355">
        <v>24</v>
      </c>
      <c r="AE355">
        <v>0</v>
      </c>
      <c r="AF355" t="s">
        <v>734</v>
      </c>
      <c r="AG355" s="2" t="s">
        <v>734</v>
      </c>
      <c r="AH355" s="2" t="s">
        <v>734</v>
      </c>
      <c r="AI355" s="2" t="s">
        <v>734</v>
      </c>
    </row>
    <row r="356" spans="2:35" x14ac:dyDescent="0.25">
      <c r="B356" t="s">
        <v>1141</v>
      </c>
      <c r="C356" t="s">
        <v>541</v>
      </c>
      <c r="D356">
        <v>2</v>
      </c>
      <c r="E356" t="s">
        <v>554</v>
      </c>
      <c r="F356" t="s">
        <v>555</v>
      </c>
      <c r="G356" t="s">
        <v>1142</v>
      </c>
      <c r="H356"/>
      <c r="I356">
        <v>79</v>
      </c>
      <c r="J356">
        <v>79</v>
      </c>
      <c r="K356">
        <v>79</v>
      </c>
      <c r="L356">
        <v>79</v>
      </c>
      <c r="M356">
        <v>79</v>
      </c>
      <c r="N356">
        <v>79</v>
      </c>
      <c r="O356">
        <v>79</v>
      </c>
      <c r="P356">
        <v>79</v>
      </c>
      <c r="Q356">
        <v>79</v>
      </c>
      <c r="R356">
        <v>79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 s="2" t="s">
        <v>734</v>
      </c>
      <c r="AH356" s="2" t="s">
        <v>734</v>
      </c>
      <c r="AI356" s="2" t="s">
        <v>734</v>
      </c>
    </row>
    <row r="357" spans="2:35" x14ac:dyDescent="0.25">
      <c r="B357" t="s">
        <v>395</v>
      </c>
      <c r="C357" t="s">
        <v>541</v>
      </c>
      <c r="D357">
        <v>39901</v>
      </c>
      <c r="E357" t="s">
        <v>544</v>
      </c>
      <c r="F357" t="s">
        <v>545</v>
      </c>
      <c r="G357"/>
      <c r="H357"/>
      <c r="I357">
        <v>978230</v>
      </c>
      <c r="J357">
        <v>998050</v>
      </c>
      <c r="K357">
        <v>998050</v>
      </c>
      <c r="L357">
        <v>998050</v>
      </c>
      <c r="M357">
        <v>989137</v>
      </c>
      <c r="N357">
        <v>992679</v>
      </c>
      <c r="O357"/>
      <c r="P357"/>
      <c r="Q357"/>
      <c r="R357">
        <v>11352</v>
      </c>
      <c r="X357">
        <v>19820</v>
      </c>
      <c r="Y357">
        <v>0</v>
      </c>
      <c r="Z357">
        <v>0</v>
      </c>
      <c r="AA357" t="s">
        <v>856</v>
      </c>
      <c r="AB357">
        <v>3542</v>
      </c>
      <c r="AC357" t="s">
        <v>734</v>
      </c>
      <c r="AD357" t="s">
        <v>734</v>
      </c>
      <c r="AE357" t="s">
        <v>734</v>
      </c>
      <c r="AF357" t="s">
        <v>734</v>
      </c>
      <c r="AG357" s="2" t="s">
        <v>734</v>
      </c>
      <c r="AH357" s="2" t="s">
        <v>734</v>
      </c>
      <c r="AI357" s="2" t="s">
        <v>734</v>
      </c>
    </row>
    <row r="358" spans="2:35" x14ac:dyDescent="0.25">
      <c r="B358" t="s">
        <v>1143</v>
      </c>
      <c r="C358" t="s">
        <v>541</v>
      </c>
      <c r="D358">
        <v>2</v>
      </c>
      <c r="E358" t="s">
        <v>558</v>
      </c>
      <c r="F358" t="s">
        <v>559</v>
      </c>
      <c r="G358"/>
      <c r="H358"/>
      <c r="I358"/>
      <c r="J358"/>
      <c r="K358"/>
      <c r="L358"/>
      <c r="M358"/>
      <c r="N358"/>
      <c r="O358"/>
      <c r="P358">
        <v>3744</v>
      </c>
      <c r="Q358">
        <v>3766</v>
      </c>
      <c r="R358">
        <v>3795</v>
      </c>
      <c r="X358" t="s">
        <v>734</v>
      </c>
      <c r="Y358" t="s">
        <v>734</v>
      </c>
      <c r="Z358" t="s">
        <v>734</v>
      </c>
      <c r="AA358" t="s">
        <v>734</v>
      </c>
      <c r="AB358" t="s">
        <v>734</v>
      </c>
      <c r="AC358" t="s">
        <v>734</v>
      </c>
      <c r="AD358" t="s">
        <v>734</v>
      </c>
      <c r="AE358">
        <v>440</v>
      </c>
      <c r="AF358">
        <v>580</v>
      </c>
      <c r="AG358" s="2" t="s">
        <v>734</v>
      </c>
      <c r="AH358" s="2" t="s">
        <v>734</v>
      </c>
      <c r="AI358" s="2" t="s">
        <v>734</v>
      </c>
    </row>
    <row r="359" spans="2:35" x14ac:dyDescent="0.25">
      <c r="B359" t="s">
        <v>1171</v>
      </c>
      <c r="C359" t="s">
        <v>541</v>
      </c>
      <c r="D359">
        <v>2</v>
      </c>
      <c r="E359" t="s">
        <v>1172</v>
      </c>
      <c r="F359"/>
      <c r="G359"/>
      <c r="H359"/>
      <c r="I359"/>
      <c r="J359"/>
      <c r="K359">
        <v>21982</v>
      </c>
      <c r="L359"/>
      <c r="M359"/>
      <c r="N359"/>
      <c r="O359"/>
      <c r="P359">
        <v>26670</v>
      </c>
      <c r="Q359"/>
      <c r="R359"/>
      <c r="X359" t="s">
        <v>734</v>
      </c>
      <c r="Y359" t="s">
        <v>734</v>
      </c>
      <c r="Z359" t="s">
        <v>734</v>
      </c>
      <c r="AA359" t="s">
        <v>734</v>
      </c>
      <c r="AB359" t="s">
        <v>734</v>
      </c>
      <c r="AC359" t="s">
        <v>734</v>
      </c>
      <c r="AD359" t="s">
        <v>734</v>
      </c>
      <c r="AE359" t="s">
        <v>734</v>
      </c>
      <c r="AF359" t="s">
        <v>734</v>
      </c>
      <c r="AG359" s="2" t="s">
        <v>734</v>
      </c>
      <c r="AH359" s="2" t="s">
        <v>734</v>
      </c>
      <c r="AI359" s="2" t="s">
        <v>734</v>
      </c>
    </row>
    <row r="360" spans="2:35" x14ac:dyDescent="0.25">
      <c r="C360" t="s">
        <v>541</v>
      </c>
      <c r="D360">
        <v>2</v>
      </c>
      <c r="E360" t="s">
        <v>556</v>
      </c>
      <c r="F360"/>
      <c r="G360"/>
      <c r="H360"/>
      <c r="I360">
        <v>135</v>
      </c>
      <c r="J360">
        <v>135</v>
      </c>
      <c r="K360">
        <v>136</v>
      </c>
      <c r="L360">
        <v>137</v>
      </c>
      <c r="M360">
        <v>137</v>
      </c>
      <c r="N360">
        <v>138</v>
      </c>
      <c r="O360">
        <v>138</v>
      </c>
      <c r="P360">
        <v>139</v>
      </c>
      <c r="Q360"/>
      <c r="R360"/>
      <c r="X360">
        <v>0</v>
      </c>
      <c r="Y360">
        <v>1</v>
      </c>
      <c r="Z360">
        <v>1</v>
      </c>
      <c r="AA360">
        <v>0</v>
      </c>
      <c r="AB360">
        <v>1</v>
      </c>
      <c r="AC360">
        <v>0</v>
      </c>
      <c r="AD360">
        <v>1</v>
      </c>
      <c r="AE360" t="s">
        <v>734</v>
      </c>
      <c r="AF360" t="s">
        <v>734</v>
      </c>
      <c r="AG360" s="2" t="s">
        <v>734</v>
      </c>
      <c r="AH360" s="2" t="s">
        <v>734</v>
      </c>
      <c r="AI360" s="2" t="s">
        <v>734</v>
      </c>
    </row>
    <row r="361" spans="2:35" x14ac:dyDescent="0.25">
      <c r="C361" t="s">
        <v>541</v>
      </c>
      <c r="D361">
        <v>2</v>
      </c>
      <c r="E361" t="s">
        <v>172</v>
      </c>
      <c r="F361"/>
      <c r="G361"/>
      <c r="H361"/>
      <c r="I361">
        <v>3531</v>
      </c>
      <c r="J361">
        <v>3549</v>
      </c>
      <c r="K361">
        <v>3581</v>
      </c>
      <c r="L361">
        <v>3612</v>
      </c>
      <c r="M361">
        <v>3650</v>
      </c>
      <c r="N361"/>
      <c r="O361"/>
      <c r="P361"/>
      <c r="Q361"/>
      <c r="R361"/>
      <c r="X361">
        <v>18</v>
      </c>
      <c r="Y361">
        <v>32</v>
      </c>
      <c r="Z361">
        <v>31</v>
      </c>
      <c r="AA361">
        <v>38</v>
      </c>
      <c r="AB361" t="s">
        <v>734</v>
      </c>
      <c r="AC361" t="s">
        <v>734</v>
      </c>
      <c r="AD361" t="s">
        <v>734</v>
      </c>
      <c r="AE361" t="s">
        <v>734</v>
      </c>
      <c r="AF361" t="s">
        <v>734</v>
      </c>
      <c r="AG361" s="2" t="s">
        <v>734</v>
      </c>
      <c r="AH361" s="2" t="s">
        <v>734</v>
      </c>
      <c r="AI361" s="2" t="s">
        <v>734</v>
      </c>
    </row>
    <row r="362" spans="2:35" x14ac:dyDescent="0.25">
      <c r="B362">
        <v>5669713</v>
      </c>
      <c r="C362" t="s">
        <v>560</v>
      </c>
      <c r="D362">
        <v>2</v>
      </c>
      <c r="E362" t="s">
        <v>569</v>
      </c>
      <c r="F362" t="s">
        <v>124</v>
      </c>
      <c r="G362"/>
      <c r="H362"/>
      <c r="I362">
        <v>14920</v>
      </c>
      <c r="J362">
        <v>15086</v>
      </c>
      <c r="K362">
        <v>15339</v>
      </c>
      <c r="L362">
        <v>15553</v>
      </c>
      <c r="M362">
        <v>15771</v>
      </c>
      <c r="N362">
        <v>15966</v>
      </c>
      <c r="O362">
        <v>16134</v>
      </c>
      <c r="P362">
        <v>16265</v>
      </c>
      <c r="Q362">
        <v>16393</v>
      </c>
      <c r="R362">
        <v>16513</v>
      </c>
      <c r="X362">
        <v>8300</v>
      </c>
      <c r="Y362">
        <v>12650</v>
      </c>
      <c r="Z362">
        <v>10700</v>
      </c>
      <c r="AA362">
        <v>10900</v>
      </c>
      <c r="AB362">
        <v>9750</v>
      </c>
      <c r="AC362">
        <v>8400</v>
      </c>
      <c r="AD362">
        <v>6550</v>
      </c>
      <c r="AE362">
        <v>6400</v>
      </c>
      <c r="AF362">
        <v>6000</v>
      </c>
      <c r="AG362" s="2" t="s">
        <v>734</v>
      </c>
      <c r="AH362" s="2" t="s">
        <v>734</v>
      </c>
      <c r="AI362" s="2" t="s">
        <v>734</v>
      </c>
    </row>
    <row r="363" spans="2:35" x14ac:dyDescent="0.25">
      <c r="B363">
        <v>20583312</v>
      </c>
      <c r="C363" t="s">
        <v>560</v>
      </c>
      <c r="D363">
        <v>39978</v>
      </c>
      <c r="E363" t="s">
        <v>565</v>
      </c>
      <c r="F363" t="s">
        <v>124</v>
      </c>
      <c r="G363" t="s">
        <v>567</v>
      </c>
      <c r="H363"/>
      <c r="I363">
        <v>4199</v>
      </c>
      <c r="J363">
        <v>4240</v>
      </c>
      <c r="K363">
        <v>4304</v>
      </c>
      <c r="L363">
        <v>4315</v>
      </c>
      <c r="M363">
        <v>4315</v>
      </c>
      <c r="N363">
        <v>4320</v>
      </c>
      <c r="O363">
        <v>4334</v>
      </c>
      <c r="P363">
        <v>4340</v>
      </c>
      <c r="Q363">
        <v>4350</v>
      </c>
      <c r="R363"/>
      <c r="X363">
        <v>820</v>
      </c>
      <c r="Y363">
        <v>1280</v>
      </c>
      <c r="Z363">
        <v>220</v>
      </c>
      <c r="AA363">
        <v>0</v>
      </c>
      <c r="AB363">
        <v>100</v>
      </c>
      <c r="AC363">
        <v>280</v>
      </c>
      <c r="AD363">
        <v>120</v>
      </c>
      <c r="AE363">
        <v>200</v>
      </c>
      <c r="AF363" t="s">
        <v>734</v>
      </c>
      <c r="AG363" s="2" t="s">
        <v>734</v>
      </c>
      <c r="AH363" s="2" t="s">
        <v>734</v>
      </c>
      <c r="AI363" s="2" t="s">
        <v>734</v>
      </c>
    </row>
    <row r="364" spans="2:35" x14ac:dyDescent="0.25">
      <c r="B364">
        <v>20583455</v>
      </c>
      <c r="C364" t="s">
        <v>560</v>
      </c>
      <c r="D364">
        <v>2</v>
      </c>
      <c r="E364" t="s">
        <v>568</v>
      </c>
      <c r="F364" t="s">
        <v>47</v>
      </c>
      <c r="G364" t="s">
        <v>1144</v>
      </c>
      <c r="H364"/>
      <c r="I364">
        <v>160490</v>
      </c>
      <c r="J364">
        <v>161093</v>
      </c>
      <c r="K364">
        <v>162035</v>
      </c>
      <c r="L364">
        <v>162791</v>
      </c>
      <c r="M364">
        <v>163510</v>
      </c>
      <c r="N364">
        <v>164078</v>
      </c>
      <c r="O364">
        <v>164604</v>
      </c>
      <c r="P364">
        <v>164938</v>
      </c>
      <c r="Q364">
        <v>165461</v>
      </c>
      <c r="R364">
        <v>166136</v>
      </c>
      <c r="X364">
        <v>603</v>
      </c>
      <c r="Y364">
        <v>942</v>
      </c>
      <c r="Z364">
        <v>756</v>
      </c>
      <c r="AA364">
        <v>719</v>
      </c>
      <c r="AB364">
        <v>568</v>
      </c>
      <c r="AC364">
        <v>526</v>
      </c>
      <c r="AD364">
        <v>334</v>
      </c>
      <c r="AE364">
        <v>523</v>
      </c>
      <c r="AF364">
        <v>675</v>
      </c>
      <c r="AG364" s="2" t="s">
        <v>734</v>
      </c>
      <c r="AH364" s="2" t="s">
        <v>734</v>
      </c>
      <c r="AI364" s="2" t="s">
        <v>734</v>
      </c>
    </row>
    <row r="365" spans="2:35" x14ac:dyDescent="0.25">
      <c r="B365">
        <v>63000131</v>
      </c>
      <c r="C365" t="s">
        <v>560</v>
      </c>
      <c r="D365">
        <v>39405</v>
      </c>
      <c r="E365" t="s">
        <v>367</v>
      </c>
      <c r="F365" t="s">
        <v>124</v>
      </c>
      <c r="G365" t="s">
        <v>561</v>
      </c>
      <c r="H365"/>
      <c r="I365">
        <v>301734</v>
      </c>
      <c r="J365">
        <v>302818</v>
      </c>
      <c r="K365">
        <v>305521</v>
      </c>
      <c r="L365">
        <v>307759</v>
      </c>
      <c r="M365">
        <v>309546</v>
      </c>
      <c r="N365">
        <v>310604</v>
      </c>
      <c r="O365">
        <v>311747</v>
      </c>
      <c r="P365">
        <v>313807</v>
      </c>
      <c r="Q365">
        <v>316379</v>
      </c>
      <c r="R365">
        <v>318712</v>
      </c>
      <c r="X365">
        <v>1084</v>
      </c>
      <c r="Y365">
        <v>2703</v>
      </c>
      <c r="Z365">
        <v>2238</v>
      </c>
      <c r="AA365">
        <v>1787</v>
      </c>
      <c r="AB365">
        <v>1058</v>
      </c>
      <c r="AC365">
        <v>1143</v>
      </c>
      <c r="AD365">
        <v>2060</v>
      </c>
      <c r="AE365">
        <v>2572</v>
      </c>
      <c r="AF365">
        <v>2333</v>
      </c>
      <c r="AG365" s="2" t="s">
        <v>734</v>
      </c>
      <c r="AH365" s="2" t="s">
        <v>734</v>
      </c>
      <c r="AI365" s="2" t="s">
        <v>734</v>
      </c>
    </row>
    <row r="366" spans="2:35" x14ac:dyDescent="0.25">
      <c r="B366">
        <v>83363214</v>
      </c>
      <c r="C366" t="s">
        <v>560</v>
      </c>
      <c r="D366">
        <v>39415</v>
      </c>
      <c r="E366" t="s">
        <v>562</v>
      </c>
      <c r="F366" t="s">
        <v>124</v>
      </c>
      <c r="G366" t="s">
        <v>1145</v>
      </c>
      <c r="H366"/>
      <c r="I366">
        <v>87738</v>
      </c>
      <c r="J366">
        <v>87898</v>
      </c>
      <c r="K366">
        <v>88160</v>
      </c>
      <c r="L366">
        <v>88411</v>
      </c>
      <c r="M366">
        <v>88734</v>
      </c>
      <c r="N366">
        <v>89112</v>
      </c>
      <c r="O366">
        <v>89635</v>
      </c>
      <c r="P366">
        <v>90127</v>
      </c>
      <c r="Q366">
        <v>90844</v>
      </c>
      <c r="R366">
        <v>91520</v>
      </c>
      <c r="X366">
        <v>160</v>
      </c>
      <c r="Y366">
        <v>262</v>
      </c>
      <c r="Z366">
        <v>251</v>
      </c>
      <c r="AA366">
        <v>323</v>
      </c>
      <c r="AB366">
        <v>378</v>
      </c>
      <c r="AC366">
        <v>523</v>
      </c>
      <c r="AD366">
        <v>492</v>
      </c>
      <c r="AE366">
        <v>717</v>
      </c>
      <c r="AF366">
        <v>676</v>
      </c>
      <c r="AG366" s="2" t="s">
        <v>734</v>
      </c>
      <c r="AH366" s="2" t="s">
        <v>734</v>
      </c>
      <c r="AI366" s="2" t="s">
        <v>734</v>
      </c>
    </row>
    <row r="367" spans="2:35" x14ac:dyDescent="0.25">
      <c r="B367" t="s">
        <v>397</v>
      </c>
      <c r="C367" t="s">
        <v>560</v>
      </c>
      <c r="D367">
        <v>39936</v>
      </c>
      <c r="E367" t="s">
        <v>565</v>
      </c>
      <c r="F367" t="s">
        <v>124</v>
      </c>
      <c r="G367" t="s">
        <v>566</v>
      </c>
      <c r="H367"/>
      <c r="I367">
        <v>15981</v>
      </c>
      <c r="J367">
        <v>16053</v>
      </c>
      <c r="K367">
        <v>16191</v>
      </c>
      <c r="L367">
        <v>16314</v>
      </c>
      <c r="M367">
        <v>16422</v>
      </c>
      <c r="N367">
        <v>16502</v>
      </c>
      <c r="O367">
        <v>16594</v>
      </c>
      <c r="P367">
        <v>16672</v>
      </c>
      <c r="Q367">
        <v>16773</v>
      </c>
      <c r="R367">
        <v>16877</v>
      </c>
      <c r="X367">
        <v>2880</v>
      </c>
      <c r="Y367">
        <v>5520</v>
      </c>
      <c r="Z367">
        <v>4920</v>
      </c>
      <c r="AA367">
        <v>4320</v>
      </c>
      <c r="AB367">
        <v>3200</v>
      </c>
      <c r="AC367">
        <v>3680</v>
      </c>
      <c r="AD367">
        <v>3120</v>
      </c>
      <c r="AE367">
        <v>4040</v>
      </c>
      <c r="AF367">
        <v>4160</v>
      </c>
      <c r="AG367" s="2" t="s">
        <v>734</v>
      </c>
      <c r="AH367" s="2" t="s">
        <v>734</v>
      </c>
      <c r="AI367" s="2" t="s">
        <v>734</v>
      </c>
    </row>
    <row r="368" spans="2:35" x14ac:dyDescent="0.25">
      <c r="B368" t="s">
        <v>396</v>
      </c>
      <c r="C368" t="s">
        <v>560</v>
      </c>
      <c r="D368">
        <v>39342</v>
      </c>
      <c r="E368" t="s">
        <v>563</v>
      </c>
      <c r="F368" t="s">
        <v>124</v>
      </c>
      <c r="G368" t="s">
        <v>564</v>
      </c>
      <c r="H368"/>
      <c r="I368">
        <v>75116</v>
      </c>
      <c r="J368">
        <v>75342</v>
      </c>
      <c r="K368">
        <v>75859</v>
      </c>
      <c r="L368">
        <v>76413</v>
      </c>
      <c r="M368">
        <v>76585</v>
      </c>
      <c r="N368">
        <v>76669</v>
      </c>
      <c r="O368">
        <v>76738</v>
      </c>
      <c r="P368">
        <v>76777</v>
      </c>
      <c r="Q368">
        <v>76915</v>
      </c>
      <c r="R368">
        <v>77028</v>
      </c>
      <c r="X368">
        <v>226</v>
      </c>
      <c r="Y368">
        <v>517</v>
      </c>
      <c r="Z368">
        <v>554</v>
      </c>
      <c r="AA368">
        <v>172</v>
      </c>
      <c r="AB368">
        <v>84</v>
      </c>
      <c r="AC368">
        <v>69</v>
      </c>
      <c r="AD368">
        <v>39</v>
      </c>
      <c r="AE368">
        <v>138</v>
      </c>
      <c r="AF368">
        <v>113</v>
      </c>
      <c r="AG368" s="2" t="s">
        <v>734</v>
      </c>
      <c r="AH368" s="2" t="s">
        <v>734</v>
      </c>
      <c r="AI368" s="2" t="s">
        <v>734</v>
      </c>
    </row>
    <row r="369" spans="2:35" x14ac:dyDescent="0.25">
      <c r="C369" t="s">
        <v>560</v>
      </c>
      <c r="D369">
        <v>2</v>
      </c>
      <c r="E369" t="s">
        <v>842</v>
      </c>
      <c r="F369" t="s">
        <v>561</v>
      </c>
      <c r="G369"/>
      <c r="H369"/>
      <c r="I369"/>
      <c r="J369"/>
      <c r="K369"/>
      <c r="L369"/>
      <c r="M369"/>
      <c r="N369"/>
      <c r="O369"/>
      <c r="P369">
        <v>0</v>
      </c>
      <c r="Q369"/>
      <c r="R369"/>
      <c r="X369" t="s">
        <v>734</v>
      </c>
      <c r="Y369" t="s">
        <v>734</v>
      </c>
      <c r="Z369" t="s">
        <v>734</v>
      </c>
      <c r="AA369" t="s">
        <v>734</v>
      </c>
      <c r="AB369" t="s">
        <v>734</v>
      </c>
      <c r="AC369" t="s">
        <v>734</v>
      </c>
      <c r="AD369" t="s">
        <v>734</v>
      </c>
      <c r="AE369" t="s">
        <v>734</v>
      </c>
      <c r="AF369" t="s">
        <v>734</v>
      </c>
      <c r="AG369" s="2" t="s">
        <v>734</v>
      </c>
      <c r="AH369" s="2" t="s">
        <v>734</v>
      </c>
      <c r="AI369" s="2" t="s">
        <v>734</v>
      </c>
    </row>
    <row r="370" spans="2:35" x14ac:dyDescent="0.25">
      <c r="B370">
        <v>11313825</v>
      </c>
      <c r="C370" t="s">
        <v>570</v>
      </c>
      <c r="D370">
        <v>2</v>
      </c>
      <c r="E370" t="s">
        <v>576</v>
      </c>
      <c r="F370"/>
      <c r="G370"/>
      <c r="H370"/>
      <c r="I370">
        <v>92579</v>
      </c>
      <c r="J370">
        <v>92845</v>
      </c>
      <c r="K370">
        <v>93274</v>
      </c>
      <c r="L370">
        <v>93604</v>
      </c>
      <c r="M370">
        <v>93890</v>
      </c>
      <c r="N370"/>
      <c r="O370">
        <v>94438</v>
      </c>
      <c r="P370">
        <v>94725</v>
      </c>
      <c r="Q370">
        <v>95097</v>
      </c>
      <c r="R370">
        <v>95436</v>
      </c>
      <c r="X370">
        <v>5320</v>
      </c>
      <c r="Y370">
        <v>8580</v>
      </c>
      <c r="Z370">
        <v>6600</v>
      </c>
      <c r="AA370">
        <v>5720</v>
      </c>
      <c r="AB370" t="s">
        <v>734</v>
      </c>
      <c r="AC370" t="s">
        <v>734</v>
      </c>
      <c r="AD370">
        <v>5740</v>
      </c>
      <c r="AE370">
        <v>7440</v>
      </c>
      <c r="AF370">
        <v>6780</v>
      </c>
      <c r="AG370" s="2" t="s">
        <v>734</v>
      </c>
      <c r="AH370" s="2" t="s">
        <v>734</v>
      </c>
      <c r="AI370" s="2" t="s">
        <v>734</v>
      </c>
    </row>
    <row r="371" spans="2:35" x14ac:dyDescent="0.25">
      <c r="B371">
        <v>11700447</v>
      </c>
      <c r="C371" t="s">
        <v>570</v>
      </c>
      <c r="D371">
        <v>39953</v>
      </c>
      <c r="E371" t="s">
        <v>571</v>
      </c>
      <c r="F371" t="s">
        <v>572</v>
      </c>
      <c r="G371"/>
      <c r="H371"/>
      <c r="I371">
        <v>244850</v>
      </c>
      <c r="J371">
        <v>247290</v>
      </c>
      <c r="K371">
        <v>251696</v>
      </c>
      <c r="L371">
        <v>255577</v>
      </c>
      <c r="M371">
        <v>259035</v>
      </c>
      <c r="N371">
        <v>261744</v>
      </c>
      <c r="O371">
        <v>265248</v>
      </c>
      <c r="P371">
        <v>268802</v>
      </c>
      <c r="Q371">
        <v>273895</v>
      </c>
      <c r="R371">
        <v>276413</v>
      </c>
      <c r="X371">
        <v>2440</v>
      </c>
      <c r="Y371">
        <v>4406</v>
      </c>
      <c r="Z371">
        <v>3881</v>
      </c>
      <c r="AA371">
        <v>3458</v>
      </c>
      <c r="AB371">
        <v>2709</v>
      </c>
      <c r="AC371">
        <v>3504</v>
      </c>
      <c r="AD371">
        <v>3554</v>
      </c>
      <c r="AE371">
        <v>5093</v>
      </c>
      <c r="AF371">
        <v>2518</v>
      </c>
      <c r="AG371" s="2" t="s">
        <v>734</v>
      </c>
      <c r="AH371" s="2" t="s">
        <v>734</v>
      </c>
      <c r="AI371" s="2" t="s">
        <v>734</v>
      </c>
    </row>
    <row r="372" spans="2:35" x14ac:dyDescent="0.25">
      <c r="B372">
        <v>30103608</v>
      </c>
      <c r="C372" t="s">
        <v>570</v>
      </c>
      <c r="D372">
        <v>39366</v>
      </c>
      <c r="E372" t="s">
        <v>146</v>
      </c>
      <c r="F372" t="s">
        <v>1061</v>
      </c>
      <c r="G372"/>
      <c r="H372" t="s">
        <v>1116</v>
      </c>
      <c r="I372">
        <v>423354</v>
      </c>
      <c r="J372">
        <v>423841</v>
      </c>
      <c r="K372">
        <v>424058</v>
      </c>
      <c r="L372"/>
      <c r="M372"/>
      <c r="N372"/>
      <c r="O372"/>
      <c r="P372"/>
      <c r="Q372"/>
      <c r="R372"/>
      <c r="X372">
        <v>487</v>
      </c>
      <c r="Y372">
        <v>217</v>
      </c>
      <c r="Z372" t="s">
        <v>734</v>
      </c>
      <c r="AA372" t="s">
        <v>734</v>
      </c>
      <c r="AB372" t="s">
        <v>734</v>
      </c>
      <c r="AC372" t="s">
        <v>734</v>
      </c>
      <c r="AD372" t="s">
        <v>734</v>
      </c>
      <c r="AE372" t="s">
        <v>734</v>
      </c>
      <c r="AF372" t="s">
        <v>734</v>
      </c>
      <c r="AG372" s="2" t="s">
        <v>734</v>
      </c>
      <c r="AH372" s="2" t="s">
        <v>734</v>
      </c>
      <c r="AI372" s="2" t="s">
        <v>734</v>
      </c>
    </row>
    <row r="373" spans="2:35" x14ac:dyDescent="0.25">
      <c r="B373">
        <v>53035468</v>
      </c>
      <c r="C373" t="s">
        <v>570</v>
      </c>
      <c r="D373">
        <v>2</v>
      </c>
      <c r="E373" t="s">
        <v>577</v>
      </c>
      <c r="F373"/>
      <c r="G373"/>
      <c r="H373"/>
      <c r="I373">
        <v>570578</v>
      </c>
      <c r="J373">
        <v>572861</v>
      </c>
      <c r="K373">
        <v>576748</v>
      </c>
      <c r="L373">
        <v>580457</v>
      </c>
      <c r="M373">
        <v>584262</v>
      </c>
      <c r="N373">
        <v>588410</v>
      </c>
      <c r="O373">
        <v>592766</v>
      </c>
      <c r="P373">
        <v>595985</v>
      </c>
      <c r="Q373">
        <v>600274</v>
      </c>
      <c r="R373">
        <v>604326</v>
      </c>
      <c r="X373">
        <v>2283</v>
      </c>
      <c r="Y373">
        <v>3887</v>
      </c>
      <c r="Z373">
        <v>3709</v>
      </c>
      <c r="AA373">
        <v>3805</v>
      </c>
      <c r="AB373">
        <v>4148</v>
      </c>
      <c r="AC373">
        <v>4356</v>
      </c>
      <c r="AD373">
        <v>3219</v>
      </c>
      <c r="AE373">
        <v>4289</v>
      </c>
      <c r="AF373">
        <v>4052</v>
      </c>
      <c r="AG373" s="2" t="s">
        <v>734</v>
      </c>
      <c r="AH373" s="2" t="s">
        <v>734</v>
      </c>
      <c r="AI373" s="2" t="s">
        <v>734</v>
      </c>
    </row>
    <row r="374" spans="2:35" x14ac:dyDescent="0.25">
      <c r="B374">
        <v>99561368</v>
      </c>
      <c r="C374" t="s">
        <v>570</v>
      </c>
      <c r="D374">
        <v>39063</v>
      </c>
      <c r="E374" t="s">
        <v>146</v>
      </c>
      <c r="F374" t="s">
        <v>574</v>
      </c>
      <c r="G374"/>
      <c r="H374" t="s">
        <v>1116</v>
      </c>
      <c r="I374">
        <v>146913</v>
      </c>
      <c r="J374">
        <v>146913</v>
      </c>
      <c r="K374">
        <v>146913</v>
      </c>
      <c r="L374"/>
      <c r="M374"/>
      <c r="N374"/>
      <c r="O374"/>
      <c r="P374"/>
      <c r="Q374"/>
      <c r="R374"/>
      <c r="X374">
        <v>0</v>
      </c>
      <c r="Y374">
        <v>0</v>
      </c>
      <c r="Z374" t="s">
        <v>734</v>
      </c>
      <c r="AA374" t="s">
        <v>734</v>
      </c>
      <c r="AB374" t="s">
        <v>734</v>
      </c>
      <c r="AC374" t="s">
        <v>734</v>
      </c>
      <c r="AD374" t="s">
        <v>734</v>
      </c>
      <c r="AE374" t="s">
        <v>734</v>
      </c>
      <c r="AF374" t="s">
        <v>734</v>
      </c>
      <c r="AG374" s="2" t="s">
        <v>734</v>
      </c>
      <c r="AH374" s="2" t="s">
        <v>734</v>
      </c>
      <c r="AI374" s="2" t="s">
        <v>734</v>
      </c>
    </row>
    <row r="375" spans="2:35" x14ac:dyDescent="0.25">
      <c r="B375">
        <v>99567709</v>
      </c>
      <c r="C375" t="s">
        <v>570</v>
      </c>
      <c r="D375">
        <v>39063</v>
      </c>
      <c r="E375" t="s">
        <v>146</v>
      </c>
      <c r="F375" t="s">
        <v>1063</v>
      </c>
      <c r="G375"/>
      <c r="H375" t="s">
        <v>1116</v>
      </c>
      <c r="I375">
        <v>181618</v>
      </c>
      <c r="J375">
        <v>183111</v>
      </c>
      <c r="K375">
        <v>184382</v>
      </c>
      <c r="L375"/>
      <c r="M375"/>
      <c r="N375"/>
      <c r="O375"/>
      <c r="P375"/>
      <c r="Q375"/>
      <c r="R375"/>
      <c r="X375">
        <v>1493</v>
      </c>
      <c r="Y375">
        <v>1271</v>
      </c>
      <c r="Z375" t="s">
        <v>734</v>
      </c>
      <c r="AA375" t="s">
        <v>734</v>
      </c>
      <c r="AB375" t="s">
        <v>734</v>
      </c>
      <c r="AC375" t="s">
        <v>734</v>
      </c>
      <c r="AD375" t="s">
        <v>734</v>
      </c>
      <c r="AE375" t="s">
        <v>734</v>
      </c>
      <c r="AF375" t="s">
        <v>734</v>
      </c>
      <c r="AG375" s="2" t="s">
        <v>734</v>
      </c>
      <c r="AH375" s="2" t="s">
        <v>734</v>
      </c>
      <c r="AI375" s="2" t="s">
        <v>734</v>
      </c>
    </row>
    <row r="376" spans="2:35" x14ac:dyDescent="0.25">
      <c r="B376">
        <v>99577129</v>
      </c>
      <c r="C376" t="s">
        <v>570</v>
      </c>
      <c r="D376">
        <v>39032</v>
      </c>
      <c r="E376" t="s">
        <v>146</v>
      </c>
      <c r="F376" t="s">
        <v>573</v>
      </c>
      <c r="G376"/>
      <c r="H376" t="s">
        <v>1116</v>
      </c>
      <c r="I376">
        <v>95358</v>
      </c>
      <c r="J376">
        <v>96007</v>
      </c>
      <c r="K376">
        <v>96563</v>
      </c>
      <c r="L376"/>
      <c r="M376"/>
      <c r="N376"/>
      <c r="O376"/>
      <c r="P376"/>
      <c r="Q376"/>
      <c r="R376"/>
      <c r="X376">
        <v>649</v>
      </c>
      <c r="Y376">
        <v>556</v>
      </c>
      <c r="Z376" t="s">
        <v>734</v>
      </c>
      <c r="AA376" t="s">
        <v>734</v>
      </c>
      <c r="AB376" t="s">
        <v>734</v>
      </c>
      <c r="AC376" t="s">
        <v>734</v>
      </c>
      <c r="AD376" t="s">
        <v>734</v>
      </c>
      <c r="AE376" t="s">
        <v>734</v>
      </c>
      <c r="AF376" t="s">
        <v>734</v>
      </c>
      <c r="AG376" s="2" t="s">
        <v>734</v>
      </c>
      <c r="AH376" s="2" t="s">
        <v>734</v>
      </c>
      <c r="AI376" s="2" t="s">
        <v>734</v>
      </c>
    </row>
    <row r="377" spans="2:35" x14ac:dyDescent="0.25">
      <c r="B377" t="s">
        <v>1378</v>
      </c>
      <c r="C377" t="s">
        <v>570</v>
      </c>
      <c r="D377">
        <v>39819</v>
      </c>
      <c r="E377" t="s">
        <v>1380</v>
      </c>
      <c r="F377" t="s">
        <v>1381</v>
      </c>
      <c r="G377"/>
      <c r="H377"/>
      <c r="I377"/>
      <c r="J377"/>
      <c r="K377"/>
      <c r="L377"/>
      <c r="M377"/>
      <c r="N377"/>
      <c r="O377">
        <v>37</v>
      </c>
      <c r="P377">
        <v>214</v>
      </c>
      <c r="Q377">
        <v>441</v>
      </c>
      <c r="R377">
        <v>658</v>
      </c>
      <c r="X377" t="s">
        <v>734</v>
      </c>
      <c r="Y377" t="s">
        <v>734</v>
      </c>
      <c r="Z377" t="s">
        <v>734</v>
      </c>
      <c r="AA377" t="s">
        <v>734</v>
      </c>
      <c r="AB377" t="s">
        <v>734</v>
      </c>
      <c r="AC377" t="s">
        <v>734</v>
      </c>
      <c r="AD377">
        <v>177</v>
      </c>
      <c r="AE377">
        <v>227</v>
      </c>
      <c r="AF377">
        <v>217</v>
      </c>
      <c r="AG377" s="2" t="s">
        <v>734</v>
      </c>
      <c r="AH377" s="2" t="s">
        <v>734</v>
      </c>
      <c r="AI377" s="2" t="s">
        <v>734</v>
      </c>
    </row>
    <row r="378" spans="2:35" x14ac:dyDescent="0.25">
      <c r="C378" t="s">
        <v>570</v>
      </c>
      <c r="D378">
        <v>2</v>
      </c>
      <c r="E378" t="s">
        <v>575</v>
      </c>
      <c r="F378"/>
      <c r="G378"/>
      <c r="H378"/>
      <c r="I378"/>
      <c r="J378"/>
      <c r="K378"/>
      <c r="L378" t="s">
        <v>1192</v>
      </c>
      <c r="M378"/>
      <c r="N378"/>
      <c r="O378"/>
      <c r="P378">
        <v>0</v>
      </c>
      <c r="Q378"/>
      <c r="R378"/>
      <c r="X378" t="s">
        <v>734</v>
      </c>
      <c r="Y378" t="s">
        <v>734</v>
      </c>
      <c r="Z378" t="s">
        <v>734</v>
      </c>
      <c r="AA378" t="s">
        <v>734</v>
      </c>
      <c r="AB378" t="s">
        <v>734</v>
      </c>
      <c r="AC378" t="s">
        <v>734</v>
      </c>
      <c r="AD378" t="s">
        <v>734</v>
      </c>
      <c r="AE378" t="s">
        <v>734</v>
      </c>
      <c r="AF378" t="s">
        <v>734</v>
      </c>
      <c r="AG378" s="2" t="s">
        <v>734</v>
      </c>
      <c r="AH378" s="2" t="s">
        <v>734</v>
      </c>
      <c r="AI378" s="2" t="s">
        <v>734</v>
      </c>
    </row>
    <row r="379" spans="2:35" x14ac:dyDescent="0.25">
      <c r="B379">
        <v>18506030</v>
      </c>
      <c r="C379" t="s">
        <v>579</v>
      </c>
      <c r="D379">
        <v>39435</v>
      </c>
      <c r="E379" t="s">
        <v>580</v>
      </c>
      <c r="F379" t="s">
        <v>1149</v>
      </c>
      <c r="G379"/>
      <c r="H379"/>
      <c r="I379">
        <v>2020</v>
      </c>
      <c r="J379">
        <v>2040</v>
      </c>
      <c r="K379">
        <v>2073</v>
      </c>
      <c r="L379">
        <v>2104</v>
      </c>
      <c r="M379">
        <v>2139</v>
      </c>
      <c r="N379">
        <v>2174</v>
      </c>
      <c r="O379">
        <v>2213</v>
      </c>
      <c r="P379">
        <v>2241</v>
      </c>
      <c r="Q379">
        <v>2278</v>
      </c>
      <c r="R379">
        <v>2318</v>
      </c>
      <c r="X379">
        <v>20</v>
      </c>
      <c r="Y379">
        <v>33</v>
      </c>
      <c r="Z379">
        <v>31</v>
      </c>
      <c r="AA379">
        <v>35</v>
      </c>
      <c r="AB379">
        <v>35</v>
      </c>
      <c r="AC379">
        <v>39</v>
      </c>
      <c r="AD379">
        <v>28</v>
      </c>
      <c r="AE379">
        <v>37</v>
      </c>
      <c r="AF379">
        <v>40</v>
      </c>
      <c r="AG379" s="2" t="s">
        <v>734</v>
      </c>
      <c r="AH379" s="2" t="s">
        <v>734</v>
      </c>
      <c r="AI379" s="2" t="s">
        <v>734</v>
      </c>
    </row>
    <row r="380" spans="2:35" x14ac:dyDescent="0.25">
      <c r="B380" t="s">
        <v>1148</v>
      </c>
      <c r="C380" t="s">
        <v>579</v>
      </c>
      <c r="D380">
        <v>2</v>
      </c>
      <c r="E380" t="s">
        <v>581</v>
      </c>
      <c r="F380" t="s">
        <v>47</v>
      </c>
      <c r="G380"/>
      <c r="H380"/>
      <c r="I380">
        <v>19281</v>
      </c>
      <c r="J380">
        <v>19373</v>
      </c>
      <c r="K380">
        <v>19515</v>
      </c>
      <c r="L380">
        <v>19634</v>
      </c>
      <c r="M380">
        <v>19763</v>
      </c>
      <c r="N380">
        <v>19872</v>
      </c>
      <c r="O380">
        <v>19980</v>
      </c>
      <c r="P380">
        <v>20051</v>
      </c>
      <c r="Q380">
        <v>20155</v>
      </c>
      <c r="R380">
        <v>20266</v>
      </c>
      <c r="X380">
        <v>1840</v>
      </c>
      <c r="Y380">
        <v>2840</v>
      </c>
      <c r="Z380">
        <v>2380</v>
      </c>
      <c r="AA380">
        <v>2580</v>
      </c>
      <c r="AB380">
        <v>2180</v>
      </c>
      <c r="AC380">
        <v>2160</v>
      </c>
      <c r="AD380">
        <v>1420</v>
      </c>
      <c r="AE380">
        <v>2080</v>
      </c>
      <c r="AF380">
        <v>2220</v>
      </c>
      <c r="AG380" s="2" t="s">
        <v>734</v>
      </c>
      <c r="AH380" s="2" t="s">
        <v>734</v>
      </c>
      <c r="AI380" s="2" t="s">
        <v>734</v>
      </c>
    </row>
    <row r="381" spans="2:35" x14ac:dyDescent="0.25">
      <c r="B381" t="s">
        <v>1168</v>
      </c>
      <c r="C381" t="s">
        <v>579</v>
      </c>
      <c r="D381">
        <v>2</v>
      </c>
      <c r="E381" t="s">
        <v>1163</v>
      </c>
      <c r="F381" t="s">
        <v>47</v>
      </c>
      <c r="G381"/>
      <c r="H381"/>
      <c r="I381"/>
      <c r="J381"/>
      <c r="K381">
        <v>447821</v>
      </c>
      <c r="L381"/>
      <c r="M381"/>
      <c r="N381"/>
      <c r="O381"/>
      <c r="P381">
        <v>0</v>
      </c>
      <c r="Q381"/>
      <c r="R381"/>
      <c r="X381" t="s">
        <v>734</v>
      </c>
      <c r="Y381" t="s">
        <v>734</v>
      </c>
      <c r="Z381" t="s">
        <v>734</v>
      </c>
      <c r="AA381" t="s">
        <v>734</v>
      </c>
      <c r="AB381" t="s">
        <v>734</v>
      </c>
      <c r="AC381" t="s">
        <v>734</v>
      </c>
      <c r="AD381" t="s">
        <v>734</v>
      </c>
      <c r="AE381" t="s">
        <v>734</v>
      </c>
      <c r="AF381" t="s">
        <v>734</v>
      </c>
      <c r="AG381" s="2" t="s">
        <v>734</v>
      </c>
      <c r="AH381" s="2" t="s">
        <v>734</v>
      </c>
      <c r="AI381" s="2" t="s">
        <v>734</v>
      </c>
    </row>
    <row r="382" spans="2:35" x14ac:dyDescent="0.25">
      <c r="B382" t="s">
        <v>1169</v>
      </c>
      <c r="C382" t="s">
        <v>579</v>
      </c>
      <c r="D382">
        <v>2</v>
      </c>
      <c r="E382" t="s">
        <v>1170</v>
      </c>
      <c r="F382" t="s">
        <v>47</v>
      </c>
      <c r="G382"/>
      <c r="H382"/>
      <c r="I382"/>
      <c r="J382"/>
      <c r="K382">
        <v>249153</v>
      </c>
      <c r="L382"/>
      <c r="M382"/>
      <c r="N382"/>
      <c r="O382"/>
      <c r="P382">
        <v>0</v>
      </c>
      <c r="Q382"/>
      <c r="R382"/>
      <c r="X382" t="s">
        <v>734</v>
      </c>
      <c r="Y382" t="s">
        <v>734</v>
      </c>
      <c r="Z382" t="s">
        <v>734</v>
      </c>
      <c r="AA382" t="s">
        <v>734</v>
      </c>
      <c r="AB382" t="s">
        <v>734</v>
      </c>
      <c r="AC382" t="s">
        <v>734</v>
      </c>
      <c r="AD382" t="s">
        <v>734</v>
      </c>
      <c r="AE382" t="s">
        <v>734</v>
      </c>
      <c r="AF382" t="s">
        <v>734</v>
      </c>
      <c r="AG382" s="2" t="s">
        <v>734</v>
      </c>
      <c r="AH382" s="2" t="s">
        <v>734</v>
      </c>
      <c r="AI382" s="2" t="s">
        <v>734</v>
      </c>
    </row>
    <row r="383" spans="2:35" x14ac:dyDescent="0.25">
      <c r="B383">
        <v>5356221</v>
      </c>
      <c r="C383" t="s">
        <v>582</v>
      </c>
      <c r="D383">
        <v>2</v>
      </c>
      <c r="E383" t="s">
        <v>1089</v>
      </c>
      <c r="F383" t="s">
        <v>583</v>
      </c>
      <c r="G383"/>
      <c r="H383"/>
      <c r="I383">
        <v>3628</v>
      </c>
      <c r="J383">
        <v>3770</v>
      </c>
      <c r="K383">
        <v>4206</v>
      </c>
      <c r="L383">
        <v>4607</v>
      </c>
      <c r="M383">
        <v>5047</v>
      </c>
      <c r="N383">
        <v>5421</v>
      </c>
      <c r="O383">
        <v>5767</v>
      </c>
      <c r="P383">
        <v>6088</v>
      </c>
      <c r="Q383">
        <v>6535</v>
      </c>
      <c r="R383">
        <v>7009</v>
      </c>
      <c r="X383">
        <v>142</v>
      </c>
      <c r="Y383">
        <v>436</v>
      </c>
      <c r="Z383">
        <v>401</v>
      </c>
      <c r="AA383">
        <v>440</v>
      </c>
      <c r="AB383">
        <v>374</v>
      </c>
      <c r="AC383">
        <v>346</v>
      </c>
      <c r="AD383">
        <v>321</v>
      </c>
      <c r="AE383">
        <v>447</v>
      </c>
      <c r="AF383">
        <v>474</v>
      </c>
      <c r="AG383" s="2" t="s">
        <v>734</v>
      </c>
      <c r="AH383" s="2" t="s">
        <v>734</v>
      </c>
      <c r="AI383" s="2" t="s">
        <v>734</v>
      </c>
    </row>
    <row r="384" spans="2:35" x14ac:dyDescent="0.25">
      <c r="B384">
        <v>5356224</v>
      </c>
      <c r="C384" t="s">
        <v>582</v>
      </c>
      <c r="D384">
        <v>2</v>
      </c>
      <c r="E384" t="s">
        <v>584</v>
      </c>
      <c r="F384" t="s">
        <v>47</v>
      </c>
      <c r="G384"/>
      <c r="H384"/>
      <c r="I384">
        <v>5392</v>
      </c>
      <c r="J384">
        <v>5421</v>
      </c>
      <c r="K384">
        <v>5462</v>
      </c>
      <c r="L384">
        <v>5495</v>
      </c>
      <c r="M384">
        <v>5530</v>
      </c>
      <c r="N384">
        <v>5558</v>
      </c>
      <c r="O384">
        <v>5585</v>
      </c>
      <c r="P384">
        <v>5603</v>
      </c>
      <c r="Q384">
        <v>5629</v>
      </c>
      <c r="R384">
        <v>5657</v>
      </c>
      <c r="X384">
        <v>29</v>
      </c>
      <c r="Y384">
        <v>41</v>
      </c>
      <c r="Z384">
        <v>33</v>
      </c>
      <c r="AA384">
        <v>35</v>
      </c>
      <c r="AB384">
        <v>28</v>
      </c>
      <c r="AC384">
        <v>27</v>
      </c>
      <c r="AD384">
        <v>18</v>
      </c>
      <c r="AE384">
        <v>26</v>
      </c>
      <c r="AF384">
        <v>28</v>
      </c>
      <c r="AG384" s="2" t="s">
        <v>734</v>
      </c>
      <c r="AH384" s="2" t="s">
        <v>734</v>
      </c>
      <c r="AI384" s="2" t="s">
        <v>734</v>
      </c>
    </row>
    <row r="385" spans="2:35" x14ac:dyDescent="0.25">
      <c r="B385">
        <v>29218</v>
      </c>
      <c r="C385" t="s">
        <v>585</v>
      </c>
      <c r="D385">
        <v>39921</v>
      </c>
      <c r="E385" t="s">
        <v>586</v>
      </c>
      <c r="F385" t="s">
        <v>587</v>
      </c>
      <c r="G385"/>
      <c r="H385"/>
      <c r="I385">
        <v>257430</v>
      </c>
      <c r="J385">
        <v>257493</v>
      </c>
      <c r="K385">
        <v>257639</v>
      </c>
      <c r="L385">
        <v>257739</v>
      </c>
      <c r="M385">
        <v>257857</v>
      </c>
      <c r="N385">
        <v>258153</v>
      </c>
      <c r="O385">
        <v>258373</v>
      </c>
      <c r="P385">
        <v>258437</v>
      </c>
      <c r="Q385">
        <v>258518</v>
      </c>
      <c r="R385">
        <v>258541</v>
      </c>
      <c r="X385">
        <v>63</v>
      </c>
      <c r="Y385">
        <v>146</v>
      </c>
      <c r="Z385">
        <v>100</v>
      </c>
      <c r="AA385">
        <v>118</v>
      </c>
      <c r="AB385">
        <v>296</v>
      </c>
      <c r="AC385">
        <v>220</v>
      </c>
      <c r="AD385">
        <v>64</v>
      </c>
      <c r="AE385">
        <v>81</v>
      </c>
      <c r="AF385">
        <v>23</v>
      </c>
      <c r="AG385" s="2" t="s">
        <v>734</v>
      </c>
      <c r="AH385" s="2" t="s">
        <v>734</v>
      </c>
      <c r="AI385" s="2" t="s">
        <v>734</v>
      </c>
    </row>
    <row r="386" spans="2:35" x14ac:dyDescent="0.25">
      <c r="B386">
        <v>5355254</v>
      </c>
      <c r="C386" t="s">
        <v>585</v>
      </c>
      <c r="D386">
        <v>2</v>
      </c>
      <c r="E386" t="s">
        <v>588</v>
      </c>
      <c r="F386" t="s">
        <v>47</v>
      </c>
      <c r="G386"/>
      <c r="H386"/>
      <c r="I386">
        <v>19509</v>
      </c>
      <c r="J386">
        <v>19582</v>
      </c>
      <c r="K386">
        <v>19688</v>
      </c>
      <c r="L386">
        <v>19779</v>
      </c>
      <c r="M386">
        <v>19875</v>
      </c>
      <c r="N386">
        <v>19956</v>
      </c>
      <c r="O386">
        <v>20037</v>
      </c>
      <c r="P386">
        <v>20094</v>
      </c>
      <c r="Q386">
        <v>20179</v>
      </c>
      <c r="R386">
        <v>20265</v>
      </c>
      <c r="X386">
        <v>1460</v>
      </c>
      <c r="Y386">
        <v>2120</v>
      </c>
      <c r="Z386">
        <v>1820</v>
      </c>
      <c r="AA386">
        <v>1920</v>
      </c>
      <c r="AB386">
        <v>1620</v>
      </c>
      <c r="AC386">
        <v>1620</v>
      </c>
      <c r="AD386">
        <v>1140</v>
      </c>
      <c r="AE386">
        <v>1700</v>
      </c>
      <c r="AF386">
        <v>1720</v>
      </c>
      <c r="AG386" s="2" t="s">
        <v>734</v>
      </c>
      <c r="AH386" s="2" t="s">
        <v>734</v>
      </c>
      <c r="AI386" s="2" t="s">
        <v>734</v>
      </c>
    </row>
    <row r="387" spans="2:35" x14ac:dyDescent="0.25">
      <c r="B387">
        <v>5355253</v>
      </c>
      <c r="C387" t="s">
        <v>589</v>
      </c>
      <c r="D387">
        <v>2</v>
      </c>
      <c r="E387" t="s">
        <v>590</v>
      </c>
      <c r="F387" t="s">
        <v>1150</v>
      </c>
      <c r="G387"/>
      <c r="H387"/>
      <c r="I387">
        <v>13518</v>
      </c>
      <c r="J387">
        <v>13562</v>
      </c>
      <c r="K387">
        <v>13632</v>
      </c>
      <c r="L387">
        <v>13688</v>
      </c>
      <c r="M387">
        <v>13748</v>
      </c>
      <c r="N387">
        <v>13799</v>
      </c>
      <c r="O387">
        <v>13850</v>
      </c>
      <c r="P387">
        <v>13883</v>
      </c>
      <c r="Q387">
        <v>13920</v>
      </c>
      <c r="R387">
        <v>13920</v>
      </c>
      <c r="X387">
        <v>880</v>
      </c>
      <c r="Y387">
        <v>1400</v>
      </c>
      <c r="Z387">
        <v>1120</v>
      </c>
      <c r="AA387">
        <v>1200</v>
      </c>
      <c r="AB387">
        <v>1020</v>
      </c>
      <c r="AC387">
        <v>1020</v>
      </c>
      <c r="AD387">
        <v>660</v>
      </c>
      <c r="AE387">
        <v>740</v>
      </c>
      <c r="AF387">
        <v>0</v>
      </c>
      <c r="AG387" s="2" t="s">
        <v>734</v>
      </c>
      <c r="AH387" s="2" t="s">
        <v>734</v>
      </c>
      <c r="AI387" s="2" t="s">
        <v>734</v>
      </c>
    </row>
    <row r="388" spans="2:35" x14ac:dyDescent="0.25">
      <c r="B388">
        <v>95164633</v>
      </c>
      <c r="C388" t="s">
        <v>589</v>
      </c>
      <c r="D388">
        <v>39484</v>
      </c>
      <c r="E388" t="s">
        <v>702</v>
      </c>
      <c r="F388" t="s">
        <v>600</v>
      </c>
      <c r="G388"/>
      <c r="H388" t="s">
        <v>694</v>
      </c>
      <c r="I388">
        <v>4994</v>
      </c>
      <c r="J388">
        <v>5245</v>
      </c>
      <c r="K388">
        <v>5707</v>
      </c>
      <c r="L388">
        <v>6109</v>
      </c>
      <c r="M388">
        <v>6536</v>
      </c>
      <c r="N388">
        <v>6794</v>
      </c>
      <c r="O388">
        <v>7160</v>
      </c>
      <c r="P388">
        <v>7827</v>
      </c>
      <c r="Q388">
        <v>8822</v>
      </c>
      <c r="R388">
        <v>8822</v>
      </c>
      <c r="X388">
        <v>5020</v>
      </c>
      <c r="Y388">
        <v>9240</v>
      </c>
      <c r="Z388">
        <v>8040</v>
      </c>
      <c r="AA388">
        <v>8540</v>
      </c>
      <c r="AB388">
        <v>5160</v>
      </c>
      <c r="AC388">
        <v>7320</v>
      </c>
      <c r="AD388">
        <v>13340</v>
      </c>
      <c r="AE388">
        <v>19900</v>
      </c>
      <c r="AF388">
        <v>0</v>
      </c>
      <c r="AG388" s="2" t="s">
        <v>734</v>
      </c>
      <c r="AH388" s="2" t="s">
        <v>734</v>
      </c>
      <c r="AI388" s="2" t="s">
        <v>734</v>
      </c>
    </row>
    <row r="389" spans="2:35" x14ac:dyDescent="0.25">
      <c r="B389" t="s">
        <v>1295</v>
      </c>
      <c r="C389" t="s">
        <v>589</v>
      </c>
      <c r="E389" t="s">
        <v>1284</v>
      </c>
      <c r="F389" t="s">
        <v>1295</v>
      </c>
      <c r="G389"/>
      <c r="H389"/>
      <c r="I389"/>
      <c r="J389"/>
      <c r="K389"/>
      <c r="L389"/>
      <c r="M389">
        <v>0</v>
      </c>
      <c r="N389"/>
      <c r="O389"/>
      <c r="P389">
        <v>0</v>
      </c>
      <c r="Q389"/>
      <c r="R389"/>
      <c r="X389" t="s">
        <v>734</v>
      </c>
      <c r="Y389" t="s">
        <v>734</v>
      </c>
      <c r="Z389" t="s">
        <v>734</v>
      </c>
      <c r="AA389" t="s">
        <v>734</v>
      </c>
      <c r="AB389" t="s">
        <v>734</v>
      </c>
      <c r="AC389" t="s">
        <v>734</v>
      </c>
      <c r="AD389" t="s">
        <v>734</v>
      </c>
      <c r="AE389" t="s">
        <v>734</v>
      </c>
      <c r="AF389" t="s">
        <v>734</v>
      </c>
      <c r="AG389" s="2" t="s">
        <v>734</v>
      </c>
      <c r="AH389" s="2" t="s">
        <v>734</v>
      </c>
      <c r="AI389" s="2" t="s">
        <v>734</v>
      </c>
    </row>
    <row r="390" spans="2:35" x14ac:dyDescent="0.25">
      <c r="B390" t="s">
        <v>1369</v>
      </c>
      <c r="C390" t="s">
        <v>589</v>
      </c>
      <c r="D390">
        <v>39337</v>
      </c>
      <c r="E390" t="s">
        <v>1284</v>
      </c>
      <c r="F390" t="s">
        <v>1296</v>
      </c>
      <c r="G390"/>
      <c r="H390"/>
      <c r="I390"/>
      <c r="J390"/>
      <c r="K390"/>
      <c r="L390">
        <v>2155</v>
      </c>
      <c r="M390">
        <v>3114</v>
      </c>
      <c r="N390">
        <v>4004</v>
      </c>
      <c r="O390">
        <v>4881</v>
      </c>
      <c r="P390">
        <v>5527</v>
      </c>
      <c r="Q390">
        <v>6420</v>
      </c>
      <c r="R390">
        <v>7413</v>
      </c>
      <c r="X390" t="s">
        <v>734</v>
      </c>
      <c r="Y390" t="s">
        <v>734</v>
      </c>
      <c r="Z390" t="s">
        <v>734</v>
      </c>
      <c r="AA390">
        <v>959</v>
      </c>
      <c r="AB390">
        <v>890</v>
      </c>
      <c r="AC390">
        <v>877</v>
      </c>
      <c r="AD390">
        <v>646</v>
      </c>
      <c r="AE390">
        <v>893</v>
      </c>
      <c r="AF390">
        <v>993</v>
      </c>
      <c r="AG390" s="2" t="s">
        <v>734</v>
      </c>
      <c r="AH390" s="2" t="s">
        <v>734</v>
      </c>
      <c r="AI390" s="2" t="s">
        <v>734</v>
      </c>
    </row>
    <row r="391" spans="2:35" x14ac:dyDescent="0.25">
      <c r="B391" t="s">
        <v>1297</v>
      </c>
      <c r="C391" t="s">
        <v>589</v>
      </c>
      <c r="D391">
        <v>39418</v>
      </c>
      <c r="E391" t="s">
        <v>1284</v>
      </c>
      <c r="F391" t="s">
        <v>1297</v>
      </c>
      <c r="G391"/>
      <c r="H391"/>
      <c r="I391"/>
      <c r="J391"/>
      <c r="K391"/>
      <c r="L391">
        <v>1512</v>
      </c>
      <c r="M391">
        <v>2181</v>
      </c>
      <c r="N391">
        <v>2809</v>
      </c>
      <c r="O391">
        <v>3441</v>
      </c>
      <c r="P391">
        <v>3865</v>
      </c>
      <c r="Q391">
        <v>4448</v>
      </c>
      <c r="R391">
        <v>5098</v>
      </c>
      <c r="X391" t="s">
        <v>734</v>
      </c>
      <c r="Y391" t="s">
        <v>734</v>
      </c>
      <c r="Z391" t="s">
        <v>734</v>
      </c>
      <c r="AA391">
        <v>669</v>
      </c>
      <c r="AB391">
        <v>628</v>
      </c>
      <c r="AC391">
        <v>632</v>
      </c>
      <c r="AD391">
        <v>424</v>
      </c>
      <c r="AE391">
        <v>583</v>
      </c>
      <c r="AF391">
        <v>650</v>
      </c>
      <c r="AG391" s="2" t="s">
        <v>734</v>
      </c>
      <c r="AH391" s="2" t="s">
        <v>734</v>
      </c>
      <c r="AI391" s="2" t="s">
        <v>734</v>
      </c>
    </row>
    <row r="392" spans="2:35" x14ac:dyDescent="0.25">
      <c r="B392" t="s">
        <v>1298</v>
      </c>
      <c r="C392" t="s">
        <v>589</v>
      </c>
      <c r="D392">
        <v>39833</v>
      </c>
      <c r="E392" t="s">
        <v>1284</v>
      </c>
      <c r="F392" t="s">
        <v>1298</v>
      </c>
      <c r="G392"/>
      <c r="H392"/>
      <c r="I392"/>
      <c r="J392"/>
      <c r="K392"/>
      <c r="L392">
        <v>65</v>
      </c>
      <c r="M392">
        <v>258</v>
      </c>
      <c r="N392">
        <v>399</v>
      </c>
      <c r="O392">
        <v>644</v>
      </c>
      <c r="P392">
        <v>1116</v>
      </c>
      <c r="Q392">
        <v>1763</v>
      </c>
      <c r="R392">
        <v>2426</v>
      </c>
      <c r="X392" t="s">
        <v>734</v>
      </c>
      <c r="Y392" t="s">
        <v>734</v>
      </c>
      <c r="Z392" t="s">
        <v>734</v>
      </c>
      <c r="AA392">
        <v>193</v>
      </c>
      <c r="AB392">
        <v>141</v>
      </c>
      <c r="AC392">
        <v>245</v>
      </c>
      <c r="AD392">
        <v>472</v>
      </c>
      <c r="AE392">
        <v>647</v>
      </c>
      <c r="AF392">
        <v>663</v>
      </c>
      <c r="AG392" s="2" t="s">
        <v>734</v>
      </c>
      <c r="AH392" s="2" t="s">
        <v>734</v>
      </c>
      <c r="AI392" s="2" t="s">
        <v>734</v>
      </c>
    </row>
    <row r="393" spans="2:35" x14ac:dyDescent="0.25">
      <c r="B393" t="s">
        <v>1366</v>
      </c>
      <c r="C393" t="s">
        <v>589</v>
      </c>
      <c r="D393">
        <v>39156</v>
      </c>
      <c r="E393" t="s">
        <v>1284</v>
      </c>
      <c r="F393" t="s">
        <v>1287</v>
      </c>
      <c r="G393"/>
      <c r="H393"/>
      <c r="I393"/>
      <c r="J393"/>
      <c r="K393"/>
      <c r="L393">
        <v>2586</v>
      </c>
      <c r="M393">
        <v>3357</v>
      </c>
      <c r="N393">
        <v>4018</v>
      </c>
      <c r="O393">
        <v>4700</v>
      </c>
      <c r="P393">
        <v>5155</v>
      </c>
      <c r="Q393">
        <v>5801</v>
      </c>
      <c r="R393">
        <v>6532</v>
      </c>
      <c r="X393" t="s">
        <v>734</v>
      </c>
      <c r="Y393" t="s">
        <v>734</v>
      </c>
      <c r="Z393" t="s">
        <v>734</v>
      </c>
      <c r="AA393">
        <v>771</v>
      </c>
      <c r="AB393">
        <v>661</v>
      </c>
      <c r="AC393">
        <v>682</v>
      </c>
      <c r="AD393">
        <v>455</v>
      </c>
      <c r="AE393">
        <v>646</v>
      </c>
      <c r="AF393">
        <v>731</v>
      </c>
      <c r="AG393" s="2" t="s">
        <v>734</v>
      </c>
      <c r="AH393" s="2" t="s">
        <v>734</v>
      </c>
      <c r="AI393" s="2" t="s">
        <v>734</v>
      </c>
    </row>
    <row r="394" spans="2:35" x14ac:dyDescent="0.25">
      <c r="B394" t="s">
        <v>1288</v>
      </c>
      <c r="C394" t="s">
        <v>589</v>
      </c>
      <c r="D394">
        <v>39293</v>
      </c>
      <c r="E394" t="s">
        <v>1284</v>
      </c>
      <c r="F394" t="s">
        <v>1288</v>
      </c>
      <c r="G394"/>
      <c r="H394"/>
      <c r="I394"/>
      <c r="J394"/>
      <c r="K394"/>
      <c r="L394">
        <v>413</v>
      </c>
      <c r="M394">
        <v>555</v>
      </c>
      <c r="N394">
        <v>678</v>
      </c>
      <c r="O394">
        <v>809</v>
      </c>
      <c r="P394">
        <v>891</v>
      </c>
      <c r="Q394">
        <v>1005</v>
      </c>
      <c r="R394">
        <v>1140</v>
      </c>
      <c r="X394" t="s">
        <v>734</v>
      </c>
      <c r="Y394" t="s">
        <v>734</v>
      </c>
      <c r="Z394" t="s">
        <v>734</v>
      </c>
      <c r="AA394">
        <v>142</v>
      </c>
      <c r="AB394">
        <v>123</v>
      </c>
      <c r="AC394">
        <v>131</v>
      </c>
      <c r="AD394">
        <v>82</v>
      </c>
      <c r="AE394">
        <v>114</v>
      </c>
      <c r="AF394">
        <v>135</v>
      </c>
      <c r="AG394" s="2" t="s">
        <v>734</v>
      </c>
      <c r="AH394" s="2" t="s">
        <v>734</v>
      </c>
      <c r="AI394" s="2" t="s">
        <v>734</v>
      </c>
    </row>
    <row r="395" spans="2:35" x14ac:dyDescent="0.25">
      <c r="B395" t="s">
        <v>1289</v>
      </c>
      <c r="C395" t="s">
        <v>589</v>
      </c>
      <c r="D395">
        <v>39379</v>
      </c>
      <c r="E395" t="s">
        <v>1284</v>
      </c>
      <c r="F395" t="s">
        <v>1289</v>
      </c>
      <c r="G395"/>
      <c r="H395"/>
      <c r="I395"/>
      <c r="J395"/>
      <c r="K395"/>
      <c r="L395">
        <v>1742</v>
      </c>
      <c r="M395">
        <v>2820</v>
      </c>
      <c r="N395">
        <v>3741</v>
      </c>
      <c r="O395">
        <v>4679</v>
      </c>
      <c r="P395">
        <v>5319</v>
      </c>
      <c r="Q395">
        <v>6161</v>
      </c>
      <c r="R395">
        <v>7137</v>
      </c>
      <c r="X395" t="s">
        <v>734</v>
      </c>
      <c r="Y395" t="s">
        <v>734</v>
      </c>
      <c r="Z395" t="s">
        <v>734</v>
      </c>
      <c r="AA395">
        <v>1078</v>
      </c>
      <c r="AB395">
        <v>921</v>
      </c>
      <c r="AC395">
        <v>938</v>
      </c>
      <c r="AD395">
        <v>640</v>
      </c>
      <c r="AE395">
        <v>842</v>
      </c>
      <c r="AF395">
        <v>976</v>
      </c>
      <c r="AG395" s="2" t="s">
        <v>734</v>
      </c>
      <c r="AH395" s="2" t="s">
        <v>734</v>
      </c>
      <c r="AI395" s="2" t="s">
        <v>734</v>
      </c>
    </row>
    <row r="396" spans="2:35" x14ac:dyDescent="0.25">
      <c r="B396" t="s">
        <v>1367</v>
      </c>
      <c r="C396" t="s">
        <v>589</v>
      </c>
      <c r="D396">
        <v>39585</v>
      </c>
      <c r="E396" t="s">
        <v>1285</v>
      </c>
      <c r="F396" t="s">
        <v>1290</v>
      </c>
      <c r="G396"/>
      <c r="H396"/>
      <c r="I396"/>
      <c r="J396"/>
      <c r="K396"/>
      <c r="L396">
        <v>386</v>
      </c>
      <c r="M396">
        <v>465</v>
      </c>
      <c r="N396">
        <v>494</v>
      </c>
      <c r="O396">
        <v>568</v>
      </c>
      <c r="P396">
        <v>598</v>
      </c>
      <c r="Q396">
        <v>674</v>
      </c>
      <c r="R396">
        <v>732</v>
      </c>
      <c r="X396" t="s">
        <v>734</v>
      </c>
      <c r="Y396" t="s">
        <v>734</v>
      </c>
      <c r="Z396" t="s">
        <v>734</v>
      </c>
      <c r="AA396">
        <v>79</v>
      </c>
      <c r="AB396">
        <v>29</v>
      </c>
      <c r="AC396">
        <v>74</v>
      </c>
      <c r="AD396">
        <v>30</v>
      </c>
      <c r="AE396">
        <v>76</v>
      </c>
      <c r="AF396">
        <v>58</v>
      </c>
      <c r="AG396" s="2" t="s">
        <v>734</v>
      </c>
      <c r="AH396" s="2" t="s">
        <v>734</v>
      </c>
      <c r="AI396" s="2" t="s">
        <v>734</v>
      </c>
    </row>
    <row r="397" spans="2:35" x14ac:dyDescent="0.25">
      <c r="B397" t="s">
        <v>1291</v>
      </c>
      <c r="C397" t="s">
        <v>589</v>
      </c>
      <c r="D397">
        <v>39844</v>
      </c>
      <c r="E397" t="s">
        <v>1286</v>
      </c>
      <c r="F397" t="s">
        <v>1291</v>
      </c>
      <c r="G397"/>
      <c r="H397"/>
      <c r="I397">
        <v>12856</v>
      </c>
      <c r="J397">
        <v>14012</v>
      </c>
      <c r="K397">
        <v>15860</v>
      </c>
      <c r="L397">
        <v>17241</v>
      </c>
      <c r="M397">
        <v>18784</v>
      </c>
      <c r="N397">
        <v>20215</v>
      </c>
      <c r="O397">
        <v>21704</v>
      </c>
      <c r="P397">
        <v>22729</v>
      </c>
      <c r="Q397">
        <v>24010</v>
      </c>
      <c r="R397">
        <v>25549</v>
      </c>
      <c r="X397">
        <v>1156</v>
      </c>
      <c r="Y397">
        <v>1848</v>
      </c>
      <c r="Z397">
        <v>1381</v>
      </c>
      <c r="AA397">
        <v>1543</v>
      </c>
      <c r="AB397">
        <v>1431</v>
      </c>
      <c r="AC397">
        <v>1489</v>
      </c>
      <c r="AD397">
        <v>1025</v>
      </c>
      <c r="AE397">
        <v>1281</v>
      </c>
      <c r="AF397">
        <v>1539</v>
      </c>
      <c r="AG397" s="2" t="s">
        <v>734</v>
      </c>
      <c r="AH397" s="2" t="s">
        <v>734</v>
      </c>
      <c r="AI397" s="2" t="s">
        <v>734</v>
      </c>
    </row>
    <row r="398" spans="2:35" x14ac:dyDescent="0.25">
      <c r="B398" t="s">
        <v>1292</v>
      </c>
      <c r="C398" t="s">
        <v>589</v>
      </c>
      <c r="D398">
        <v>39490</v>
      </c>
      <c r="E398" t="s">
        <v>1285</v>
      </c>
      <c r="F398" t="s">
        <v>1292</v>
      </c>
      <c r="G398"/>
      <c r="H398"/>
      <c r="I398">
        <v>7878</v>
      </c>
      <c r="J398">
        <v>9421</v>
      </c>
      <c r="K398">
        <v>11839</v>
      </c>
      <c r="L398">
        <v>13626</v>
      </c>
      <c r="M398">
        <v>15754</v>
      </c>
      <c r="N398">
        <v>17572</v>
      </c>
      <c r="O398">
        <v>19430</v>
      </c>
      <c r="P398">
        <v>20710</v>
      </c>
      <c r="Q398">
        <v>22409</v>
      </c>
      <c r="R398">
        <v>24392</v>
      </c>
      <c r="X398">
        <v>1543</v>
      </c>
      <c r="Y398">
        <v>2418</v>
      </c>
      <c r="Z398">
        <v>1787</v>
      </c>
      <c r="AA398">
        <v>2128</v>
      </c>
      <c r="AB398">
        <v>1818</v>
      </c>
      <c r="AC398">
        <v>1858</v>
      </c>
      <c r="AD398">
        <v>1280</v>
      </c>
      <c r="AE398">
        <v>1699</v>
      </c>
      <c r="AF398">
        <v>1983</v>
      </c>
      <c r="AG398" s="2" t="s">
        <v>734</v>
      </c>
      <c r="AH398" s="2" t="s">
        <v>734</v>
      </c>
      <c r="AI398" s="2" t="s">
        <v>734</v>
      </c>
    </row>
    <row r="399" spans="2:35" x14ac:dyDescent="0.25">
      <c r="B399" t="s">
        <v>1368</v>
      </c>
      <c r="C399" t="s">
        <v>589</v>
      </c>
      <c r="D399">
        <v>39306</v>
      </c>
      <c r="E399" t="s">
        <v>1284</v>
      </c>
      <c r="F399" t="s">
        <v>1293</v>
      </c>
      <c r="G399"/>
      <c r="H399"/>
      <c r="I399"/>
      <c r="J399"/>
      <c r="K399"/>
      <c r="L399">
        <v>665</v>
      </c>
      <c r="M399">
        <v>1717</v>
      </c>
      <c r="N399">
        <v>2630</v>
      </c>
      <c r="O399">
        <v>3563</v>
      </c>
      <c r="P399">
        <v>4213</v>
      </c>
      <c r="Q399">
        <v>5107</v>
      </c>
      <c r="R399">
        <v>6095</v>
      </c>
      <c r="X399" t="s">
        <v>734</v>
      </c>
      <c r="Y399" t="s">
        <v>734</v>
      </c>
      <c r="Z399" t="s">
        <v>734</v>
      </c>
      <c r="AA399">
        <v>1052</v>
      </c>
      <c r="AB399">
        <v>913</v>
      </c>
      <c r="AC399">
        <v>933</v>
      </c>
      <c r="AD399">
        <v>650</v>
      </c>
      <c r="AE399">
        <v>894</v>
      </c>
      <c r="AF399">
        <v>988</v>
      </c>
      <c r="AG399" s="2" t="s">
        <v>734</v>
      </c>
      <c r="AH399" s="2" t="s">
        <v>734</v>
      </c>
      <c r="AI399" s="2" t="s">
        <v>734</v>
      </c>
    </row>
    <row r="400" spans="2:35" x14ac:dyDescent="0.25">
      <c r="B400" t="s">
        <v>1294</v>
      </c>
      <c r="C400" t="s">
        <v>589</v>
      </c>
      <c r="D400">
        <v>39307</v>
      </c>
      <c r="E400" t="s">
        <v>1284</v>
      </c>
      <c r="F400" t="s">
        <v>1294</v>
      </c>
      <c r="G400"/>
      <c r="H400"/>
      <c r="I400"/>
      <c r="J400"/>
      <c r="K400"/>
      <c r="L400">
        <v>671</v>
      </c>
      <c r="M400">
        <v>1758</v>
      </c>
      <c r="N400">
        <v>2701</v>
      </c>
      <c r="O400">
        <v>3669</v>
      </c>
      <c r="P400">
        <v>4343</v>
      </c>
      <c r="Q400">
        <v>5271</v>
      </c>
      <c r="R400">
        <v>6283</v>
      </c>
      <c r="X400" t="s">
        <v>734</v>
      </c>
      <c r="Y400" t="s">
        <v>734</v>
      </c>
      <c r="Z400" t="s">
        <v>734</v>
      </c>
      <c r="AA400">
        <v>1087</v>
      </c>
      <c r="AB400">
        <v>943</v>
      </c>
      <c r="AC400">
        <v>968</v>
      </c>
      <c r="AD400">
        <v>674</v>
      </c>
      <c r="AE400">
        <v>928</v>
      </c>
      <c r="AF400">
        <v>1012</v>
      </c>
      <c r="AG400" s="2" t="s">
        <v>734</v>
      </c>
      <c r="AH400" s="2" t="s">
        <v>734</v>
      </c>
      <c r="AI400" s="2" t="s">
        <v>734</v>
      </c>
    </row>
    <row r="401" spans="2:35" x14ac:dyDescent="0.25">
      <c r="B401">
        <v>5355248</v>
      </c>
      <c r="C401" t="s">
        <v>591</v>
      </c>
      <c r="D401">
        <v>2</v>
      </c>
      <c r="E401" t="s">
        <v>592</v>
      </c>
      <c r="F401"/>
      <c r="G401"/>
      <c r="H401"/>
      <c r="I401">
        <v>14158</v>
      </c>
      <c r="J401">
        <v>14217</v>
      </c>
      <c r="K401">
        <v>14307</v>
      </c>
      <c r="L401">
        <v>14381</v>
      </c>
      <c r="M401">
        <v>14460</v>
      </c>
      <c r="N401">
        <v>14526</v>
      </c>
      <c r="O401">
        <v>14590</v>
      </c>
      <c r="P401">
        <v>14633</v>
      </c>
      <c r="Q401">
        <v>14691</v>
      </c>
      <c r="R401">
        <v>14765</v>
      </c>
      <c r="X401">
        <v>2950</v>
      </c>
      <c r="Y401">
        <v>4500</v>
      </c>
      <c r="Z401">
        <v>3700</v>
      </c>
      <c r="AA401">
        <v>3950</v>
      </c>
      <c r="AB401">
        <v>3300</v>
      </c>
      <c r="AC401">
        <v>3200</v>
      </c>
      <c r="AD401">
        <v>2150</v>
      </c>
      <c r="AE401">
        <v>2900</v>
      </c>
      <c r="AF401">
        <v>3700</v>
      </c>
      <c r="AG401" s="2" t="s">
        <v>734</v>
      </c>
      <c r="AH401" s="2" t="s">
        <v>734</v>
      </c>
      <c r="AI401" s="2" t="s">
        <v>734</v>
      </c>
    </row>
    <row r="402" spans="2:35" x14ac:dyDescent="0.25">
      <c r="B402">
        <v>10121</v>
      </c>
      <c r="C402" t="s">
        <v>593</v>
      </c>
      <c r="D402">
        <v>2</v>
      </c>
      <c r="E402" t="s">
        <v>1089</v>
      </c>
      <c r="F402" t="s">
        <v>596</v>
      </c>
      <c r="G402"/>
      <c r="H402"/>
      <c r="I402">
        <v>18666</v>
      </c>
      <c r="J402">
        <v>20744</v>
      </c>
      <c r="K402">
        <v>24008</v>
      </c>
      <c r="L402"/>
      <c r="M402"/>
      <c r="N402"/>
      <c r="O402"/>
      <c r="P402">
        <v>0</v>
      </c>
      <c r="Q402"/>
      <c r="R402" t="s">
        <v>1432</v>
      </c>
      <c r="X402">
        <v>2078</v>
      </c>
      <c r="Y402">
        <v>3264</v>
      </c>
      <c r="Z402" t="s">
        <v>734</v>
      </c>
      <c r="AA402" t="s">
        <v>734</v>
      </c>
      <c r="AB402" t="s">
        <v>734</v>
      </c>
      <c r="AC402" t="s">
        <v>734</v>
      </c>
      <c r="AD402" t="s">
        <v>734</v>
      </c>
      <c r="AE402" t="s">
        <v>734</v>
      </c>
      <c r="AF402" t="s">
        <v>734</v>
      </c>
      <c r="AG402" s="2" t="s">
        <v>734</v>
      </c>
      <c r="AH402" s="2" t="s">
        <v>734</v>
      </c>
      <c r="AI402" s="2" t="s">
        <v>734</v>
      </c>
    </row>
    <row r="403" spans="2:35" x14ac:dyDescent="0.25">
      <c r="B403">
        <v>10122</v>
      </c>
      <c r="C403" t="s">
        <v>593</v>
      </c>
      <c r="D403">
        <v>2</v>
      </c>
      <c r="E403" t="s">
        <v>1089</v>
      </c>
      <c r="F403" t="s">
        <v>594</v>
      </c>
      <c r="G403"/>
      <c r="H403"/>
      <c r="I403">
        <v>17119</v>
      </c>
      <c r="J403">
        <v>18633</v>
      </c>
      <c r="K403">
        <v>20975</v>
      </c>
      <c r="L403"/>
      <c r="M403"/>
      <c r="N403"/>
      <c r="O403"/>
      <c r="P403">
        <v>0</v>
      </c>
      <c r="Q403"/>
      <c r="R403" t="s">
        <v>1432</v>
      </c>
      <c r="X403">
        <v>1514</v>
      </c>
      <c r="Y403">
        <v>2342</v>
      </c>
      <c r="Z403" t="s">
        <v>734</v>
      </c>
      <c r="AA403" t="s">
        <v>734</v>
      </c>
      <c r="AB403" t="s">
        <v>734</v>
      </c>
      <c r="AC403" t="s">
        <v>734</v>
      </c>
      <c r="AD403" t="s">
        <v>734</v>
      </c>
      <c r="AE403" t="s">
        <v>734</v>
      </c>
      <c r="AF403" t="s">
        <v>734</v>
      </c>
      <c r="AG403" s="2" t="s">
        <v>734</v>
      </c>
      <c r="AH403" s="2" t="s">
        <v>734</v>
      </c>
      <c r="AI403" s="2" t="s">
        <v>734</v>
      </c>
    </row>
    <row r="404" spans="2:35" x14ac:dyDescent="0.25">
      <c r="B404">
        <v>531109</v>
      </c>
      <c r="C404" t="s">
        <v>593</v>
      </c>
      <c r="D404">
        <v>2</v>
      </c>
      <c r="E404" t="s">
        <v>598</v>
      </c>
      <c r="F404" t="s">
        <v>124</v>
      </c>
      <c r="G404"/>
      <c r="H404"/>
      <c r="I404">
        <v>5391</v>
      </c>
      <c r="J404">
        <v>5541</v>
      </c>
      <c r="K404">
        <v>5769</v>
      </c>
      <c r="L404">
        <v>5962</v>
      </c>
      <c r="M404">
        <v>6174</v>
      </c>
      <c r="N404">
        <v>6356</v>
      </c>
      <c r="O404">
        <v>6544</v>
      </c>
      <c r="P404">
        <v>6672</v>
      </c>
      <c r="Q404">
        <v>6858</v>
      </c>
      <c r="R404">
        <v>7056</v>
      </c>
      <c r="X404">
        <v>7500</v>
      </c>
      <c r="Y404">
        <v>11400</v>
      </c>
      <c r="Z404">
        <v>9650</v>
      </c>
      <c r="AA404">
        <v>10600</v>
      </c>
      <c r="AB404">
        <v>9100</v>
      </c>
      <c r="AC404">
        <v>9400</v>
      </c>
      <c r="AD404">
        <v>6400</v>
      </c>
      <c r="AE404">
        <v>9300</v>
      </c>
      <c r="AF404">
        <v>9900</v>
      </c>
      <c r="AG404" s="2" t="s">
        <v>734</v>
      </c>
      <c r="AH404" s="2" t="s">
        <v>734</v>
      </c>
      <c r="AI404" s="2" t="s">
        <v>734</v>
      </c>
    </row>
    <row r="405" spans="2:35" x14ac:dyDescent="0.25">
      <c r="B405">
        <v>5356220</v>
      </c>
      <c r="C405" t="s">
        <v>593</v>
      </c>
      <c r="D405">
        <v>2</v>
      </c>
      <c r="E405" t="s">
        <v>599</v>
      </c>
      <c r="F405" t="s">
        <v>1151</v>
      </c>
      <c r="G405"/>
      <c r="H405"/>
      <c r="I405">
        <v>2866</v>
      </c>
      <c r="J405">
        <v>2881</v>
      </c>
      <c r="K405">
        <v>2905</v>
      </c>
      <c r="L405">
        <v>2936</v>
      </c>
      <c r="M405">
        <v>2973</v>
      </c>
      <c r="N405">
        <v>3010</v>
      </c>
      <c r="O405">
        <v>3042</v>
      </c>
      <c r="P405">
        <v>3063</v>
      </c>
      <c r="Q405">
        <v>3094</v>
      </c>
      <c r="R405">
        <v>3135</v>
      </c>
      <c r="X405">
        <v>300</v>
      </c>
      <c r="Y405">
        <v>480</v>
      </c>
      <c r="Z405">
        <v>620</v>
      </c>
      <c r="AA405">
        <v>740</v>
      </c>
      <c r="AB405">
        <v>740</v>
      </c>
      <c r="AC405">
        <v>640</v>
      </c>
      <c r="AD405">
        <v>420</v>
      </c>
      <c r="AE405">
        <v>620</v>
      </c>
      <c r="AF405">
        <v>820</v>
      </c>
      <c r="AG405" s="2" t="s">
        <v>734</v>
      </c>
      <c r="AH405" s="2" t="s">
        <v>734</v>
      </c>
      <c r="AI405" s="2" t="s">
        <v>734</v>
      </c>
    </row>
    <row r="406" spans="2:35" x14ac:dyDescent="0.25">
      <c r="B406">
        <v>5356228</v>
      </c>
      <c r="C406" t="s">
        <v>593</v>
      </c>
      <c r="D406">
        <v>2</v>
      </c>
      <c r="E406" t="s">
        <v>1152</v>
      </c>
      <c r="F406" t="s">
        <v>124</v>
      </c>
      <c r="G406"/>
      <c r="H406"/>
      <c r="I406">
        <v>11512</v>
      </c>
      <c r="J406">
        <v>11565</v>
      </c>
      <c r="K406">
        <v>11646</v>
      </c>
      <c r="L406">
        <v>11706</v>
      </c>
      <c r="M406">
        <v>11780</v>
      </c>
      <c r="N406">
        <v>11844</v>
      </c>
      <c r="O406">
        <v>11910</v>
      </c>
      <c r="P406">
        <v>11952</v>
      </c>
      <c r="Q406">
        <v>12011</v>
      </c>
      <c r="R406">
        <v>12076</v>
      </c>
      <c r="X406">
        <v>1060</v>
      </c>
      <c r="Y406">
        <v>1620</v>
      </c>
      <c r="Z406">
        <v>1200</v>
      </c>
      <c r="AA406">
        <v>1480</v>
      </c>
      <c r="AB406">
        <v>1280</v>
      </c>
      <c r="AC406">
        <v>1320</v>
      </c>
      <c r="AD406">
        <v>840</v>
      </c>
      <c r="AE406">
        <v>1180</v>
      </c>
      <c r="AF406">
        <v>1300</v>
      </c>
      <c r="AG406" s="2" t="s">
        <v>734</v>
      </c>
      <c r="AH406" s="2" t="s">
        <v>734</v>
      </c>
      <c r="AI406" s="2" t="s">
        <v>734</v>
      </c>
    </row>
    <row r="407" spans="2:35" x14ac:dyDescent="0.25">
      <c r="B407">
        <v>535661921</v>
      </c>
      <c r="C407" t="s">
        <v>593</v>
      </c>
      <c r="D407">
        <v>2</v>
      </c>
      <c r="E407" t="s">
        <v>597</v>
      </c>
      <c r="F407" t="s">
        <v>124</v>
      </c>
      <c r="G407"/>
      <c r="H407"/>
      <c r="I407">
        <v>9150</v>
      </c>
      <c r="J407">
        <v>9267</v>
      </c>
      <c r="K407">
        <v>9504</v>
      </c>
      <c r="L407">
        <v>9704</v>
      </c>
      <c r="M407">
        <v>9921</v>
      </c>
      <c r="N407">
        <v>10108</v>
      </c>
      <c r="O407">
        <v>10301</v>
      </c>
      <c r="P407">
        <v>10429</v>
      </c>
      <c r="Q407">
        <v>10612</v>
      </c>
      <c r="R407">
        <v>10812</v>
      </c>
      <c r="X407">
        <v>5850</v>
      </c>
      <c r="Y407">
        <v>11850</v>
      </c>
      <c r="Z407">
        <v>10000</v>
      </c>
      <c r="AA407">
        <v>10850</v>
      </c>
      <c r="AB407">
        <v>9350</v>
      </c>
      <c r="AC407">
        <v>9650</v>
      </c>
      <c r="AD407">
        <v>6400</v>
      </c>
      <c r="AE407">
        <v>9150</v>
      </c>
      <c r="AF407">
        <v>10000</v>
      </c>
      <c r="AG407" s="2" t="s">
        <v>734</v>
      </c>
      <c r="AH407" s="2" t="s">
        <v>734</v>
      </c>
      <c r="AI407" s="2" t="s">
        <v>734</v>
      </c>
    </row>
    <row r="408" spans="2:35" x14ac:dyDescent="0.25">
      <c r="B408">
        <v>5355249</v>
      </c>
      <c r="C408" t="s">
        <v>601</v>
      </c>
      <c r="D408">
        <v>39992</v>
      </c>
      <c r="E408" t="s">
        <v>602</v>
      </c>
      <c r="F408" t="s">
        <v>603</v>
      </c>
      <c r="G408"/>
      <c r="H408"/>
      <c r="I408">
        <v>6025</v>
      </c>
      <c r="J408">
        <v>6053</v>
      </c>
      <c r="K408">
        <v>6107</v>
      </c>
      <c r="L408">
        <v>6156</v>
      </c>
      <c r="M408">
        <v>6199</v>
      </c>
      <c r="N408">
        <v>6225</v>
      </c>
      <c r="O408">
        <v>6262</v>
      </c>
      <c r="P408">
        <v>6308</v>
      </c>
      <c r="Q408">
        <v>6379</v>
      </c>
      <c r="R408">
        <v>6437</v>
      </c>
      <c r="X408">
        <v>560</v>
      </c>
      <c r="Y408">
        <v>1080</v>
      </c>
      <c r="Z408">
        <v>980</v>
      </c>
      <c r="AA408">
        <v>860</v>
      </c>
      <c r="AB408">
        <v>520</v>
      </c>
      <c r="AC408">
        <v>740</v>
      </c>
      <c r="AD408">
        <v>920</v>
      </c>
      <c r="AE408">
        <v>1420</v>
      </c>
      <c r="AF408">
        <v>1160</v>
      </c>
      <c r="AG408" s="2" t="s">
        <v>734</v>
      </c>
      <c r="AH408" s="2" t="s">
        <v>734</v>
      </c>
      <c r="AI408" s="2" t="s">
        <v>734</v>
      </c>
    </row>
    <row r="409" spans="2:35" x14ac:dyDescent="0.25">
      <c r="B409" t="s">
        <v>432</v>
      </c>
      <c r="C409" t="s">
        <v>601</v>
      </c>
      <c r="D409">
        <v>39285</v>
      </c>
      <c r="E409" t="s">
        <v>608</v>
      </c>
      <c r="F409" t="s">
        <v>63</v>
      </c>
      <c r="G409"/>
      <c r="H409" t="s">
        <v>609</v>
      </c>
      <c r="I409">
        <v>10175</v>
      </c>
      <c r="J409">
        <v>10553</v>
      </c>
      <c r="K409">
        <v>11159</v>
      </c>
      <c r="L409">
        <v>11724</v>
      </c>
      <c r="M409">
        <v>12233</v>
      </c>
      <c r="N409">
        <v>12776</v>
      </c>
      <c r="O409">
        <v>13474</v>
      </c>
      <c r="P409">
        <v>14010</v>
      </c>
      <c r="Q409">
        <v>14716</v>
      </c>
      <c r="R409">
        <v>15444</v>
      </c>
      <c r="X409">
        <v>378</v>
      </c>
      <c r="Y409">
        <v>606</v>
      </c>
      <c r="Z409">
        <v>565</v>
      </c>
      <c r="AA409">
        <v>509</v>
      </c>
      <c r="AB409">
        <v>543</v>
      </c>
      <c r="AC409">
        <v>698</v>
      </c>
      <c r="AD409">
        <v>536</v>
      </c>
      <c r="AE409">
        <v>706</v>
      </c>
      <c r="AF409">
        <v>728</v>
      </c>
      <c r="AG409" s="2" t="s">
        <v>734</v>
      </c>
      <c r="AH409" s="2" t="s">
        <v>734</v>
      </c>
      <c r="AI409" s="2" t="s">
        <v>734</v>
      </c>
    </row>
    <row r="410" spans="2:35" x14ac:dyDescent="0.25">
      <c r="B410" t="s">
        <v>399</v>
      </c>
      <c r="C410" t="s">
        <v>601</v>
      </c>
      <c r="D410">
        <v>39995</v>
      </c>
      <c r="E410" t="s">
        <v>606</v>
      </c>
      <c r="F410" t="s">
        <v>605</v>
      </c>
      <c r="G410"/>
      <c r="H410"/>
      <c r="I410">
        <v>439475</v>
      </c>
      <c r="J410">
        <v>444756</v>
      </c>
      <c r="K410">
        <v>452540</v>
      </c>
      <c r="L410">
        <v>459081</v>
      </c>
      <c r="M410">
        <v>466189</v>
      </c>
      <c r="N410">
        <v>473404</v>
      </c>
      <c r="O410">
        <v>481374</v>
      </c>
      <c r="P410">
        <v>491663</v>
      </c>
      <c r="Q410">
        <v>505067</v>
      </c>
      <c r="R410">
        <v>517699</v>
      </c>
      <c r="X410">
        <v>5281</v>
      </c>
      <c r="Y410">
        <v>7784</v>
      </c>
      <c r="Z410">
        <v>6541</v>
      </c>
      <c r="AA410">
        <v>7108</v>
      </c>
      <c r="AB410">
        <v>7215</v>
      </c>
      <c r="AC410">
        <v>7970</v>
      </c>
      <c r="AD410">
        <v>10289</v>
      </c>
      <c r="AE410">
        <v>13404</v>
      </c>
      <c r="AF410">
        <v>12632</v>
      </c>
      <c r="AG410" s="2" t="s">
        <v>734</v>
      </c>
      <c r="AH410" s="2" t="s">
        <v>734</v>
      </c>
      <c r="AI410" s="2" t="s">
        <v>734</v>
      </c>
    </row>
    <row r="411" spans="2:35" x14ac:dyDescent="0.25">
      <c r="B411" t="s">
        <v>398</v>
      </c>
      <c r="C411" t="s">
        <v>601</v>
      </c>
      <c r="D411">
        <v>39993</v>
      </c>
      <c r="E411" t="s">
        <v>604</v>
      </c>
      <c r="F411" t="s">
        <v>605</v>
      </c>
      <c r="G411" t="s">
        <v>140</v>
      </c>
      <c r="H411"/>
      <c r="I411">
        <v>113519</v>
      </c>
      <c r="J411">
        <v>114824</v>
      </c>
      <c r="K411">
        <v>117522</v>
      </c>
      <c r="L411">
        <v>119765</v>
      </c>
      <c r="M411">
        <v>121734</v>
      </c>
      <c r="N411">
        <v>123122</v>
      </c>
      <c r="O411">
        <v>124630</v>
      </c>
      <c r="P411">
        <v>126148</v>
      </c>
      <c r="Q411">
        <v>128211</v>
      </c>
      <c r="R411">
        <v>130112</v>
      </c>
      <c r="X411">
        <v>1305</v>
      </c>
      <c r="Y411">
        <v>2698</v>
      </c>
      <c r="Z411">
        <v>2243</v>
      </c>
      <c r="AA411">
        <v>1969</v>
      </c>
      <c r="AB411">
        <v>1388</v>
      </c>
      <c r="AC411">
        <v>1508</v>
      </c>
      <c r="AD411">
        <v>1518</v>
      </c>
      <c r="AE411">
        <v>2063</v>
      </c>
      <c r="AF411">
        <v>1901</v>
      </c>
      <c r="AG411" s="2" t="s">
        <v>734</v>
      </c>
      <c r="AH411" s="2" t="s">
        <v>734</v>
      </c>
      <c r="AI411" s="2" t="s">
        <v>734</v>
      </c>
    </row>
    <row r="412" spans="2:35" x14ac:dyDescent="0.25">
      <c r="C412" t="s">
        <v>601</v>
      </c>
      <c r="D412">
        <v>2</v>
      </c>
      <c r="E412" t="s">
        <v>607</v>
      </c>
      <c r="F412"/>
      <c r="G412"/>
      <c r="H412"/>
      <c r="I412"/>
      <c r="J412"/>
      <c r="K412"/>
      <c r="L412"/>
      <c r="M412"/>
      <c r="N412"/>
      <c r="O412"/>
      <c r="P412">
        <v>0</v>
      </c>
      <c r="Q412"/>
      <c r="R412"/>
      <c r="X412" t="s">
        <v>734</v>
      </c>
      <c r="Y412" t="s">
        <v>734</v>
      </c>
      <c r="Z412" t="s">
        <v>734</v>
      </c>
      <c r="AA412" t="s">
        <v>734</v>
      </c>
      <c r="AB412" t="s">
        <v>734</v>
      </c>
      <c r="AC412" t="s">
        <v>734</v>
      </c>
      <c r="AD412" t="s">
        <v>734</v>
      </c>
      <c r="AE412" t="s">
        <v>734</v>
      </c>
      <c r="AF412" t="s">
        <v>734</v>
      </c>
      <c r="AG412" s="2" t="s">
        <v>734</v>
      </c>
      <c r="AH412" s="2" t="s">
        <v>734</v>
      </c>
      <c r="AI412" s="2" t="s">
        <v>734</v>
      </c>
    </row>
    <row r="413" spans="2:35" x14ac:dyDescent="0.25">
      <c r="B413">
        <v>114014011</v>
      </c>
      <c r="C413" t="s">
        <v>610</v>
      </c>
      <c r="D413">
        <v>2</v>
      </c>
      <c r="E413" t="s">
        <v>1167</v>
      </c>
      <c r="F413" t="s">
        <v>1159</v>
      </c>
      <c r="G413"/>
      <c r="H413"/>
      <c r="I413"/>
      <c r="J413"/>
      <c r="K413">
        <v>3151</v>
      </c>
      <c r="L413"/>
      <c r="M413"/>
      <c r="N413"/>
      <c r="O413"/>
      <c r="P413">
        <v>0</v>
      </c>
      <c r="Q413"/>
      <c r="R413"/>
      <c r="X413" t="s">
        <v>734</v>
      </c>
      <c r="Y413" t="s">
        <v>734</v>
      </c>
      <c r="Z413" t="s">
        <v>734</v>
      </c>
      <c r="AA413" t="s">
        <v>734</v>
      </c>
      <c r="AB413" t="s">
        <v>734</v>
      </c>
      <c r="AC413" t="s">
        <v>734</v>
      </c>
      <c r="AD413" t="s">
        <v>734</v>
      </c>
      <c r="AE413" t="s">
        <v>734</v>
      </c>
      <c r="AF413" t="s">
        <v>734</v>
      </c>
      <c r="AG413" s="2" t="s">
        <v>734</v>
      </c>
      <c r="AH413" s="2" t="s">
        <v>734</v>
      </c>
      <c r="AI413" s="2" t="s">
        <v>734</v>
      </c>
    </row>
    <row r="414" spans="2:35" x14ac:dyDescent="0.25">
      <c r="B414" t="s">
        <v>1166</v>
      </c>
      <c r="C414" t="s">
        <v>610</v>
      </c>
      <c r="D414">
        <v>2</v>
      </c>
      <c r="E414" t="s">
        <v>1165</v>
      </c>
      <c r="F414" t="s">
        <v>1159</v>
      </c>
      <c r="G414"/>
      <c r="H414"/>
      <c r="I414"/>
      <c r="J414"/>
      <c r="K414">
        <v>71</v>
      </c>
      <c r="L414"/>
      <c r="M414"/>
      <c r="N414"/>
      <c r="O414"/>
      <c r="P414">
        <v>0</v>
      </c>
      <c r="Q414"/>
      <c r="R414"/>
      <c r="X414" t="s">
        <v>734</v>
      </c>
      <c r="Y414" t="s">
        <v>734</v>
      </c>
      <c r="Z414" t="s">
        <v>734</v>
      </c>
      <c r="AA414" t="s">
        <v>734</v>
      </c>
      <c r="AB414" t="s">
        <v>734</v>
      </c>
      <c r="AC414" t="s">
        <v>734</v>
      </c>
      <c r="AD414" t="s">
        <v>734</v>
      </c>
      <c r="AE414" t="s">
        <v>734</v>
      </c>
      <c r="AF414" t="s">
        <v>734</v>
      </c>
      <c r="AG414" s="2" t="s">
        <v>734</v>
      </c>
      <c r="AH414" s="2" t="s">
        <v>734</v>
      </c>
      <c r="AI414" s="2" t="s">
        <v>734</v>
      </c>
    </row>
    <row r="415" spans="2:35" x14ac:dyDescent="0.25">
      <c r="B415" t="s">
        <v>1160</v>
      </c>
      <c r="C415" t="s">
        <v>610</v>
      </c>
      <c r="D415">
        <v>2</v>
      </c>
      <c r="E415" t="s">
        <v>1161</v>
      </c>
      <c r="F415" t="s">
        <v>1159</v>
      </c>
      <c r="G415"/>
      <c r="H415"/>
      <c r="I415"/>
      <c r="J415"/>
      <c r="K415">
        <v>6777</v>
      </c>
      <c r="L415"/>
      <c r="M415"/>
      <c r="N415"/>
      <c r="O415"/>
      <c r="P415">
        <v>0</v>
      </c>
      <c r="Q415"/>
      <c r="R415"/>
      <c r="X415" t="s">
        <v>734</v>
      </c>
      <c r="Y415" t="s">
        <v>734</v>
      </c>
      <c r="Z415" t="s">
        <v>734</v>
      </c>
      <c r="AA415" t="s">
        <v>734</v>
      </c>
      <c r="AB415" t="s">
        <v>734</v>
      </c>
      <c r="AC415" t="s">
        <v>734</v>
      </c>
      <c r="AD415" t="s">
        <v>734</v>
      </c>
      <c r="AE415" t="s">
        <v>734</v>
      </c>
      <c r="AF415" t="s">
        <v>734</v>
      </c>
      <c r="AG415" s="2" t="s">
        <v>734</v>
      </c>
      <c r="AH415" s="2" t="s">
        <v>734</v>
      </c>
      <c r="AI415" s="2" t="s">
        <v>734</v>
      </c>
    </row>
    <row r="416" spans="2:35" x14ac:dyDescent="0.25">
      <c r="B416" t="s">
        <v>1162</v>
      </c>
      <c r="C416" t="s">
        <v>610</v>
      </c>
      <c r="D416">
        <v>2</v>
      </c>
      <c r="E416" t="s">
        <v>1163</v>
      </c>
      <c r="F416" t="s">
        <v>47</v>
      </c>
      <c r="G416"/>
      <c r="H416"/>
      <c r="I416"/>
      <c r="J416"/>
      <c r="K416">
        <v>2985</v>
      </c>
      <c r="L416"/>
      <c r="M416"/>
      <c r="N416"/>
      <c r="O416"/>
      <c r="P416">
        <v>0</v>
      </c>
      <c r="Q416"/>
      <c r="R416"/>
      <c r="X416" t="s">
        <v>734</v>
      </c>
      <c r="Y416" t="s">
        <v>734</v>
      </c>
      <c r="Z416" t="s">
        <v>734</v>
      </c>
      <c r="AA416" t="s">
        <v>734</v>
      </c>
      <c r="AB416" t="s">
        <v>734</v>
      </c>
      <c r="AC416" t="s">
        <v>734</v>
      </c>
      <c r="AD416" t="s">
        <v>734</v>
      </c>
      <c r="AE416" t="s">
        <v>734</v>
      </c>
      <c r="AF416" t="s">
        <v>734</v>
      </c>
      <c r="AG416" s="2" t="s">
        <v>734</v>
      </c>
      <c r="AH416" s="2" t="s">
        <v>734</v>
      </c>
      <c r="AI416" s="2" t="s">
        <v>734</v>
      </c>
    </row>
    <row r="417" spans="2:35" x14ac:dyDescent="0.25">
      <c r="B417" t="s">
        <v>1164</v>
      </c>
      <c r="C417" t="s">
        <v>610</v>
      </c>
      <c r="D417">
        <v>2</v>
      </c>
      <c r="E417" t="s">
        <v>1163</v>
      </c>
      <c r="F417" t="s">
        <v>1159</v>
      </c>
      <c r="G417"/>
      <c r="H417"/>
      <c r="I417"/>
      <c r="J417"/>
      <c r="K417">
        <v>1387901</v>
      </c>
      <c r="L417"/>
      <c r="M417"/>
      <c r="N417"/>
      <c r="O417"/>
      <c r="P417">
        <v>0</v>
      </c>
      <c r="Q417"/>
      <c r="R417"/>
      <c r="X417" t="s">
        <v>734</v>
      </c>
      <c r="Y417" t="s">
        <v>734</v>
      </c>
      <c r="Z417" t="s">
        <v>734</v>
      </c>
      <c r="AA417" t="s">
        <v>734</v>
      </c>
      <c r="AB417" t="s">
        <v>734</v>
      </c>
      <c r="AC417" t="s">
        <v>734</v>
      </c>
      <c r="AD417" t="s">
        <v>734</v>
      </c>
      <c r="AE417" t="s">
        <v>734</v>
      </c>
      <c r="AF417" t="s">
        <v>734</v>
      </c>
      <c r="AG417" s="2" t="s">
        <v>734</v>
      </c>
      <c r="AH417" s="2" t="s">
        <v>734</v>
      </c>
      <c r="AI417" s="2" t="s">
        <v>734</v>
      </c>
    </row>
    <row r="418" spans="2:35" x14ac:dyDescent="0.25">
      <c r="B418" t="s">
        <v>1158</v>
      </c>
      <c r="C418" t="s">
        <v>610</v>
      </c>
      <c r="D418">
        <v>2</v>
      </c>
      <c r="E418" t="s">
        <v>613</v>
      </c>
      <c r="F418" t="s">
        <v>1159</v>
      </c>
      <c r="G418"/>
      <c r="H418"/>
      <c r="I418"/>
      <c r="J418"/>
      <c r="K418">
        <v>334905</v>
      </c>
      <c r="L418"/>
      <c r="M418"/>
      <c r="N418"/>
      <c r="O418"/>
      <c r="P418"/>
      <c r="Q418"/>
      <c r="R418"/>
      <c r="X418" t="s">
        <v>734</v>
      </c>
      <c r="Y418" t="s">
        <v>734</v>
      </c>
      <c r="Z418" t="s">
        <v>734</v>
      </c>
      <c r="AA418" t="s">
        <v>734</v>
      </c>
      <c r="AB418" t="s">
        <v>734</v>
      </c>
      <c r="AC418" t="s">
        <v>734</v>
      </c>
      <c r="AD418" t="s">
        <v>734</v>
      </c>
      <c r="AE418" t="s">
        <v>734</v>
      </c>
      <c r="AF418" t="s">
        <v>734</v>
      </c>
      <c r="AG418" s="2" t="s">
        <v>734</v>
      </c>
      <c r="AH418" s="2" t="s">
        <v>734</v>
      </c>
      <c r="AI418" s="2" t="s">
        <v>734</v>
      </c>
    </row>
    <row r="419" spans="2:35" x14ac:dyDescent="0.25">
      <c r="C419" t="s">
        <v>610</v>
      </c>
      <c r="D419">
        <v>2</v>
      </c>
      <c r="E419" t="s">
        <v>611</v>
      </c>
      <c r="F419" t="s">
        <v>612</v>
      </c>
      <c r="G419"/>
      <c r="H419"/>
      <c r="I419"/>
      <c r="J419"/>
      <c r="K419"/>
      <c r="L419"/>
      <c r="M419"/>
      <c r="N419"/>
      <c r="O419"/>
      <c r="P419"/>
      <c r="Q419"/>
      <c r="R419"/>
      <c r="X419" t="s">
        <v>734</v>
      </c>
      <c r="Y419" t="s">
        <v>734</v>
      </c>
      <c r="Z419" t="s">
        <v>734</v>
      </c>
      <c r="AA419" t="s">
        <v>734</v>
      </c>
      <c r="AB419" t="s">
        <v>734</v>
      </c>
      <c r="AC419" t="s">
        <v>734</v>
      </c>
      <c r="AD419" t="s">
        <v>734</v>
      </c>
      <c r="AE419" t="s">
        <v>734</v>
      </c>
      <c r="AF419" t="s">
        <v>734</v>
      </c>
      <c r="AG419" s="2" t="s">
        <v>734</v>
      </c>
      <c r="AH419" s="2" t="s">
        <v>734</v>
      </c>
      <c r="AI419" s="2" t="s">
        <v>734</v>
      </c>
    </row>
    <row r="420" spans="2:35" x14ac:dyDescent="0.25">
      <c r="B420" t="s">
        <v>316</v>
      </c>
      <c r="C420" t="s">
        <v>315</v>
      </c>
      <c r="D420">
        <v>150</v>
      </c>
      <c r="E420" t="s">
        <v>317</v>
      </c>
      <c r="F420" t="s">
        <v>318</v>
      </c>
      <c r="G420" t="s">
        <v>1136</v>
      </c>
      <c r="H420"/>
      <c r="I420">
        <v>102140</v>
      </c>
      <c r="J420">
        <v>102750</v>
      </c>
      <c r="K420">
        <v>104290</v>
      </c>
      <c r="L420">
        <v>105490</v>
      </c>
      <c r="M420"/>
      <c r="N420">
        <v>107810</v>
      </c>
      <c r="O420"/>
      <c r="P420"/>
      <c r="Q420">
        <v>111531</v>
      </c>
      <c r="R420"/>
      <c r="X420">
        <v>610</v>
      </c>
      <c r="Y420">
        <v>1540</v>
      </c>
      <c r="Z420">
        <v>1200</v>
      </c>
      <c r="AA420" t="s">
        <v>734</v>
      </c>
      <c r="AB420" t="s">
        <v>734</v>
      </c>
      <c r="AC420" t="s">
        <v>734</v>
      </c>
      <c r="AD420" t="s">
        <v>734</v>
      </c>
      <c r="AE420" t="s">
        <v>734</v>
      </c>
      <c r="AF420" t="s">
        <v>734</v>
      </c>
      <c r="AG420" s="2" t="s">
        <v>734</v>
      </c>
      <c r="AH420" s="2" t="s">
        <v>734</v>
      </c>
      <c r="AI420" s="2" t="s">
        <v>734</v>
      </c>
    </row>
    <row r="421" spans="2:35" x14ac:dyDescent="0.25">
      <c r="B421" t="s">
        <v>319</v>
      </c>
      <c r="C421" t="s">
        <v>315</v>
      </c>
      <c r="D421">
        <v>39074</v>
      </c>
      <c r="E421" t="s">
        <v>320</v>
      </c>
      <c r="F421" t="s">
        <v>321</v>
      </c>
      <c r="G421" t="s">
        <v>322</v>
      </c>
      <c r="H421"/>
      <c r="I421"/>
      <c r="J421"/>
      <c r="K421"/>
      <c r="L421"/>
      <c r="M421"/>
      <c r="N421"/>
      <c r="O421"/>
      <c r="P421"/>
      <c r="Q421"/>
      <c r="R421"/>
      <c r="X421" t="s">
        <v>734</v>
      </c>
      <c r="Y421" t="s">
        <v>734</v>
      </c>
      <c r="Z421" t="s">
        <v>734</v>
      </c>
      <c r="AA421" t="s">
        <v>734</v>
      </c>
      <c r="AB421" t="s">
        <v>734</v>
      </c>
      <c r="AC421" t="s">
        <v>734</v>
      </c>
      <c r="AD421" t="s">
        <v>734</v>
      </c>
      <c r="AE421" t="s">
        <v>734</v>
      </c>
      <c r="AF421" t="s">
        <v>734</v>
      </c>
      <c r="AG421" s="2" t="s">
        <v>734</v>
      </c>
      <c r="AH421" s="2" t="s">
        <v>734</v>
      </c>
      <c r="AI421" s="2" t="s">
        <v>734</v>
      </c>
    </row>
    <row r="422" spans="2:35" x14ac:dyDescent="0.25">
      <c r="B422">
        <v>5900984</v>
      </c>
      <c r="C422" t="s">
        <v>323</v>
      </c>
      <c r="D422">
        <v>1</v>
      </c>
      <c r="E422" t="s">
        <v>335</v>
      </c>
      <c r="F422" t="s">
        <v>336</v>
      </c>
      <c r="G422"/>
      <c r="H422"/>
      <c r="I422"/>
      <c r="J422"/>
      <c r="K422"/>
      <c r="L422">
        <v>181251</v>
      </c>
      <c r="M422">
        <v>181500</v>
      </c>
      <c r="N422">
        <v>181700</v>
      </c>
      <c r="O422">
        <v>182049</v>
      </c>
      <c r="P422"/>
      <c r="Q422"/>
      <c r="R422">
        <v>18334</v>
      </c>
      <c r="X422" t="s">
        <v>734</v>
      </c>
      <c r="Y422" t="s">
        <v>734</v>
      </c>
      <c r="Z422" t="s">
        <v>734</v>
      </c>
      <c r="AA422">
        <v>249</v>
      </c>
      <c r="AB422">
        <v>200</v>
      </c>
      <c r="AC422">
        <v>349</v>
      </c>
      <c r="AD422" t="s">
        <v>734</v>
      </c>
      <c r="AE422" t="s">
        <v>734</v>
      </c>
      <c r="AF422" t="s">
        <v>734</v>
      </c>
      <c r="AG422" s="2" t="s">
        <v>734</v>
      </c>
      <c r="AH422" s="2" t="s">
        <v>734</v>
      </c>
      <c r="AI422" s="2" t="s">
        <v>734</v>
      </c>
    </row>
    <row r="423" spans="2:35" x14ac:dyDescent="0.25">
      <c r="B423">
        <v>11210006</v>
      </c>
      <c r="C423" t="s">
        <v>323</v>
      </c>
      <c r="D423">
        <v>39033</v>
      </c>
      <c r="E423" t="s">
        <v>462</v>
      </c>
      <c r="F423" t="s">
        <v>1042</v>
      </c>
      <c r="G423" t="s">
        <v>855</v>
      </c>
      <c r="H423" t="s">
        <v>798</v>
      </c>
      <c r="I423">
        <v>33543</v>
      </c>
      <c r="J423">
        <v>33596</v>
      </c>
      <c r="K423">
        <v>33700</v>
      </c>
      <c r="L423">
        <v>33788</v>
      </c>
      <c r="M423">
        <v>33874</v>
      </c>
      <c r="N423">
        <v>33958</v>
      </c>
      <c r="O423"/>
      <c r="P423"/>
      <c r="Q423"/>
      <c r="R423"/>
      <c r="X423">
        <v>1060</v>
      </c>
      <c r="Y423">
        <v>2080</v>
      </c>
      <c r="Z423">
        <v>1760</v>
      </c>
      <c r="AA423">
        <v>1720</v>
      </c>
      <c r="AB423">
        <v>1680</v>
      </c>
      <c r="AC423" t="s">
        <v>734</v>
      </c>
      <c r="AD423" t="s">
        <v>734</v>
      </c>
      <c r="AE423" t="s">
        <v>734</v>
      </c>
      <c r="AF423" t="s">
        <v>734</v>
      </c>
      <c r="AG423" s="2" t="s">
        <v>734</v>
      </c>
      <c r="AH423" s="2" t="s">
        <v>734</v>
      </c>
      <c r="AI423" s="2" t="s">
        <v>734</v>
      </c>
    </row>
    <row r="424" spans="2:35" x14ac:dyDescent="0.25">
      <c r="B424">
        <v>11210314</v>
      </c>
      <c r="C424" t="s">
        <v>323</v>
      </c>
      <c r="D424">
        <v>30000</v>
      </c>
      <c r="E424" t="s">
        <v>461</v>
      </c>
      <c r="F424" t="s">
        <v>978</v>
      </c>
      <c r="G424"/>
      <c r="H424" t="s">
        <v>797</v>
      </c>
      <c r="I424">
        <v>24752</v>
      </c>
      <c r="J424">
        <v>24810</v>
      </c>
      <c r="K424">
        <v>24997</v>
      </c>
      <c r="L424">
        <v>25137</v>
      </c>
      <c r="M424">
        <v>25228</v>
      </c>
      <c r="N424">
        <v>25282</v>
      </c>
      <c r="O424"/>
      <c r="P424"/>
      <c r="Q424"/>
      <c r="R424"/>
      <c r="X424">
        <v>1160</v>
      </c>
      <c r="Y424">
        <v>3740</v>
      </c>
      <c r="Z424">
        <v>2800</v>
      </c>
      <c r="AA424">
        <v>1820</v>
      </c>
      <c r="AB424">
        <v>1080</v>
      </c>
      <c r="AC424" t="s">
        <v>734</v>
      </c>
      <c r="AD424" t="s">
        <v>734</v>
      </c>
      <c r="AE424" t="s">
        <v>734</v>
      </c>
      <c r="AF424" t="s">
        <v>734</v>
      </c>
      <c r="AG424" s="2" t="s">
        <v>734</v>
      </c>
      <c r="AH424" s="2" t="s">
        <v>734</v>
      </c>
      <c r="AI424" s="2" t="s">
        <v>734</v>
      </c>
    </row>
    <row r="425" spans="2:35" x14ac:dyDescent="0.25">
      <c r="B425">
        <v>40564523</v>
      </c>
      <c r="C425" t="s">
        <v>323</v>
      </c>
      <c r="D425">
        <v>1</v>
      </c>
      <c r="E425" t="s">
        <v>338</v>
      </c>
      <c r="F425" t="s">
        <v>979</v>
      </c>
      <c r="G425"/>
      <c r="H425"/>
      <c r="I425">
        <v>21775</v>
      </c>
      <c r="J425">
        <v>21776</v>
      </c>
      <c r="K425">
        <v>21778</v>
      </c>
      <c r="L425">
        <v>21785</v>
      </c>
      <c r="M425">
        <v>21785</v>
      </c>
      <c r="N425">
        <v>21821</v>
      </c>
      <c r="O425">
        <v>21871</v>
      </c>
      <c r="P425"/>
      <c r="Q425"/>
      <c r="R425">
        <v>22124</v>
      </c>
      <c r="X425">
        <v>1</v>
      </c>
      <c r="Y425">
        <v>2</v>
      </c>
      <c r="Z425">
        <v>7</v>
      </c>
      <c r="AA425">
        <v>0</v>
      </c>
      <c r="AB425">
        <v>36</v>
      </c>
      <c r="AC425">
        <v>50</v>
      </c>
      <c r="AD425" t="s">
        <v>734</v>
      </c>
      <c r="AE425" t="s">
        <v>734</v>
      </c>
      <c r="AF425" t="s">
        <v>734</v>
      </c>
      <c r="AG425" s="2" t="s">
        <v>734</v>
      </c>
      <c r="AH425" s="2" t="s">
        <v>734</v>
      </c>
      <c r="AI425" s="2" t="s">
        <v>734</v>
      </c>
    </row>
    <row r="426" spans="2:35" x14ac:dyDescent="0.25">
      <c r="B426">
        <v>50990019</v>
      </c>
      <c r="C426" t="s">
        <v>323</v>
      </c>
      <c r="D426">
        <v>39072</v>
      </c>
      <c r="E426" t="s">
        <v>462</v>
      </c>
      <c r="F426" t="s">
        <v>980</v>
      </c>
      <c r="G426"/>
      <c r="H426" t="s">
        <v>798</v>
      </c>
      <c r="I426">
        <v>33199</v>
      </c>
      <c r="J426">
        <v>33264</v>
      </c>
      <c r="K426">
        <v>33431</v>
      </c>
      <c r="L426">
        <v>33550</v>
      </c>
      <c r="M426">
        <v>33672</v>
      </c>
      <c r="N426">
        <v>33766</v>
      </c>
      <c r="O426"/>
      <c r="P426"/>
      <c r="Q426"/>
      <c r="R426"/>
      <c r="X426">
        <v>1300</v>
      </c>
      <c r="Y426">
        <v>3340</v>
      </c>
      <c r="Z426">
        <v>2380</v>
      </c>
      <c r="AA426">
        <v>2440</v>
      </c>
      <c r="AB426">
        <v>1880</v>
      </c>
      <c r="AC426" t="s">
        <v>734</v>
      </c>
      <c r="AD426" t="s">
        <v>734</v>
      </c>
      <c r="AE426" t="s">
        <v>734</v>
      </c>
      <c r="AF426" t="s">
        <v>734</v>
      </c>
      <c r="AG426" s="2" t="s">
        <v>734</v>
      </c>
      <c r="AH426" s="2" t="s">
        <v>734</v>
      </c>
      <c r="AI426" s="2" t="s">
        <v>734</v>
      </c>
    </row>
    <row r="427" spans="2:35" x14ac:dyDescent="0.25">
      <c r="B427">
        <v>83363213</v>
      </c>
      <c r="C427" t="s">
        <v>323</v>
      </c>
      <c r="D427">
        <v>39496</v>
      </c>
      <c r="E427" t="s">
        <v>337</v>
      </c>
      <c r="F427" t="s">
        <v>981</v>
      </c>
      <c r="G427"/>
      <c r="H427"/>
      <c r="I427">
        <v>130300</v>
      </c>
      <c r="J427">
        <v>130873</v>
      </c>
      <c r="K427">
        <v>131966</v>
      </c>
      <c r="L427">
        <v>133185</v>
      </c>
      <c r="M427">
        <v>134428</v>
      </c>
      <c r="N427">
        <v>135298</v>
      </c>
      <c r="O427">
        <v>136270</v>
      </c>
      <c r="P427">
        <v>137600</v>
      </c>
      <c r="Q427">
        <v>138891</v>
      </c>
      <c r="R427">
        <v>140211</v>
      </c>
      <c r="X427">
        <v>573</v>
      </c>
      <c r="Y427">
        <v>1093</v>
      </c>
      <c r="Z427">
        <v>1219</v>
      </c>
      <c r="AA427">
        <v>1243</v>
      </c>
      <c r="AB427">
        <v>870</v>
      </c>
      <c r="AC427">
        <v>972</v>
      </c>
      <c r="AD427">
        <v>1330</v>
      </c>
      <c r="AE427">
        <v>1291</v>
      </c>
      <c r="AF427">
        <v>1320</v>
      </c>
      <c r="AG427" s="2" t="s">
        <v>734</v>
      </c>
      <c r="AH427" s="2" t="s">
        <v>734</v>
      </c>
      <c r="AI427" s="2" t="s">
        <v>734</v>
      </c>
    </row>
    <row r="428" spans="2:35" x14ac:dyDescent="0.25">
      <c r="B428" t="s">
        <v>431</v>
      </c>
      <c r="C428" t="s">
        <v>323</v>
      </c>
      <c r="D428">
        <v>30000</v>
      </c>
      <c r="E428" t="s">
        <v>465</v>
      </c>
      <c r="F428" t="s">
        <v>854</v>
      </c>
      <c r="G428" t="s">
        <v>466</v>
      </c>
      <c r="H428" t="s">
        <v>445</v>
      </c>
      <c r="I428">
        <v>11301</v>
      </c>
      <c r="J428">
        <v>11419</v>
      </c>
      <c r="K428">
        <v>11615</v>
      </c>
      <c r="L428">
        <v>11784</v>
      </c>
      <c r="M428">
        <v>11985</v>
      </c>
      <c r="N428">
        <v>12194</v>
      </c>
      <c r="O428">
        <v>12432</v>
      </c>
      <c r="P428">
        <v>12747</v>
      </c>
      <c r="Q428">
        <v>13079</v>
      </c>
      <c r="R428">
        <v>13354</v>
      </c>
      <c r="X428">
        <v>118</v>
      </c>
      <c r="Y428">
        <v>196</v>
      </c>
      <c r="Z428">
        <v>169</v>
      </c>
      <c r="AA428">
        <v>201</v>
      </c>
      <c r="AB428">
        <v>209</v>
      </c>
      <c r="AC428">
        <v>238</v>
      </c>
      <c r="AD428">
        <v>315</v>
      </c>
      <c r="AE428">
        <v>332</v>
      </c>
      <c r="AF428">
        <v>275</v>
      </c>
      <c r="AG428" s="2" t="s">
        <v>734</v>
      </c>
      <c r="AH428" s="2" t="s">
        <v>734</v>
      </c>
      <c r="AI428" s="2" t="s">
        <v>734</v>
      </c>
    </row>
    <row r="429" spans="2:35" x14ac:dyDescent="0.25">
      <c r="B429" t="s">
        <v>1356</v>
      </c>
      <c r="C429" t="s">
        <v>323</v>
      </c>
      <c r="D429">
        <v>39033</v>
      </c>
      <c r="E429" t="s">
        <v>462</v>
      </c>
      <c r="F429" t="s">
        <v>1042</v>
      </c>
      <c r="G429" t="s">
        <v>1370</v>
      </c>
      <c r="H429"/>
      <c r="I429"/>
      <c r="J429"/>
      <c r="K429"/>
      <c r="L429"/>
      <c r="M429"/>
      <c r="N429">
        <v>23</v>
      </c>
      <c r="O429">
        <v>1961</v>
      </c>
      <c r="P429">
        <v>5888</v>
      </c>
      <c r="Q429">
        <v>9491</v>
      </c>
      <c r="R429">
        <v>12793</v>
      </c>
      <c r="X429" t="s">
        <v>734</v>
      </c>
      <c r="Y429" t="s">
        <v>734</v>
      </c>
      <c r="Z429" t="s">
        <v>734</v>
      </c>
      <c r="AA429" t="s">
        <v>734</v>
      </c>
      <c r="AB429" t="s">
        <v>734</v>
      </c>
      <c r="AC429">
        <v>1938</v>
      </c>
      <c r="AD429">
        <v>3927</v>
      </c>
      <c r="AE429">
        <v>3603</v>
      </c>
      <c r="AF429">
        <v>3302</v>
      </c>
      <c r="AG429" s="2" t="s">
        <v>734</v>
      </c>
      <c r="AH429" s="2" t="s">
        <v>734</v>
      </c>
      <c r="AI429" s="2" t="s">
        <v>734</v>
      </c>
    </row>
    <row r="430" spans="2:35" x14ac:dyDescent="0.25">
      <c r="B430" t="s">
        <v>1357</v>
      </c>
      <c r="C430" t="s">
        <v>323</v>
      </c>
      <c r="D430">
        <v>39072</v>
      </c>
      <c r="E430" t="s">
        <v>462</v>
      </c>
      <c r="F430" t="s">
        <v>980</v>
      </c>
      <c r="G430"/>
      <c r="H430"/>
      <c r="I430"/>
      <c r="J430"/>
      <c r="K430"/>
      <c r="L430"/>
      <c r="M430"/>
      <c r="N430">
        <v>23</v>
      </c>
      <c r="O430">
        <v>1986</v>
      </c>
      <c r="P430">
        <v>5500</v>
      </c>
      <c r="Q430">
        <v>8903</v>
      </c>
      <c r="R430">
        <v>12010</v>
      </c>
      <c r="X430" t="s">
        <v>734</v>
      </c>
      <c r="Y430" t="s">
        <v>734</v>
      </c>
      <c r="Z430" t="s">
        <v>734</v>
      </c>
      <c r="AA430" t="s">
        <v>734</v>
      </c>
      <c r="AB430" t="s">
        <v>734</v>
      </c>
      <c r="AC430">
        <v>1963</v>
      </c>
      <c r="AD430">
        <v>3514</v>
      </c>
      <c r="AE430">
        <v>3403</v>
      </c>
      <c r="AF430">
        <v>3107</v>
      </c>
      <c r="AG430" s="2" t="s">
        <v>734</v>
      </c>
      <c r="AH430" s="2" t="s">
        <v>734</v>
      </c>
      <c r="AI430" s="2" t="s">
        <v>734</v>
      </c>
    </row>
    <row r="431" spans="2:35" x14ac:dyDescent="0.25">
      <c r="B431" t="s">
        <v>1358</v>
      </c>
      <c r="C431" t="s">
        <v>323</v>
      </c>
      <c r="D431">
        <v>30000</v>
      </c>
      <c r="E431" t="s">
        <v>461</v>
      </c>
      <c r="F431" t="s">
        <v>978</v>
      </c>
      <c r="G431"/>
      <c r="H431"/>
      <c r="I431"/>
      <c r="J431"/>
      <c r="K431"/>
      <c r="L431"/>
      <c r="M431"/>
      <c r="N431">
        <v>23</v>
      </c>
      <c r="O431">
        <v>1040</v>
      </c>
      <c r="P431">
        <v>4631</v>
      </c>
      <c r="Q431">
        <v>8471</v>
      </c>
      <c r="R431">
        <v>11751</v>
      </c>
      <c r="X431" t="s">
        <v>734</v>
      </c>
      <c r="Y431" t="s">
        <v>734</v>
      </c>
      <c r="Z431" t="s">
        <v>734</v>
      </c>
      <c r="AA431" t="s">
        <v>734</v>
      </c>
      <c r="AB431" t="s">
        <v>734</v>
      </c>
      <c r="AC431">
        <v>1017</v>
      </c>
      <c r="AD431">
        <v>3591</v>
      </c>
      <c r="AE431">
        <v>3840</v>
      </c>
      <c r="AF431">
        <v>3280</v>
      </c>
      <c r="AG431" s="2" t="s">
        <v>734</v>
      </c>
      <c r="AH431" s="2" t="s">
        <v>734</v>
      </c>
      <c r="AI431" s="2" t="s">
        <v>734</v>
      </c>
    </row>
    <row r="432" spans="2:35" x14ac:dyDescent="0.25">
      <c r="B432" t="s">
        <v>354</v>
      </c>
      <c r="C432" t="s">
        <v>323</v>
      </c>
      <c r="D432">
        <v>39270</v>
      </c>
      <c r="E432" t="s">
        <v>355</v>
      </c>
      <c r="F432" t="s">
        <v>346</v>
      </c>
      <c r="G432"/>
      <c r="H432"/>
      <c r="I432">
        <v>82355</v>
      </c>
      <c r="J432">
        <v>82769</v>
      </c>
      <c r="K432">
        <v>83942</v>
      </c>
      <c r="L432">
        <v>84910</v>
      </c>
      <c r="M432">
        <v>85527</v>
      </c>
      <c r="N432">
        <v>86337</v>
      </c>
      <c r="O432">
        <v>87242</v>
      </c>
      <c r="P432">
        <v>89059</v>
      </c>
      <c r="Q432">
        <v>90897</v>
      </c>
      <c r="R432">
        <v>92341</v>
      </c>
      <c r="X432">
        <v>414</v>
      </c>
      <c r="Y432">
        <v>1173</v>
      </c>
      <c r="Z432">
        <v>968</v>
      </c>
      <c r="AA432">
        <v>617</v>
      </c>
      <c r="AB432">
        <v>810</v>
      </c>
      <c r="AC432">
        <v>905</v>
      </c>
      <c r="AD432">
        <v>1817</v>
      </c>
      <c r="AE432">
        <v>1838</v>
      </c>
      <c r="AF432">
        <v>1444</v>
      </c>
      <c r="AG432" s="2" t="s">
        <v>734</v>
      </c>
      <c r="AH432" s="2" t="s">
        <v>734</v>
      </c>
      <c r="AI432" s="2" t="s">
        <v>734</v>
      </c>
    </row>
    <row r="433" spans="2:35" x14ac:dyDescent="0.25">
      <c r="B433" t="s">
        <v>1383</v>
      </c>
      <c r="C433" t="s">
        <v>323</v>
      </c>
      <c r="D433">
        <v>39848</v>
      </c>
      <c r="E433" t="s">
        <v>1384</v>
      </c>
      <c r="F433" t="s">
        <v>1385</v>
      </c>
      <c r="G433"/>
      <c r="H433" t="s">
        <v>1386</v>
      </c>
      <c r="I433"/>
      <c r="J433"/>
      <c r="K433"/>
      <c r="L433"/>
      <c r="M433"/>
      <c r="N433"/>
      <c r="O433"/>
      <c r="P433"/>
      <c r="Q433">
        <v>15516</v>
      </c>
      <c r="R433">
        <v>15861</v>
      </c>
      <c r="X433" t="s">
        <v>734</v>
      </c>
      <c r="Y433" t="s">
        <v>734</v>
      </c>
      <c r="Z433" t="s">
        <v>734</v>
      </c>
      <c r="AA433" t="s">
        <v>734</v>
      </c>
      <c r="AB433" t="s">
        <v>734</v>
      </c>
      <c r="AC433" t="s">
        <v>734</v>
      </c>
      <c r="AD433" t="s">
        <v>734</v>
      </c>
      <c r="AE433" t="s">
        <v>734</v>
      </c>
      <c r="AF433">
        <v>0</v>
      </c>
      <c r="AG433" s="2" t="s">
        <v>734</v>
      </c>
      <c r="AH433" s="2" t="s">
        <v>734</v>
      </c>
      <c r="AI433" s="2" t="s">
        <v>734</v>
      </c>
    </row>
    <row r="434" spans="2:35" x14ac:dyDescent="0.25">
      <c r="B434" t="s">
        <v>344</v>
      </c>
      <c r="C434" t="s">
        <v>323</v>
      </c>
      <c r="D434">
        <v>39358</v>
      </c>
      <c r="E434" t="s">
        <v>345</v>
      </c>
      <c r="F434" t="s">
        <v>346</v>
      </c>
      <c r="G434" t="s">
        <v>347</v>
      </c>
      <c r="H434"/>
      <c r="I434">
        <v>74775</v>
      </c>
      <c r="J434">
        <v>75401</v>
      </c>
      <c r="K434">
        <v>77029</v>
      </c>
      <c r="L434">
        <v>78303</v>
      </c>
      <c r="M434">
        <v>79349</v>
      </c>
      <c r="N434">
        <v>80142</v>
      </c>
      <c r="O434">
        <v>81060</v>
      </c>
      <c r="P434">
        <v>82672</v>
      </c>
      <c r="Q434">
        <v>84592</v>
      </c>
      <c r="R434">
        <v>85872</v>
      </c>
      <c r="X434">
        <v>626</v>
      </c>
      <c r="Y434">
        <v>1628</v>
      </c>
      <c r="Z434">
        <v>1274</v>
      </c>
      <c r="AA434">
        <v>1046</v>
      </c>
      <c r="AB434">
        <v>793</v>
      </c>
      <c r="AC434">
        <v>918</v>
      </c>
      <c r="AD434">
        <v>1612</v>
      </c>
      <c r="AE434">
        <v>1920</v>
      </c>
      <c r="AF434">
        <v>1280</v>
      </c>
      <c r="AG434" s="2" t="s">
        <v>734</v>
      </c>
      <c r="AH434" s="2" t="s">
        <v>734</v>
      </c>
      <c r="AI434" s="2" t="s">
        <v>734</v>
      </c>
    </row>
    <row r="435" spans="2:35" x14ac:dyDescent="0.25">
      <c r="B435" t="s">
        <v>1371</v>
      </c>
      <c r="C435" t="s">
        <v>323</v>
      </c>
      <c r="D435">
        <v>39684</v>
      </c>
      <c r="E435" t="s">
        <v>1387</v>
      </c>
      <c r="F435" t="s">
        <v>1385</v>
      </c>
      <c r="G435"/>
      <c r="H435"/>
      <c r="I435"/>
      <c r="J435"/>
      <c r="K435"/>
      <c r="L435"/>
      <c r="M435"/>
      <c r="N435"/>
      <c r="O435">
        <v>3457</v>
      </c>
      <c r="P435">
        <v>3457</v>
      </c>
      <c r="Q435">
        <v>3457</v>
      </c>
      <c r="R435">
        <v>3457</v>
      </c>
      <c r="X435" t="s">
        <v>734</v>
      </c>
      <c r="Y435" t="s">
        <v>734</v>
      </c>
      <c r="Z435" t="s">
        <v>734</v>
      </c>
      <c r="AA435" t="s">
        <v>734</v>
      </c>
      <c r="AB435" t="s">
        <v>734</v>
      </c>
      <c r="AC435" t="s">
        <v>734</v>
      </c>
      <c r="AD435">
        <v>0</v>
      </c>
      <c r="AE435">
        <v>0</v>
      </c>
      <c r="AF435">
        <v>0</v>
      </c>
      <c r="AG435" s="2" t="s">
        <v>734</v>
      </c>
      <c r="AH435" s="2" t="s">
        <v>734</v>
      </c>
      <c r="AI435" s="2" t="s">
        <v>734</v>
      </c>
    </row>
    <row r="436" spans="2:35" x14ac:dyDescent="0.25">
      <c r="B436" t="s">
        <v>430</v>
      </c>
      <c r="C436" t="s">
        <v>323</v>
      </c>
      <c r="D436">
        <v>30000</v>
      </c>
      <c r="E436" t="s">
        <v>853</v>
      </c>
      <c r="F436" t="s">
        <v>854</v>
      </c>
      <c r="G436" t="s">
        <v>463</v>
      </c>
      <c r="H436" t="s">
        <v>464</v>
      </c>
      <c r="I436">
        <v>4407</v>
      </c>
      <c r="J436">
        <v>4474</v>
      </c>
      <c r="K436">
        <v>4665</v>
      </c>
      <c r="L436">
        <v>4806</v>
      </c>
      <c r="M436">
        <v>4945</v>
      </c>
      <c r="N436">
        <v>5075</v>
      </c>
      <c r="O436">
        <v>5271</v>
      </c>
      <c r="P436">
        <v>5760</v>
      </c>
      <c r="Q436">
        <v>6242</v>
      </c>
      <c r="R436">
        <v>6707</v>
      </c>
      <c r="X436">
        <v>67</v>
      </c>
      <c r="Y436">
        <v>191</v>
      </c>
      <c r="Z436">
        <v>141</v>
      </c>
      <c r="AA436">
        <v>139</v>
      </c>
      <c r="AB436">
        <v>130</v>
      </c>
      <c r="AC436">
        <v>196</v>
      </c>
      <c r="AD436">
        <v>489</v>
      </c>
      <c r="AE436">
        <v>482</v>
      </c>
      <c r="AF436">
        <v>465</v>
      </c>
      <c r="AG436" s="2" t="s">
        <v>734</v>
      </c>
      <c r="AH436" s="2" t="s">
        <v>734</v>
      </c>
      <c r="AI436" s="2" t="s">
        <v>734</v>
      </c>
    </row>
    <row r="437" spans="2:35" x14ac:dyDescent="0.25">
      <c r="B437" t="s">
        <v>1323</v>
      </c>
      <c r="C437" t="s">
        <v>323</v>
      </c>
      <c r="D437">
        <v>121</v>
      </c>
      <c r="E437" t="s">
        <v>324</v>
      </c>
      <c r="F437" t="s">
        <v>325</v>
      </c>
      <c r="G437" t="s">
        <v>326</v>
      </c>
      <c r="H437"/>
      <c r="I437">
        <v>8865938</v>
      </c>
      <c r="J437">
        <v>8897124</v>
      </c>
      <c r="K437">
        <v>8977016</v>
      </c>
      <c r="L437">
        <v>9047397</v>
      </c>
      <c r="M437">
        <v>9123159</v>
      </c>
      <c r="N437"/>
      <c r="O437">
        <v>9299948</v>
      </c>
      <c r="P437">
        <v>9401527</v>
      </c>
      <c r="Q437">
        <v>95248968</v>
      </c>
      <c r="R437">
        <v>96361392</v>
      </c>
      <c r="X437">
        <v>31186</v>
      </c>
      <c r="Y437">
        <v>79892</v>
      </c>
      <c r="Z437">
        <v>70381</v>
      </c>
      <c r="AA437">
        <v>75762</v>
      </c>
      <c r="AB437" t="s">
        <v>734</v>
      </c>
      <c r="AC437" t="s">
        <v>734</v>
      </c>
      <c r="AD437">
        <v>101579</v>
      </c>
      <c r="AE437">
        <v>85847441</v>
      </c>
      <c r="AF437">
        <v>1112424</v>
      </c>
      <c r="AG437" s="2" t="s">
        <v>734</v>
      </c>
      <c r="AH437" s="2" t="s">
        <v>734</v>
      </c>
      <c r="AI437" s="2" t="s">
        <v>734</v>
      </c>
    </row>
    <row r="438" spans="2:35" x14ac:dyDescent="0.25">
      <c r="B438" t="s">
        <v>1205</v>
      </c>
      <c r="C438" t="s">
        <v>323</v>
      </c>
      <c r="D438">
        <v>0</v>
      </c>
      <c r="E438" t="s">
        <v>1217</v>
      </c>
      <c r="F438" t="s">
        <v>327</v>
      </c>
      <c r="G438"/>
      <c r="H438"/>
      <c r="I438"/>
      <c r="J438"/>
      <c r="K438"/>
      <c r="L438">
        <v>25768120</v>
      </c>
      <c r="M438">
        <v>25864842</v>
      </c>
      <c r="N438">
        <v>26052200</v>
      </c>
      <c r="O438">
        <v>26208864</v>
      </c>
      <c r="P438">
        <v>26373096</v>
      </c>
      <c r="Q438">
        <v>26540776</v>
      </c>
      <c r="R438">
        <v>26709272</v>
      </c>
      <c r="X438" t="s">
        <v>734</v>
      </c>
      <c r="Y438" t="s">
        <v>734</v>
      </c>
      <c r="Z438" t="s">
        <v>734</v>
      </c>
      <c r="AA438">
        <v>96722</v>
      </c>
      <c r="AB438">
        <v>187358</v>
      </c>
      <c r="AC438">
        <v>156664</v>
      </c>
      <c r="AD438">
        <v>164232</v>
      </c>
      <c r="AE438">
        <v>167680</v>
      </c>
      <c r="AF438">
        <v>168496</v>
      </c>
      <c r="AG438" s="2" t="s">
        <v>734</v>
      </c>
      <c r="AH438" s="2" t="s">
        <v>734</v>
      </c>
      <c r="AI438" s="2" t="s">
        <v>734</v>
      </c>
    </row>
    <row r="439" spans="2:35" x14ac:dyDescent="0.25">
      <c r="B439" t="s">
        <v>1204</v>
      </c>
      <c r="C439" t="s">
        <v>323</v>
      </c>
      <c r="D439">
        <v>140</v>
      </c>
      <c r="E439" t="s">
        <v>1305</v>
      </c>
      <c r="F439" t="s">
        <v>327</v>
      </c>
      <c r="G439"/>
      <c r="H439"/>
      <c r="I439"/>
      <c r="J439"/>
      <c r="K439"/>
      <c r="L439">
        <v>220937.42</v>
      </c>
      <c r="M439">
        <v>221965</v>
      </c>
      <c r="N439">
        <v>223776</v>
      </c>
      <c r="O439">
        <v>225388</v>
      </c>
      <c r="P439">
        <v>227240</v>
      </c>
      <c r="Q439">
        <v>0</v>
      </c>
      <c r="R439">
        <v>0</v>
      </c>
      <c r="X439" t="s">
        <v>734</v>
      </c>
      <c r="Y439" t="s">
        <v>734</v>
      </c>
      <c r="Z439" t="s">
        <v>734</v>
      </c>
      <c r="AA439">
        <v>1027.5799999999872</v>
      </c>
      <c r="AB439">
        <v>1811</v>
      </c>
      <c r="AC439">
        <v>1612</v>
      </c>
      <c r="AD439">
        <v>1852</v>
      </c>
      <c r="AE439" t="s">
        <v>856</v>
      </c>
      <c r="AF439">
        <v>0</v>
      </c>
      <c r="AG439" s="2" t="s">
        <v>734</v>
      </c>
      <c r="AH439" s="2" t="s">
        <v>734</v>
      </c>
      <c r="AI439" s="2" t="s">
        <v>734</v>
      </c>
    </row>
    <row r="440" spans="2:35" x14ac:dyDescent="0.25">
      <c r="B440" t="s">
        <v>1223</v>
      </c>
      <c r="C440" t="s">
        <v>323</v>
      </c>
      <c r="D440">
        <v>110</v>
      </c>
      <c r="E440" t="s">
        <v>1210</v>
      </c>
      <c r="F440" t="s">
        <v>327</v>
      </c>
      <c r="G440" t="s">
        <v>331</v>
      </c>
      <c r="H440"/>
      <c r="I440">
        <v>2010670</v>
      </c>
      <c r="J440">
        <v>2020731</v>
      </c>
      <c r="K440">
        <v>2039860</v>
      </c>
      <c r="L440">
        <v>2057408</v>
      </c>
      <c r="M440">
        <v>2076990</v>
      </c>
      <c r="N440">
        <v>2096948</v>
      </c>
      <c r="O440">
        <v>2115058</v>
      </c>
      <c r="P440">
        <v>2132424</v>
      </c>
      <c r="Q440">
        <v>2149297</v>
      </c>
      <c r="R440">
        <v>2166061</v>
      </c>
      <c r="X440">
        <v>10061</v>
      </c>
      <c r="Y440">
        <v>19129</v>
      </c>
      <c r="Z440">
        <v>17548</v>
      </c>
      <c r="AA440">
        <v>19582</v>
      </c>
      <c r="AB440">
        <v>19958</v>
      </c>
      <c r="AC440">
        <v>18110</v>
      </c>
      <c r="AD440">
        <v>17366</v>
      </c>
      <c r="AE440">
        <v>16873</v>
      </c>
      <c r="AF440">
        <v>16764</v>
      </c>
      <c r="AG440" s="2" t="s">
        <v>734</v>
      </c>
      <c r="AH440" s="2" t="s">
        <v>734</v>
      </c>
      <c r="AI440" s="2" t="s">
        <v>734</v>
      </c>
    </row>
    <row r="441" spans="2:35" x14ac:dyDescent="0.25">
      <c r="B441" t="s">
        <v>1326</v>
      </c>
      <c r="C441" t="s">
        <v>323</v>
      </c>
      <c r="D441">
        <v>110</v>
      </c>
      <c r="E441" t="s">
        <v>1215</v>
      </c>
      <c r="F441" t="s">
        <v>327</v>
      </c>
      <c r="G441" t="s">
        <v>331</v>
      </c>
      <c r="H441"/>
      <c r="I441">
        <v>3458874</v>
      </c>
      <c r="J441">
        <v>3471592</v>
      </c>
      <c r="K441">
        <v>3497345</v>
      </c>
      <c r="L441">
        <v>3520306</v>
      </c>
      <c r="M441">
        <v>3544786</v>
      </c>
      <c r="N441">
        <v>3569276</v>
      </c>
      <c r="O441">
        <v>3588255</v>
      </c>
      <c r="P441">
        <v>3606700</v>
      </c>
      <c r="Q441">
        <v>3624470</v>
      </c>
      <c r="R441">
        <v>3641870</v>
      </c>
      <c r="X441">
        <v>12718</v>
      </c>
      <c r="Y441">
        <v>25753</v>
      </c>
      <c r="Z441">
        <v>22961</v>
      </c>
      <c r="AA441">
        <v>24480</v>
      </c>
      <c r="AB441">
        <v>24490</v>
      </c>
      <c r="AC441">
        <v>18979</v>
      </c>
      <c r="AD441">
        <v>18445</v>
      </c>
      <c r="AE441">
        <v>17770</v>
      </c>
      <c r="AF441">
        <v>17400</v>
      </c>
      <c r="AG441" s="2" t="s">
        <v>734</v>
      </c>
      <c r="AH441" s="2" t="s">
        <v>734</v>
      </c>
      <c r="AI441" s="2" t="s">
        <v>734</v>
      </c>
    </row>
    <row r="442" spans="2:35" x14ac:dyDescent="0.25">
      <c r="B442" t="s">
        <v>1203</v>
      </c>
      <c r="C442" t="s">
        <v>323</v>
      </c>
      <c r="D442">
        <v>140</v>
      </c>
      <c r="E442" t="s">
        <v>1201</v>
      </c>
      <c r="F442" t="s">
        <v>327</v>
      </c>
      <c r="G442"/>
      <c r="H442"/>
      <c r="I442"/>
      <c r="J442"/>
      <c r="K442"/>
      <c r="L442">
        <v>358765</v>
      </c>
      <c r="M442"/>
      <c r="N442"/>
      <c r="O442">
        <v>364510</v>
      </c>
      <c r="P442">
        <v>368459</v>
      </c>
      <c r="Q442">
        <v>373493</v>
      </c>
      <c r="R442">
        <v>378554</v>
      </c>
      <c r="X442" t="s">
        <v>734</v>
      </c>
      <c r="Y442" t="s">
        <v>734</v>
      </c>
      <c r="Z442" t="s">
        <v>734</v>
      </c>
      <c r="AA442" t="s">
        <v>734</v>
      </c>
      <c r="AB442" t="s">
        <v>734</v>
      </c>
      <c r="AC442" t="s">
        <v>734</v>
      </c>
      <c r="AD442">
        <v>3949</v>
      </c>
      <c r="AE442">
        <v>5034</v>
      </c>
      <c r="AF442">
        <v>5061</v>
      </c>
      <c r="AG442" s="2" t="s">
        <v>734</v>
      </c>
      <c r="AH442" s="2" t="s">
        <v>734</v>
      </c>
      <c r="AI442" s="2" t="s">
        <v>734</v>
      </c>
    </row>
    <row r="443" spans="2:35" x14ac:dyDescent="0.25">
      <c r="B443" t="s">
        <v>1218</v>
      </c>
      <c r="C443" t="s">
        <v>323</v>
      </c>
      <c r="D443">
        <v>39648</v>
      </c>
      <c r="E443" t="s">
        <v>1335</v>
      </c>
      <c r="F443" t="s">
        <v>327</v>
      </c>
      <c r="G443" t="s">
        <v>328</v>
      </c>
      <c r="H443"/>
      <c r="I443">
        <v>443033</v>
      </c>
      <c r="J443">
        <v>444889</v>
      </c>
      <c r="K443">
        <v>448838</v>
      </c>
      <c r="L443">
        <v>452687</v>
      </c>
      <c r="M443">
        <v>456637</v>
      </c>
      <c r="N443">
        <v>460849</v>
      </c>
      <c r="O443">
        <v>464417</v>
      </c>
      <c r="P443">
        <v>468374</v>
      </c>
      <c r="Q443">
        <v>0</v>
      </c>
      <c r="R443">
        <v>0</v>
      </c>
      <c r="X443">
        <v>1856</v>
      </c>
      <c r="Y443">
        <v>3949</v>
      </c>
      <c r="Z443">
        <v>3849</v>
      </c>
      <c r="AA443">
        <v>3950</v>
      </c>
      <c r="AB443">
        <v>4212</v>
      </c>
      <c r="AC443">
        <v>3568</v>
      </c>
      <c r="AD443">
        <v>3957</v>
      </c>
      <c r="AE443" t="s">
        <v>856</v>
      </c>
      <c r="AF443">
        <v>0</v>
      </c>
      <c r="AG443" s="2" t="s">
        <v>734</v>
      </c>
      <c r="AH443" s="2" t="s">
        <v>734</v>
      </c>
      <c r="AI443" s="2" t="s">
        <v>734</v>
      </c>
    </row>
    <row r="444" spans="2:35" x14ac:dyDescent="0.25">
      <c r="B444" t="s">
        <v>1325</v>
      </c>
      <c r="C444" t="s">
        <v>323</v>
      </c>
      <c r="D444">
        <v>110</v>
      </c>
      <c r="E444" t="s">
        <v>1214</v>
      </c>
      <c r="F444" t="s">
        <v>327</v>
      </c>
      <c r="G444" t="s">
        <v>852</v>
      </c>
      <c r="H444"/>
      <c r="I444">
        <v>944448</v>
      </c>
      <c r="J444">
        <v>947210</v>
      </c>
      <c r="K444">
        <v>953872</v>
      </c>
      <c r="L444">
        <v>959333</v>
      </c>
      <c r="M444">
        <v>964168</v>
      </c>
      <c r="N444">
        <v>968713</v>
      </c>
      <c r="O444">
        <v>973962</v>
      </c>
      <c r="P444">
        <v>981785</v>
      </c>
      <c r="Q444">
        <v>990301</v>
      </c>
      <c r="R444">
        <v>998070</v>
      </c>
      <c r="X444">
        <v>2762</v>
      </c>
      <c r="Y444">
        <v>6662</v>
      </c>
      <c r="Z444">
        <v>5461</v>
      </c>
      <c r="AA444">
        <v>4835</v>
      </c>
      <c r="AB444">
        <v>4545</v>
      </c>
      <c r="AC444">
        <v>5249</v>
      </c>
      <c r="AD444">
        <v>7823</v>
      </c>
      <c r="AE444">
        <v>8516</v>
      </c>
      <c r="AF444">
        <v>7769</v>
      </c>
      <c r="AG444" s="2" t="s">
        <v>734</v>
      </c>
      <c r="AH444" s="2" t="s">
        <v>734</v>
      </c>
      <c r="AI444" s="2" t="s">
        <v>734</v>
      </c>
    </row>
    <row r="445" spans="2:35" x14ac:dyDescent="0.25">
      <c r="B445" t="s">
        <v>1222</v>
      </c>
      <c r="C445" t="s">
        <v>323</v>
      </c>
      <c r="D445">
        <v>110</v>
      </c>
      <c r="E445" t="s">
        <v>1209</v>
      </c>
      <c r="F445" t="s">
        <v>327</v>
      </c>
      <c r="G445" t="s">
        <v>329</v>
      </c>
      <c r="H445"/>
      <c r="I445">
        <v>1611039</v>
      </c>
      <c r="J445">
        <v>1616295</v>
      </c>
      <c r="K445">
        <v>1626549</v>
      </c>
      <c r="L445">
        <v>1635683</v>
      </c>
      <c r="M445">
        <v>1645408</v>
      </c>
      <c r="N445">
        <v>1654922</v>
      </c>
      <c r="O445">
        <v>1661699</v>
      </c>
      <c r="P445">
        <v>1670009</v>
      </c>
      <c r="Q445">
        <v>1679155</v>
      </c>
      <c r="R445">
        <v>1687864</v>
      </c>
      <c r="X445">
        <v>5256</v>
      </c>
      <c r="Y445">
        <v>10254</v>
      </c>
      <c r="Z445">
        <v>9134</v>
      </c>
      <c r="AA445">
        <v>9725</v>
      </c>
      <c r="AB445">
        <v>9514</v>
      </c>
      <c r="AC445">
        <v>6777</v>
      </c>
      <c r="AD445">
        <v>8310</v>
      </c>
      <c r="AE445">
        <v>9146</v>
      </c>
      <c r="AF445">
        <v>8709</v>
      </c>
      <c r="AG445" s="2" t="s">
        <v>734</v>
      </c>
      <c r="AH445" s="2" t="s">
        <v>734</v>
      </c>
      <c r="AI445" s="2" t="s">
        <v>734</v>
      </c>
    </row>
    <row r="446" spans="2:35" x14ac:dyDescent="0.25">
      <c r="B446" t="s">
        <v>1224</v>
      </c>
      <c r="C446" t="s">
        <v>323</v>
      </c>
      <c r="D446">
        <v>39648</v>
      </c>
      <c r="E446" t="s">
        <v>1336</v>
      </c>
      <c r="F446" t="s">
        <v>327</v>
      </c>
      <c r="G446" t="s">
        <v>328</v>
      </c>
      <c r="H446"/>
      <c r="I446">
        <v>2660317</v>
      </c>
      <c r="J446">
        <v>2675866</v>
      </c>
      <c r="K446">
        <v>2708648</v>
      </c>
      <c r="L446">
        <v>2737739</v>
      </c>
      <c r="M446">
        <v>2766560</v>
      </c>
      <c r="N446">
        <v>2792203</v>
      </c>
      <c r="O446">
        <v>2809657</v>
      </c>
      <c r="P446">
        <v>2827584</v>
      </c>
      <c r="Q446">
        <v>2848244</v>
      </c>
      <c r="R446">
        <v>2866304</v>
      </c>
      <c r="X446">
        <v>15549</v>
      </c>
      <c r="Y446">
        <v>32782</v>
      </c>
      <c r="Z446">
        <v>29091</v>
      </c>
      <c r="AA446">
        <v>28821</v>
      </c>
      <c r="AB446">
        <v>25643</v>
      </c>
      <c r="AC446">
        <v>17454</v>
      </c>
      <c r="AD446">
        <v>17927</v>
      </c>
      <c r="AE446">
        <v>20660</v>
      </c>
      <c r="AF446">
        <v>18060</v>
      </c>
      <c r="AG446" s="2" t="s">
        <v>734</v>
      </c>
      <c r="AH446" s="2" t="s">
        <v>734</v>
      </c>
      <c r="AI446" s="2" t="s">
        <v>734</v>
      </c>
    </row>
    <row r="447" spans="2:35" x14ac:dyDescent="0.25">
      <c r="B447" t="s">
        <v>1221</v>
      </c>
      <c r="C447" t="s">
        <v>323</v>
      </c>
      <c r="D447">
        <v>39241</v>
      </c>
      <c r="E447" t="s">
        <v>1337</v>
      </c>
      <c r="F447" t="s">
        <v>327</v>
      </c>
      <c r="G447" t="s">
        <v>330</v>
      </c>
      <c r="H447"/>
      <c r="I447">
        <v>5435853</v>
      </c>
      <c r="J447">
        <v>5456763</v>
      </c>
      <c r="K447">
        <v>5500842</v>
      </c>
      <c r="L447">
        <v>5541726</v>
      </c>
      <c r="M447">
        <v>5585381</v>
      </c>
      <c r="N447">
        <v>5633172</v>
      </c>
      <c r="O447">
        <v>5673174</v>
      </c>
      <c r="P447">
        <v>5710796</v>
      </c>
      <c r="Q447">
        <v>5749734</v>
      </c>
      <c r="R447">
        <v>5789575</v>
      </c>
      <c r="X447">
        <v>20910</v>
      </c>
      <c r="Y447">
        <v>44079</v>
      </c>
      <c r="Z447">
        <v>40884</v>
      </c>
      <c r="AA447">
        <v>43655</v>
      </c>
      <c r="AB447">
        <v>47791</v>
      </c>
      <c r="AC447">
        <v>40002</v>
      </c>
      <c r="AD447">
        <v>37622</v>
      </c>
      <c r="AE447">
        <v>38938</v>
      </c>
      <c r="AF447">
        <v>39841</v>
      </c>
      <c r="AG447" s="2" t="s">
        <v>734</v>
      </c>
      <c r="AH447" s="2" t="s">
        <v>734</v>
      </c>
      <c r="AI447" s="2" t="s">
        <v>734</v>
      </c>
    </row>
    <row r="448" spans="2:35" x14ac:dyDescent="0.25">
      <c r="B448" t="s">
        <v>1220</v>
      </c>
      <c r="C448" t="s">
        <v>323</v>
      </c>
      <c r="D448">
        <v>110</v>
      </c>
      <c r="E448" t="s">
        <v>1212</v>
      </c>
      <c r="F448" t="s">
        <v>327</v>
      </c>
      <c r="G448" t="s">
        <v>332</v>
      </c>
      <c r="H448"/>
      <c r="I448">
        <v>520520</v>
      </c>
      <c r="J448">
        <v>522550</v>
      </c>
      <c r="K448">
        <v>526410</v>
      </c>
      <c r="L448">
        <v>530051</v>
      </c>
      <c r="M448">
        <v>534150</v>
      </c>
      <c r="N448">
        <v>538267</v>
      </c>
      <c r="O448">
        <v>541700</v>
      </c>
      <c r="P448">
        <v>545237</v>
      </c>
      <c r="Q448">
        <v>548532</v>
      </c>
      <c r="R448">
        <v>551959</v>
      </c>
      <c r="X448">
        <v>2030</v>
      </c>
      <c r="Y448">
        <v>3860</v>
      </c>
      <c r="Z448">
        <v>3641</v>
      </c>
      <c r="AA448">
        <v>4099</v>
      </c>
      <c r="AB448">
        <v>4117</v>
      </c>
      <c r="AC448">
        <v>3433</v>
      </c>
      <c r="AD448">
        <v>3537</v>
      </c>
      <c r="AE448">
        <v>3295</v>
      </c>
      <c r="AF448">
        <v>3427</v>
      </c>
      <c r="AG448" s="2" t="s">
        <v>734</v>
      </c>
      <c r="AH448" s="2" t="s">
        <v>734</v>
      </c>
      <c r="AI448" s="2" t="s">
        <v>734</v>
      </c>
    </row>
    <row r="449" spans="2:35" x14ac:dyDescent="0.25">
      <c r="B449" t="s">
        <v>1327</v>
      </c>
      <c r="C449" t="s">
        <v>323</v>
      </c>
      <c r="D449">
        <v>110</v>
      </c>
      <c r="E449" t="s">
        <v>1216</v>
      </c>
      <c r="F449" t="s">
        <v>327</v>
      </c>
      <c r="G449" t="s">
        <v>332</v>
      </c>
      <c r="H449"/>
      <c r="I449">
        <v>746051</v>
      </c>
      <c r="J449">
        <v>749653</v>
      </c>
      <c r="K449">
        <v>756191</v>
      </c>
      <c r="L449">
        <v>760487</v>
      </c>
      <c r="M449">
        <v>764858</v>
      </c>
      <c r="N449"/>
      <c r="O449">
        <v>772052</v>
      </c>
      <c r="P449">
        <v>776199</v>
      </c>
      <c r="Q449">
        <v>780983</v>
      </c>
      <c r="R449">
        <v>785896</v>
      </c>
      <c r="X449">
        <v>3602</v>
      </c>
      <c r="Y449">
        <v>6538</v>
      </c>
      <c r="Z449">
        <v>4296</v>
      </c>
      <c r="AA449">
        <v>4371</v>
      </c>
      <c r="AB449" t="s">
        <v>734</v>
      </c>
      <c r="AC449" t="s">
        <v>734</v>
      </c>
      <c r="AD449">
        <v>4147</v>
      </c>
      <c r="AE449">
        <v>4784</v>
      </c>
      <c r="AF449">
        <v>4913</v>
      </c>
      <c r="AG449" s="2" t="s">
        <v>734</v>
      </c>
      <c r="AH449" s="2" t="s">
        <v>734</v>
      </c>
      <c r="AI449" s="2" t="s">
        <v>734</v>
      </c>
    </row>
    <row r="450" spans="2:35" x14ac:dyDescent="0.25">
      <c r="B450" t="s">
        <v>1324</v>
      </c>
      <c r="C450" t="s">
        <v>323</v>
      </c>
      <c r="D450">
        <v>39241</v>
      </c>
      <c r="E450" t="s">
        <v>1338</v>
      </c>
      <c r="F450" t="s">
        <v>327</v>
      </c>
      <c r="G450" t="s">
        <v>330</v>
      </c>
      <c r="H450"/>
      <c r="I450">
        <v>3338321</v>
      </c>
      <c r="J450">
        <v>3351525</v>
      </c>
      <c r="K450">
        <v>3379674</v>
      </c>
      <c r="L450">
        <v>3399489</v>
      </c>
      <c r="M450">
        <v>3426828</v>
      </c>
      <c r="N450">
        <v>3454408</v>
      </c>
      <c r="O450">
        <v>3479447</v>
      </c>
      <c r="P450">
        <v>3505159</v>
      </c>
      <c r="Q450">
        <v>3528776</v>
      </c>
      <c r="R450">
        <v>3555262</v>
      </c>
      <c r="X450">
        <v>13204</v>
      </c>
      <c r="Y450">
        <v>28149</v>
      </c>
      <c r="Z450">
        <v>19815</v>
      </c>
      <c r="AA450">
        <v>27339</v>
      </c>
      <c r="AB450">
        <v>27580</v>
      </c>
      <c r="AC450">
        <v>25039</v>
      </c>
      <c r="AD450">
        <v>25712</v>
      </c>
      <c r="AE450">
        <v>23617</v>
      </c>
      <c r="AF450">
        <v>26486</v>
      </c>
      <c r="AG450" s="2" t="s">
        <v>734</v>
      </c>
      <c r="AH450" s="2" t="s">
        <v>734</v>
      </c>
      <c r="AI450" s="2" t="s">
        <v>734</v>
      </c>
    </row>
    <row r="451" spans="2:35" x14ac:dyDescent="0.25">
      <c r="B451" t="s">
        <v>1202</v>
      </c>
      <c r="C451" t="s">
        <v>323</v>
      </c>
      <c r="D451">
        <v>140</v>
      </c>
      <c r="E451" t="s">
        <v>1200</v>
      </c>
      <c r="F451" t="s">
        <v>327</v>
      </c>
      <c r="G451"/>
      <c r="H451"/>
      <c r="I451"/>
      <c r="J451"/>
      <c r="K451"/>
      <c r="L451">
        <v>156572.95000000001</v>
      </c>
      <c r="M451"/>
      <c r="N451"/>
      <c r="O451">
        <v>156572</v>
      </c>
      <c r="P451">
        <v>156572</v>
      </c>
      <c r="Q451">
        <v>156572</v>
      </c>
      <c r="R451">
        <v>156572</v>
      </c>
      <c r="X451" t="s">
        <v>734</v>
      </c>
      <c r="Y451" t="s">
        <v>734</v>
      </c>
      <c r="Z451" t="s">
        <v>734</v>
      </c>
      <c r="AA451" t="s">
        <v>734</v>
      </c>
      <c r="AB451" t="s">
        <v>734</v>
      </c>
      <c r="AC451" t="s">
        <v>734</v>
      </c>
      <c r="AD451">
        <v>0</v>
      </c>
      <c r="AE451">
        <v>0</v>
      </c>
      <c r="AF451">
        <v>0</v>
      </c>
      <c r="AG451" s="2" t="s">
        <v>734</v>
      </c>
      <c r="AH451" s="2" t="s">
        <v>734</v>
      </c>
      <c r="AI451" s="2" t="s">
        <v>734</v>
      </c>
    </row>
    <row r="452" spans="2:35" x14ac:dyDescent="0.25">
      <c r="B452" t="s">
        <v>1219</v>
      </c>
      <c r="C452" t="s">
        <v>323</v>
      </c>
      <c r="D452">
        <v>110</v>
      </c>
      <c r="E452" t="s">
        <v>1211</v>
      </c>
      <c r="F452" t="s">
        <v>327</v>
      </c>
      <c r="G452" t="s">
        <v>329</v>
      </c>
      <c r="H452"/>
      <c r="I452">
        <v>329731</v>
      </c>
      <c r="J452">
        <v>330872</v>
      </c>
      <c r="K452">
        <v>333033</v>
      </c>
      <c r="L452">
        <v>334987</v>
      </c>
      <c r="M452">
        <v>337018</v>
      </c>
      <c r="N452">
        <v>339330</v>
      </c>
      <c r="O452">
        <v>341422</v>
      </c>
      <c r="P452">
        <v>343587</v>
      </c>
      <c r="Q452">
        <v>345654</v>
      </c>
      <c r="R452">
        <v>347676</v>
      </c>
      <c r="X452">
        <v>1141</v>
      </c>
      <c r="Y452">
        <v>2161</v>
      </c>
      <c r="Z452">
        <v>1954</v>
      </c>
      <c r="AA452">
        <v>2031</v>
      </c>
      <c r="AB452">
        <v>2312</v>
      </c>
      <c r="AC452">
        <v>2092</v>
      </c>
      <c r="AD452">
        <v>2165</v>
      </c>
      <c r="AE452">
        <v>2067</v>
      </c>
      <c r="AF452">
        <v>2022</v>
      </c>
      <c r="AG452" s="2" t="s">
        <v>734</v>
      </c>
      <c r="AH452" s="2" t="s">
        <v>734</v>
      </c>
      <c r="AI452" s="2" t="s">
        <v>734</v>
      </c>
    </row>
    <row r="453" spans="2:35" x14ac:dyDescent="0.25">
      <c r="B453" t="s">
        <v>333</v>
      </c>
      <c r="C453" t="s">
        <v>323</v>
      </c>
      <c r="D453">
        <v>110</v>
      </c>
      <c r="E453" t="s">
        <v>1213</v>
      </c>
      <c r="F453" t="s">
        <v>327</v>
      </c>
      <c r="G453" t="s">
        <v>334</v>
      </c>
      <c r="H453"/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/>
      <c r="Q453"/>
      <c r="R453"/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 t="s">
        <v>734</v>
      </c>
      <c r="AE453" t="s">
        <v>734</v>
      </c>
      <c r="AF453" t="s">
        <v>734</v>
      </c>
      <c r="AG453" s="2" t="s">
        <v>734</v>
      </c>
      <c r="AH453" s="2" t="s">
        <v>734</v>
      </c>
      <c r="AI453" s="2" t="s">
        <v>734</v>
      </c>
    </row>
    <row r="454" spans="2:35" x14ac:dyDescent="0.25">
      <c r="B454" t="s">
        <v>348</v>
      </c>
      <c r="C454" t="s">
        <v>323</v>
      </c>
      <c r="D454">
        <v>1</v>
      </c>
      <c r="E454" t="s">
        <v>349</v>
      </c>
      <c r="F454" t="s">
        <v>350</v>
      </c>
      <c r="G454"/>
      <c r="H454"/>
      <c r="I454"/>
      <c r="J454"/>
      <c r="K454"/>
      <c r="L454"/>
      <c r="M454"/>
      <c r="N454"/>
      <c r="O454"/>
      <c r="P454"/>
      <c r="Q454"/>
      <c r="R454"/>
      <c r="X454" t="s">
        <v>734</v>
      </c>
      <c r="Y454" t="s">
        <v>734</v>
      </c>
      <c r="Z454" t="s">
        <v>734</v>
      </c>
      <c r="AA454" t="s">
        <v>734</v>
      </c>
      <c r="AB454" t="s">
        <v>734</v>
      </c>
      <c r="AC454" t="s">
        <v>734</v>
      </c>
      <c r="AD454" t="s">
        <v>734</v>
      </c>
      <c r="AE454" t="s">
        <v>734</v>
      </c>
      <c r="AF454" t="s">
        <v>734</v>
      </c>
      <c r="AG454" s="2" t="s">
        <v>734</v>
      </c>
      <c r="AH454" s="2" t="s">
        <v>734</v>
      </c>
      <c r="AI454" s="2" t="s">
        <v>734</v>
      </c>
    </row>
    <row r="455" spans="2:35" x14ac:dyDescent="0.25">
      <c r="B455" t="s">
        <v>351</v>
      </c>
      <c r="C455" t="s">
        <v>323</v>
      </c>
      <c r="D455">
        <v>1</v>
      </c>
      <c r="E455" t="s">
        <v>349</v>
      </c>
      <c r="F455" t="s">
        <v>352</v>
      </c>
      <c r="G455"/>
      <c r="H455"/>
      <c r="I455"/>
      <c r="J455"/>
      <c r="K455"/>
      <c r="L455"/>
      <c r="M455"/>
      <c r="N455"/>
      <c r="O455"/>
      <c r="P455"/>
      <c r="Q455"/>
      <c r="R455"/>
      <c r="X455" t="s">
        <v>734</v>
      </c>
      <c r="Y455" t="s">
        <v>734</v>
      </c>
      <c r="Z455" t="s">
        <v>734</v>
      </c>
      <c r="AA455" t="s">
        <v>734</v>
      </c>
      <c r="AB455" t="s">
        <v>734</v>
      </c>
      <c r="AC455" t="s">
        <v>734</v>
      </c>
      <c r="AD455" t="s">
        <v>734</v>
      </c>
      <c r="AE455" t="s">
        <v>734</v>
      </c>
      <c r="AF455" t="s">
        <v>734</v>
      </c>
      <c r="AG455" s="2" t="s">
        <v>734</v>
      </c>
      <c r="AH455" s="2" t="s">
        <v>734</v>
      </c>
      <c r="AI455" s="2" t="s">
        <v>734</v>
      </c>
    </row>
    <row r="456" spans="2:35" x14ac:dyDescent="0.25">
      <c r="B456" t="s">
        <v>341</v>
      </c>
      <c r="C456" t="s">
        <v>323</v>
      </c>
      <c r="D456">
        <v>1</v>
      </c>
      <c r="E456" t="s">
        <v>342</v>
      </c>
      <c r="F456" t="s">
        <v>1099</v>
      </c>
      <c r="G456" t="s">
        <v>343</v>
      </c>
      <c r="H456"/>
      <c r="I456">
        <v>2333</v>
      </c>
      <c r="J456">
        <v>2350</v>
      </c>
      <c r="K456">
        <v>2373</v>
      </c>
      <c r="L456">
        <v>2397</v>
      </c>
      <c r="M456">
        <v>2425</v>
      </c>
      <c r="N456">
        <v>2469</v>
      </c>
      <c r="O456">
        <v>2500</v>
      </c>
      <c r="P456">
        <v>2502</v>
      </c>
      <c r="Q456">
        <v>2502</v>
      </c>
      <c r="R456">
        <v>2502</v>
      </c>
      <c r="X456">
        <v>17</v>
      </c>
      <c r="Y456">
        <v>23</v>
      </c>
      <c r="Z456">
        <v>24</v>
      </c>
      <c r="AA456">
        <v>28</v>
      </c>
      <c r="AB456">
        <v>44</v>
      </c>
      <c r="AC456">
        <v>31</v>
      </c>
      <c r="AD456">
        <v>2</v>
      </c>
      <c r="AE456">
        <v>0</v>
      </c>
      <c r="AF456">
        <v>0</v>
      </c>
      <c r="AG456" s="2" t="s">
        <v>734</v>
      </c>
      <c r="AH456" s="2" t="s">
        <v>734</v>
      </c>
      <c r="AI456" s="2" t="s">
        <v>734</v>
      </c>
    </row>
    <row r="457" spans="2:35" x14ac:dyDescent="0.25">
      <c r="B457" t="s">
        <v>353</v>
      </c>
      <c r="C457" t="s">
        <v>323</v>
      </c>
      <c r="D457">
        <v>1</v>
      </c>
      <c r="E457" t="s">
        <v>349</v>
      </c>
      <c r="F457" t="s">
        <v>352</v>
      </c>
      <c r="G457"/>
      <c r="H457"/>
      <c r="I457"/>
      <c r="J457"/>
      <c r="K457"/>
      <c r="L457"/>
      <c r="M457"/>
      <c r="N457"/>
      <c r="O457"/>
      <c r="P457"/>
      <c r="Q457"/>
      <c r="R457"/>
      <c r="X457" t="s">
        <v>734</v>
      </c>
      <c r="Y457" t="s">
        <v>734</v>
      </c>
      <c r="Z457" t="s">
        <v>734</v>
      </c>
      <c r="AA457" t="s">
        <v>734</v>
      </c>
      <c r="AB457" t="s">
        <v>734</v>
      </c>
      <c r="AC457" t="s">
        <v>734</v>
      </c>
      <c r="AD457" t="s">
        <v>734</v>
      </c>
      <c r="AE457" t="s">
        <v>734</v>
      </c>
      <c r="AF457" t="s">
        <v>734</v>
      </c>
      <c r="AG457" s="2" t="s">
        <v>734</v>
      </c>
      <c r="AH457" s="2" t="s">
        <v>734</v>
      </c>
      <c r="AI457" s="2" t="s">
        <v>734</v>
      </c>
    </row>
    <row r="458" spans="2:35" x14ac:dyDescent="0.25">
      <c r="B458" t="s">
        <v>720</v>
      </c>
      <c r="C458" t="s">
        <v>323</v>
      </c>
      <c r="D458">
        <v>140</v>
      </c>
      <c r="E458" t="s">
        <v>339</v>
      </c>
      <c r="F458" t="s">
        <v>1137</v>
      </c>
      <c r="G458" t="s">
        <v>340</v>
      </c>
      <c r="H458"/>
      <c r="I458">
        <v>3774</v>
      </c>
      <c r="J458">
        <v>3785</v>
      </c>
      <c r="K458">
        <v>3806</v>
      </c>
      <c r="L458">
        <v>3826</v>
      </c>
      <c r="M458">
        <v>3847</v>
      </c>
      <c r="N458">
        <v>3866</v>
      </c>
      <c r="O458">
        <v>3880</v>
      </c>
      <c r="P458">
        <v>3889</v>
      </c>
      <c r="Q458">
        <v>3890</v>
      </c>
      <c r="R458">
        <v>3895</v>
      </c>
      <c r="X458">
        <v>11</v>
      </c>
      <c r="Y458">
        <v>21</v>
      </c>
      <c r="Z458">
        <v>20</v>
      </c>
      <c r="AA458">
        <v>21</v>
      </c>
      <c r="AB458">
        <v>19</v>
      </c>
      <c r="AC458">
        <v>14</v>
      </c>
      <c r="AD458">
        <v>9</v>
      </c>
      <c r="AE458">
        <v>1</v>
      </c>
      <c r="AF458">
        <v>5</v>
      </c>
      <c r="AG458" s="2" t="s">
        <v>734</v>
      </c>
      <c r="AH458" s="2" t="s">
        <v>734</v>
      </c>
      <c r="AI458" s="2" t="s">
        <v>734</v>
      </c>
    </row>
    <row r="459" spans="2:35" x14ac:dyDescent="0.25">
      <c r="B459" t="s">
        <v>312</v>
      </c>
      <c r="C459" t="s">
        <v>311</v>
      </c>
      <c r="D459">
        <v>39075</v>
      </c>
      <c r="E459" t="s">
        <v>82</v>
      </c>
      <c r="F459" t="s">
        <v>313</v>
      </c>
      <c r="G459" t="s">
        <v>460</v>
      </c>
      <c r="H459"/>
      <c r="I459">
        <v>121587</v>
      </c>
      <c r="J459">
        <v>121595</v>
      </c>
      <c r="K459">
        <v>121606</v>
      </c>
      <c r="L459">
        <v>121617</v>
      </c>
      <c r="M459">
        <v>121627</v>
      </c>
      <c r="N459">
        <v>121640</v>
      </c>
      <c r="O459">
        <v>121651</v>
      </c>
      <c r="P459">
        <v>121669</v>
      </c>
      <c r="Q459">
        <v>121684</v>
      </c>
      <c r="R459">
        <v>121703</v>
      </c>
      <c r="X459">
        <v>1600</v>
      </c>
      <c r="Y459">
        <v>2200</v>
      </c>
      <c r="Z459">
        <v>2200</v>
      </c>
      <c r="AA459">
        <v>2000</v>
      </c>
      <c r="AB459">
        <v>2600</v>
      </c>
      <c r="AC459">
        <v>2200</v>
      </c>
      <c r="AD459">
        <v>3600</v>
      </c>
      <c r="AE459">
        <v>3000</v>
      </c>
      <c r="AF459">
        <v>3800</v>
      </c>
      <c r="AG459" s="2" t="s">
        <v>734</v>
      </c>
      <c r="AH459" s="2" t="s">
        <v>734</v>
      </c>
      <c r="AI459" s="2" t="s">
        <v>734</v>
      </c>
    </row>
    <row r="460" spans="2:35" x14ac:dyDescent="0.25">
      <c r="B460" t="s">
        <v>314</v>
      </c>
      <c r="C460" t="s">
        <v>311</v>
      </c>
      <c r="D460">
        <v>150</v>
      </c>
      <c r="E460" t="s">
        <v>21</v>
      </c>
      <c r="F460" t="s">
        <v>313</v>
      </c>
      <c r="G460" t="s">
        <v>315</v>
      </c>
      <c r="H460"/>
      <c r="I460">
        <v>255497</v>
      </c>
      <c r="J460">
        <v>256116</v>
      </c>
      <c r="K460">
        <v>256707</v>
      </c>
      <c r="L460">
        <v>257205</v>
      </c>
      <c r="M460">
        <v>257870</v>
      </c>
      <c r="N460">
        <v>258507</v>
      </c>
      <c r="O460">
        <v>259084</v>
      </c>
      <c r="P460">
        <v>259746</v>
      </c>
      <c r="Q460">
        <v>260262</v>
      </c>
      <c r="R460">
        <v>260972</v>
      </c>
      <c r="X460">
        <v>619</v>
      </c>
      <c r="Y460">
        <v>591</v>
      </c>
      <c r="Z460">
        <v>498</v>
      </c>
      <c r="AA460">
        <v>665</v>
      </c>
      <c r="AB460">
        <v>637</v>
      </c>
      <c r="AC460">
        <v>577</v>
      </c>
      <c r="AD460">
        <v>662</v>
      </c>
      <c r="AE460">
        <v>516</v>
      </c>
      <c r="AF460">
        <v>710</v>
      </c>
      <c r="AG460" s="2" t="s">
        <v>734</v>
      </c>
      <c r="AH460" s="2" t="s">
        <v>734</v>
      </c>
      <c r="AI460" s="2" t="s">
        <v>734</v>
      </c>
    </row>
    <row r="461" spans="2:35" x14ac:dyDescent="0.25">
      <c r="B461" t="s">
        <v>1267</v>
      </c>
      <c r="C461" t="s">
        <v>721</v>
      </c>
      <c r="D461">
        <v>150</v>
      </c>
      <c r="E461" t="s">
        <v>21</v>
      </c>
      <c r="F461" t="s">
        <v>20</v>
      </c>
      <c r="G461"/>
      <c r="H461" t="s">
        <v>792</v>
      </c>
      <c r="I461">
        <v>16411</v>
      </c>
      <c r="J461">
        <v>16507</v>
      </c>
      <c r="K461">
        <v>16645</v>
      </c>
      <c r="L461">
        <v>16750</v>
      </c>
      <c r="M461">
        <v>16841</v>
      </c>
      <c r="N461">
        <v>16905</v>
      </c>
      <c r="O461">
        <v>17036</v>
      </c>
      <c r="P461">
        <v>17169</v>
      </c>
      <c r="Q461">
        <v>17325</v>
      </c>
      <c r="R461">
        <v>17435</v>
      </c>
      <c r="X461">
        <v>11520</v>
      </c>
      <c r="Y461">
        <v>16560</v>
      </c>
      <c r="Z461">
        <v>12600</v>
      </c>
      <c r="AA461">
        <v>10920</v>
      </c>
      <c r="AB461">
        <v>7680</v>
      </c>
      <c r="AC461">
        <v>15720</v>
      </c>
      <c r="AD461">
        <v>15960</v>
      </c>
      <c r="AE461">
        <v>18720</v>
      </c>
      <c r="AF461">
        <v>13200</v>
      </c>
      <c r="AG461" s="2" t="s">
        <v>734</v>
      </c>
      <c r="AH461" s="2" t="s">
        <v>734</v>
      </c>
      <c r="AI461" s="2" t="s">
        <v>734</v>
      </c>
    </row>
    <row r="462" spans="2:35" x14ac:dyDescent="0.25">
      <c r="B462">
        <v>500018</v>
      </c>
      <c r="C462" t="s">
        <v>22</v>
      </c>
      <c r="D462">
        <v>39331</v>
      </c>
      <c r="E462" t="s">
        <v>23</v>
      </c>
      <c r="F462" t="s">
        <v>973</v>
      </c>
      <c r="G462" t="s">
        <v>24</v>
      </c>
      <c r="H462" t="s">
        <v>796</v>
      </c>
      <c r="I462">
        <v>35852</v>
      </c>
      <c r="J462">
        <v>35971</v>
      </c>
      <c r="K462">
        <v>36176</v>
      </c>
      <c r="L462">
        <v>36294</v>
      </c>
      <c r="M462">
        <v>36400</v>
      </c>
      <c r="N462">
        <v>36487</v>
      </c>
      <c r="O462">
        <v>36566</v>
      </c>
      <c r="P462">
        <v>36650</v>
      </c>
      <c r="Q462">
        <v>36733</v>
      </c>
      <c r="R462">
        <v>36844</v>
      </c>
      <c r="X462">
        <v>4760</v>
      </c>
      <c r="Y462">
        <v>8200</v>
      </c>
      <c r="Z462">
        <v>4720</v>
      </c>
      <c r="AA462">
        <v>4240</v>
      </c>
      <c r="AB462">
        <v>3480</v>
      </c>
      <c r="AC462">
        <v>3160</v>
      </c>
      <c r="AD462">
        <v>3360</v>
      </c>
      <c r="AE462">
        <v>3320</v>
      </c>
      <c r="AF462">
        <v>4440</v>
      </c>
      <c r="AG462" s="2" t="s">
        <v>734</v>
      </c>
      <c r="AH462" s="2" t="s">
        <v>734</v>
      </c>
      <c r="AI462" s="2" t="s">
        <v>734</v>
      </c>
    </row>
    <row r="463" spans="2:35" x14ac:dyDescent="0.25">
      <c r="B463">
        <v>18506393</v>
      </c>
      <c r="C463" t="s">
        <v>22</v>
      </c>
      <c r="D463">
        <v>39416</v>
      </c>
      <c r="E463" t="s">
        <v>23</v>
      </c>
      <c r="F463" t="s">
        <v>974</v>
      </c>
      <c r="G463" t="s">
        <v>29</v>
      </c>
      <c r="H463"/>
      <c r="I463">
        <v>113457</v>
      </c>
      <c r="J463">
        <v>113939</v>
      </c>
      <c r="K463">
        <v>115488</v>
      </c>
      <c r="L463">
        <v>116243</v>
      </c>
      <c r="M463">
        <v>117483</v>
      </c>
      <c r="N463">
        <v>118447</v>
      </c>
      <c r="O463">
        <v>120019</v>
      </c>
      <c r="P463">
        <v>121906</v>
      </c>
      <c r="Q463">
        <v>124219</v>
      </c>
      <c r="R463">
        <v>127341</v>
      </c>
      <c r="X463">
        <v>482</v>
      </c>
      <c r="Y463">
        <v>1549</v>
      </c>
      <c r="Z463">
        <v>755</v>
      </c>
      <c r="AA463">
        <v>1240</v>
      </c>
      <c r="AB463">
        <v>964</v>
      </c>
      <c r="AC463">
        <v>1572</v>
      </c>
      <c r="AD463">
        <v>1887</v>
      </c>
      <c r="AE463">
        <v>2313</v>
      </c>
      <c r="AF463">
        <v>3122</v>
      </c>
      <c r="AG463" s="2" t="s">
        <v>734</v>
      </c>
      <c r="AH463" s="2" t="s">
        <v>734</v>
      </c>
      <c r="AI463" s="2" t="s">
        <v>734</v>
      </c>
    </row>
    <row r="464" spans="2:35" x14ac:dyDescent="0.25">
      <c r="B464" t="s">
        <v>30</v>
      </c>
      <c r="C464" t="s">
        <v>22</v>
      </c>
      <c r="D464">
        <v>39430</v>
      </c>
      <c r="E464" t="s">
        <v>23</v>
      </c>
      <c r="F464" t="s">
        <v>975</v>
      </c>
      <c r="G464" t="s">
        <v>31</v>
      </c>
      <c r="H464"/>
      <c r="I464">
        <v>518428</v>
      </c>
      <c r="J464">
        <v>521047</v>
      </c>
      <c r="K464">
        <v>525721</v>
      </c>
      <c r="L464">
        <v>529119</v>
      </c>
      <c r="M464">
        <v>532509</v>
      </c>
      <c r="N464">
        <v>535441</v>
      </c>
      <c r="O464">
        <v>538122</v>
      </c>
      <c r="P464">
        <v>540899</v>
      </c>
      <c r="Q464">
        <v>543593</v>
      </c>
      <c r="R464">
        <v>547010</v>
      </c>
      <c r="X464">
        <v>2619</v>
      </c>
      <c r="Y464">
        <v>4674</v>
      </c>
      <c r="Z464">
        <v>3398</v>
      </c>
      <c r="AA464">
        <v>3390</v>
      </c>
      <c r="AB464">
        <v>2932</v>
      </c>
      <c r="AC464">
        <v>2681</v>
      </c>
      <c r="AD464">
        <v>2777</v>
      </c>
      <c r="AE464">
        <v>2694</v>
      </c>
      <c r="AF464">
        <v>3417</v>
      </c>
      <c r="AG464" s="2" t="s">
        <v>734</v>
      </c>
      <c r="AH464" s="2" t="s">
        <v>734</v>
      </c>
      <c r="AI464" s="2" t="s">
        <v>734</v>
      </c>
    </row>
    <row r="465" spans="2:35" x14ac:dyDescent="0.25">
      <c r="B465" t="s">
        <v>25</v>
      </c>
      <c r="C465" t="s">
        <v>22</v>
      </c>
      <c r="D465">
        <v>39638</v>
      </c>
      <c r="E465" t="s">
        <v>23</v>
      </c>
      <c r="F465" t="s">
        <v>976</v>
      </c>
      <c r="G465" t="s">
        <v>26</v>
      </c>
      <c r="H465"/>
      <c r="I465">
        <v>478099</v>
      </c>
      <c r="J465">
        <v>480034</v>
      </c>
      <c r="K465">
        <v>483386</v>
      </c>
      <c r="L465">
        <v>488156</v>
      </c>
      <c r="M465">
        <v>492904</v>
      </c>
      <c r="N465">
        <v>497037</v>
      </c>
      <c r="O465">
        <v>500844</v>
      </c>
      <c r="P465">
        <v>504792</v>
      </c>
      <c r="Q465">
        <v>508569</v>
      </c>
      <c r="R465">
        <v>513329</v>
      </c>
      <c r="X465">
        <v>1935</v>
      </c>
      <c r="Y465">
        <v>3352</v>
      </c>
      <c r="Z465">
        <v>4770</v>
      </c>
      <c r="AA465">
        <v>4748</v>
      </c>
      <c r="AB465">
        <v>4133</v>
      </c>
      <c r="AC465">
        <v>3807</v>
      </c>
      <c r="AD465">
        <v>3948</v>
      </c>
      <c r="AE465">
        <v>3777</v>
      </c>
      <c r="AF465">
        <v>4760</v>
      </c>
      <c r="AG465" s="2" t="s">
        <v>734</v>
      </c>
      <c r="AH465" s="2" t="s">
        <v>734</v>
      </c>
      <c r="AI465" s="2" t="s">
        <v>734</v>
      </c>
    </row>
    <row r="466" spans="2:35" x14ac:dyDescent="0.25">
      <c r="B466" t="s">
        <v>27</v>
      </c>
      <c r="C466" t="s">
        <v>22</v>
      </c>
      <c r="D466">
        <v>39426</v>
      </c>
      <c r="E466" t="s">
        <v>23</v>
      </c>
      <c r="F466" t="s">
        <v>977</v>
      </c>
      <c r="G466" t="s">
        <v>28</v>
      </c>
      <c r="H466"/>
      <c r="I466">
        <v>707937</v>
      </c>
      <c r="J466">
        <v>710535</v>
      </c>
      <c r="K466">
        <v>716152</v>
      </c>
      <c r="L466">
        <v>721322</v>
      </c>
      <c r="M466">
        <v>725483</v>
      </c>
      <c r="N466">
        <v>729465</v>
      </c>
      <c r="O466">
        <v>734360</v>
      </c>
      <c r="P466">
        <v>739418</v>
      </c>
      <c r="Q466">
        <v>745132</v>
      </c>
      <c r="R466">
        <v>751404</v>
      </c>
      <c r="X466">
        <v>2598</v>
      </c>
      <c r="Y466">
        <v>5617</v>
      </c>
      <c r="Z466">
        <v>5170</v>
      </c>
      <c r="AA466">
        <v>4161</v>
      </c>
      <c r="AB466">
        <v>3982</v>
      </c>
      <c r="AC466">
        <v>4895</v>
      </c>
      <c r="AD466">
        <v>5058</v>
      </c>
      <c r="AE466">
        <v>5714</v>
      </c>
      <c r="AF466">
        <v>6272</v>
      </c>
      <c r="AG466" s="2" t="s">
        <v>734</v>
      </c>
      <c r="AH466" s="2" t="s">
        <v>734</v>
      </c>
      <c r="AI466" s="2" t="s">
        <v>734</v>
      </c>
    </row>
    <row r="467" spans="2:35" x14ac:dyDescent="0.25">
      <c r="B467">
        <v>5215981</v>
      </c>
      <c r="C467" t="s">
        <v>32</v>
      </c>
      <c r="D467">
        <v>39334</v>
      </c>
      <c r="E467" t="s">
        <v>23</v>
      </c>
      <c r="F467" t="s">
        <v>33</v>
      </c>
      <c r="G467"/>
      <c r="H467"/>
      <c r="I467">
        <v>290869</v>
      </c>
      <c r="J467">
        <v>292365</v>
      </c>
      <c r="K467">
        <v>294835</v>
      </c>
      <c r="L467">
        <v>296891</v>
      </c>
      <c r="M467">
        <v>299337</v>
      </c>
      <c r="N467">
        <v>302354</v>
      </c>
      <c r="O467">
        <v>304878</v>
      </c>
      <c r="P467">
        <v>307476</v>
      </c>
      <c r="Q467">
        <v>309375</v>
      </c>
      <c r="R467">
        <v>310502</v>
      </c>
      <c r="X467">
        <v>1496</v>
      </c>
      <c r="Y467">
        <v>2470</v>
      </c>
      <c r="Z467">
        <v>2056</v>
      </c>
      <c r="AA467">
        <v>2446</v>
      </c>
      <c r="AB467">
        <v>3017</v>
      </c>
      <c r="AC467">
        <v>2524</v>
      </c>
      <c r="AD467">
        <v>2598</v>
      </c>
      <c r="AE467">
        <v>1899</v>
      </c>
      <c r="AF467">
        <v>1127</v>
      </c>
      <c r="AG467" s="2" t="s">
        <v>734</v>
      </c>
      <c r="AH467" s="2" t="s">
        <v>734</v>
      </c>
      <c r="AI467" s="2" t="s">
        <v>734</v>
      </c>
    </row>
    <row r="468" spans="2:35" x14ac:dyDescent="0.25">
      <c r="B468">
        <v>55158086</v>
      </c>
      <c r="C468" t="s">
        <v>32</v>
      </c>
      <c r="D468">
        <v>39495</v>
      </c>
      <c r="E468" t="s">
        <v>23</v>
      </c>
      <c r="F468" t="s">
        <v>34</v>
      </c>
      <c r="G468" t="s">
        <v>35</v>
      </c>
      <c r="H468" t="s">
        <v>799</v>
      </c>
      <c r="I468">
        <v>3349</v>
      </c>
      <c r="J468">
        <v>3439</v>
      </c>
      <c r="K468">
        <v>3576</v>
      </c>
      <c r="L468">
        <v>3697</v>
      </c>
      <c r="M468">
        <v>3816</v>
      </c>
      <c r="N468">
        <v>3917</v>
      </c>
      <c r="O468">
        <v>4013</v>
      </c>
      <c r="P468">
        <v>4101</v>
      </c>
      <c r="Q468">
        <v>4191</v>
      </c>
      <c r="R468">
        <v>4298</v>
      </c>
      <c r="X468">
        <v>2700</v>
      </c>
      <c r="Y468">
        <v>4110</v>
      </c>
      <c r="Z468">
        <v>3630</v>
      </c>
      <c r="AA468">
        <v>3570</v>
      </c>
      <c r="AB468">
        <v>3030</v>
      </c>
      <c r="AC468">
        <v>2880</v>
      </c>
      <c r="AD468">
        <v>2640</v>
      </c>
      <c r="AE468">
        <v>2700</v>
      </c>
      <c r="AF468">
        <v>3210</v>
      </c>
      <c r="AG468" s="2" t="s">
        <v>734</v>
      </c>
      <c r="AH468" s="2" t="s">
        <v>734</v>
      </c>
      <c r="AI468" s="2" t="s">
        <v>734</v>
      </c>
    </row>
    <row r="469" spans="2:35" x14ac:dyDescent="0.25">
      <c r="B469">
        <v>5356191</v>
      </c>
      <c r="C469" t="s">
        <v>36</v>
      </c>
      <c r="D469">
        <v>39333</v>
      </c>
      <c r="E469" t="s">
        <v>23</v>
      </c>
      <c r="F469" t="s">
        <v>38</v>
      </c>
      <c r="G469" t="s">
        <v>45</v>
      </c>
      <c r="H469" t="s">
        <v>800</v>
      </c>
      <c r="I469">
        <v>3751</v>
      </c>
      <c r="J469">
        <v>3777</v>
      </c>
      <c r="K469">
        <v>3777</v>
      </c>
      <c r="L469">
        <v>3777</v>
      </c>
      <c r="M469">
        <v>3789</v>
      </c>
      <c r="N469">
        <v>3822</v>
      </c>
      <c r="O469">
        <v>3848</v>
      </c>
      <c r="P469">
        <v>3900</v>
      </c>
      <c r="Q469">
        <v>3938</v>
      </c>
      <c r="R469">
        <v>3954</v>
      </c>
      <c r="X469">
        <v>390</v>
      </c>
      <c r="Y469">
        <v>0</v>
      </c>
      <c r="Z469">
        <v>0</v>
      </c>
      <c r="AA469">
        <v>180</v>
      </c>
      <c r="AB469">
        <v>495</v>
      </c>
      <c r="AC469">
        <v>390</v>
      </c>
      <c r="AD469">
        <v>780</v>
      </c>
      <c r="AE469">
        <v>570</v>
      </c>
      <c r="AF469">
        <v>240</v>
      </c>
      <c r="AG469" s="2" t="s">
        <v>734</v>
      </c>
      <c r="AH469" s="2" t="s">
        <v>734</v>
      </c>
      <c r="AI469" s="2" t="s">
        <v>734</v>
      </c>
    </row>
    <row r="470" spans="2:35" x14ac:dyDescent="0.25">
      <c r="B470" t="s">
        <v>41</v>
      </c>
      <c r="C470" t="s">
        <v>36</v>
      </c>
      <c r="D470">
        <v>39014</v>
      </c>
      <c r="E470" t="s">
        <v>23</v>
      </c>
      <c r="F470" t="s">
        <v>38</v>
      </c>
      <c r="G470" t="s">
        <v>42</v>
      </c>
      <c r="H470"/>
      <c r="I470">
        <v>110121</v>
      </c>
      <c r="J470">
        <v>110121</v>
      </c>
      <c r="K470">
        <v>110121</v>
      </c>
      <c r="L470">
        <v>110121</v>
      </c>
      <c r="M470">
        <v>110121</v>
      </c>
      <c r="N470">
        <v>110121</v>
      </c>
      <c r="O470">
        <v>110121</v>
      </c>
      <c r="P470">
        <v>110121</v>
      </c>
      <c r="Q470">
        <v>110121</v>
      </c>
      <c r="R470">
        <v>110121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 s="2" t="s">
        <v>734</v>
      </c>
      <c r="AH470" s="2" t="s">
        <v>734</v>
      </c>
      <c r="AI470" s="2" t="s">
        <v>734</v>
      </c>
    </row>
    <row r="471" spans="2:35" x14ac:dyDescent="0.25">
      <c r="B471" t="s">
        <v>37</v>
      </c>
      <c r="C471" t="s">
        <v>36</v>
      </c>
      <c r="D471">
        <v>39417</v>
      </c>
      <c r="E471" t="s">
        <v>23</v>
      </c>
      <c r="F471" t="s">
        <v>38</v>
      </c>
      <c r="G471" t="s">
        <v>39</v>
      </c>
      <c r="H471"/>
      <c r="I471">
        <v>592489</v>
      </c>
      <c r="J471">
        <v>596165</v>
      </c>
      <c r="K471">
        <v>602663</v>
      </c>
      <c r="L471">
        <v>612240</v>
      </c>
      <c r="M471">
        <v>621171</v>
      </c>
      <c r="N471">
        <v>629717</v>
      </c>
      <c r="O471">
        <v>637149</v>
      </c>
      <c r="P471">
        <v>644651</v>
      </c>
      <c r="Q471">
        <v>651640</v>
      </c>
      <c r="R471">
        <v>660788</v>
      </c>
      <c r="X471">
        <v>3676</v>
      </c>
      <c r="Y471">
        <v>6498</v>
      </c>
      <c r="Z471">
        <v>9577</v>
      </c>
      <c r="AA471">
        <v>8931</v>
      </c>
      <c r="AB471">
        <v>8546</v>
      </c>
      <c r="AC471">
        <v>7432</v>
      </c>
      <c r="AD471">
        <v>7502</v>
      </c>
      <c r="AE471">
        <v>6989</v>
      </c>
      <c r="AF471">
        <v>9148</v>
      </c>
      <c r="AG471" s="2" t="s">
        <v>734</v>
      </c>
      <c r="AH471" s="2" t="s">
        <v>734</v>
      </c>
      <c r="AI471" s="2" t="s">
        <v>734</v>
      </c>
    </row>
    <row r="472" spans="2:35" x14ac:dyDescent="0.25">
      <c r="B472" t="s">
        <v>43</v>
      </c>
      <c r="C472" t="s">
        <v>36</v>
      </c>
      <c r="D472">
        <v>132</v>
      </c>
      <c r="E472" t="s">
        <v>878</v>
      </c>
      <c r="F472" t="s">
        <v>38</v>
      </c>
      <c r="G472" t="s">
        <v>44</v>
      </c>
      <c r="H472"/>
      <c r="I472">
        <v>443022</v>
      </c>
      <c r="J472">
        <v>445525</v>
      </c>
      <c r="K472">
        <v>450367</v>
      </c>
      <c r="L472">
        <v>454247</v>
      </c>
      <c r="M472">
        <v>458120</v>
      </c>
      <c r="N472">
        <v>461451</v>
      </c>
      <c r="O472">
        <v>464505</v>
      </c>
      <c r="P472">
        <v>467642</v>
      </c>
      <c r="Q472">
        <v>470730</v>
      </c>
      <c r="R472">
        <v>474698</v>
      </c>
      <c r="X472">
        <v>2503</v>
      </c>
      <c r="Y472">
        <v>4842</v>
      </c>
      <c r="Z472">
        <v>3880</v>
      </c>
      <c r="AA472">
        <v>3873</v>
      </c>
      <c r="AB472">
        <v>3331</v>
      </c>
      <c r="AC472">
        <v>3054</v>
      </c>
      <c r="AD472">
        <v>3137</v>
      </c>
      <c r="AE472">
        <v>3088</v>
      </c>
      <c r="AF472">
        <v>3968</v>
      </c>
      <c r="AG472" s="2" t="s">
        <v>734</v>
      </c>
      <c r="AH472" s="2" t="s">
        <v>734</v>
      </c>
      <c r="AI472" s="2" t="s">
        <v>734</v>
      </c>
    </row>
    <row r="473" spans="2:35" x14ac:dyDescent="0.25">
      <c r="B473">
        <v>1025626</v>
      </c>
      <c r="C473" t="s">
        <v>46</v>
      </c>
      <c r="D473">
        <v>39325</v>
      </c>
      <c r="E473" t="s">
        <v>51</v>
      </c>
      <c r="F473" t="s">
        <v>52</v>
      </c>
      <c r="G473"/>
      <c r="H473"/>
      <c r="I473">
        <v>119183</v>
      </c>
      <c r="J473">
        <v>119564</v>
      </c>
      <c r="K473">
        <v>120250</v>
      </c>
      <c r="L473">
        <v>120808</v>
      </c>
      <c r="M473">
        <v>121357</v>
      </c>
      <c r="N473">
        <v>121835</v>
      </c>
      <c r="O473">
        <v>122199</v>
      </c>
      <c r="P473">
        <v>122663</v>
      </c>
      <c r="Q473">
        <v>123445</v>
      </c>
      <c r="R473">
        <v>124474</v>
      </c>
      <c r="X473">
        <v>381</v>
      </c>
      <c r="Y473">
        <v>686</v>
      </c>
      <c r="Z473">
        <v>558</v>
      </c>
      <c r="AA473">
        <v>549</v>
      </c>
      <c r="AB473">
        <v>478</v>
      </c>
      <c r="AC473">
        <v>364</v>
      </c>
      <c r="AD473">
        <v>464</v>
      </c>
      <c r="AE473">
        <v>782</v>
      </c>
      <c r="AF473">
        <v>1029</v>
      </c>
      <c r="AG473" s="2" t="s">
        <v>734</v>
      </c>
      <c r="AH473" s="2" t="s">
        <v>734</v>
      </c>
      <c r="AI473" s="2" t="s">
        <v>734</v>
      </c>
    </row>
    <row r="474" spans="2:35" x14ac:dyDescent="0.25">
      <c r="B474">
        <v>5130043</v>
      </c>
      <c r="C474" t="s">
        <v>46</v>
      </c>
      <c r="D474">
        <v>150</v>
      </c>
      <c r="E474" t="s">
        <v>48</v>
      </c>
      <c r="F474" t="s">
        <v>49</v>
      </c>
      <c r="G474" t="s">
        <v>50</v>
      </c>
      <c r="H474" t="s">
        <v>799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 s="2" t="s">
        <v>734</v>
      </c>
      <c r="AH474" s="2" t="s">
        <v>734</v>
      </c>
      <c r="AI474" s="2" t="s">
        <v>734</v>
      </c>
    </row>
    <row r="475" spans="2:35" x14ac:dyDescent="0.25">
      <c r="B475">
        <v>717084013</v>
      </c>
      <c r="C475" t="s">
        <v>46</v>
      </c>
      <c r="D475">
        <v>141</v>
      </c>
      <c r="E475" t="s">
        <v>964</v>
      </c>
      <c r="F475" t="s">
        <v>47</v>
      </c>
      <c r="G475"/>
      <c r="H475">
        <v>42948</v>
      </c>
      <c r="I475">
        <v>17849</v>
      </c>
      <c r="J475">
        <v>19001</v>
      </c>
      <c r="K475">
        <v>25939</v>
      </c>
      <c r="L475">
        <v>28022</v>
      </c>
      <c r="M475">
        <v>29323</v>
      </c>
      <c r="N475">
        <v>30450</v>
      </c>
      <c r="O475">
        <v>32555</v>
      </c>
      <c r="P475">
        <v>36361</v>
      </c>
      <c r="Q475">
        <v>38091</v>
      </c>
      <c r="R475">
        <v>39854</v>
      </c>
      <c r="X475">
        <v>1152</v>
      </c>
      <c r="Y475">
        <v>6938</v>
      </c>
      <c r="Z475">
        <v>2083</v>
      </c>
      <c r="AA475">
        <v>1301</v>
      </c>
      <c r="AB475">
        <v>1127</v>
      </c>
      <c r="AC475">
        <v>2105</v>
      </c>
      <c r="AD475">
        <v>3806</v>
      </c>
      <c r="AE475">
        <v>1730</v>
      </c>
      <c r="AF475">
        <v>1763</v>
      </c>
      <c r="AG475" s="2" t="s">
        <v>734</v>
      </c>
      <c r="AH475" s="2" t="s">
        <v>734</v>
      </c>
      <c r="AI475" s="2" t="s">
        <v>734</v>
      </c>
    </row>
    <row r="476" spans="2:35" x14ac:dyDescent="0.25">
      <c r="B476" t="s">
        <v>758</v>
      </c>
      <c r="C476" t="s">
        <v>46</v>
      </c>
      <c r="D476">
        <v>30000</v>
      </c>
      <c r="F476"/>
      <c r="G476"/>
      <c r="H476"/>
      <c r="I476">
        <v>39532</v>
      </c>
      <c r="J476">
        <v>42268</v>
      </c>
      <c r="K476">
        <v>47340</v>
      </c>
      <c r="L476">
        <v>51308</v>
      </c>
      <c r="M476">
        <v>55122</v>
      </c>
      <c r="N476">
        <v>58173</v>
      </c>
      <c r="O476">
        <v>60814</v>
      </c>
      <c r="P476">
        <v>63279</v>
      </c>
      <c r="Q476">
        <v>66154</v>
      </c>
      <c r="R476">
        <v>69640</v>
      </c>
      <c r="X476">
        <v>2736</v>
      </c>
      <c r="Y476">
        <v>5072</v>
      </c>
      <c r="Z476">
        <v>3968</v>
      </c>
      <c r="AA476">
        <v>3814</v>
      </c>
      <c r="AB476">
        <v>3051</v>
      </c>
      <c r="AC476">
        <v>2641</v>
      </c>
      <c r="AD476">
        <v>2465</v>
      </c>
      <c r="AE476">
        <v>2875</v>
      </c>
      <c r="AF476">
        <v>3486</v>
      </c>
      <c r="AG476" s="2" t="s">
        <v>734</v>
      </c>
      <c r="AH476" s="2" t="s">
        <v>734</v>
      </c>
      <c r="AI476" s="2" t="s">
        <v>734</v>
      </c>
    </row>
    <row r="477" spans="2:35" x14ac:dyDescent="0.25">
      <c r="B477" t="s">
        <v>1300</v>
      </c>
      <c r="C477" t="s">
        <v>46</v>
      </c>
      <c r="D477">
        <v>39328</v>
      </c>
      <c r="E477" t="s">
        <v>51</v>
      </c>
      <c r="F477" t="s">
        <v>54</v>
      </c>
      <c r="G477"/>
      <c r="H477"/>
      <c r="I477">
        <v>197164</v>
      </c>
      <c r="J477">
        <v>198326</v>
      </c>
      <c r="K477">
        <v>200600</v>
      </c>
      <c r="L477">
        <v>202438</v>
      </c>
      <c r="M477">
        <v>204258</v>
      </c>
      <c r="N477">
        <v>205829</v>
      </c>
      <c r="O477">
        <v>206881</v>
      </c>
      <c r="P477">
        <v>207723</v>
      </c>
      <c r="Q477">
        <v>208493</v>
      </c>
      <c r="R477">
        <v>209508</v>
      </c>
      <c r="X477">
        <v>1162</v>
      </c>
      <c r="Y477">
        <v>2274</v>
      </c>
      <c r="Z477">
        <v>1838</v>
      </c>
      <c r="AA477">
        <v>1820</v>
      </c>
      <c r="AB477">
        <v>1571</v>
      </c>
      <c r="AC477">
        <v>1052</v>
      </c>
      <c r="AD477">
        <v>842</v>
      </c>
      <c r="AE477">
        <v>770</v>
      </c>
      <c r="AF477">
        <v>1015</v>
      </c>
      <c r="AG477" s="2" t="s">
        <v>734</v>
      </c>
      <c r="AH477" s="2" t="s">
        <v>734</v>
      </c>
      <c r="AI477" s="2" t="s">
        <v>734</v>
      </c>
    </row>
    <row r="478" spans="2:35" x14ac:dyDescent="0.25">
      <c r="B478" t="s">
        <v>1301</v>
      </c>
      <c r="C478" t="s">
        <v>46</v>
      </c>
      <c r="D478">
        <v>39326</v>
      </c>
      <c r="E478" t="s">
        <v>51</v>
      </c>
      <c r="F478" t="s">
        <v>53</v>
      </c>
      <c r="G478"/>
      <c r="H478"/>
      <c r="I478">
        <v>131445</v>
      </c>
      <c r="J478">
        <v>132327</v>
      </c>
      <c r="K478">
        <v>133920</v>
      </c>
      <c r="L478">
        <v>135204</v>
      </c>
      <c r="M478">
        <v>136474</v>
      </c>
      <c r="N478">
        <v>137570</v>
      </c>
      <c r="O478">
        <v>138577</v>
      </c>
      <c r="P478">
        <v>139562</v>
      </c>
      <c r="Q478">
        <v>140353</v>
      </c>
      <c r="R478">
        <v>141396</v>
      </c>
      <c r="X478">
        <v>882</v>
      </c>
      <c r="Y478">
        <v>1593</v>
      </c>
      <c r="Z478">
        <v>1284</v>
      </c>
      <c r="AA478">
        <v>1270</v>
      </c>
      <c r="AB478">
        <v>1096</v>
      </c>
      <c r="AC478">
        <v>1007</v>
      </c>
      <c r="AD478">
        <v>985</v>
      </c>
      <c r="AE478">
        <v>791</v>
      </c>
      <c r="AF478">
        <v>1043</v>
      </c>
      <c r="AG478" s="2" t="s">
        <v>734</v>
      </c>
      <c r="AH478" s="2" t="s">
        <v>734</v>
      </c>
      <c r="AI478" s="2" t="s">
        <v>734</v>
      </c>
    </row>
    <row r="479" spans="2:35" x14ac:dyDescent="0.25">
      <c r="B479" t="s">
        <v>1322</v>
      </c>
      <c r="C479" t="s">
        <v>46</v>
      </c>
      <c r="D479">
        <v>142</v>
      </c>
      <c r="E479" t="s">
        <v>825</v>
      </c>
      <c r="F479" t="s">
        <v>819</v>
      </c>
      <c r="G479" t="s">
        <v>826</v>
      </c>
      <c r="H479" t="s">
        <v>821</v>
      </c>
      <c r="I479"/>
      <c r="J479"/>
      <c r="K479"/>
      <c r="L479">
        <v>396059</v>
      </c>
      <c r="M479">
        <v>420724</v>
      </c>
      <c r="N479">
        <v>449515</v>
      </c>
      <c r="O479">
        <v>476223</v>
      </c>
      <c r="P479">
        <v>484545</v>
      </c>
      <c r="Q479">
        <v>515874</v>
      </c>
      <c r="R479">
        <v>538872</v>
      </c>
      <c r="X479" t="s">
        <v>734</v>
      </c>
      <c r="Y479" t="s">
        <v>734</v>
      </c>
      <c r="Z479" t="s">
        <v>734</v>
      </c>
      <c r="AA479">
        <v>24665</v>
      </c>
      <c r="AB479">
        <v>28791</v>
      </c>
      <c r="AC479">
        <v>26708</v>
      </c>
      <c r="AD479">
        <v>8322</v>
      </c>
      <c r="AE479">
        <v>31329</v>
      </c>
      <c r="AF479">
        <v>22998</v>
      </c>
      <c r="AG479" s="2" t="s">
        <v>734</v>
      </c>
      <c r="AH479" s="2" t="s">
        <v>734</v>
      </c>
      <c r="AI479" s="2" t="s">
        <v>734</v>
      </c>
    </row>
    <row r="480" spans="2:35" x14ac:dyDescent="0.25">
      <c r="B480" t="s">
        <v>1252</v>
      </c>
      <c r="C480" t="s">
        <v>46</v>
      </c>
      <c r="D480">
        <v>131</v>
      </c>
      <c r="E480" t="s">
        <v>455</v>
      </c>
      <c r="F480" t="s">
        <v>47</v>
      </c>
      <c r="G480"/>
      <c r="H480"/>
      <c r="I480">
        <v>249625</v>
      </c>
      <c r="J480">
        <v>251261</v>
      </c>
      <c r="K480">
        <v>254113</v>
      </c>
      <c r="L480">
        <v>256556</v>
      </c>
      <c r="M480">
        <v>258913</v>
      </c>
      <c r="N480">
        <v>260930</v>
      </c>
      <c r="O480">
        <v>262780</v>
      </c>
      <c r="P480">
        <v>264658</v>
      </c>
      <c r="Q480">
        <v>266468</v>
      </c>
      <c r="R480">
        <v>268666</v>
      </c>
      <c r="X480">
        <v>1636</v>
      </c>
      <c r="Y480">
        <v>2852</v>
      </c>
      <c r="Z480">
        <v>2443</v>
      </c>
      <c r="AA480">
        <v>2357</v>
      </c>
      <c r="AB480">
        <v>2017</v>
      </c>
      <c r="AC480">
        <v>1850</v>
      </c>
      <c r="AD480">
        <v>1878</v>
      </c>
      <c r="AE480">
        <v>1810</v>
      </c>
      <c r="AF480">
        <v>2198</v>
      </c>
      <c r="AG480" s="2" t="s">
        <v>734</v>
      </c>
      <c r="AH480" s="2" t="s">
        <v>734</v>
      </c>
      <c r="AI480" s="2" t="s">
        <v>734</v>
      </c>
    </row>
    <row r="481" spans="2:35" x14ac:dyDescent="0.25">
      <c r="B481" t="s">
        <v>1251</v>
      </c>
      <c r="C481" t="s">
        <v>434</v>
      </c>
      <c r="D481">
        <v>140</v>
      </c>
      <c r="E481" t="s">
        <v>817</v>
      </c>
      <c r="F481" t="s">
        <v>435</v>
      </c>
      <c r="G481"/>
      <c r="H481"/>
      <c r="I481">
        <v>3790672</v>
      </c>
      <c r="J481">
        <v>3805110</v>
      </c>
      <c r="K481">
        <v>3833740</v>
      </c>
      <c r="L481">
        <v>3859960</v>
      </c>
      <c r="M481">
        <v>3889757</v>
      </c>
      <c r="N481">
        <v>3918300</v>
      </c>
      <c r="O481">
        <v>3946843</v>
      </c>
      <c r="P481">
        <v>3981634</v>
      </c>
      <c r="Q481">
        <v>4012303</v>
      </c>
      <c r="R481">
        <v>4043148</v>
      </c>
      <c r="X481">
        <v>14438</v>
      </c>
      <c r="Y481">
        <v>28630</v>
      </c>
      <c r="Z481">
        <v>26220</v>
      </c>
      <c r="AA481">
        <v>29797</v>
      </c>
      <c r="AB481">
        <v>28543</v>
      </c>
      <c r="AC481">
        <v>28543</v>
      </c>
      <c r="AD481">
        <v>34791</v>
      </c>
      <c r="AE481">
        <v>30669</v>
      </c>
      <c r="AF481">
        <v>30845</v>
      </c>
      <c r="AG481" s="2" t="s">
        <v>734</v>
      </c>
      <c r="AH481" s="2" t="s">
        <v>734</v>
      </c>
      <c r="AI481" s="2" t="s">
        <v>734</v>
      </c>
    </row>
    <row r="482" spans="2:35" x14ac:dyDescent="0.25">
      <c r="B482">
        <v>717083052</v>
      </c>
      <c r="C482" t="s">
        <v>55</v>
      </c>
      <c r="D482">
        <v>140</v>
      </c>
      <c r="E482" t="s">
        <v>926</v>
      </c>
      <c r="F482" t="s">
        <v>1009</v>
      </c>
      <c r="G482"/>
      <c r="H482" t="s">
        <v>927</v>
      </c>
      <c r="I482">
        <v>7497</v>
      </c>
      <c r="J482">
        <v>8233</v>
      </c>
      <c r="K482">
        <v>10274</v>
      </c>
      <c r="L482">
        <v>11667</v>
      </c>
      <c r="M482">
        <v>12826</v>
      </c>
      <c r="N482">
        <v>13551</v>
      </c>
      <c r="O482">
        <v>14319</v>
      </c>
      <c r="P482">
        <v>15330</v>
      </c>
      <c r="Q482">
        <v>16396</v>
      </c>
      <c r="R482">
        <v>17508</v>
      </c>
      <c r="X482">
        <v>736</v>
      </c>
      <c r="Y482">
        <v>2041</v>
      </c>
      <c r="Z482">
        <v>1393</v>
      </c>
      <c r="AA482">
        <v>1159</v>
      </c>
      <c r="AB482">
        <v>725</v>
      </c>
      <c r="AC482">
        <v>768</v>
      </c>
      <c r="AD482">
        <v>1011</v>
      </c>
      <c r="AE482">
        <v>1066</v>
      </c>
      <c r="AF482">
        <v>1112</v>
      </c>
      <c r="AG482" s="2" t="s">
        <v>734</v>
      </c>
      <c r="AH482" s="2" t="s">
        <v>734</v>
      </c>
      <c r="AI482" s="2" t="s">
        <v>734</v>
      </c>
    </row>
    <row r="483" spans="2:35" x14ac:dyDescent="0.25">
      <c r="B483">
        <v>717083063</v>
      </c>
      <c r="C483" t="s">
        <v>55</v>
      </c>
      <c r="D483">
        <v>131</v>
      </c>
      <c r="E483" t="s">
        <v>924</v>
      </c>
      <c r="F483" t="s">
        <v>1010</v>
      </c>
      <c r="G483"/>
      <c r="H483" t="s">
        <v>927</v>
      </c>
      <c r="I483">
        <v>4395</v>
      </c>
      <c r="J483">
        <v>4808</v>
      </c>
      <c r="K483">
        <v>5668</v>
      </c>
      <c r="L483">
        <v>6369</v>
      </c>
      <c r="M483">
        <v>7089</v>
      </c>
      <c r="N483">
        <v>7673</v>
      </c>
      <c r="O483">
        <v>8237</v>
      </c>
      <c r="P483">
        <v>8780</v>
      </c>
      <c r="Q483">
        <v>9305</v>
      </c>
      <c r="R483">
        <v>9970</v>
      </c>
      <c r="X483">
        <v>413</v>
      </c>
      <c r="Y483">
        <v>860</v>
      </c>
      <c r="Z483">
        <v>701</v>
      </c>
      <c r="AA483">
        <v>720</v>
      </c>
      <c r="AB483">
        <v>584</v>
      </c>
      <c r="AC483">
        <v>564</v>
      </c>
      <c r="AD483">
        <v>543</v>
      </c>
      <c r="AE483">
        <v>525</v>
      </c>
      <c r="AF483">
        <v>665</v>
      </c>
      <c r="AG483" s="2" t="s">
        <v>734</v>
      </c>
      <c r="AH483" s="2" t="s">
        <v>734</v>
      </c>
      <c r="AI483" s="2" t="s">
        <v>734</v>
      </c>
    </row>
    <row r="484" spans="2:35" x14ac:dyDescent="0.25">
      <c r="B484">
        <v>717084017</v>
      </c>
      <c r="C484" t="s">
        <v>55</v>
      </c>
      <c r="D484">
        <v>140</v>
      </c>
      <c r="E484" t="s">
        <v>1003</v>
      </c>
      <c r="F484" t="s">
        <v>1004</v>
      </c>
      <c r="G484" t="s">
        <v>915</v>
      </c>
      <c r="H484" t="s">
        <v>1021</v>
      </c>
      <c r="I484">
        <v>40669</v>
      </c>
      <c r="J484">
        <v>44293</v>
      </c>
      <c r="K484">
        <v>54215</v>
      </c>
      <c r="L484">
        <v>63527</v>
      </c>
      <c r="M484">
        <v>70098</v>
      </c>
      <c r="N484">
        <v>72307</v>
      </c>
      <c r="O484">
        <v>74511</v>
      </c>
      <c r="P484">
        <v>82267</v>
      </c>
      <c r="Q484">
        <v>91041</v>
      </c>
      <c r="R484">
        <v>99881</v>
      </c>
      <c r="X484">
        <v>3624</v>
      </c>
      <c r="Y484">
        <v>9922</v>
      </c>
      <c r="Z484">
        <v>9312</v>
      </c>
      <c r="AA484">
        <v>6571</v>
      </c>
      <c r="AB484">
        <v>2209</v>
      </c>
      <c r="AC484">
        <v>2204</v>
      </c>
      <c r="AD484">
        <v>7756</v>
      </c>
      <c r="AE484">
        <v>8774</v>
      </c>
      <c r="AF484">
        <v>8840</v>
      </c>
      <c r="AG484" s="2" t="s">
        <v>734</v>
      </c>
      <c r="AH484" s="2" t="s">
        <v>734</v>
      </c>
      <c r="AI484" s="2" t="s">
        <v>734</v>
      </c>
    </row>
    <row r="485" spans="2:35" x14ac:dyDescent="0.25">
      <c r="B485">
        <v>717084039</v>
      </c>
      <c r="C485" t="s">
        <v>55</v>
      </c>
      <c r="D485">
        <v>140</v>
      </c>
      <c r="E485" t="s">
        <v>925</v>
      </c>
      <c r="F485" t="s">
        <v>1011</v>
      </c>
      <c r="G485"/>
      <c r="H485" t="s">
        <v>928</v>
      </c>
      <c r="I485">
        <v>8721</v>
      </c>
      <c r="J485">
        <v>9395</v>
      </c>
      <c r="K485">
        <v>10811</v>
      </c>
      <c r="L485">
        <v>12076</v>
      </c>
      <c r="M485">
        <v>13373</v>
      </c>
      <c r="N485">
        <v>14586</v>
      </c>
      <c r="O485">
        <v>16008</v>
      </c>
      <c r="P485">
        <v>17765</v>
      </c>
      <c r="Q485">
        <v>19414</v>
      </c>
      <c r="R485">
        <v>21253</v>
      </c>
      <c r="X485">
        <v>674</v>
      </c>
      <c r="Y485">
        <v>1416</v>
      </c>
      <c r="Z485">
        <v>1265</v>
      </c>
      <c r="AA485">
        <v>1297</v>
      </c>
      <c r="AB485">
        <v>1213</v>
      </c>
      <c r="AC485">
        <v>1422</v>
      </c>
      <c r="AD485">
        <v>1757</v>
      </c>
      <c r="AE485">
        <v>1649</v>
      </c>
      <c r="AF485">
        <v>1839</v>
      </c>
      <c r="AG485" s="2" t="s">
        <v>734</v>
      </c>
      <c r="AH485" s="2" t="s">
        <v>734</v>
      </c>
      <c r="AI485" s="2" t="s">
        <v>734</v>
      </c>
    </row>
    <row r="486" spans="2:35" x14ac:dyDescent="0.25">
      <c r="B486">
        <v>717093061</v>
      </c>
      <c r="C486" t="s">
        <v>55</v>
      </c>
      <c r="D486">
        <v>140</v>
      </c>
      <c r="E486" t="s">
        <v>437</v>
      </c>
      <c r="F486" t="s">
        <v>1005</v>
      </c>
      <c r="G486" t="s">
        <v>1022</v>
      </c>
      <c r="H486" t="s">
        <v>1021</v>
      </c>
      <c r="I486">
        <v>26925</v>
      </c>
      <c r="J486">
        <v>27907</v>
      </c>
      <c r="K486">
        <v>29593</v>
      </c>
      <c r="L486">
        <v>30843</v>
      </c>
      <c r="M486">
        <v>31449</v>
      </c>
      <c r="N486">
        <v>31873</v>
      </c>
      <c r="O486">
        <v>32397</v>
      </c>
      <c r="P486">
        <v>41106</v>
      </c>
      <c r="Q486">
        <v>48378</v>
      </c>
      <c r="R486">
        <v>57560</v>
      </c>
      <c r="X486">
        <v>982</v>
      </c>
      <c r="Y486">
        <v>1686</v>
      </c>
      <c r="Z486">
        <v>1250</v>
      </c>
      <c r="AA486">
        <v>606</v>
      </c>
      <c r="AB486">
        <v>424</v>
      </c>
      <c r="AC486">
        <v>524</v>
      </c>
      <c r="AD486">
        <v>8709</v>
      </c>
      <c r="AE486">
        <v>7272</v>
      </c>
      <c r="AF486">
        <v>9182</v>
      </c>
      <c r="AG486" s="2" t="s">
        <v>734</v>
      </c>
      <c r="AH486" s="2" t="s">
        <v>734</v>
      </c>
      <c r="AI486" s="2" t="s">
        <v>734</v>
      </c>
    </row>
    <row r="487" spans="2:35" x14ac:dyDescent="0.25">
      <c r="B487" t="s">
        <v>56</v>
      </c>
      <c r="C487" t="s">
        <v>55</v>
      </c>
      <c r="D487">
        <v>39254</v>
      </c>
      <c r="E487" t="s">
        <v>57</v>
      </c>
      <c r="F487" t="s">
        <v>58</v>
      </c>
      <c r="G487"/>
      <c r="H487"/>
      <c r="I487">
        <v>97160</v>
      </c>
      <c r="J487">
        <v>97549</v>
      </c>
      <c r="K487">
        <v>98425</v>
      </c>
      <c r="L487">
        <v>99233</v>
      </c>
      <c r="M487">
        <v>99794</v>
      </c>
      <c r="N487">
        <v>100377</v>
      </c>
      <c r="O487">
        <v>100986</v>
      </c>
      <c r="P487">
        <v>101618</v>
      </c>
      <c r="Q487">
        <v>102100</v>
      </c>
      <c r="R487">
        <v>102722</v>
      </c>
      <c r="X487">
        <v>389</v>
      </c>
      <c r="Y487">
        <v>876</v>
      </c>
      <c r="Z487">
        <v>808</v>
      </c>
      <c r="AA487">
        <v>561</v>
      </c>
      <c r="AB487">
        <v>583</v>
      </c>
      <c r="AC487">
        <v>609</v>
      </c>
      <c r="AD487">
        <v>632</v>
      </c>
      <c r="AE487">
        <v>482</v>
      </c>
      <c r="AF487">
        <v>622</v>
      </c>
      <c r="AG487" s="2" t="s">
        <v>734</v>
      </c>
      <c r="AH487" s="2" t="s">
        <v>734</v>
      </c>
      <c r="AI487" s="2" t="s">
        <v>734</v>
      </c>
    </row>
    <row r="488" spans="2:35" x14ac:dyDescent="0.25">
      <c r="B488" t="s">
        <v>66</v>
      </c>
      <c r="C488" t="s">
        <v>55</v>
      </c>
      <c r="D488">
        <v>150</v>
      </c>
      <c r="E488" t="s">
        <v>816</v>
      </c>
      <c r="F488" t="s">
        <v>1006</v>
      </c>
      <c r="G488" t="s">
        <v>67</v>
      </c>
      <c r="H488"/>
      <c r="I488">
        <v>455697</v>
      </c>
      <c r="J488">
        <v>457762</v>
      </c>
      <c r="K488">
        <v>462459</v>
      </c>
      <c r="L488">
        <v>466820</v>
      </c>
      <c r="M488">
        <v>470262</v>
      </c>
      <c r="N488">
        <v>472813</v>
      </c>
      <c r="O488">
        <v>476223</v>
      </c>
      <c r="P488">
        <v>481904</v>
      </c>
      <c r="Q488">
        <v>488418</v>
      </c>
      <c r="R488">
        <v>494630</v>
      </c>
      <c r="X488">
        <v>2065</v>
      </c>
      <c r="Y488">
        <v>4697</v>
      </c>
      <c r="Z488">
        <v>4361</v>
      </c>
      <c r="AA488">
        <v>3442</v>
      </c>
      <c r="AB488">
        <v>2551</v>
      </c>
      <c r="AC488">
        <v>3410</v>
      </c>
      <c r="AD488">
        <v>5681</v>
      </c>
      <c r="AE488">
        <v>6514</v>
      </c>
      <c r="AF488">
        <v>6212</v>
      </c>
      <c r="AG488" s="2" t="s">
        <v>734</v>
      </c>
      <c r="AH488" s="2" t="s">
        <v>734</v>
      </c>
      <c r="AI488" s="2" t="s">
        <v>734</v>
      </c>
    </row>
    <row r="489" spans="2:35" x14ac:dyDescent="0.25">
      <c r="B489" t="s">
        <v>68</v>
      </c>
      <c r="C489" t="s">
        <v>55</v>
      </c>
      <c r="D489">
        <v>39088</v>
      </c>
      <c r="E489" t="s">
        <v>436</v>
      </c>
      <c r="F489" s="158" t="s">
        <v>69</v>
      </c>
      <c r="I489" s="158">
        <v>719559</v>
      </c>
      <c r="J489" s="158">
        <v>723500</v>
      </c>
      <c r="K489" s="158">
        <v>728441</v>
      </c>
      <c r="L489" s="158">
        <v>734353</v>
      </c>
      <c r="M489" s="158">
        <v>740619</v>
      </c>
      <c r="N489" s="158">
        <v>746025</v>
      </c>
      <c r="O489" s="158">
        <v>752912</v>
      </c>
      <c r="P489" s="158">
        <v>758000</v>
      </c>
      <c r="Q489" s="158">
        <v>772204</v>
      </c>
      <c r="R489" s="158">
        <v>780598</v>
      </c>
      <c r="X489" s="2">
        <v>3941</v>
      </c>
      <c r="Y489" s="2">
        <v>4941</v>
      </c>
      <c r="Z489" s="2">
        <v>5912</v>
      </c>
      <c r="AA489" s="2">
        <v>6266</v>
      </c>
      <c r="AB489" s="2">
        <v>5406</v>
      </c>
      <c r="AC489" s="2">
        <v>6887</v>
      </c>
      <c r="AD489" s="2">
        <v>5088</v>
      </c>
      <c r="AE489" s="2">
        <v>14204</v>
      </c>
      <c r="AF489" s="2">
        <v>8394</v>
      </c>
      <c r="AG489" s="2" t="s">
        <v>734</v>
      </c>
      <c r="AH489" s="2" t="s">
        <v>734</v>
      </c>
      <c r="AI489" s="2" t="s">
        <v>734</v>
      </c>
    </row>
    <row r="490" spans="2:35" x14ac:dyDescent="0.25">
      <c r="B490" t="s">
        <v>61</v>
      </c>
      <c r="C490" t="s">
        <v>55</v>
      </c>
      <c r="D490">
        <v>39160</v>
      </c>
      <c r="E490" t="s">
        <v>62</v>
      </c>
      <c r="F490" t="s">
        <v>1007</v>
      </c>
      <c r="G490"/>
      <c r="H490"/>
      <c r="I490">
        <v>189620</v>
      </c>
      <c r="J490">
        <v>190209</v>
      </c>
      <c r="K490">
        <v>191520</v>
      </c>
      <c r="L490">
        <v>192755</v>
      </c>
      <c r="M490">
        <v>193780</v>
      </c>
      <c r="N490">
        <v>194658</v>
      </c>
      <c r="O490">
        <v>195763</v>
      </c>
      <c r="P490">
        <v>197336</v>
      </c>
      <c r="Q490">
        <v>198906</v>
      </c>
      <c r="R490">
        <v>200477</v>
      </c>
      <c r="X490">
        <v>589</v>
      </c>
      <c r="Y490">
        <v>1311</v>
      </c>
      <c r="Z490">
        <v>1235</v>
      </c>
      <c r="AA490">
        <v>1025</v>
      </c>
      <c r="AB490">
        <v>878</v>
      </c>
      <c r="AC490">
        <v>1105</v>
      </c>
      <c r="AD490">
        <v>1573</v>
      </c>
      <c r="AE490">
        <v>1570</v>
      </c>
      <c r="AF490">
        <v>1571</v>
      </c>
      <c r="AG490" s="2" t="s">
        <v>734</v>
      </c>
      <c r="AH490" s="2" t="s">
        <v>734</v>
      </c>
      <c r="AI490" s="2" t="s">
        <v>734</v>
      </c>
    </row>
    <row r="491" spans="2:35" x14ac:dyDescent="0.25">
      <c r="B491" t="s">
        <v>59</v>
      </c>
      <c r="C491" t="s">
        <v>55</v>
      </c>
      <c r="D491">
        <v>39255</v>
      </c>
      <c r="E491" t="s">
        <v>60</v>
      </c>
      <c r="F491" t="s">
        <v>58</v>
      </c>
      <c r="G491"/>
      <c r="H491"/>
      <c r="I491">
        <v>811716</v>
      </c>
      <c r="J491">
        <v>815613</v>
      </c>
      <c r="K491">
        <v>825921</v>
      </c>
      <c r="L491">
        <v>833838</v>
      </c>
      <c r="M491">
        <v>840790</v>
      </c>
      <c r="N491">
        <v>846915</v>
      </c>
      <c r="O491">
        <v>854464</v>
      </c>
      <c r="P491">
        <v>865317</v>
      </c>
      <c r="Q491">
        <v>876264</v>
      </c>
      <c r="R491">
        <v>888404</v>
      </c>
      <c r="X491">
        <v>3897</v>
      </c>
      <c r="Y491">
        <v>10308</v>
      </c>
      <c r="Z491">
        <v>7917</v>
      </c>
      <c r="AA491">
        <v>6952</v>
      </c>
      <c r="AB491">
        <v>6125</v>
      </c>
      <c r="AC491">
        <v>7549</v>
      </c>
      <c r="AD491">
        <v>10853</v>
      </c>
      <c r="AE491">
        <v>10947</v>
      </c>
      <c r="AF491">
        <v>12140</v>
      </c>
      <c r="AG491" s="2" t="s">
        <v>734</v>
      </c>
      <c r="AH491" s="2" t="s">
        <v>734</v>
      </c>
      <c r="AI491" s="2" t="s">
        <v>734</v>
      </c>
    </row>
    <row r="492" spans="2:35" x14ac:dyDescent="0.25">
      <c r="B492" t="s">
        <v>64</v>
      </c>
      <c r="C492" t="s">
        <v>55</v>
      </c>
      <c r="D492">
        <v>140</v>
      </c>
      <c r="E492" t="s">
        <v>887</v>
      </c>
      <c r="F492" t="s">
        <v>1008</v>
      </c>
      <c r="G492" t="s">
        <v>65</v>
      </c>
      <c r="H492"/>
      <c r="I492">
        <v>771239</v>
      </c>
      <c r="J492">
        <v>783672</v>
      </c>
      <c r="K492">
        <v>801591</v>
      </c>
      <c r="L492">
        <v>817370</v>
      </c>
      <c r="M492">
        <v>830141</v>
      </c>
      <c r="N492">
        <v>840980</v>
      </c>
      <c r="O492">
        <v>851166</v>
      </c>
      <c r="P492">
        <v>864355</v>
      </c>
      <c r="Q492">
        <v>877914</v>
      </c>
      <c r="R492">
        <v>894510</v>
      </c>
      <c r="X492">
        <v>12433</v>
      </c>
      <c r="Y492">
        <v>17919</v>
      </c>
      <c r="Z492">
        <v>15779</v>
      </c>
      <c r="AA492">
        <v>12771</v>
      </c>
      <c r="AB492">
        <v>10839</v>
      </c>
      <c r="AC492">
        <v>10186</v>
      </c>
      <c r="AD492">
        <v>13189</v>
      </c>
      <c r="AE492">
        <v>13559</v>
      </c>
      <c r="AF492">
        <v>16596</v>
      </c>
      <c r="AG492" s="2" t="s">
        <v>734</v>
      </c>
      <c r="AH492" s="2" t="s">
        <v>734</v>
      </c>
      <c r="AI492" s="2" t="s">
        <v>734</v>
      </c>
    </row>
    <row r="493" spans="2:35" x14ac:dyDescent="0.25">
      <c r="B493" t="s">
        <v>722</v>
      </c>
      <c r="C493" t="s">
        <v>55</v>
      </c>
      <c r="D493">
        <v>140</v>
      </c>
      <c r="E493" t="s">
        <v>888</v>
      </c>
      <c r="F493" t="s">
        <v>70</v>
      </c>
      <c r="G493" t="s">
        <v>71</v>
      </c>
      <c r="H493"/>
      <c r="I493">
        <v>18189</v>
      </c>
      <c r="J493">
        <v>18250</v>
      </c>
      <c r="K493">
        <v>18582</v>
      </c>
      <c r="L493">
        <v>18739</v>
      </c>
      <c r="M493">
        <v>18868</v>
      </c>
      <c r="N493">
        <v>18985</v>
      </c>
      <c r="O493">
        <v>19150</v>
      </c>
      <c r="P493">
        <v>19200</v>
      </c>
      <c r="Q493">
        <v>19419</v>
      </c>
      <c r="R493">
        <v>19577</v>
      </c>
      <c r="X493">
        <v>61</v>
      </c>
      <c r="Y493">
        <v>332</v>
      </c>
      <c r="Z493">
        <v>157</v>
      </c>
      <c r="AA493">
        <v>129</v>
      </c>
      <c r="AB493">
        <v>117</v>
      </c>
      <c r="AC493">
        <v>165</v>
      </c>
      <c r="AD493">
        <v>50</v>
      </c>
      <c r="AE493">
        <v>219</v>
      </c>
      <c r="AF493">
        <v>158</v>
      </c>
      <c r="AG493" s="2" t="s">
        <v>734</v>
      </c>
      <c r="AH493" s="2" t="s">
        <v>734</v>
      </c>
      <c r="AI493" s="2" t="s">
        <v>734</v>
      </c>
    </row>
    <row r="494" spans="2:35" x14ac:dyDescent="0.25">
      <c r="B494" t="s">
        <v>72</v>
      </c>
      <c r="C494" t="s">
        <v>55</v>
      </c>
      <c r="D494">
        <v>39256</v>
      </c>
      <c r="E494" t="s">
        <v>73</v>
      </c>
      <c r="F494" t="s">
        <v>74</v>
      </c>
      <c r="G494"/>
      <c r="H494"/>
      <c r="I494">
        <v>12600</v>
      </c>
      <c r="J494">
        <v>12600</v>
      </c>
      <c r="K494">
        <v>12600</v>
      </c>
      <c r="L494">
        <v>12600</v>
      </c>
      <c r="M494">
        <v>12600</v>
      </c>
      <c r="N494">
        <v>12600</v>
      </c>
      <c r="O494">
        <v>12600</v>
      </c>
      <c r="P494">
        <v>12600</v>
      </c>
      <c r="Q494">
        <v>12600</v>
      </c>
      <c r="R494">
        <v>12600</v>
      </c>
      <c r="S494">
        <v>12600</v>
      </c>
      <c r="T494">
        <v>12600</v>
      </c>
      <c r="U494">
        <v>12600</v>
      </c>
      <c r="V494">
        <v>12600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 s="2">
        <v>0</v>
      </c>
      <c r="AH494" s="2">
        <v>0</v>
      </c>
      <c r="AI494" s="2">
        <v>0</v>
      </c>
    </row>
    <row r="495" spans="2:35" x14ac:dyDescent="0.25">
      <c r="B495" t="s">
        <v>75</v>
      </c>
      <c r="C495" t="s">
        <v>55</v>
      </c>
      <c r="D495">
        <v>39396</v>
      </c>
      <c r="E495" t="s">
        <v>73</v>
      </c>
      <c r="F495" t="s">
        <v>74</v>
      </c>
      <c r="G495"/>
      <c r="H495"/>
      <c r="I495">
        <v>36095</v>
      </c>
      <c r="J495">
        <v>36095</v>
      </c>
      <c r="K495">
        <v>36095</v>
      </c>
      <c r="L495">
        <v>36095</v>
      </c>
      <c r="M495">
        <v>36095</v>
      </c>
      <c r="N495">
        <v>36095</v>
      </c>
      <c r="O495">
        <v>36095</v>
      </c>
      <c r="P495">
        <v>36095</v>
      </c>
      <c r="Q495">
        <v>36095</v>
      </c>
      <c r="R495">
        <v>36095</v>
      </c>
      <c r="S495">
        <v>36095</v>
      </c>
      <c r="T495">
        <v>36095</v>
      </c>
      <c r="U495">
        <v>36095</v>
      </c>
      <c r="V495">
        <v>36095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 s="2">
        <v>0</v>
      </c>
      <c r="AH495" s="2">
        <v>0</v>
      </c>
      <c r="AI495" s="2">
        <v>0</v>
      </c>
    </row>
    <row r="496" spans="2:35" x14ac:dyDescent="0.25">
      <c r="B496" t="s">
        <v>76</v>
      </c>
      <c r="C496" t="s">
        <v>55</v>
      </c>
      <c r="D496">
        <v>39399</v>
      </c>
      <c r="E496" t="s">
        <v>73</v>
      </c>
      <c r="F496" t="s">
        <v>77</v>
      </c>
      <c r="G496"/>
      <c r="H496"/>
      <c r="I496">
        <v>50208</v>
      </c>
      <c r="J496">
        <v>50208</v>
      </c>
      <c r="K496">
        <v>50208</v>
      </c>
      <c r="L496">
        <v>50208</v>
      </c>
      <c r="M496">
        <v>50208</v>
      </c>
      <c r="N496">
        <v>50208</v>
      </c>
      <c r="O496">
        <v>50208</v>
      </c>
      <c r="P496">
        <v>50208</v>
      </c>
      <c r="Q496">
        <v>50208</v>
      </c>
      <c r="R496">
        <v>50208</v>
      </c>
      <c r="S496">
        <v>50208</v>
      </c>
      <c r="T496">
        <v>50208</v>
      </c>
      <c r="U496">
        <v>50208</v>
      </c>
      <c r="V496">
        <v>50208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 s="2">
        <v>0</v>
      </c>
      <c r="AH496" s="2">
        <v>0</v>
      </c>
      <c r="AI496" s="2">
        <v>0</v>
      </c>
    </row>
    <row r="497" spans="2:35" x14ac:dyDescent="0.25">
      <c r="B497" t="s">
        <v>78</v>
      </c>
      <c r="C497" t="s">
        <v>723</v>
      </c>
      <c r="D497">
        <v>0</v>
      </c>
      <c r="E497" t="s">
        <v>889</v>
      </c>
      <c r="F497" t="s">
        <v>819</v>
      </c>
      <c r="G497"/>
      <c r="H497"/>
      <c r="I497">
        <v>5965608</v>
      </c>
      <c r="J497">
        <v>6004527</v>
      </c>
      <c r="K497">
        <v>6082785</v>
      </c>
      <c r="L497">
        <v>6151687</v>
      </c>
      <c r="M497">
        <v>6211260</v>
      </c>
      <c r="N497">
        <v>6270812</v>
      </c>
      <c r="O497">
        <v>6326012</v>
      </c>
      <c r="P497">
        <v>6414369</v>
      </c>
      <c r="Q497">
        <v>6504070</v>
      </c>
      <c r="R497">
        <v>6604074</v>
      </c>
      <c r="X497">
        <v>38919</v>
      </c>
      <c r="Y497">
        <v>78258</v>
      </c>
      <c r="Z497">
        <v>68902</v>
      </c>
      <c r="AA497">
        <v>59573</v>
      </c>
      <c r="AB497">
        <v>59552</v>
      </c>
      <c r="AC497">
        <v>55200</v>
      </c>
      <c r="AD497">
        <v>88357</v>
      </c>
      <c r="AE497">
        <v>89701</v>
      </c>
      <c r="AF497">
        <v>100004</v>
      </c>
      <c r="AG497" s="2" t="s">
        <v>734</v>
      </c>
      <c r="AH497" s="2" t="s">
        <v>734</v>
      </c>
      <c r="AI497" s="2" t="s">
        <v>734</v>
      </c>
    </row>
    <row r="498" spans="2:35" x14ac:dyDescent="0.25">
      <c r="B498" t="s">
        <v>79</v>
      </c>
      <c r="C498" t="s">
        <v>724</v>
      </c>
      <c r="D498">
        <v>140</v>
      </c>
      <c r="E498" t="s">
        <v>891</v>
      </c>
      <c r="F498"/>
      <c r="G498" t="s">
        <v>687</v>
      </c>
      <c r="H498" t="s">
        <v>815</v>
      </c>
      <c r="I498">
        <v>2715318</v>
      </c>
      <c r="J498">
        <v>2724433</v>
      </c>
      <c r="K498">
        <v>2746382</v>
      </c>
      <c r="L498">
        <v>2765194</v>
      </c>
      <c r="M498">
        <v>2783268</v>
      </c>
      <c r="N498">
        <v>2811166</v>
      </c>
      <c r="O498">
        <v>2830973</v>
      </c>
      <c r="P498">
        <v>2862488</v>
      </c>
      <c r="Q498">
        <v>2885408</v>
      </c>
      <c r="R498">
        <v>6604074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9115</v>
      </c>
      <c r="Y498">
        <v>21949</v>
      </c>
      <c r="Z498">
        <v>18812</v>
      </c>
      <c r="AA498">
        <v>18074</v>
      </c>
      <c r="AB498">
        <v>27898</v>
      </c>
      <c r="AC498">
        <v>19807</v>
      </c>
      <c r="AD498">
        <v>31515</v>
      </c>
      <c r="AE498">
        <v>22920</v>
      </c>
      <c r="AF498">
        <v>3718666</v>
      </c>
      <c r="AG498" s="2" t="s">
        <v>856</v>
      </c>
      <c r="AH498" s="2">
        <v>0</v>
      </c>
      <c r="AI498" s="2">
        <v>0</v>
      </c>
    </row>
    <row r="499" spans="2:35" x14ac:dyDescent="0.25">
      <c r="B499" t="s">
        <v>1332</v>
      </c>
      <c r="C499" t="s">
        <v>80</v>
      </c>
      <c r="D499">
        <v>39142</v>
      </c>
      <c r="E499" t="s">
        <v>82</v>
      </c>
      <c r="F499" t="s">
        <v>84</v>
      </c>
      <c r="G499" t="s">
        <v>1382</v>
      </c>
      <c r="H499" t="s">
        <v>85</v>
      </c>
      <c r="I499">
        <v>4323</v>
      </c>
      <c r="J499">
        <v>4325</v>
      </c>
      <c r="K499">
        <v>4329</v>
      </c>
      <c r="L499">
        <v>4332</v>
      </c>
      <c r="M499">
        <v>4340</v>
      </c>
      <c r="N499">
        <v>4346</v>
      </c>
      <c r="O499">
        <v>4346</v>
      </c>
      <c r="P499"/>
      <c r="Q499">
        <v>0</v>
      </c>
      <c r="R499">
        <v>0</v>
      </c>
      <c r="X499">
        <v>160</v>
      </c>
      <c r="Y499">
        <v>320</v>
      </c>
      <c r="Z499">
        <v>240</v>
      </c>
      <c r="AA499">
        <v>640</v>
      </c>
      <c r="AB499">
        <v>480</v>
      </c>
      <c r="AC499">
        <v>0</v>
      </c>
      <c r="AD499" t="s">
        <v>734</v>
      </c>
      <c r="AE499" t="s">
        <v>734</v>
      </c>
      <c r="AF499">
        <v>0</v>
      </c>
      <c r="AG499" s="2" t="s">
        <v>734</v>
      </c>
      <c r="AH499" s="2" t="s">
        <v>734</v>
      </c>
      <c r="AI499" s="2" t="s">
        <v>734</v>
      </c>
    </row>
    <row r="500" spans="2:35" x14ac:dyDescent="0.25">
      <c r="B500" t="s">
        <v>81</v>
      </c>
      <c r="C500" t="s">
        <v>80</v>
      </c>
      <c r="D500">
        <v>39503</v>
      </c>
      <c r="E500" t="s">
        <v>82</v>
      </c>
      <c r="F500" t="s">
        <v>83</v>
      </c>
      <c r="G500" t="s">
        <v>438</v>
      </c>
      <c r="H500"/>
      <c r="I500">
        <v>139657</v>
      </c>
      <c r="J500">
        <v>142963</v>
      </c>
      <c r="K500">
        <v>148772</v>
      </c>
      <c r="L500">
        <v>152862</v>
      </c>
      <c r="M500">
        <v>156755</v>
      </c>
      <c r="N500">
        <v>159208</v>
      </c>
      <c r="O500">
        <v>162993</v>
      </c>
      <c r="P500">
        <v>171079</v>
      </c>
      <c r="Q500">
        <v>176297</v>
      </c>
      <c r="R500">
        <v>183530</v>
      </c>
      <c r="X500">
        <v>3306</v>
      </c>
      <c r="Y500">
        <v>5809</v>
      </c>
      <c r="Z500">
        <v>4090</v>
      </c>
      <c r="AA500">
        <v>3893</v>
      </c>
      <c r="AB500">
        <v>2453</v>
      </c>
      <c r="AC500">
        <v>3785</v>
      </c>
      <c r="AD500">
        <v>8086</v>
      </c>
      <c r="AE500">
        <v>5218</v>
      </c>
      <c r="AF500">
        <v>7233</v>
      </c>
      <c r="AG500" s="2" t="s">
        <v>734</v>
      </c>
      <c r="AH500" s="2" t="s">
        <v>734</v>
      </c>
      <c r="AI500" s="2" t="s">
        <v>734</v>
      </c>
    </row>
    <row r="501" spans="2:35" x14ac:dyDescent="0.25">
      <c r="B501">
        <v>52577618</v>
      </c>
      <c r="C501" t="s">
        <v>86</v>
      </c>
      <c r="D501">
        <v>1</v>
      </c>
      <c r="E501" t="s">
        <v>755</v>
      </c>
      <c r="F501" t="s">
        <v>63</v>
      </c>
      <c r="G501" t="s">
        <v>1354</v>
      </c>
      <c r="H501" t="s">
        <v>801</v>
      </c>
      <c r="I501">
        <v>39802</v>
      </c>
      <c r="J501">
        <v>39808</v>
      </c>
      <c r="K501">
        <v>39820</v>
      </c>
      <c r="L501">
        <v>39832</v>
      </c>
      <c r="M501">
        <v>39988</v>
      </c>
      <c r="N501"/>
      <c r="O501"/>
      <c r="P501"/>
      <c r="Q501"/>
      <c r="R501"/>
      <c r="X501">
        <v>1200</v>
      </c>
      <c r="Y501">
        <v>2400</v>
      </c>
      <c r="Z501">
        <v>2400</v>
      </c>
      <c r="AA501">
        <v>31200</v>
      </c>
      <c r="AB501" t="s">
        <v>734</v>
      </c>
      <c r="AC501" t="s">
        <v>734</v>
      </c>
      <c r="AD501" t="s">
        <v>734</v>
      </c>
      <c r="AE501" t="s">
        <v>734</v>
      </c>
      <c r="AF501" t="s">
        <v>734</v>
      </c>
      <c r="AG501" s="2" t="s">
        <v>734</v>
      </c>
      <c r="AH501" s="2" t="s">
        <v>734</v>
      </c>
      <c r="AI501" s="2" t="s">
        <v>734</v>
      </c>
    </row>
    <row r="502" spans="2:35" x14ac:dyDescent="0.25">
      <c r="B502" t="s">
        <v>751</v>
      </c>
      <c r="C502" t="s">
        <v>86</v>
      </c>
      <c r="D502">
        <v>132</v>
      </c>
      <c r="E502" t="s">
        <v>1310</v>
      </c>
      <c r="F502" t="s">
        <v>885</v>
      </c>
      <c r="G502"/>
      <c r="H502"/>
      <c r="I502">
        <v>82652</v>
      </c>
      <c r="J502">
        <v>83047</v>
      </c>
      <c r="K502">
        <v>83800</v>
      </c>
      <c r="L502">
        <v>84435</v>
      </c>
      <c r="M502">
        <v>85074</v>
      </c>
      <c r="N502">
        <v>85543</v>
      </c>
      <c r="O502">
        <v>86026</v>
      </c>
      <c r="P502">
        <v>86536</v>
      </c>
      <c r="Q502">
        <v>87029</v>
      </c>
      <c r="R502">
        <v>87624</v>
      </c>
      <c r="X502">
        <v>395</v>
      </c>
      <c r="Y502">
        <v>753</v>
      </c>
      <c r="Z502">
        <v>635</v>
      </c>
      <c r="AA502">
        <v>639</v>
      </c>
      <c r="AB502">
        <v>469</v>
      </c>
      <c r="AC502">
        <v>483</v>
      </c>
      <c r="AD502">
        <v>510</v>
      </c>
      <c r="AE502">
        <v>493</v>
      </c>
      <c r="AF502">
        <v>595</v>
      </c>
      <c r="AG502" s="2" t="s">
        <v>734</v>
      </c>
      <c r="AH502" s="2" t="s">
        <v>734</v>
      </c>
      <c r="AI502" s="2" t="s">
        <v>734</v>
      </c>
    </row>
    <row r="503" spans="2:35" x14ac:dyDescent="0.25">
      <c r="B503" t="s">
        <v>87</v>
      </c>
      <c r="C503" t="s">
        <v>86</v>
      </c>
      <c r="D503">
        <v>39742</v>
      </c>
      <c r="E503" t="s">
        <v>88</v>
      </c>
      <c r="F503" t="s">
        <v>89</v>
      </c>
      <c r="G503" t="s">
        <v>735</v>
      </c>
      <c r="H503"/>
      <c r="I503">
        <v>5247352</v>
      </c>
      <c r="J503">
        <v>5309237</v>
      </c>
      <c r="K503">
        <v>5429058</v>
      </c>
      <c r="L503">
        <v>5509345</v>
      </c>
      <c r="M503">
        <v>5589114</v>
      </c>
      <c r="N503">
        <v>5667311</v>
      </c>
      <c r="O503">
        <v>5758032</v>
      </c>
      <c r="P503">
        <v>5869419</v>
      </c>
      <c r="Q503">
        <v>5959015</v>
      </c>
      <c r="R503">
        <v>6069491</v>
      </c>
      <c r="X503">
        <v>61885</v>
      </c>
      <c r="Y503">
        <v>119821</v>
      </c>
      <c r="Z503">
        <v>80287</v>
      </c>
      <c r="AA503">
        <v>79769</v>
      </c>
      <c r="AB503">
        <v>78197</v>
      </c>
      <c r="AC503">
        <v>90721</v>
      </c>
      <c r="AD503">
        <v>111387</v>
      </c>
      <c r="AE503">
        <v>89596</v>
      </c>
      <c r="AF503">
        <v>110476</v>
      </c>
      <c r="AG503" s="2" t="s">
        <v>734</v>
      </c>
      <c r="AH503" s="2" t="s">
        <v>734</v>
      </c>
      <c r="AI503" s="2" t="s">
        <v>734</v>
      </c>
    </row>
    <row r="504" spans="2:35" x14ac:dyDescent="0.25">
      <c r="B504" t="s">
        <v>1331</v>
      </c>
      <c r="C504" t="s">
        <v>90</v>
      </c>
      <c r="D504">
        <v>39196</v>
      </c>
      <c r="E504" t="s">
        <v>91</v>
      </c>
      <c r="F504" t="s">
        <v>92</v>
      </c>
      <c r="G504" t="s">
        <v>93</v>
      </c>
      <c r="H504"/>
      <c r="I504">
        <v>196456</v>
      </c>
      <c r="J504">
        <v>197393</v>
      </c>
      <c r="K504">
        <v>199100</v>
      </c>
      <c r="L504">
        <v>200449</v>
      </c>
      <c r="M504">
        <v>201791</v>
      </c>
      <c r="N504">
        <v>202939</v>
      </c>
      <c r="O504">
        <v>204063</v>
      </c>
      <c r="P504">
        <v>205103</v>
      </c>
      <c r="Q504">
        <v>206130</v>
      </c>
      <c r="R504">
        <v>207538</v>
      </c>
      <c r="X504">
        <v>937</v>
      </c>
      <c r="Y504">
        <v>1707</v>
      </c>
      <c r="Z504">
        <v>1349</v>
      </c>
      <c r="AA504">
        <v>1342</v>
      </c>
      <c r="AB504">
        <v>1148</v>
      </c>
      <c r="AC504">
        <v>1124</v>
      </c>
      <c r="AD504">
        <v>1040</v>
      </c>
      <c r="AE504">
        <v>1027</v>
      </c>
      <c r="AF504">
        <v>1408</v>
      </c>
      <c r="AG504" s="2" t="s">
        <v>734</v>
      </c>
      <c r="AH504" s="2" t="s">
        <v>734</v>
      </c>
      <c r="AI504" s="2" t="s">
        <v>734</v>
      </c>
    </row>
    <row r="505" spans="2:35" x14ac:dyDescent="0.25">
      <c r="B505" t="s">
        <v>1228</v>
      </c>
      <c r="C505" t="s">
        <v>90</v>
      </c>
      <c r="D505">
        <v>39054</v>
      </c>
      <c r="E505" t="s">
        <v>102</v>
      </c>
      <c r="F505" t="s">
        <v>1013</v>
      </c>
      <c r="G505"/>
      <c r="H505"/>
      <c r="I505">
        <v>1623</v>
      </c>
      <c r="J505">
        <v>1677</v>
      </c>
      <c r="K505">
        <v>1820</v>
      </c>
      <c r="L505">
        <v>1925</v>
      </c>
      <c r="M505">
        <v>2033</v>
      </c>
      <c r="N505">
        <v>2127</v>
      </c>
      <c r="O505">
        <v>2275</v>
      </c>
      <c r="P505">
        <v>2421</v>
      </c>
      <c r="Q505">
        <v>2575</v>
      </c>
      <c r="R505">
        <v>2687</v>
      </c>
      <c r="X505">
        <v>54</v>
      </c>
      <c r="Y505">
        <v>143</v>
      </c>
      <c r="Z505">
        <v>105</v>
      </c>
      <c r="AA505">
        <v>108</v>
      </c>
      <c r="AB505">
        <v>94</v>
      </c>
      <c r="AC505">
        <v>148</v>
      </c>
      <c r="AD505">
        <v>146</v>
      </c>
      <c r="AE505">
        <v>154</v>
      </c>
      <c r="AF505">
        <v>112</v>
      </c>
      <c r="AG505" s="2" t="s">
        <v>734</v>
      </c>
      <c r="AH505" s="2" t="s">
        <v>734</v>
      </c>
      <c r="AI505" s="2" t="s">
        <v>734</v>
      </c>
    </row>
    <row r="506" spans="2:35" x14ac:dyDescent="0.25">
      <c r="B506" t="s">
        <v>1229</v>
      </c>
      <c r="C506" t="s">
        <v>90</v>
      </c>
      <c r="D506">
        <v>39057</v>
      </c>
      <c r="E506" t="s">
        <v>105</v>
      </c>
      <c r="F506" t="s">
        <v>1017</v>
      </c>
      <c r="G506"/>
      <c r="H506"/>
      <c r="I506">
        <v>647</v>
      </c>
      <c r="J506">
        <v>687</v>
      </c>
      <c r="K506">
        <v>744</v>
      </c>
      <c r="L506">
        <v>791</v>
      </c>
      <c r="M506">
        <v>837</v>
      </c>
      <c r="N506">
        <v>886</v>
      </c>
      <c r="O506">
        <v>961</v>
      </c>
      <c r="P506">
        <v>1042</v>
      </c>
      <c r="Q506">
        <v>1126</v>
      </c>
      <c r="R506">
        <v>1164</v>
      </c>
      <c r="X506">
        <v>40</v>
      </c>
      <c r="Y506">
        <v>57</v>
      </c>
      <c r="Z506">
        <v>47</v>
      </c>
      <c r="AA506">
        <v>46</v>
      </c>
      <c r="AB506">
        <v>49</v>
      </c>
      <c r="AC506">
        <v>75</v>
      </c>
      <c r="AD506">
        <v>81</v>
      </c>
      <c r="AE506">
        <v>84</v>
      </c>
      <c r="AF506">
        <v>38</v>
      </c>
      <c r="AG506" s="2" t="s">
        <v>734</v>
      </c>
      <c r="AH506" s="2" t="s">
        <v>734</v>
      </c>
      <c r="AI506" s="2" t="s">
        <v>734</v>
      </c>
    </row>
    <row r="507" spans="2:35" x14ac:dyDescent="0.25">
      <c r="B507" t="s">
        <v>1230</v>
      </c>
      <c r="C507" t="s">
        <v>90</v>
      </c>
      <c r="D507">
        <v>39715</v>
      </c>
      <c r="E507" t="s">
        <v>98</v>
      </c>
      <c r="F507" t="s">
        <v>1015</v>
      </c>
      <c r="G507"/>
      <c r="H507"/>
      <c r="I507">
        <v>350</v>
      </c>
      <c r="J507">
        <v>366</v>
      </c>
      <c r="K507">
        <v>458</v>
      </c>
      <c r="L507">
        <v>491</v>
      </c>
      <c r="M507">
        <v>510</v>
      </c>
      <c r="N507">
        <v>535</v>
      </c>
      <c r="O507">
        <v>574</v>
      </c>
      <c r="P507">
        <v>593</v>
      </c>
      <c r="Q507">
        <v>613</v>
      </c>
      <c r="R507">
        <v>643</v>
      </c>
      <c r="X507">
        <v>16</v>
      </c>
      <c r="Y507">
        <v>92</v>
      </c>
      <c r="Z507">
        <v>33</v>
      </c>
      <c r="AA507">
        <v>19</v>
      </c>
      <c r="AB507">
        <v>25</v>
      </c>
      <c r="AC507">
        <v>39</v>
      </c>
      <c r="AD507">
        <v>19</v>
      </c>
      <c r="AE507">
        <v>20</v>
      </c>
      <c r="AF507">
        <v>30</v>
      </c>
      <c r="AG507" s="2" t="s">
        <v>734</v>
      </c>
      <c r="AH507" s="2" t="s">
        <v>734</v>
      </c>
      <c r="AI507" s="2" t="s">
        <v>734</v>
      </c>
    </row>
    <row r="508" spans="2:35" x14ac:dyDescent="0.25">
      <c r="B508" t="s">
        <v>1231</v>
      </c>
      <c r="C508" t="s">
        <v>90</v>
      </c>
      <c r="D508">
        <v>140</v>
      </c>
      <c r="E508" t="s">
        <v>890</v>
      </c>
      <c r="F508" t="s">
        <v>986</v>
      </c>
      <c r="G508" t="s">
        <v>99</v>
      </c>
      <c r="H508"/>
      <c r="I508">
        <v>130</v>
      </c>
      <c r="J508">
        <v>130</v>
      </c>
      <c r="K508">
        <v>130</v>
      </c>
      <c r="L508">
        <v>130</v>
      </c>
      <c r="M508">
        <v>130</v>
      </c>
      <c r="N508">
        <v>130</v>
      </c>
      <c r="O508">
        <v>130</v>
      </c>
      <c r="P508">
        <v>130</v>
      </c>
      <c r="Q508">
        <v>130</v>
      </c>
      <c r="R508">
        <v>130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 s="2" t="s">
        <v>734</v>
      </c>
      <c r="AH508" s="2" t="s">
        <v>734</v>
      </c>
      <c r="AI508" s="2" t="s">
        <v>734</v>
      </c>
    </row>
    <row r="509" spans="2:35" x14ac:dyDescent="0.25">
      <c r="B509" t="s">
        <v>1232</v>
      </c>
      <c r="C509" t="s">
        <v>90</v>
      </c>
      <c r="D509">
        <v>39245</v>
      </c>
      <c r="E509" t="s">
        <v>98</v>
      </c>
      <c r="F509" t="s">
        <v>1018</v>
      </c>
      <c r="G509"/>
      <c r="H509"/>
      <c r="I509">
        <v>17625</v>
      </c>
      <c r="J509">
        <v>18368</v>
      </c>
      <c r="K509">
        <v>19907</v>
      </c>
      <c r="L509">
        <v>21279</v>
      </c>
      <c r="M509">
        <v>22463</v>
      </c>
      <c r="N509">
        <v>23504</v>
      </c>
      <c r="O509">
        <v>24625</v>
      </c>
      <c r="P509">
        <v>26081</v>
      </c>
      <c r="Q509">
        <v>27623</v>
      </c>
      <c r="R509">
        <v>29185</v>
      </c>
      <c r="X509">
        <v>743</v>
      </c>
      <c r="Y509">
        <v>1539</v>
      </c>
      <c r="Z509">
        <v>1372</v>
      </c>
      <c r="AA509">
        <v>1184</v>
      </c>
      <c r="AB509">
        <v>1041</v>
      </c>
      <c r="AC509">
        <v>1121</v>
      </c>
      <c r="AD509">
        <v>1456</v>
      </c>
      <c r="AE509">
        <v>1542</v>
      </c>
      <c r="AF509">
        <v>1562</v>
      </c>
      <c r="AG509" s="2" t="s">
        <v>734</v>
      </c>
      <c r="AH509" s="2" t="s">
        <v>734</v>
      </c>
      <c r="AI509" s="2" t="s">
        <v>734</v>
      </c>
    </row>
    <row r="510" spans="2:35" x14ac:dyDescent="0.25">
      <c r="B510" t="s">
        <v>1233</v>
      </c>
      <c r="C510" t="s">
        <v>90</v>
      </c>
      <c r="D510">
        <v>39695</v>
      </c>
      <c r="E510" t="s">
        <v>94</v>
      </c>
      <c r="F510" t="s">
        <v>1019</v>
      </c>
      <c r="G510" t="s">
        <v>65</v>
      </c>
      <c r="H510"/>
      <c r="I510">
        <v>22255</v>
      </c>
      <c r="J510">
        <v>23060</v>
      </c>
      <c r="K510">
        <v>24612</v>
      </c>
      <c r="L510">
        <v>26095</v>
      </c>
      <c r="M510">
        <v>27567</v>
      </c>
      <c r="N510">
        <v>28883</v>
      </c>
      <c r="O510">
        <v>30568</v>
      </c>
      <c r="P510">
        <v>32596</v>
      </c>
      <c r="Q510">
        <v>34769</v>
      </c>
      <c r="R510">
        <v>36952</v>
      </c>
      <c r="X510">
        <v>805</v>
      </c>
      <c r="Y510">
        <v>1552</v>
      </c>
      <c r="Z510">
        <v>1483</v>
      </c>
      <c r="AA510">
        <v>1472</v>
      </c>
      <c r="AB510">
        <v>1316</v>
      </c>
      <c r="AC510">
        <v>1685</v>
      </c>
      <c r="AD510">
        <v>2028</v>
      </c>
      <c r="AE510">
        <v>2173</v>
      </c>
      <c r="AF510">
        <v>2183</v>
      </c>
      <c r="AG510" s="2" t="s">
        <v>734</v>
      </c>
      <c r="AH510" s="2" t="s">
        <v>734</v>
      </c>
      <c r="AI510" s="2" t="s">
        <v>734</v>
      </c>
    </row>
    <row r="511" spans="2:35" x14ac:dyDescent="0.25">
      <c r="B511" t="s">
        <v>1238</v>
      </c>
      <c r="C511" t="s">
        <v>90</v>
      </c>
      <c r="D511">
        <v>140</v>
      </c>
      <c r="E511" t="s">
        <v>691</v>
      </c>
      <c r="F511" t="s">
        <v>992</v>
      </c>
      <c r="G511"/>
      <c r="H511"/>
      <c r="I511">
        <v>3060</v>
      </c>
      <c r="J511">
        <v>3198</v>
      </c>
      <c r="K511">
        <v>3457</v>
      </c>
      <c r="L511">
        <v>3710</v>
      </c>
      <c r="M511">
        <v>3985</v>
      </c>
      <c r="N511">
        <v>4221</v>
      </c>
      <c r="O511">
        <v>4481</v>
      </c>
      <c r="P511">
        <v>4719</v>
      </c>
      <c r="Q511">
        <v>4963</v>
      </c>
      <c r="R511">
        <v>5210</v>
      </c>
      <c r="X511">
        <v>138</v>
      </c>
      <c r="Y511">
        <v>259</v>
      </c>
      <c r="Z511">
        <v>253</v>
      </c>
      <c r="AA511">
        <v>275</v>
      </c>
      <c r="AB511">
        <v>236</v>
      </c>
      <c r="AC511">
        <v>260</v>
      </c>
      <c r="AD511">
        <v>238</v>
      </c>
      <c r="AE511">
        <v>244</v>
      </c>
      <c r="AF511">
        <v>247</v>
      </c>
      <c r="AG511" s="2" t="s">
        <v>734</v>
      </c>
      <c r="AH511" s="2" t="s">
        <v>734</v>
      </c>
      <c r="AI511" s="2" t="s">
        <v>734</v>
      </c>
    </row>
    <row r="512" spans="2:35" x14ac:dyDescent="0.25">
      <c r="B512" t="s">
        <v>1234</v>
      </c>
      <c r="C512" t="s">
        <v>90</v>
      </c>
      <c r="D512">
        <v>131</v>
      </c>
      <c r="E512" t="s">
        <v>1045</v>
      </c>
      <c r="F512" t="s">
        <v>988</v>
      </c>
      <c r="G512"/>
      <c r="H512"/>
      <c r="I512">
        <v>62062</v>
      </c>
      <c r="J512">
        <v>64905</v>
      </c>
      <c r="K512">
        <v>70940</v>
      </c>
      <c r="L512">
        <v>76771</v>
      </c>
      <c r="M512">
        <v>82086</v>
      </c>
      <c r="N512">
        <v>87143</v>
      </c>
      <c r="O512">
        <v>91908</v>
      </c>
      <c r="P512">
        <v>95959</v>
      </c>
      <c r="Q512">
        <v>100573</v>
      </c>
      <c r="R512">
        <v>106170</v>
      </c>
      <c r="X512">
        <v>2843</v>
      </c>
      <c r="Y512">
        <v>6035</v>
      </c>
      <c r="Z512">
        <v>5831</v>
      </c>
      <c r="AA512">
        <v>5315</v>
      </c>
      <c r="AB512">
        <v>5057</v>
      </c>
      <c r="AC512">
        <v>4765</v>
      </c>
      <c r="AD512">
        <v>4051</v>
      </c>
      <c r="AE512">
        <v>4614</v>
      </c>
      <c r="AF512">
        <v>5597</v>
      </c>
      <c r="AG512" s="2" t="s">
        <v>734</v>
      </c>
      <c r="AH512" s="2" t="s">
        <v>734</v>
      </c>
      <c r="AI512" s="2" t="s">
        <v>734</v>
      </c>
    </row>
    <row r="513" spans="2:35" x14ac:dyDescent="0.25">
      <c r="B513" t="s">
        <v>1235</v>
      </c>
      <c r="C513" t="s">
        <v>90</v>
      </c>
      <c r="D513">
        <v>39022</v>
      </c>
      <c r="E513" t="s">
        <v>97</v>
      </c>
      <c r="F513" t="s">
        <v>1020</v>
      </c>
      <c r="G513"/>
      <c r="H513"/>
      <c r="I513">
        <v>3081</v>
      </c>
      <c r="J513">
        <v>3217</v>
      </c>
      <c r="K513">
        <v>3493</v>
      </c>
      <c r="L513">
        <v>3730</v>
      </c>
      <c r="M513">
        <v>3870</v>
      </c>
      <c r="N513">
        <v>3990</v>
      </c>
      <c r="O513">
        <v>4162</v>
      </c>
      <c r="P513">
        <v>4402</v>
      </c>
      <c r="Q513">
        <v>4684</v>
      </c>
      <c r="R513">
        <v>4961</v>
      </c>
      <c r="X513">
        <v>136</v>
      </c>
      <c r="Y513">
        <v>276</v>
      </c>
      <c r="Z513">
        <v>237</v>
      </c>
      <c r="AA513">
        <v>140</v>
      </c>
      <c r="AB513">
        <v>120</v>
      </c>
      <c r="AC513">
        <v>172</v>
      </c>
      <c r="AD513">
        <v>240</v>
      </c>
      <c r="AE513">
        <v>282</v>
      </c>
      <c r="AF513">
        <v>277</v>
      </c>
      <c r="AG513" s="2" t="s">
        <v>734</v>
      </c>
      <c r="AH513" s="2" t="s">
        <v>734</v>
      </c>
      <c r="AI513" s="2" t="s">
        <v>734</v>
      </c>
    </row>
    <row r="514" spans="2:35" x14ac:dyDescent="0.25">
      <c r="B514" t="s">
        <v>1236</v>
      </c>
      <c r="C514" t="s">
        <v>90</v>
      </c>
      <c r="D514">
        <v>39436</v>
      </c>
      <c r="E514" t="s">
        <v>95</v>
      </c>
      <c r="F514" t="s">
        <v>989</v>
      </c>
      <c r="G514" t="s">
        <v>96</v>
      </c>
      <c r="H514"/>
      <c r="I514">
        <v>21880</v>
      </c>
      <c r="J514">
        <v>22654</v>
      </c>
      <c r="K514">
        <v>24321</v>
      </c>
      <c r="L514">
        <v>26056</v>
      </c>
      <c r="M514">
        <v>27434</v>
      </c>
      <c r="N514">
        <v>28559</v>
      </c>
      <c r="O514">
        <v>28803</v>
      </c>
      <c r="P514"/>
      <c r="Q514"/>
      <c r="R514"/>
      <c r="X514">
        <v>774</v>
      </c>
      <c r="Y514">
        <v>1667</v>
      </c>
      <c r="Z514">
        <v>1735</v>
      </c>
      <c r="AA514">
        <v>1378</v>
      </c>
      <c r="AB514">
        <v>1125</v>
      </c>
      <c r="AC514">
        <v>244</v>
      </c>
      <c r="AD514" t="s">
        <v>734</v>
      </c>
      <c r="AE514" t="s">
        <v>734</v>
      </c>
      <c r="AF514" t="s">
        <v>734</v>
      </c>
      <c r="AG514" s="2" t="s">
        <v>734</v>
      </c>
      <c r="AH514" s="2" t="s">
        <v>734</v>
      </c>
      <c r="AI514" s="2" t="s">
        <v>734</v>
      </c>
    </row>
    <row r="515" spans="2:35" x14ac:dyDescent="0.25">
      <c r="B515" t="s">
        <v>1226</v>
      </c>
      <c r="C515" t="s">
        <v>90</v>
      </c>
      <c r="D515">
        <v>39650</v>
      </c>
      <c r="E515" t="s">
        <v>100</v>
      </c>
      <c r="F515" t="s">
        <v>1012</v>
      </c>
      <c r="G515"/>
      <c r="H515"/>
      <c r="I515">
        <v>93213</v>
      </c>
      <c r="J515">
        <v>96975</v>
      </c>
      <c r="K515">
        <v>104304</v>
      </c>
      <c r="L515">
        <v>111191</v>
      </c>
      <c r="M515">
        <v>117400</v>
      </c>
      <c r="N515">
        <v>123400</v>
      </c>
      <c r="O515">
        <v>130173</v>
      </c>
      <c r="P515">
        <v>137745</v>
      </c>
      <c r="Q515">
        <v>145834</v>
      </c>
      <c r="R515">
        <v>154559</v>
      </c>
      <c r="X515">
        <v>3762</v>
      </c>
      <c r="Y515">
        <v>7329</v>
      </c>
      <c r="Z515">
        <v>6887</v>
      </c>
      <c r="AA515">
        <v>6209</v>
      </c>
      <c r="AB515">
        <v>6000</v>
      </c>
      <c r="AC515">
        <v>6773</v>
      </c>
      <c r="AD515">
        <v>7572</v>
      </c>
      <c r="AE515">
        <v>8089</v>
      </c>
      <c r="AF515">
        <v>8725</v>
      </c>
      <c r="AG515" s="2" t="s">
        <v>734</v>
      </c>
      <c r="AH515" s="2" t="s">
        <v>734</v>
      </c>
      <c r="AI515" s="2" t="s">
        <v>734</v>
      </c>
    </row>
    <row r="516" spans="2:35" x14ac:dyDescent="0.25">
      <c r="B516" t="s">
        <v>1227</v>
      </c>
      <c r="C516" t="s">
        <v>90</v>
      </c>
      <c r="D516">
        <v>39044</v>
      </c>
      <c r="E516" t="s">
        <v>689</v>
      </c>
      <c r="F516" t="s">
        <v>1016</v>
      </c>
      <c r="G516" t="s">
        <v>1264</v>
      </c>
      <c r="H516" t="s">
        <v>439</v>
      </c>
      <c r="I516">
        <v>17623</v>
      </c>
      <c r="J516">
        <v>18365</v>
      </c>
      <c r="K516">
        <v>19995</v>
      </c>
      <c r="L516">
        <v>21330</v>
      </c>
      <c r="M516">
        <v>22426</v>
      </c>
      <c r="N516">
        <v>23509</v>
      </c>
      <c r="O516">
        <v>25169</v>
      </c>
      <c r="P516">
        <v>27128</v>
      </c>
      <c r="Q516">
        <v>29255</v>
      </c>
      <c r="R516">
        <v>31287</v>
      </c>
      <c r="X516">
        <v>742</v>
      </c>
      <c r="Y516">
        <v>1630</v>
      </c>
      <c r="Z516">
        <v>1335</v>
      </c>
      <c r="AA516">
        <v>1096</v>
      </c>
      <c r="AB516">
        <v>1083</v>
      </c>
      <c r="AC516">
        <v>1660</v>
      </c>
      <c r="AD516">
        <v>1959</v>
      </c>
      <c r="AE516">
        <v>2127</v>
      </c>
      <c r="AF516">
        <v>2032</v>
      </c>
      <c r="AG516" s="2" t="s">
        <v>734</v>
      </c>
      <c r="AH516" s="2" t="s">
        <v>734</v>
      </c>
      <c r="AI516" s="2" t="s">
        <v>734</v>
      </c>
    </row>
    <row r="517" spans="2:35" x14ac:dyDescent="0.25">
      <c r="B517" t="s">
        <v>1225</v>
      </c>
      <c r="C517" t="s">
        <v>90</v>
      </c>
      <c r="D517">
        <v>39338</v>
      </c>
      <c r="E517" t="s">
        <v>103</v>
      </c>
      <c r="F517" t="s">
        <v>1014</v>
      </c>
      <c r="G517" t="s">
        <v>65</v>
      </c>
      <c r="H517"/>
      <c r="I517">
        <v>7223</v>
      </c>
      <c r="J517">
        <v>7223</v>
      </c>
      <c r="K517">
        <v>7223</v>
      </c>
      <c r="L517">
        <v>7223</v>
      </c>
      <c r="M517">
        <v>7223</v>
      </c>
      <c r="N517">
        <v>7223</v>
      </c>
      <c r="O517">
        <v>7223</v>
      </c>
      <c r="P517">
        <v>7223</v>
      </c>
      <c r="Q517">
        <v>7223</v>
      </c>
      <c r="R517">
        <v>7223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0</v>
      </c>
      <c r="AF517">
        <v>0</v>
      </c>
      <c r="AG517" s="2" t="s">
        <v>734</v>
      </c>
      <c r="AH517" s="2" t="s">
        <v>734</v>
      </c>
      <c r="AI517" s="2" t="s">
        <v>734</v>
      </c>
    </row>
    <row r="518" spans="2:35" x14ac:dyDescent="0.25">
      <c r="B518" t="s">
        <v>1283</v>
      </c>
      <c r="C518" t="s">
        <v>90</v>
      </c>
      <c r="D518">
        <v>39154</v>
      </c>
      <c r="E518" t="s">
        <v>1054</v>
      </c>
      <c r="F518" s="158" t="s">
        <v>101</v>
      </c>
      <c r="G518" s="158" t="s">
        <v>690</v>
      </c>
      <c r="H518" s="158" t="s">
        <v>104</v>
      </c>
      <c r="X518" s="2" t="s">
        <v>734</v>
      </c>
      <c r="Y518" s="2" t="s">
        <v>734</v>
      </c>
      <c r="Z518" s="2" t="s">
        <v>734</v>
      </c>
      <c r="AA518" s="2" t="s">
        <v>734</v>
      </c>
      <c r="AB518" s="2" t="s">
        <v>734</v>
      </c>
      <c r="AC518" s="2" t="s">
        <v>734</v>
      </c>
      <c r="AD518" s="2" t="s">
        <v>734</v>
      </c>
      <c r="AE518" s="2" t="s">
        <v>734</v>
      </c>
      <c r="AF518" s="2" t="s">
        <v>734</v>
      </c>
      <c r="AG518" s="2" t="s">
        <v>734</v>
      </c>
      <c r="AH518" s="2" t="s">
        <v>734</v>
      </c>
      <c r="AI518" s="2" t="s">
        <v>734</v>
      </c>
    </row>
    <row r="519" spans="2:35" x14ac:dyDescent="0.25">
      <c r="B519" t="s">
        <v>109</v>
      </c>
      <c r="C519" t="s">
        <v>106</v>
      </c>
      <c r="D519">
        <v>39655</v>
      </c>
      <c r="E519" t="s">
        <v>110</v>
      </c>
      <c r="F519" t="s">
        <v>983</v>
      </c>
      <c r="G519" t="s">
        <v>735</v>
      </c>
      <c r="H519" t="s">
        <v>1265</v>
      </c>
      <c r="I519">
        <v>144299</v>
      </c>
      <c r="J519">
        <v>144301</v>
      </c>
      <c r="K519">
        <v>144301</v>
      </c>
      <c r="L519"/>
      <c r="M519"/>
      <c r="N519"/>
      <c r="O519"/>
      <c r="P519"/>
      <c r="Q519"/>
      <c r="R519"/>
      <c r="X519">
        <v>2</v>
      </c>
      <c r="Y519">
        <v>0</v>
      </c>
      <c r="Z519" t="s">
        <v>734</v>
      </c>
      <c r="AA519" t="s">
        <v>734</v>
      </c>
      <c r="AB519" t="s">
        <v>734</v>
      </c>
      <c r="AC519" t="s">
        <v>734</v>
      </c>
      <c r="AD519" t="s">
        <v>734</v>
      </c>
      <c r="AE519" t="s">
        <v>734</v>
      </c>
      <c r="AF519" t="s">
        <v>734</v>
      </c>
      <c r="AG519" s="2" t="s">
        <v>734</v>
      </c>
      <c r="AH519" s="2" t="s">
        <v>734</v>
      </c>
      <c r="AI519" s="2" t="s">
        <v>734</v>
      </c>
    </row>
    <row r="520" spans="2:35" x14ac:dyDescent="0.25">
      <c r="B520" t="s">
        <v>107</v>
      </c>
      <c r="C520" t="s">
        <v>106</v>
      </c>
      <c r="D520">
        <v>39754</v>
      </c>
      <c r="E520" t="s">
        <v>108</v>
      </c>
      <c r="F520" t="s">
        <v>990</v>
      </c>
      <c r="G520"/>
      <c r="H520"/>
      <c r="I520">
        <v>78519</v>
      </c>
      <c r="J520">
        <v>78519</v>
      </c>
      <c r="K520">
        <v>78519</v>
      </c>
      <c r="L520">
        <v>78519</v>
      </c>
      <c r="M520">
        <v>78519</v>
      </c>
      <c r="N520">
        <v>78519</v>
      </c>
      <c r="O520">
        <v>78519</v>
      </c>
      <c r="P520">
        <v>78519</v>
      </c>
      <c r="Q520">
        <v>78519</v>
      </c>
      <c r="R520">
        <v>78519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 s="2" t="s">
        <v>734</v>
      </c>
      <c r="AH520" s="2" t="s">
        <v>734</v>
      </c>
      <c r="AI520" s="2" t="s">
        <v>734</v>
      </c>
    </row>
    <row r="521" spans="2:35" x14ac:dyDescent="0.25">
      <c r="B521" t="s">
        <v>115</v>
      </c>
      <c r="C521" t="s">
        <v>106</v>
      </c>
      <c r="D521">
        <v>39021</v>
      </c>
      <c r="E521" t="s">
        <v>97</v>
      </c>
      <c r="F521" t="s">
        <v>991</v>
      </c>
      <c r="G521"/>
      <c r="H521"/>
      <c r="I521">
        <v>54381</v>
      </c>
      <c r="J521">
        <v>54495</v>
      </c>
      <c r="K521">
        <v>54681</v>
      </c>
      <c r="L521">
        <v>54885</v>
      </c>
      <c r="M521">
        <v>55147</v>
      </c>
      <c r="N521">
        <v>55367</v>
      </c>
      <c r="O521">
        <v>55605</v>
      </c>
      <c r="P521">
        <v>55839</v>
      </c>
      <c r="Q521">
        <v>56074</v>
      </c>
      <c r="R521">
        <v>56354</v>
      </c>
      <c r="X521">
        <v>114</v>
      </c>
      <c r="Y521">
        <v>186</v>
      </c>
      <c r="Z521">
        <v>204</v>
      </c>
      <c r="AA521">
        <v>262</v>
      </c>
      <c r="AB521">
        <v>220</v>
      </c>
      <c r="AC521">
        <v>238</v>
      </c>
      <c r="AD521">
        <v>234</v>
      </c>
      <c r="AE521">
        <v>235</v>
      </c>
      <c r="AF521">
        <v>280</v>
      </c>
      <c r="AG521" s="2" t="s">
        <v>734</v>
      </c>
      <c r="AH521" s="2" t="s">
        <v>734</v>
      </c>
      <c r="AI521" s="2" t="s">
        <v>734</v>
      </c>
    </row>
    <row r="522" spans="2:35" x14ac:dyDescent="0.25">
      <c r="B522" t="s">
        <v>116</v>
      </c>
      <c r="C522" t="s">
        <v>106</v>
      </c>
      <c r="D522">
        <v>132</v>
      </c>
      <c r="E522" t="s">
        <v>879</v>
      </c>
      <c r="F522" t="s">
        <v>984</v>
      </c>
      <c r="G522" t="s">
        <v>117</v>
      </c>
      <c r="H522"/>
      <c r="I522">
        <v>193891</v>
      </c>
      <c r="J522">
        <v>195118</v>
      </c>
      <c r="K522">
        <v>197289</v>
      </c>
      <c r="L522">
        <v>199197</v>
      </c>
      <c r="M522">
        <v>200869</v>
      </c>
      <c r="N522">
        <v>202454</v>
      </c>
      <c r="O522">
        <v>203863</v>
      </c>
      <c r="P522">
        <v>205261</v>
      </c>
      <c r="Q522">
        <v>206768</v>
      </c>
      <c r="R522">
        <v>206992</v>
      </c>
      <c r="X522">
        <v>1227</v>
      </c>
      <c r="Y522">
        <v>2171</v>
      </c>
      <c r="Z522">
        <v>1908</v>
      </c>
      <c r="AA522">
        <v>1672</v>
      </c>
      <c r="AB522">
        <v>1585</v>
      </c>
      <c r="AC522">
        <v>1409</v>
      </c>
      <c r="AD522">
        <v>1398</v>
      </c>
      <c r="AE522">
        <v>1507</v>
      </c>
      <c r="AF522">
        <v>224</v>
      </c>
      <c r="AG522" s="2" t="s">
        <v>734</v>
      </c>
      <c r="AH522" s="2" t="s">
        <v>734</v>
      </c>
      <c r="AI522" s="2" t="s">
        <v>734</v>
      </c>
    </row>
    <row r="523" spans="2:35" x14ac:dyDescent="0.25">
      <c r="B523" t="s">
        <v>113</v>
      </c>
      <c r="C523" t="s">
        <v>106</v>
      </c>
      <c r="D523">
        <v>39637</v>
      </c>
      <c r="E523" t="s">
        <v>114</v>
      </c>
      <c r="F523" t="s">
        <v>985</v>
      </c>
      <c r="G523"/>
      <c r="H523"/>
      <c r="I523">
        <v>46727</v>
      </c>
      <c r="J523">
        <v>46936</v>
      </c>
      <c r="K523">
        <v>47443</v>
      </c>
      <c r="L523">
        <v>47883</v>
      </c>
      <c r="M523">
        <v>48115</v>
      </c>
      <c r="N523">
        <v>48129</v>
      </c>
      <c r="O523">
        <v>48131</v>
      </c>
      <c r="P523">
        <v>48132</v>
      </c>
      <c r="Q523">
        <v>48132</v>
      </c>
      <c r="R523">
        <v>48132</v>
      </c>
      <c r="X523">
        <v>209</v>
      </c>
      <c r="Y523">
        <v>507</v>
      </c>
      <c r="Z523">
        <v>440</v>
      </c>
      <c r="AA523">
        <v>232</v>
      </c>
      <c r="AB523">
        <v>14</v>
      </c>
      <c r="AC523">
        <v>2</v>
      </c>
      <c r="AD523">
        <v>1</v>
      </c>
      <c r="AE523">
        <v>0</v>
      </c>
      <c r="AF523">
        <v>0</v>
      </c>
      <c r="AG523" s="2" t="s">
        <v>734</v>
      </c>
      <c r="AH523" s="2" t="s">
        <v>734</v>
      </c>
      <c r="AI523" s="2" t="s">
        <v>734</v>
      </c>
    </row>
    <row r="524" spans="2:35" x14ac:dyDescent="0.25">
      <c r="B524" t="s">
        <v>111</v>
      </c>
      <c r="C524" t="s">
        <v>106</v>
      </c>
      <c r="D524">
        <v>39774</v>
      </c>
      <c r="E524" t="s">
        <v>112</v>
      </c>
      <c r="F524" t="s">
        <v>982</v>
      </c>
      <c r="G524"/>
      <c r="H524"/>
      <c r="I524">
        <v>30639</v>
      </c>
      <c r="J524">
        <v>30639</v>
      </c>
      <c r="K524">
        <v>30639</v>
      </c>
      <c r="L524">
        <v>30639</v>
      </c>
      <c r="M524">
        <v>30639</v>
      </c>
      <c r="N524">
        <v>30639</v>
      </c>
      <c r="O524">
        <v>30639</v>
      </c>
      <c r="P524">
        <v>30639</v>
      </c>
      <c r="Q524">
        <v>30639</v>
      </c>
      <c r="R524">
        <v>30639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0</v>
      </c>
      <c r="AD524">
        <v>0</v>
      </c>
      <c r="AE524">
        <v>0</v>
      </c>
      <c r="AF524">
        <v>0</v>
      </c>
      <c r="AG524" s="2" t="s">
        <v>734</v>
      </c>
      <c r="AH524" s="2" t="s">
        <v>734</v>
      </c>
      <c r="AI524" s="2" t="s">
        <v>734</v>
      </c>
    </row>
    <row r="525" spans="2:35" x14ac:dyDescent="0.25">
      <c r="B525" t="s">
        <v>119</v>
      </c>
      <c r="C525" t="s">
        <v>106</v>
      </c>
      <c r="D525">
        <v>39137</v>
      </c>
      <c r="E525" t="s">
        <v>23</v>
      </c>
      <c r="F525" t="s">
        <v>987</v>
      </c>
      <c r="G525" t="s">
        <v>1039</v>
      </c>
      <c r="H525"/>
      <c r="I525"/>
      <c r="J525"/>
      <c r="K525"/>
      <c r="L525"/>
      <c r="M525"/>
      <c r="N525"/>
      <c r="O525"/>
      <c r="P525"/>
      <c r="Q525"/>
      <c r="R525"/>
      <c r="X525" t="s">
        <v>734</v>
      </c>
      <c r="Y525" t="s">
        <v>734</v>
      </c>
      <c r="Z525" t="s">
        <v>734</v>
      </c>
      <c r="AA525" t="s">
        <v>734</v>
      </c>
      <c r="AB525" t="s">
        <v>734</v>
      </c>
      <c r="AC525" t="s">
        <v>734</v>
      </c>
      <c r="AD525" t="s">
        <v>734</v>
      </c>
      <c r="AE525" t="s">
        <v>734</v>
      </c>
      <c r="AF525" t="s">
        <v>734</v>
      </c>
      <c r="AG525" s="2" t="s">
        <v>734</v>
      </c>
      <c r="AH525" s="2" t="s">
        <v>734</v>
      </c>
      <c r="AI525" s="2" t="s">
        <v>734</v>
      </c>
    </row>
    <row r="526" spans="2:35" x14ac:dyDescent="0.25">
      <c r="B526" t="s">
        <v>1311</v>
      </c>
      <c r="C526" t="s">
        <v>106</v>
      </c>
      <c r="D526">
        <v>141</v>
      </c>
      <c r="E526" t="s">
        <v>809</v>
      </c>
      <c r="F526" t="s">
        <v>810</v>
      </c>
      <c r="G526"/>
      <c r="H526"/>
      <c r="I526">
        <v>8534</v>
      </c>
      <c r="J526">
        <v>8571</v>
      </c>
      <c r="K526">
        <v>8603</v>
      </c>
      <c r="L526">
        <v>8635</v>
      </c>
      <c r="M526">
        <v>8664</v>
      </c>
      <c r="N526">
        <v>8700</v>
      </c>
      <c r="O526">
        <v>8735</v>
      </c>
      <c r="P526">
        <v>8773</v>
      </c>
      <c r="Q526">
        <v>8808</v>
      </c>
      <c r="R526">
        <v>8879</v>
      </c>
      <c r="X526">
        <v>37</v>
      </c>
      <c r="Y526">
        <v>32</v>
      </c>
      <c r="Z526">
        <v>32</v>
      </c>
      <c r="AA526">
        <v>29</v>
      </c>
      <c r="AB526">
        <v>36</v>
      </c>
      <c r="AC526">
        <v>35</v>
      </c>
      <c r="AD526">
        <v>38</v>
      </c>
      <c r="AE526">
        <v>35</v>
      </c>
      <c r="AF526">
        <v>71</v>
      </c>
      <c r="AG526" s="2" t="s">
        <v>734</v>
      </c>
      <c r="AH526" s="2" t="s">
        <v>734</v>
      </c>
      <c r="AI526" s="2" t="s">
        <v>734</v>
      </c>
    </row>
    <row r="527" spans="2:35" x14ac:dyDescent="0.25">
      <c r="B527" t="s">
        <v>1303</v>
      </c>
      <c r="C527" t="s">
        <v>971</v>
      </c>
      <c r="D527">
        <v>140</v>
      </c>
      <c r="E527" t="s">
        <v>972</v>
      </c>
      <c r="F527" t="s">
        <v>63</v>
      </c>
      <c r="G527"/>
      <c r="H527">
        <v>504907</v>
      </c>
      <c r="I527">
        <v>504907</v>
      </c>
      <c r="J527">
        <v>504907</v>
      </c>
      <c r="K527">
        <v>504907</v>
      </c>
      <c r="L527">
        <v>504907</v>
      </c>
      <c r="M527">
        <v>504907</v>
      </c>
      <c r="N527">
        <v>504907</v>
      </c>
      <c r="O527">
        <v>504907</v>
      </c>
      <c r="P527">
        <v>504907</v>
      </c>
      <c r="Q527">
        <v>504907</v>
      </c>
      <c r="R527">
        <v>504907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0</v>
      </c>
      <c r="AE527">
        <v>0</v>
      </c>
      <c r="AF527">
        <v>0</v>
      </c>
      <c r="AG527" s="2" t="s">
        <v>734</v>
      </c>
      <c r="AH527" s="2" t="s">
        <v>734</v>
      </c>
      <c r="AI527" s="2" t="s">
        <v>734</v>
      </c>
    </row>
    <row r="528" spans="2:35" x14ac:dyDescent="0.25">
      <c r="B528" t="s">
        <v>1330</v>
      </c>
      <c r="C528" t="s">
        <v>121</v>
      </c>
      <c r="D528">
        <v>39323</v>
      </c>
      <c r="E528" t="s">
        <v>123</v>
      </c>
      <c r="F528" t="s">
        <v>135</v>
      </c>
      <c r="G528"/>
      <c r="H528"/>
      <c r="I528">
        <v>154770</v>
      </c>
      <c r="J528">
        <v>155061</v>
      </c>
      <c r="K528">
        <v>155606</v>
      </c>
      <c r="L528">
        <v>156075</v>
      </c>
      <c r="M528">
        <v>156512</v>
      </c>
      <c r="N528">
        <v>156914</v>
      </c>
      <c r="O528">
        <v>157263</v>
      </c>
      <c r="P528">
        <v>157512</v>
      </c>
      <c r="Q528">
        <v>157818</v>
      </c>
      <c r="R528">
        <v>158231</v>
      </c>
      <c r="X528">
        <v>291</v>
      </c>
      <c r="Y528">
        <v>545</v>
      </c>
      <c r="Z528">
        <v>469</v>
      </c>
      <c r="AA528">
        <v>437</v>
      </c>
      <c r="AB528">
        <v>402</v>
      </c>
      <c r="AC528">
        <v>349</v>
      </c>
      <c r="AD528">
        <v>249</v>
      </c>
      <c r="AE528">
        <v>306</v>
      </c>
      <c r="AF528">
        <v>413</v>
      </c>
      <c r="AG528" s="2" t="s">
        <v>734</v>
      </c>
      <c r="AH528" s="2" t="s">
        <v>734</v>
      </c>
      <c r="AI528" s="2" t="s">
        <v>734</v>
      </c>
    </row>
    <row r="529" spans="2:35" x14ac:dyDescent="0.25">
      <c r="B529" t="s">
        <v>131</v>
      </c>
      <c r="C529" t="s">
        <v>121</v>
      </c>
      <c r="D529">
        <v>39383</v>
      </c>
      <c r="E529" t="s">
        <v>132</v>
      </c>
      <c r="F529" t="s">
        <v>133</v>
      </c>
      <c r="G529" t="s">
        <v>134</v>
      </c>
      <c r="H529"/>
      <c r="I529">
        <v>77250</v>
      </c>
      <c r="J529">
        <v>77251</v>
      </c>
      <c r="K529">
        <v>77251</v>
      </c>
      <c r="L529">
        <v>77251</v>
      </c>
      <c r="M529">
        <v>77251</v>
      </c>
      <c r="N529">
        <v>77251</v>
      </c>
      <c r="O529">
        <v>77251</v>
      </c>
      <c r="P529">
        <v>77251</v>
      </c>
      <c r="Q529">
        <v>77251</v>
      </c>
      <c r="R529">
        <v>77251</v>
      </c>
      <c r="X529">
        <v>1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0</v>
      </c>
      <c r="AF529">
        <v>0</v>
      </c>
      <c r="AG529" s="2" t="s">
        <v>734</v>
      </c>
      <c r="AH529" s="2" t="s">
        <v>734</v>
      </c>
      <c r="AI529" s="2" t="s">
        <v>734</v>
      </c>
    </row>
    <row r="530" spans="2:35" x14ac:dyDescent="0.25">
      <c r="B530" t="s">
        <v>127</v>
      </c>
      <c r="C530" t="s">
        <v>121</v>
      </c>
      <c r="D530">
        <v>39151</v>
      </c>
      <c r="E530" t="s">
        <v>128</v>
      </c>
      <c r="F530" t="s">
        <v>993</v>
      </c>
      <c r="G530"/>
      <c r="H530"/>
      <c r="I530">
        <v>156206</v>
      </c>
      <c r="J530">
        <v>157480</v>
      </c>
      <c r="K530">
        <v>160291</v>
      </c>
      <c r="L530">
        <v>163451</v>
      </c>
      <c r="M530">
        <v>166814</v>
      </c>
      <c r="N530">
        <v>168593</v>
      </c>
      <c r="O530">
        <v>171461</v>
      </c>
      <c r="P530">
        <v>173226</v>
      </c>
      <c r="Q530">
        <v>175252</v>
      </c>
      <c r="R530">
        <v>177121</v>
      </c>
      <c r="X530">
        <v>1274</v>
      </c>
      <c r="Y530">
        <v>2811</v>
      </c>
      <c r="Z530">
        <v>3160</v>
      </c>
      <c r="AA530">
        <v>3363</v>
      </c>
      <c r="AB530">
        <v>1779</v>
      </c>
      <c r="AC530">
        <v>2868</v>
      </c>
      <c r="AD530">
        <v>1765</v>
      </c>
      <c r="AE530">
        <v>2026</v>
      </c>
      <c r="AF530">
        <v>1869</v>
      </c>
      <c r="AG530" s="2" t="s">
        <v>734</v>
      </c>
      <c r="AH530" s="2" t="s">
        <v>734</v>
      </c>
      <c r="AI530" s="2" t="s">
        <v>734</v>
      </c>
    </row>
    <row r="531" spans="2:35" x14ac:dyDescent="0.25">
      <c r="B531" t="s">
        <v>122</v>
      </c>
      <c r="C531" t="s">
        <v>121</v>
      </c>
      <c r="D531">
        <v>39150</v>
      </c>
      <c r="E531" t="s">
        <v>123</v>
      </c>
      <c r="F531" t="s">
        <v>995</v>
      </c>
      <c r="G531"/>
      <c r="H531"/>
      <c r="I531">
        <v>814149</v>
      </c>
      <c r="J531">
        <v>818070</v>
      </c>
      <c r="K531">
        <v>826495</v>
      </c>
      <c r="L531">
        <v>834048</v>
      </c>
      <c r="M531">
        <v>840133</v>
      </c>
      <c r="N531">
        <v>846127</v>
      </c>
      <c r="O531">
        <v>853209</v>
      </c>
      <c r="P531">
        <v>863569</v>
      </c>
      <c r="Q531">
        <v>875107</v>
      </c>
      <c r="R531">
        <v>886081</v>
      </c>
      <c r="X531">
        <v>3921</v>
      </c>
      <c r="Y531">
        <v>8425</v>
      </c>
      <c r="Z531">
        <v>7553</v>
      </c>
      <c r="AA531">
        <v>6085</v>
      </c>
      <c r="AB531">
        <v>5994</v>
      </c>
      <c r="AC531">
        <v>7082</v>
      </c>
      <c r="AD531">
        <v>10360</v>
      </c>
      <c r="AE531">
        <v>11538</v>
      </c>
      <c r="AF531">
        <v>10974</v>
      </c>
      <c r="AG531" s="2" t="s">
        <v>734</v>
      </c>
      <c r="AH531" s="2" t="s">
        <v>734</v>
      </c>
      <c r="AI531" s="2" t="s">
        <v>734</v>
      </c>
    </row>
    <row r="532" spans="2:35" x14ac:dyDescent="0.25">
      <c r="B532" t="s">
        <v>125</v>
      </c>
      <c r="C532" t="s">
        <v>121</v>
      </c>
      <c r="D532">
        <v>150</v>
      </c>
      <c r="E532" t="s">
        <v>21</v>
      </c>
      <c r="F532" t="s">
        <v>994</v>
      </c>
      <c r="G532" t="s">
        <v>126</v>
      </c>
      <c r="H532"/>
      <c r="I532">
        <v>335536</v>
      </c>
      <c r="J532">
        <v>337338</v>
      </c>
      <c r="K532">
        <v>341306</v>
      </c>
      <c r="L532">
        <v>344582</v>
      </c>
      <c r="M532">
        <v>347130</v>
      </c>
      <c r="N532">
        <v>349843</v>
      </c>
      <c r="O532">
        <v>353731</v>
      </c>
      <c r="P532">
        <v>359367</v>
      </c>
      <c r="Q532">
        <v>365163</v>
      </c>
      <c r="R532">
        <v>371195</v>
      </c>
      <c r="X532">
        <v>1802</v>
      </c>
      <c r="Y532">
        <v>3968</v>
      </c>
      <c r="Z532">
        <v>3276</v>
      </c>
      <c r="AA532">
        <v>2548</v>
      </c>
      <c r="AB532">
        <v>2713</v>
      </c>
      <c r="AC532">
        <v>3888</v>
      </c>
      <c r="AD532">
        <v>5636</v>
      </c>
      <c r="AE532">
        <v>5796</v>
      </c>
      <c r="AF532">
        <v>6032</v>
      </c>
      <c r="AG532" s="2" t="s">
        <v>734</v>
      </c>
      <c r="AH532" s="2" t="s">
        <v>734</v>
      </c>
      <c r="AI532" s="2" t="s">
        <v>734</v>
      </c>
    </row>
    <row r="533" spans="2:35" x14ac:dyDescent="0.25">
      <c r="B533" t="s">
        <v>129</v>
      </c>
      <c r="C533" t="s">
        <v>121</v>
      </c>
      <c r="D533">
        <v>122</v>
      </c>
      <c r="E533" t="s">
        <v>130</v>
      </c>
      <c r="F533" t="s">
        <v>38</v>
      </c>
      <c r="G533" t="s">
        <v>130</v>
      </c>
      <c r="H533"/>
      <c r="I533">
        <v>539875</v>
      </c>
      <c r="J533">
        <v>540882</v>
      </c>
      <c r="K533">
        <v>543996</v>
      </c>
      <c r="L533">
        <v>546837</v>
      </c>
      <c r="M533">
        <v>549224</v>
      </c>
      <c r="N533">
        <v>553391</v>
      </c>
      <c r="O533">
        <v>561675</v>
      </c>
      <c r="P533">
        <v>580889</v>
      </c>
      <c r="Q533">
        <v>604838</v>
      </c>
      <c r="R533">
        <v>608826</v>
      </c>
      <c r="X533">
        <v>1007</v>
      </c>
      <c r="Y533">
        <v>3114</v>
      </c>
      <c r="Z533">
        <v>2841</v>
      </c>
      <c r="AA533">
        <v>2387</v>
      </c>
      <c r="AB533">
        <v>4167</v>
      </c>
      <c r="AC533">
        <v>8284</v>
      </c>
      <c r="AD533">
        <v>19214</v>
      </c>
      <c r="AE533">
        <v>23949</v>
      </c>
      <c r="AF533">
        <v>3988</v>
      </c>
      <c r="AG533" s="2" t="s">
        <v>734</v>
      </c>
      <c r="AH533" s="2" t="s">
        <v>734</v>
      </c>
      <c r="AI533" s="2" t="s">
        <v>734</v>
      </c>
    </row>
    <row r="534" spans="2:35" x14ac:dyDescent="0.25">
      <c r="B534" t="s">
        <v>752</v>
      </c>
      <c r="C534" t="s">
        <v>121</v>
      </c>
      <c r="D534">
        <v>1</v>
      </c>
      <c r="E534" t="s">
        <v>753</v>
      </c>
      <c r="F534" t="s">
        <v>63</v>
      </c>
      <c r="G534"/>
      <c r="H534"/>
      <c r="I534">
        <v>1597838</v>
      </c>
      <c r="J534">
        <v>1607194</v>
      </c>
      <c r="K534">
        <v>1628464</v>
      </c>
      <c r="L534">
        <v>1647828</v>
      </c>
      <c r="M534">
        <v>1665167</v>
      </c>
      <c r="N534">
        <v>1683017</v>
      </c>
      <c r="O534">
        <v>1707642</v>
      </c>
      <c r="P534">
        <v>1747831</v>
      </c>
      <c r="Q534">
        <v>1794474</v>
      </c>
      <c r="R534">
        <v>1821253</v>
      </c>
      <c r="X534">
        <v>9356</v>
      </c>
      <c r="Y534">
        <v>21270</v>
      </c>
      <c r="Z534">
        <v>19364</v>
      </c>
      <c r="AA534">
        <v>17339</v>
      </c>
      <c r="AB534">
        <v>17850</v>
      </c>
      <c r="AC534">
        <v>24625</v>
      </c>
      <c r="AD534">
        <v>40189</v>
      </c>
      <c r="AE534">
        <v>46643</v>
      </c>
      <c r="AF534">
        <v>26779</v>
      </c>
      <c r="AG534" s="2" t="s">
        <v>734</v>
      </c>
      <c r="AH534" s="2" t="s">
        <v>734</v>
      </c>
      <c r="AI534" s="2" t="s">
        <v>734</v>
      </c>
    </row>
    <row r="535" spans="2:35" x14ac:dyDescent="0.25">
      <c r="B535" t="s">
        <v>1329</v>
      </c>
      <c r="C535" t="s">
        <v>136</v>
      </c>
      <c r="D535">
        <v>39525</v>
      </c>
      <c r="E535" t="s">
        <v>744</v>
      </c>
      <c r="F535"/>
      <c r="G535" t="s">
        <v>745</v>
      </c>
      <c r="H535" t="s">
        <v>750</v>
      </c>
      <c r="I535">
        <v>68271</v>
      </c>
      <c r="J535">
        <v>72937</v>
      </c>
      <c r="K535">
        <v>81187</v>
      </c>
      <c r="L535">
        <v>88780</v>
      </c>
      <c r="M535">
        <v>94971</v>
      </c>
      <c r="N535">
        <v>99149</v>
      </c>
      <c r="O535">
        <v>104084</v>
      </c>
      <c r="P535">
        <v>112985</v>
      </c>
      <c r="Q535">
        <v>123358</v>
      </c>
      <c r="R535">
        <v>133075</v>
      </c>
      <c r="X535">
        <v>4666</v>
      </c>
      <c r="Y535">
        <v>8250</v>
      </c>
      <c r="Z535">
        <v>7593</v>
      </c>
      <c r="AA535">
        <v>6191</v>
      </c>
      <c r="AB535">
        <v>4178</v>
      </c>
      <c r="AC535">
        <v>4935</v>
      </c>
      <c r="AD535">
        <v>8901</v>
      </c>
      <c r="AE535">
        <v>10373</v>
      </c>
      <c r="AF535">
        <v>9717</v>
      </c>
      <c r="AG535" s="2" t="s">
        <v>734</v>
      </c>
      <c r="AH535" s="2" t="s">
        <v>734</v>
      </c>
      <c r="AI535" s="2" t="s">
        <v>734</v>
      </c>
    </row>
    <row r="536" spans="2:35" x14ac:dyDescent="0.25">
      <c r="B536" t="s">
        <v>1237</v>
      </c>
      <c r="C536" t="s">
        <v>136</v>
      </c>
      <c r="D536">
        <v>132</v>
      </c>
      <c r="E536" t="s">
        <v>880</v>
      </c>
      <c r="F536" t="s">
        <v>728</v>
      </c>
      <c r="G536" t="s">
        <v>729</v>
      </c>
      <c r="H536" t="s">
        <v>730</v>
      </c>
      <c r="I536">
        <v>275725</v>
      </c>
      <c r="J536">
        <v>300100</v>
      </c>
      <c r="K536">
        <v>325907</v>
      </c>
      <c r="L536">
        <v>353775</v>
      </c>
      <c r="M536">
        <v>380699</v>
      </c>
      <c r="N536">
        <v>403563</v>
      </c>
      <c r="O536">
        <v>426158</v>
      </c>
      <c r="P536">
        <v>446339</v>
      </c>
      <c r="Q536">
        <v>470158</v>
      </c>
      <c r="R536">
        <v>498946</v>
      </c>
      <c r="X536">
        <v>24375</v>
      </c>
      <c r="Y536">
        <v>25807</v>
      </c>
      <c r="Z536">
        <v>27868</v>
      </c>
      <c r="AA536">
        <v>26924</v>
      </c>
      <c r="AB536">
        <v>22864</v>
      </c>
      <c r="AC536">
        <v>22595</v>
      </c>
      <c r="AD536">
        <v>20181</v>
      </c>
      <c r="AE536">
        <v>23819</v>
      </c>
      <c r="AF536">
        <v>28788</v>
      </c>
      <c r="AG536" s="2" t="s">
        <v>734</v>
      </c>
      <c r="AH536" s="2" t="s">
        <v>734</v>
      </c>
      <c r="AI536" s="2" t="s">
        <v>734</v>
      </c>
    </row>
    <row r="537" spans="2:35" x14ac:dyDescent="0.25">
      <c r="B537" t="s">
        <v>142</v>
      </c>
      <c r="C537" t="s">
        <v>136</v>
      </c>
      <c r="D537">
        <v>150</v>
      </c>
      <c r="E537" t="s">
        <v>21</v>
      </c>
      <c r="F537" t="s">
        <v>725</v>
      </c>
      <c r="G537" t="s">
        <v>726</v>
      </c>
      <c r="H537"/>
      <c r="I537">
        <v>7946</v>
      </c>
      <c r="J537"/>
      <c r="K537">
        <v>8381</v>
      </c>
      <c r="L537">
        <v>8646</v>
      </c>
      <c r="M537">
        <v>8942</v>
      </c>
      <c r="N537">
        <v>9207</v>
      </c>
      <c r="O537">
        <v>9483</v>
      </c>
      <c r="P537">
        <v>9772</v>
      </c>
      <c r="Q537">
        <v>10045</v>
      </c>
      <c r="R537">
        <v>10338</v>
      </c>
      <c r="X537" t="s">
        <v>734</v>
      </c>
      <c r="Y537" t="s">
        <v>734</v>
      </c>
      <c r="Z537">
        <v>265</v>
      </c>
      <c r="AA537">
        <v>296</v>
      </c>
      <c r="AB537">
        <v>265</v>
      </c>
      <c r="AC537">
        <v>276</v>
      </c>
      <c r="AD537">
        <v>289</v>
      </c>
      <c r="AE537">
        <v>273</v>
      </c>
      <c r="AF537">
        <v>293</v>
      </c>
      <c r="AG537" s="2" t="s">
        <v>734</v>
      </c>
      <c r="AH537" s="2" t="s">
        <v>734</v>
      </c>
      <c r="AI537" s="2" t="s">
        <v>734</v>
      </c>
    </row>
    <row r="538" spans="2:35" x14ac:dyDescent="0.25">
      <c r="B538" t="s">
        <v>141</v>
      </c>
      <c r="C538" t="s">
        <v>136</v>
      </c>
      <c r="D538">
        <v>39577</v>
      </c>
      <c r="E538" t="s">
        <v>1182</v>
      </c>
      <c r="F538" t="s">
        <v>725</v>
      </c>
      <c r="G538" t="s">
        <v>726</v>
      </c>
      <c r="H538" t="s">
        <v>1183</v>
      </c>
      <c r="I538">
        <v>3523</v>
      </c>
      <c r="J538"/>
      <c r="K538">
        <v>4562</v>
      </c>
      <c r="L538">
        <v>5451</v>
      </c>
      <c r="M538">
        <v>6519</v>
      </c>
      <c r="N538">
        <v>7509</v>
      </c>
      <c r="O538">
        <v>8750</v>
      </c>
      <c r="P538">
        <v>10623</v>
      </c>
      <c r="Q538">
        <v>12343</v>
      </c>
      <c r="R538">
        <v>14222</v>
      </c>
      <c r="X538" t="s">
        <v>734</v>
      </c>
      <c r="Y538" t="s">
        <v>734</v>
      </c>
      <c r="Z538">
        <v>889</v>
      </c>
      <c r="AA538">
        <v>1068</v>
      </c>
      <c r="AB538">
        <v>990</v>
      </c>
      <c r="AC538">
        <v>1241</v>
      </c>
      <c r="AD538">
        <v>1873</v>
      </c>
      <c r="AE538">
        <v>1720</v>
      </c>
      <c r="AF538">
        <v>1879</v>
      </c>
      <c r="AG538" s="2" t="s">
        <v>734</v>
      </c>
      <c r="AH538" s="2" t="s">
        <v>734</v>
      </c>
      <c r="AI538" s="2" t="s">
        <v>734</v>
      </c>
    </row>
    <row r="539" spans="2:35" x14ac:dyDescent="0.25">
      <c r="B539" t="s">
        <v>139</v>
      </c>
      <c r="C539" t="s">
        <v>136</v>
      </c>
      <c r="D539">
        <v>39185</v>
      </c>
      <c r="E539" t="s">
        <v>440</v>
      </c>
      <c r="F539" t="s">
        <v>124</v>
      </c>
      <c r="G539" t="s">
        <v>441</v>
      </c>
      <c r="H539" t="s">
        <v>442</v>
      </c>
      <c r="I539">
        <v>60991</v>
      </c>
      <c r="J539">
        <v>63204</v>
      </c>
      <c r="K539">
        <v>67475</v>
      </c>
      <c r="L539">
        <v>71825</v>
      </c>
      <c r="M539">
        <v>75250</v>
      </c>
      <c r="N539">
        <v>77749</v>
      </c>
      <c r="O539">
        <v>80364</v>
      </c>
      <c r="P539">
        <v>86003</v>
      </c>
      <c r="Q539">
        <v>92737</v>
      </c>
      <c r="R539">
        <v>98837</v>
      </c>
      <c r="X539">
        <v>2213</v>
      </c>
      <c r="Y539">
        <v>4271</v>
      </c>
      <c r="Z539">
        <v>4350</v>
      </c>
      <c r="AA539">
        <v>3425</v>
      </c>
      <c r="AB539">
        <v>2499</v>
      </c>
      <c r="AC539">
        <v>2615</v>
      </c>
      <c r="AD539">
        <v>5639</v>
      </c>
      <c r="AE539">
        <v>6734</v>
      </c>
      <c r="AF539">
        <v>6100</v>
      </c>
      <c r="AG539" s="2" t="s">
        <v>734</v>
      </c>
      <c r="AH539" s="2" t="s">
        <v>734</v>
      </c>
      <c r="AI539" s="2" t="s">
        <v>734</v>
      </c>
    </row>
    <row r="540" spans="2:35" x14ac:dyDescent="0.25">
      <c r="B540" t="s">
        <v>137</v>
      </c>
      <c r="C540" t="s">
        <v>136</v>
      </c>
      <c r="D540">
        <v>30000</v>
      </c>
      <c r="E540" t="s">
        <v>138</v>
      </c>
      <c r="F540" t="s">
        <v>731</v>
      </c>
      <c r="G540"/>
      <c r="H540" t="s">
        <v>732</v>
      </c>
      <c r="I540"/>
      <c r="J540"/>
      <c r="K540"/>
      <c r="L540"/>
      <c r="M540"/>
      <c r="N540"/>
      <c r="O540"/>
      <c r="P540"/>
      <c r="Q540"/>
      <c r="R540"/>
      <c r="X540" t="s">
        <v>734</v>
      </c>
      <c r="Y540" t="s">
        <v>734</v>
      </c>
      <c r="Z540" t="s">
        <v>734</v>
      </c>
      <c r="AA540" t="s">
        <v>734</v>
      </c>
      <c r="AB540" t="s">
        <v>734</v>
      </c>
      <c r="AC540" t="s">
        <v>734</v>
      </c>
      <c r="AD540" t="s">
        <v>734</v>
      </c>
      <c r="AE540" t="s">
        <v>734</v>
      </c>
      <c r="AF540" t="s">
        <v>734</v>
      </c>
      <c r="AG540" s="2" t="s">
        <v>734</v>
      </c>
      <c r="AH540" s="2" t="s">
        <v>734</v>
      </c>
      <c r="AI540" s="2" t="s">
        <v>734</v>
      </c>
    </row>
    <row r="541" spans="2:35" x14ac:dyDescent="0.25">
      <c r="B541" t="s">
        <v>754</v>
      </c>
      <c r="C541" t="s">
        <v>136</v>
      </c>
      <c r="D541">
        <v>1</v>
      </c>
      <c r="E541" t="s">
        <v>901</v>
      </c>
      <c r="F541" t="s">
        <v>63</v>
      </c>
      <c r="G541"/>
      <c r="H541"/>
      <c r="I541">
        <v>1871062</v>
      </c>
      <c r="J541"/>
      <c r="K541">
        <v>1948889</v>
      </c>
      <c r="L541">
        <v>1992992</v>
      </c>
      <c r="M541">
        <v>2034378</v>
      </c>
      <c r="N541">
        <v>2070000</v>
      </c>
      <c r="O541">
        <v>2103852</v>
      </c>
      <c r="P541">
        <v>2144259</v>
      </c>
      <c r="Q541">
        <v>2190863</v>
      </c>
      <c r="R541">
        <v>2241259</v>
      </c>
      <c r="X541" t="s">
        <v>734</v>
      </c>
      <c r="Y541" t="s">
        <v>734</v>
      </c>
      <c r="Z541">
        <v>44103</v>
      </c>
      <c r="AA541">
        <v>41386</v>
      </c>
      <c r="AB541">
        <v>35622</v>
      </c>
      <c r="AC541">
        <v>33852</v>
      </c>
      <c r="AD541">
        <v>40407</v>
      </c>
      <c r="AE541">
        <v>46604</v>
      </c>
      <c r="AF541">
        <v>50396</v>
      </c>
      <c r="AG541" s="2" t="s">
        <v>734</v>
      </c>
      <c r="AH541" s="2" t="s">
        <v>734</v>
      </c>
      <c r="AI541" s="2" t="s">
        <v>734</v>
      </c>
    </row>
    <row r="542" spans="2:35" x14ac:dyDescent="0.25">
      <c r="B542" t="s">
        <v>693</v>
      </c>
      <c r="C542" t="s">
        <v>136</v>
      </c>
      <c r="D542">
        <v>39574</v>
      </c>
      <c r="E542" t="s">
        <v>440</v>
      </c>
      <c r="F542" t="s">
        <v>727</v>
      </c>
      <c r="G542"/>
      <c r="H542"/>
      <c r="I542">
        <v>1877</v>
      </c>
      <c r="J542">
        <v>1877</v>
      </c>
      <c r="K542">
        <v>1877</v>
      </c>
      <c r="L542">
        <v>1877</v>
      </c>
      <c r="M542">
        <v>1877</v>
      </c>
      <c r="N542">
        <v>1877</v>
      </c>
      <c r="O542">
        <v>1877</v>
      </c>
      <c r="P542">
        <v>1877</v>
      </c>
      <c r="Q542">
        <v>1877</v>
      </c>
      <c r="R542">
        <v>1877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0</v>
      </c>
      <c r="AE542">
        <v>0</v>
      </c>
      <c r="AF542">
        <v>0</v>
      </c>
      <c r="AG542" s="2" t="s">
        <v>734</v>
      </c>
      <c r="AH542" s="2" t="s">
        <v>734</v>
      </c>
      <c r="AI542" s="2" t="s">
        <v>734</v>
      </c>
    </row>
    <row r="543" spans="2:35" x14ac:dyDescent="0.25">
      <c r="B543" t="s">
        <v>695</v>
      </c>
      <c r="C543" t="s">
        <v>136</v>
      </c>
      <c r="D543">
        <v>39290</v>
      </c>
      <c r="E543" t="s">
        <v>440</v>
      </c>
      <c r="F543" t="s">
        <v>727</v>
      </c>
      <c r="G543"/>
      <c r="H543" t="s">
        <v>694</v>
      </c>
      <c r="I543">
        <v>9534</v>
      </c>
      <c r="J543">
        <v>9538</v>
      </c>
      <c r="K543">
        <v>9545</v>
      </c>
      <c r="L543">
        <v>9552</v>
      </c>
      <c r="M543">
        <v>9560</v>
      </c>
      <c r="N543">
        <v>9567</v>
      </c>
      <c r="O543">
        <v>9574</v>
      </c>
      <c r="P543">
        <v>9581</v>
      </c>
      <c r="Q543">
        <v>9588</v>
      </c>
      <c r="R543">
        <v>9595</v>
      </c>
      <c r="X543">
        <v>4</v>
      </c>
      <c r="Y543">
        <v>7</v>
      </c>
      <c r="Z543">
        <v>7</v>
      </c>
      <c r="AA543">
        <v>8</v>
      </c>
      <c r="AB543">
        <v>7</v>
      </c>
      <c r="AC543">
        <v>7</v>
      </c>
      <c r="AD543">
        <v>7</v>
      </c>
      <c r="AE543">
        <v>7</v>
      </c>
      <c r="AF543">
        <v>7</v>
      </c>
      <c r="AG543" s="2" t="s">
        <v>734</v>
      </c>
      <c r="AH543" s="2" t="s">
        <v>734</v>
      </c>
      <c r="AI543" s="2" t="s">
        <v>734</v>
      </c>
    </row>
    <row r="544" spans="2:35" x14ac:dyDescent="0.25">
      <c r="B544" t="s">
        <v>1262</v>
      </c>
      <c r="C544" t="s">
        <v>143</v>
      </c>
      <c r="D544">
        <v>39011</v>
      </c>
      <c r="E544" t="s">
        <v>443</v>
      </c>
      <c r="F544" t="s">
        <v>38</v>
      </c>
      <c r="G544" t="s">
        <v>444</v>
      </c>
      <c r="H544" t="s">
        <v>445</v>
      </c>
      <c r="I544">
        <v>4281</v>
      </c>
      <c r="J544">
        <v>4281</v>
      </c>
      <c r="K544">
        <v>4281</v>
      </c>
      <c r="L544">
        <v>4393</v>
      </c>
      <c r="M544">
        <v>4801</v>
      </c>
      <c r="N544">
        <v>4987</v>
      </c>
      <c r="O544">
        <v>5125</v>
      </c>
      <c r="P544">
        <v>5366</v>
      </c>
      <c r="Q544">
        <v>5592</v>
      </c>
      <c r="R544">
        <v>5830</v>
      </c>
      <c r="X544">
        <v>0</v>
      </c>
      <c r="Y544">
        <v>0</v>
      </c>
      <c r="Z544">
        <v>112</v>
      </c>
      <c r="AA544">
        <v>408</v>
      </c>
      <c r="AB544">
        <v>186</v>
      </c>
      <c r="AC544">
        <v>138</v>
      </c>
      <c r="AD544">
        <v>241</v>
      </c>
      <c r="AE544">
        <v>226</v>
      </c>
      <c r="AF544">
        <v>238</v>
      </c>
      <c r="AG544" s="2" t="s">
        <v>734</v>
      </c>
      <c r="AH544" s="2" t="s">
        <v>734</v>
      </c>
      <c r="AI544" s="2" t="s">
        <v>734</v>
      </c>
    </row>
    <row r="545" spans="2:35" x14ac:dyDescent="0.25">
      <c r="B545" t="s">
        <v>1339</v>
      </c>
      <c r="C545" t="s">
        <v>143</v>
      </c>
      <c r="D545">
        <v>39645</v>
      </c>
      <c r="E545" t="s">
        <v>1351</v>
      </c>
      <c r="F545"/>
      <c r="G545" t="s">
        <v>1341</v>
      </c>
      <c r="H545"/>
      <c r="I545"/>
      <c r="J545"/>
      <c r="K545"/>
      <c r="L545"/>
      <c r="M545"/>
      <c r="N545">
        <v>23</v>
      </c>
      <c r="O545">
        <v>10359</v>
      </c>
      <c r="P545">
        <v>18012</v>
      </c>
      <c r="Q545">
        <v>30305</v>
      </c>
      <c r="R545">
        <v>43715</v>
      </c>
      <c r="X545" t="s">
        <v>734</v>
      </c>
      <c r="Y545" t="s">
        <v>734</v>
      </c>
      <c r="Z545" t="s">
        <v>734</v>
      </c>
      <c r="AA545" t="s">
        <v>734</v>
      </c>
      <c r="AB545" t="s">
        <v>734</v>
      </c>
      <c r="AC545">
        <v>10336</v>
      </c>
      <c r="AD545">
        <v>7653</v>
      </c>
      <c r="AE545">
        <v>12293</v>
      </c>
      <c r="AF545">
        <v>13410</v>
      </c>
      <c r="AG545" s="2" t="s">
        <v>734</v>
      </c>
      <c r="AH545" s="2" t="s">
        <v>734</v>
      </c>
      <c r="AI545" s="2" t="s">
        <v>734</v>
      </c>
    </row>
    <row r="546" spans="2:35" x14ac:dyDescent="0.25">
      <c r="B546" t="s">
        <v>1342</v>
      </c>
      <c r="C546" t="s">
        <v>143</v>
      </c>
      <c r="D546">
        <v>132</v>
      </c>
      <c r="F546"/>
      <c r="G546"/>
      <c r="H546"/>
      <c r="I546"/>
      <c r="J546"/>
      <c r="K546"/>
      <c r="L546"/>
      <c r="M546"/>
      <c r="N546">
        <v>23</v>
      </c>
      <c r="O546">
        <v>1470</v>
      </c>
      <c r="P546">
        <v>2755</v>
      </c>
      <c r="Q546">
        <v>4799</v>
      </c>
      <c r="R546">
        <v>6998</v>
      </c>
      <c r="X546" t="s">
        <v>734</v>
      </c>
      <c r="Y546" t="s">
        <v>734</v>
      </c>
      <c r="Z546" t="s">
        <v>734</v>
      </c>
      <c r="AA546" t="s">
        <v>734</v>
      </c>
      <c r="AB546" t="s">
        <v>734</v>
      </c>
      <c r="AC546">
        <v>1447</v>
      </c>
      <c r="AD546">
        <v>1285</v>
      </c>
      <c r="AE546">
        <v>2044</v>
      </c>
      <c r="AF546">
        <v>2199</v>
      </c>
      <c r="AG546" s="2" t="s">
        <v>734</v>
      </c>
      <c r="AH546" s="2" t="s">
        <v>734</v>
      </c>
      <c r="AI546" s="2" t="s">
        <v>734</v>
      </c>
    </row>
    <row r="547" spans="2:35" x14ac:dyDescent="0.25">
      <c r="B547" t="s">
        <v>145</v>
      </c>
      <c r="C547" t="s">
        <v>143</v>
      </c>
      <c r="D547">
        <v>0</v>
      </c>
      <c r="E547" t="s">
        <v>146</v>
      </c>
      <c r="F547" t="s">
        <v>38</v>
      </c>
      <c r="G547" t="s">
        <v>147</v>
      </c>
      <c r="H547" t="s">
        <v>1184</v>
      </c>
      <c r="I547">
        <v>274162</v>
      </c>
      <c r="J547">
        <v>276831</v>
      </c>
      <c r="K547">
        <v>280625</v>
      </c>
      <c r="L547">
        <v>280625</v>
      </c>
      <c r="M547">
        <v>286625</v>
      </c>
      <c r="N547"/>
      <c r="O547"/>
      <c r="P547"/>
      <c r="Q547"/>
      <c r="R547"/>
      <c r="X547">
        <v>2669</v>
      </c>
      <c r="Y547">
        <v>3794</v>
      </c>
      <c r="Z547">
        <v>0</v>
      </c>
      <c r="AA547">
        <v>6000</v>
      </c>
      <c r="AB547" t="s">
        <v>734</v>
      </c>
      <c r="AC547" t="s">
        <v>734</v>
      </c>
      <c r="AD547" t="s">
        <v>734</v>
      </c>
      <c r="AE547" t="s">
        <v>734</v>
      </c>
      <c r="AF547" t="s">
        <v>734</v>
      </c>
      <c r="AG547" s="2" t="s">
        <v>734</v>
      </c>
      <c r="AH547" s="2" t="s">
        <v>734</v>
      </c>
      <c r="AI547" s="2" t="s">
        <v>734</v>
      </c>
    </row>
    <row r="548" spans="2:35" x14ac:dyDescent="0.25">
      <c r="B548" t="s">
        <v>1253</v>
      </c>
      <c r="C548" t="s">
        <v>143</v>
      </c>
      <c r="D548">
        <v>141</v>
      </c>
      <c r="E548" t="s">
        <v>803</v>
      </c>
      <c r="F548" t="s">
        <v>804</v>
      </c>
      <c r="G548"/>
      <c r="H548"/>
      <c r="I548">
        <v>9974</v>
      </c>
      <c r="J548">
        <v>10015</v>
      </c>
      <c r="K548">
        <v>10056</v>
      </c>
      <c r="L548">
        <v>10091</v>
      </c>
      <c r="M548">
        <v>10119</v>
      </c>
      <c r="N548">
        <v>10150</v>
      </c>
      <c r="O548">
        <v>10180</v>
      </c>
      <c r="P548">
        <v>10205</v>
      </c>
      <c r="Q548">
        <v>10247</v>
      </c>
      <c r="R548">
        <v>10300</v>
      </c>
      <c r="X548">
        <v>41</v>
      </c>
      <c r="Y548">
        <v>41</v>
      </c>
      <c r="Z548">
        <v>35</v>
      </c>
      <c r="AA548">
        <v>28</v>
      </c>
      <c r="AB548">
        <v>31</v>
      </c>
      <c r="AC548">
        <v>30</v>
      </c>
      <c r="AD548">
        <v>25</v>
      </c>
      <c r="AE548">
        <v>42</v>
      </c>
      <c r="AF548">
        <v>53</v>
      </c>
      <c r="AG548" s="2" t="s">
        <v>734</v>
      </c>
      <c r="AH548" s="2" t="s">
        <v>734</v>
      </c>
      <c r="AI548" s="2" t="s">
        <v>734</v>
      </c>
    </row>
    <row r="549" spans="2:35" x14ac:dyDescent="0.25">
      <c r="B549" t="s">
        <v>1343</v>
      </c>
      <c r="C549" t="s">
        <v>148</v>
      </c>
      <c r="D549">
        <v>132</v>
      </c>
      <c r="E549" t="s">
        <v>1375</v>
      </c>
      <c r="F549" t="s">
        <v>1376</v>
      </c>
      <c r="G549"/>
      <c r="H549"/>
      <c r="I549"/>
      <c r="J549"/>
      <c r="K549"/>
      <c r="L549"/>
      <c r="M549"/>
      <c r="N549">
        <v>23</v>
      </c>
      <c r="O549">
        <v>50</v>
      </c>
      <c r="P549">
        <v>68</v>
      </c>
      <c r="Q549">
        <v>4150</v>
      </c>
      <c r="R549">
        <v>5971</v>
      </c>
      <c r="X549" t="s">
        <v>734</v>
      </c>
      <c r="Y549" t="s">
        <v>734</v>
      </c>
      <c r="Z549" t="s">
        <v>734</v>
      </c>
      <c r="AA549" t="s">
        <v>734</v>
      </c>
      <c r="AB549" t="s">
        <v>734</v>
      </c>
      <c r="AC549">
        <v>27</v>
      </c>
      <c r="AD549">
        <v>18</v>
      </c>
      <c r="AE549">
        <v>4082</v>
      </c>
      <c r="AF549">
        <v>1821</v>
      </c>
      <c r="AG549" s="2" t="s">
        <v>734</v>
      </c>
      <c r="AH549" s="2" t="s">
        <v>734</v>
      </c>
      <c r="AI549" s="2" t="s">
        <v>734</v>
      </c>
    </row>
    <row r="550" spans="2:35" x14ac:dyDescent="0.25">
      <c r="B550" t="s">
        <v>1340</v>
      </c>
      <c r="C550" t="s">
        <v>148</v>
      </c>
      <c r="D550">
        <v>39666</v>
      </c>
      <c r="E550" t="s">
        <v>1351</v>
      </c>
      <c r="F550"/>
      <c r="G550" t="s">
        <v>1341</v>
      </c>
      <c r="H550"/>
      <c r="I550"/>
      <c r="J550"/>
      <c r="K550"/>
      <c r="L550"/>
      <c r="M550"/>
      <c r="N550">
        <v>23</v>
      </c>
      <c r="O550">
        <v>9549</v>
      </c>
      <c r="P550">
        <v>17727</v>
      </c>
      <c r="Q550">
        <v>30914</v>
      </c>
      <c r="R550">
        <v>44080</v>
      </c>
      <c r="X550" t="s">
        <v>734</v>
      </c>
      <c r="Y550" t="s">
        <v>734</v>
      </c>
      <c r="Z550" t="s">
        <v>734</v>
      </c>
      <c r="AA550" t="s">
        <v>734</v>
      </c>
      <c r="AB550" t="s">
        <v>734</v>
      </c>
      <c r="AC550">
        <v>9526</v>
      </c>
      <c r="AD550">
        <v>8178</v>
      </c>
      <c r="AE550">
        <v>13187</v>
      </c>
      <c r="AF550">
        <v>13166</v>
      </c>
      <c r="AG550" s="2" t="s">
        <v>734</v>
      </c>
      <c r="AH550" s="2" t="s">
        <v>734</v>
      </c>
      <c r="AI550" s="2" t="s">
        <v>734</v>
      </c>
    </row>
    <row r="551" spans="2:35" x14ac:dyDescent="0.25">
      <c r="B551" t="s">
        <v>150</v>
      </c>
      <c r="C551" t="s">
        <v>148</v>
      </c>
      <c r="D551">
        <v>39041</v>
      </c>
      <c r="E551" t="s">
        <v>146</v>
      </c>
      <c r="F551" t="s">
        <v>38</v>
      </c>
      <c r="G551" t="s">
        <v>151</v>
      </c>
      <c r="H551" t="s">
        <v>1355</v>
      </c>
      <c r="I551">
        <v>144964</v>
      </c>
      <c r="J551">
        <v>144970</v>
      </c>
      <c r="K551">
        <v>145003</v>
      </c>
      <c r="L551">
        <v>145014</v>
      </c>
      <c r="M551">
        <v>145020</v>
      </c>
      <c r="N551">
        <v>145024</v>
      </c>
      <c r="O551"/>
      <c r="P551"/>
      <c r="Q551"/>
      <c r="R551"/>
      <c r="X551">
        <v>6</v>
      </c>
      <c r="Y551">
        <v>33</v>
      </c>
      <c r="Z551">
        <v>11</v>
      </c>
      <c r="AA551">
        <v>6</v>
      </c>
      <c r="AB551">
        <v>4</v>
      </c>
      <c r="AC551" t="s">
        <v>734</v>
      </c>
      <c r="AD551" t="s">
        <v>734</v>
      </c>
      <c r="AE551" t="s">
        <v>734</v>
      </c>
      <c r="AF551" t="s">
        <v>734</v>
      </c>
      <c r="AG551" s="2" t="s">
        <v>734</v>
      </c>
      <c r="AH551" s="2" t="s">
        <v>734</v>
      </c>
      <c r="AI551" s="2" t="s">
        <v>734</v>
      </c>
    </row>
    <row r="552" spans="2:35" x14ac:dyDescent="0.25">
      <c r="B552" t="s">
        <v>154</v>
      </c>
      <c r="C552" t="s">
        <v>152</v>
      </c>
      <c r="D552">
        <v>140</v>
      </c>
      <c r="E552" t="s">
        <v>155</v>
      </c>
      <c r="F552" t="s">
        <v>1013</v>
      </c>
      <c r="G552"/>
      <c r="H552"/>
      <c r="I552">
        <v>4895</v>
      </c>
      <c r="J552">
        <v>4993</v>
      </c>
      <c r="K552">
        <v>5173</v>
      </c>
      <c r="L552">
        <v>5332</v>
      </c>
      <c r="M552">
        <v>5506</v>
      </c>
      <c r="N552">
        <v>5692</v>
      </c>
      <c r="O552">
        <v>5827</v>
      </c>
      <c r="P552">
        <v>6128</v>
      </c>
      <c r="Q552">
        <v>6330</v>
      </c>
      <c r="R552">
        <v>6555</v>
      </c>
      <c r="X552">
        <v>98</v>
      </c>
      <c r="Y552">
        <v>180</v>
      </c>
      <c r="Z552">
        <v>159</v>
      </c>
      <c r="AA552">
        <v>174</v>
      </c>
      <c r="AB552">
        <v>186</v>
      </c>
      <c r="AC552">
        <v>135</v>
      </c>
      <c r="AD552">
        <v>301</v>
      </c>
      <c r="AE552">
        <v>202</v>
      </c>
      <c r="AF552">
        <v>225</v>
      </c>
      <c r="AG552" s="2" t="s">
        <v>734</v>
      </c>
      <c r="AH552" s="2" t="s">
        <v>734</v>
      </c>
      <c r="AI552" s="2" t="s">
        <v>734</v>
      </c>
    </row>
    <row r="553" spans="2:35" x14ac:dyDescent="0.25">
      <c r="B553" t="s">
        <v>158</v>
      </c>
      <c r="C553" t="s">
        <v>152</v>
      </c>
      <c r="D553">
        <v>140</v>
      </c>
      <c r="E553" t="s">
        <v>747</v>
      </c>
      <c r="F553" t="s">
        <v>1015</v>
      </c>
      <c r="G553"/>
      <c r="H553"/>
      <c r="I553">
        <v>18625</v>
      </c>
      <c r="J553">
        <v>18905</v>
      </c>
      <c r="K553">
        <v>19356</v>
      </c>
      <c r="L553">
        <v>19759</v>
      </c>
      <c r="M553">
        <v>20256</v>
      </c>
      <c r="N553">
        <v>20854</v>
      </c>
      <c r="O553">
        <v>21629</v>
      </c>
      <c r="P553">
        <v>22013</v>
      </c>
      <c r="Q553">
        <v>22589</v>
      </c>
      <c r="R553">
        <v>22967</v>
      </c>
      <c r="X553">
        <v>280</v>
      </c>
      <c r="Y553">
        <v>451</v>
      </c>
      <c r="Z553">
        <v>403</v>
      </c>
      <c r="AA553">
        <v>497</v>
      </c>
      <c r="AB553">
        <v>598</v>
      </c>
      <c r="AC553">
        <v>775</v>
      </c>
      <c r="AD553">
        <v>384</v>
      </c>
      <c r="AE553">
        <v>576</v>
      </c>
      <c r="AF553">
        <v>378</v>
      </c>
      <c r="AG553" s="2" t="s">
        <v>734</v>
      </c>
      <c r="AH553" s="2" t="s">
        <v>734</v>
      </c>
      <c r="AI553" s="2" t="s">
        <v>734</v>
      </c>
    </row>
    <row r="554" spans="2:35" x14ac:dyDescent="0.25">
      <c r="B554" t="s">
        <v>168</v>
      </c>
      <c r="C554" t="s">
        <v>152</v>
      </c>
      <c r="D554">
        <v>39104</v>
      </c>
      <c r="E554" t="s">
        <v>169</v>
      </c>
      <c r="F554" t="s">
        <v>101</v>
      </c>
      <c r="G554"/>
      <c r="H554" t="s">
        <v>761</v>
      </c>
      <c r="I554"/>
      <c r="J554"/>
      <c r="K554"/>
      <c r="L554"/>
      <c r="M554"/>
      <c r="N554"/>
      <c r="O554"/>
      <c r="P554"/>
      <c r="Q554"/>
      <c r="R554"/>
      <c r="X554" t="s">
        <v>734</v>
      </c>
      <c r="Y554" t="s">
        <v>734</v>
      </c>
      <c r="Z554" t="s">
        <v>734</v>
      </c>
      <c r="AA554" t="s">
        <v>734</v>
      </c>
      <c r="AB554" t="s">
        <v>734</v>
      </c>
      <c r="AC554" t="s">
        <v>734</v>
      </c>
      <c r="AD554" t="s">
        <v>734</v>
      </c>
      <c r="AE554" t="s">
        <v>734</v>
      </c>
      <c r="AF554" t="s">
        <v>734</v>
      </c>
      <c r="AG554" s="2" t="s">
        <v>734</v>
      </c>
      <c r="AH554" s="2" t="s">
        <v>734</v>
      </c>
      <c r="AI554" s="2" t="s">
        <v>734</v>
      </c>
    </row>
    <row r="555" spans="2:35" x14ac:dyDescent="0.25">
      <c r="B555" t="s">
        <v>166</v>
      </c>
      <c r="C555" t="s">
        <v>152</v>
      </c>
      <c r="D555">
        <v>39725</v>
      </c>
      <c r="E555" t="s">
        <v>167</v>
      </c>
      <c r="F555" t="s">
        <v>1043</v>
      </c>
      <c r="G555"/>
      <c r="H555"/>
      <c r="I555">
        <v>304659</v>
      </c>
      <c r="J555">
        <v>310404</v>
      </c>
      <c r="K555">
        <v>320361</v>
      </c>
      <c r="L555">
        <v>329171</v>
      </c>
      <c r="M555">
        <v>338668</v>
      </c>
      <c r="N555">
        <v>349415</v>
      </c>
      <c r="O555">
        <v>362372</v>
      </c>
      <c r="P555">
        <v>376929</v>
      </c>
      <c r="Q555">
        <v>391126</v>
      </c>
      <c r="R555">
        <v>406718</v>
      </c>
      <c r="X555">
        <v>5745</v>
      </c>
      <c r="Y555">
        <v>9957</v>
      </c>
      <c r="Z555">
        <v>8810</v>
      </c>
      <c r="AA555">
        <v>9497</v>
      </c>
      <c r="AB555">
        <v>10747</v>
      </c>
      <c r="AC555">
        <v>12957</v>
      </c>
      <c r="AD555">
        <v>14557</v>
      </c>
      <c r="AE555">
        <v>14197</v>
      </c>
      <c r="AF555">
        <v>15592</v>
      </c>
      <c r="AG555" s="2" t="s">
        <v>734</v>
      </c>
      <c r="AH555" s="2" t="s">
        <v>734</v>
      </c>
      <c r="AI555" s="2" t="s">
        <v>734</v>
      </c>
    </row>
    <row r="556" spans="2:35" x14ac:dyDescent="0.25">
      <c r="B556" t="s">
        <v>171</v>
      </c>
      <c r="C556" t="s">
        <v>152</v>
      </c>
      <c r="D556">
        <v>39007</v>
      </c>
      <c r="E556" t="s">
        <v>172</v>
      </c>
      <c r="F556" t="s">
        <v>101</v>
      </c>
      <c r="G556"/>
      <c r="H556" t="s">
        <v>760</v>
      </c>
      <c r="I556"/>
      <c r="J556"/>
      <c r="K556"/>
      <c r="L556"/>
      <c r="M556"/>
      <c r="N556"/>
      <c r="O556"/>
      <c r="P556"/>
      <c r="Q556"/>
      <c r="R556"/>
      <c r="X556" t="s">
        <v>734</v>
      </c>
      <c r="Y556" t="s">
        <v>734</v>
      </c>
      <c r="Z556" t="s">
        <v>734</v>
      </c>
      <c r="AA556" t="s">
        <v>734</v>
      </c>
      <c r="AB556" t="s">
        <v>734</v>
      </c>
      <c r="AC556" t="s">
        <v>734</v>
      </c>
      <c r="AD556" t="s">
        <v>734</v>
      </c>
      <c r="AE556" t="s">
        <v>734</v>
      </c>
      <c r="AF556" t="s">
        <v>734</v>
      </c>
      <c r="AG556" s="2" t="s">
        <v>734</v>
      </c>
      <c r="AH556" s="2" t="s">
        <v>734</v>
      </c>
      <c r="AI556" s="2" t="s">
        <v>734</v>
      </c>
    </row>
    <row r="557" spans="2:35" x14ac:dyDescent="0.25">
      <c r="B557" t="s">
        <v>156</v>
      </c>
      <c r="C557" t="s">
        <v>152</v>
      </c>
      <c r="D557">
        <v>140</v>
      </c>
      <c r="E557" t="s">
        <v>157</v>
      </c>
      <c r="F557" t="s">
        <v>1014</v>
      </c>
      <c r="G557"/>
      <c r="H557"/>
      <c r="I557">
        <v>2440</v>
      </c>
      <c r="J557">
        <v>2488</v>
      </c>
      <c r="K557">
        <v>2573</v>
      </c>
      <c r="L557">
        <v>2646</v>
      </c>
      <c r="M557">
        <v>2727</v>
      </c>
      <c r="N557">
        <v>2810</v>
      </c>
      <c r="O557">
        <v>2894</v>
      </c>
      <c r="P557">
        <v>2973</v>
      </c>
      <c r="Q557">
        <v>3047</v>
      </c>
      <c r="R557">
        <v>3120</v>
      </c>
      <c r="X557">
        <v>48</v>
      </c>
      <c r="Y557">
        <v>85</v>
      </c>
      <c r="Z557">
        <v>73</v>
      </c>
      <c r="AA557">
        <v>81</v>
      </c>
      <c r="AB557">
        <v>83</v>
      </c>
      <c r="AC557">
        <v>84</v>
      </c>
      <c r="AD557">
        <v>79</v>
      </c>
      <c r="AE557">
        <v>74</v>
      </c>
      <c r="AF557">
        <v>73</v>
      </c>
      <c r="AG557" s="2" t="s">
        <v>734</v>
      </c>
      <c r="AH557" s="2" t="s">
        <v>734</v>
      </c>
      <c r="AI557" s="2" t="s">
        <v>734</v>
      </c>
    </row>
    <row r="558" spans="2:35" x14ac:dyDescent="0.25">
      <c r="B558" t="s">
        <v>1206</v>
      </c>
      <c r="C558" t="s">
        <v>152</v>
      </c>
      <c r="D558">
        <v>39194</v>
      </c>
      <c r="E558" t="s">
        <v>851</v>
      </c>
      <c r="F558" t="s">
        <v>992</v>
      </c>
      <c r="G558" t="s">
        <v>863</v>
      </c>
      <c r="H558"/>
      <c r="I558">
        <v>461</v>
      </c>
      <c r="J558">
        <v>462</v>
      </c>
      <c r="K558">
        <v>465</v>
      </c>
      <c r="L558">
        <v>467</v>
      </c>
      <c r="M558">
        <v>474</v>
      </c>
      <c r="N558">
        <v>478</v>
      </c>
      <c r="O558">
        <v>480</v>
      </c>
      <c r="P558">
        <v>483</v>
      </c>
      <c r="Q558">
        <v>485</v>
      </c>
      <c r="R558">
        <v>488</v>
      </c>
      <c r="X558">
        <v>1</v>
      </c>
      <c r="Y558">
        <v>3</v>
      </c>
      <c r="Z558">
        <v>2</v>
      </c>
      <c r="AA558">
        <v>7</v>
      </c>
      <c r="AB558">
        <v>4</v>
      </c>
      <c r="AC558">
        <v>2</v>
      </c>
      <c r="AD558">
        <v>3</v>
      </c>
      <c r="AE558">
        <v>2</v>
      </c>
      <c r="AF558">
        <v>3</v>
      </c>
      <c r="AG558" s="2" t="s">
        <v>734</v>
      </c>
      <c r="AH558" s="2" t="s">
        <v>734</v>
      </c>
      <c r="AI558" s="2" t="s">
        <v>734</v>
      </c>
    </row>
    <row r="559" spans="2:35" x14ac:dyDescent="0.25">
      <c r="B559" t="s">
        <v>1207</v>
      </c>
      <c r="C559" t="s">
        <v>152</v>
      </c>
      <c r="D559">
        <v>39757</v>
      </c>
      <c r="E559" t="s">
        <v>175</v>
      </c>
      <c r="F559" t="s">
        <v>986</v>
      </c>
      <c r="G559"/>
      <c r="H559"/>
      <c r="I559">
        <v>99597</v>
      </c>
      <c r="J559">
        <v>101440</v>
      </c>
      <c r="K559">
        <v>104642</v>
      </c>
      <c r="L559">
        <v>107472</v>
      </c>
      <c r="M559">
        <v>110742</v>
      </c>
      <c r="N559">
        <v>114219</v>
      </c>
      <c r="O559">
        <v>117920</v>
      </c>
      <c r="P559">
        <v>121682</v>
      </c>
      <c r="Q559">
        <v>125656</v>
      </c>
      <c r="R559">
        <v>129785</v>
      </c>
      <c r="X559">
        <v>1843</v>
      </c>
      <c r="Y559">
        <v>3202</v>
      </c>
      <c r="Z559">
        <v>2830</v>
      </c>
      <c r="AA559">
        <v>3270</v>
      </c>
      <c r="AB559">
        <v>3477</v>
      </c>
      <c r="AC559">
        <v>3701</v>
      </c>
      <c r="AD559">
        <v>3762</v>
      </c>
      <c r="AE559">
        <v>3974</v>
      </c>
      <c r="AF559">
        <v>4129</v>
      </c>
      <c r="AG559" s="2" t="s">
        <v>734</v>
      </c>
      <c r="AH559" s="2" t="s">
        <v>734</v>
      </c>
      <c r="AI559" s="2" t="s">
        <v>734</v>
      </c>
    </row>
    <row r="560" spans="2:35" x14ac:dyDescent="0.25">
      <c r="B560" t="s">
        <v>173</v>
      </c>
      <c r="C560" t="s">
        <v>152</v>
      </c>
      <c r="D560">
        <v>39605</v>
      </c>
      <c r="E560" t="s">
        <v>174</v>
      </c>
      <c r="F560" t="s">
        <v>988</v>
      </c>
      <c r="G560"/>
      <c r="H560" t="s">
        <v>1113</v>
      </c>
      <c r="I560">
        <v>102811</v>
      </c>
      <c r="J560">
        <v>105507</v>
      </c>
      <c r="K560"/>
      <c r="L560"/>
      <c r="M560"/>
      <c r="N560"/>
      <c r="O560"/>
      <c r="P560"/>
      <c r="Q560"/>
      <c r="R560"/>
      <c r="X560">
        <v>2696</v>
      </c>
      <c r="Y560" t="s">
        <v>734</v>
      </c>
      <c r="Z560" t="s">
        <v>734</v>
      </c>
      <c r="AA560" t="s">
        <v>734</v>
      </c>
      <c r="AB560" t="s">
        <v>734</v>
      </c>
      <c r="AC560" t="s">
        <v>734</v>
      </c>
      <c r="AD560" t="s">
        <v>734</v>
      </c>
      <c r="AE560" t="s">
        <v>734</v>
      </c>
      <c r="AF560" t="s">
        <v>734</v>
      </c>
      <c r="AG560" s="2" t="s">
        <v>734</v>
      </c>
      <c r="AH560" s="2" t="s">
        <v>734</v>
      </c>
      <c r="AI560" s="2" t="s">
        <v>734</v>
      </c>
    </row>
    <row r="561" spans="2:35" x14ac:dyDescent="0.25">
      <c r="B561" t="s">
        <v>170</v>
      </c>
      <c r="C561" t="s">
        <v>152</v>
      </c>
      <c r="D561">
        <v>39108</v>
      </c>
      <c r="E561" t="s">
        <v>132</v>
      </c>
      <c r="F561" t="s">
        <v>101</v>
      </c>
      <c r="G561"/>
      <c r="H561" t="s">
        <v>760</v>
      </c>
      <c r="I561"/>
      <c r="J561"/>
      <c r="K561"/>
      <c r="L561"/>
      <c r="M561"/>
      <c r="N561"/>
      <c r="O561"/>
      <c r="P561"/>
      <c r="Q561"/>
      <c r="R561"/>
      <c r="X561" t="s">
        <v>734</v>
      </c>
      <c r="Y561" t="s">
        <v>734</v>
      </c>
      <c r="Z561" t="s">
        <v>734</v>
      </c>
      <c r="AA561" t="s">
        <v>734</v>
      </c>
      <c r="AB561" t="s">
        <v>734</v>
      </c>
      <c r="AC561" t="s">
        <v>734</v>
      </c>
      <c r="AD561" t="s">
        <v>734</v>
      </c>
      <c r="AE561" t="s">
        <v>734</v>
      </c>
      <c r="AF561" t="s">
        <v>734</v>
      </c>
      <c r="AG561" s="2" t="s">
        <v>734</v>
      </c>
      <c r="AH561" s="2" t="s">
        <v>734</v>
      </c>
      <c r="AI561" s="2" t="s">
        <v>734</v>
      </c>
    </row>
    <row r="562" spans="2:35" x14ac:dyDescent="0.25">
      <c r="B562" t="s">
        <v>164</v>
      </c>
      <c r="C562" t="s">
        <v>152</v>
      </c>
      <c r="D562">
        <v>39657</v>
      </c>
      <c r="E562" t="s">
        <v>165</v>
      </c>
      <c r="F562" t="s">
        <v>1044</v>
      </c>
      <c r="G562"/>
      <c r="H562"/>
      <c r="I562">
        <v>22293</v>
      </c>
      <c r="J562">
        <v>22894</v>
      </c>
      <c r="K562">
        <v>24021</v>
      </c>
      <c r="L562">
        <v>24885</v>
      </c>
      <c r="M562">
        <v>25727</v>
      </c>
      <c r="N562">
        <v>26518</v>
      </c>
      <c r="O562">
        <v>27341</v>
      </c>
      <c r="P562">
        <v>28389</v>
      </c>
      <c r="Q562">
        <v>29318</v>
      </c>
      <c r="R562">
        <v>30239</v>
      </c>
      <c r="X562">
        <v>601</v>
      </c>
      <c r="Y562">
        <v>1127</v>
      </c>
      <c r="Z562">
        <v>864</v>
      </c>
      <c r="AA562">
        <v>842</v>
      </c>
      <c r="AB562">
        <v>791</v>
      </c>
      <c r="AC562">
        <v>823</v>
      </c>
      <c r="AD562">
        <v>1048</v>
      </c>
      <c r="AE562">
        <v>929</v>
      </c>
      <c r="AF562">
        <v>921</v>
      </c>
      <c r="AG562" s="2" t="s">
        <v>734</v>
      </c>
      <c r="AH562" s="2" t="s">
        <v>734</v>
      </c>
      <c r="AI562" s="2" t="s">
        <v>734</v>
      </c>
    </row>
    <row r="563" spans="2:35" x14ac:dyDescent="0.25">
      <c r="B563" t="s">
        <v>161</v>
      </c>
      <c r="C563" t="s">
        <v>152</v>
      </c>
      <c r="D563">
        <v>131</v>
      </c>
      <c r="E563" t="s">
        <v>455</v>
      </c>
      <c r="F563" t="s">
        <v>1017</v>
      </c>
      <c r="G563"/>
      <c r="H563"/>
      <c r="I563">
        <v>112128</v>
      </c>
      <c r="J563">
        <v>115042</v>
      </c>
      <c r="K563">
        <v>120021</v>
      </c>
      <c r="L563">
        <v>123622</v>
      </c>
      <c r="M563">
        <v>127524</v>
      </c>
      <c r="N563">
        <v>131377</v>
      </c>
      <c r="O563">
        <v>135091</v>
      </c>
      <c r="P563">
        <v>138617</v>
      </c>
      <c r="Q563">
        <v>142227</v>
      </c>
      <c r="R563">
        <v>146717</v>
      </c>
      <c r="X563">
        <v>2914</v>
      </c>
      <c r="Y563">
        <v>4979</v>
      </c>
      <c r="Z563">
        <v>3601</v>
      </c>
      <c r="AA563">
        <v>3902</v>
      </c>
      <c r="AB563">
        <v>3853</v>
      </c>
      <c r="AC563">
        <v>3714</v>
      </c>
      <c r="AD563">
        <v>3526</v>
      </c>
      <c r="AE563">
        <v>3610</v>
      </c>
      <c r="AF563">
        <v>4490</v>
      </c>
      <c r="AG563" s="2" t="s">
        <v>734</v>
      </c>
      <c r="AH563" s="2" t="s">
        <v>734</v>
      </c>
      <c r="AI563" s="2" t="s">
        <v>734</v>
      </c>
    </row>
    <row r="564" spans="2:35" x14ac:dyDescent="0.25">
      <c r="B564" t="s">
        <v>159</v>
      </c>
      <c r="C564" t="s">
        <v>152</v>
      </c>
      <c r="D564">
        <v>132</v>
      </c>
      <c r="E564" t="s">
        <v>160</v>
      </c>
      <c r="F564" t="s">
        <v>1016</v>
      </c>
      <c r="G564" t="s">
        <v>1120</v>
      </c>
      <c r="H564"/>
      <c r="I564">
        <v>65703</v>
      </c>
      <c r="J564">
        <v>67326</v>
      </c>
      <c r="K564">
        <v>70194</v>
      </c>
      <c r="L564">
        <v>72349</v>
      </c>
      <c r="M564">
        <v>74592</v>
      </c>
      <c r="N564">
        <v>76595</v>
      </c>
      <c r="O564">
        <v>78540</v>
      </c>
      <c r="P564">
        <v>80269</v>
      </c>
      <c r="Q564">
        <v>82078</v>
      </c>
      <c r="R564">
        <v>84265</v>
      </c>
      <c r="X564">
        <v>1623</v>
      </c>
      <c r="Y564">
        <v>2868</v>
      </c>
      <c r="Z564">
        <v>2155</v>
      </c>
      <c r="AA564">
        <v>2243</v>
      </c>
      <c r="AB564">
        <v>2003</v>
      </c>
      <c r="AC564">
        <v>1945</v>
      </c>
      <c r="AD564">
        <v>1729</v>
      </c>
      <c r="AE564">
        <v>1809</v>
      </c>
      <c r="AF564">
        <v>2187</v>
      </c>
      <c r="AG564" s="2" t="s">
        <v>734</v>
      </c>
      <c r="AH564" s="2" t="s">
        <v>734</v>
      </c>
      <c r="AI564" s="2" t="s">
        <v>734</v>
      </c>
    </row>
    <row r="565" spans="2:35" x14ac:dyDescent="0.25">
      <c r="B565" t="s">
        <v>429</v>
      </c>
      <c r="C565" t="s">
        <v>152</v>
      </c>
      <c r="D565">
        <v>39259</v>
      </c>
      <c r="E565" t="s">
        <v>23</v>
      </c>
      <c r="F565" t="s">
        <v>1012</v>
      </c>
      <c r="G565"/>
      <c r="H565" t="s">
        <v>446</v>
      </c>
      <c r="I565">
        <v>150677</v>
      </c>
      <c r="J565">
        <v>157779</v>
      </c>
      <c r="K565">
        <v>175111</v>
      </c>
      <c r="L565">
        <v>189642</v>
      </c>
      <c r="M565">
        <v>204032</v>
      </c>
      <c r="N565">
        <v>217334</v>
      </c>
      <c r="O565">
        <v>230154</v>
      </c>
      <c r="P565">
        <v>241540</v>
      </c>
      <c r="Q565">
        <v>253182</v>
      </c>
      <c r="R565">
        <v>265408</v>
      </c>
      <c r="X565">
        <v>7102</v>
      </c>
      <c r="Y565">
        <v>17332</v>
      </c>
      <c r="Z565">
        <v>14531</v>
      </c>
      <c r="AA565">
        <v>14390</v>
      </c>
      <c r="AB565">
        <v>13302</v>
      </c>
      <c r="AC565">
        <v>12820</v>
      </c>
      <c r="AD565">
        <v>11386</v>
      </c>
      <c r="AE565">
        <v>11642</v>
      </c>
      <c r="AF565">
        <v>12226</v>
      </c>
      <c r="AG565" s="2" t="s">
        <v>734</v>
      </c>
      <c r="AH565" s="2" t="s">
        <v>734</v>
      </c>
      <c r="AI565" s="2" t="s">
        <v>734</v>
      </c>
    </row>
    <row r="566" spans="2:35" x14ac:dyDescent="0.25">
      <c r="B566" t="s">
        <v>153</v>
      </c>
      <c r="C566" t="s">
        <v>152</v>
      </c>
      <c r="D566">
        <v>39259</v>
      </c>
      <c r="E566" t="s">
        <v>23</v>
      </c>
      <c r="F566" t="s">
        <v>101</v>
      </c>
      <c r="G566" t="s">
        <v>470</v>
      </c>
      <c r="H566" t="s">
        <v>471</v>
      </c>
      <c r="I566"/>
      <c r="J566"/>
      <c r="K566"/>
      <c r="L566"/>
      <c r="M566"/>
      <c r="N566"/>
      <c r="O566"/>
      <c r="P566"/>
      <c r="Q566"/>
      <c r="R566"/>
      <c r="X566" t="s">
        <v>734</v>
      </c>
      <c r="Y566" t="s">
        <v>734</v>
      </c>
      <c r="Z566" t="s">
        <v>734</v>
      </c>
      <c r="AA566" t="s">
        <v>734</v>
      </c>
      <c r="AB566" t="s">
        <v>734</v>
      </c>
      <c r="AC566" t="s">
        <v>734</v>
      </c>
      <c r="AD566" t="s">
        <v>734</v>
      </c>
      <c r="AE566" t="s">
        <v>734</v>
      </c>
      <c r="AF566" t="s">
        <v>734</v>
      </c>
      <c r="AG566" s="2" t="s">
        <v>734</v>
      </c>
      <c r="AH566" s="2" t="s">
        <v>734</v>
      </c>
      <c r="AI566" s="2" t="s">
        <v>734</v>
      </c>
    </row>
    <row r="567" spans="2:35" x14ac:dyDescent="0.25">
      <c r="B567" t="s">
        <v>163</v>
      </c>
      <c r="C567" t="s">
        <v>152</v>
      </c>
      <c r="D567">
        <v>142</v>
      </c>
      <c r="E567" t="s">
        <v>892</v>
      </c>
      <c r="F567" t="s">
        <v>1018</v>
      </c>
      <c r="G567"/>
      <c r="H567"/>
      <c r="I567">
        <v>26148</v>
      </c>
      <c r="J567">
        <v>26701</v>
      </c>
      <c r="K567">
        <v>27773</v>
      </c>
      <c r="L567">
        <v>28668</v>
      </c>
      <c r="M567">
        <v>29672</v>
      </c>
      <c r="N567">
        <v>30554</v>
      </c>
      <c r="O567">
        <v>31529</v>
      </c>
      <c r="P567">
        <v>32453</v>
      </c>
      <c r="Q567">
        <v>33525</v>
      </c>
      <c r="R567">
        <v>34542</v>
      </c>
      <c r="X567">
        <v>553</v>
      </c>
      <c r="Y567">
        <v>1072</v>
      </c>
      <c r="Z567">
        <v>895</v>
      </c>
      <c r="AA567">
        <v>1004</v>
      </c>
      <c r="AB567">
        <v>882</v>
      </c>
      <c r="AC567">
        <v>975</v>
      </c>
      <c r="AD567">
        <v>924</v>
      </c>
      <c r="AE567">
        <v>1072</v>
      </c>
      <c r="AF567">
        <v>1017</v>
      </c>
      <c r="AG567" s="2" t="s">
        <v>734</v>
      </c>
      <c r="AH567" s="2" t="s">
        <v>734</v>
      </c>
      <c r="AI567" s="2" t="s">
        <v>734</v>
      </c>
    </row>
    <row r="568" spans="2:35" x14ac:dyDescent="0.25">
      <c r="B568" t="s">
        <v>1254</v>
      </c>
      <c r="C568" t="s">
        <v>152</v>
      </c>
      <c r="D568">
        <v>1</v>
      </c>
      <c r="E568" t="s">
        <v>892</v>
      </c>
      <c r="F568" t="s">
        <v>819</v>
      </c>
      <c r="G568"/>
      <c r="H568"/>
      <c r="I568"/>
      <c r="J568"/>
      <c r="K568"/>
      <c r="L568"/>
      <c r="M568"/>
      <c r="N568"/>
      <c r="O568">
        <v>40610</v>
      </c>
      <c r="P568"/>
      <c r="Q568"/>
      <c r="R568"/>
      <c r="X568" t="s">
        <v>734</v>
      </c>
      <c r="Y568" t="s">
        <v>734</v>
      </c>
      <c r="Z568" t="s">
        <v>734</v>
      </c>
      <c r="AA568" t="s">
        <v>734</v>
      </c>
      <c r="AB568" t="s">
        <v>734</v>
      </c>
      <c r="AC568" t="s">
        <v>734</v>
      </c>
      <c r="AD568" t="s">
        <v>734</v>
      </c>
      <c r="AE568" t="s">
        <v>734</v>
      </c>
      <c r="AF568" t="s">
        <v>734</v>
      </c>
      <c r="AG568" s="2" t="s">
        <v>734</v>
      </c>
      <c r="AH568" s="2" t="s">
        <v>734</v>
      </c>
      <c r="AI568" s="2" t="s">
        <v>734</v>
      </c>
    </row>
    <row r="569" spans="2:35" x14ac:dyDescent="0.25">
      <c r="B569" t="s">
        <v>179</v>
      </c>
      <c r="C569" t="s">
        <v>176</v>
      </c>
      <c r="D569">
        <v>39246</v>
      </c>
      <c r="E569" t="s">
        <v>180</v>
      </c>
      <c r="F569" t="s">
        <v>101</v>
      </c>
      <c r="G569" t="s">
        <v>735</v>
      </c>
      <c r="H569"/>
      <c r="I569">
        <v>561413</v>
      </c>
      <c r="J569">
        <v>571212</v>
      </c>
      <c r="K569">
        <v>588374</v>
      </c>
      <c r="L569">
        <v>603150</v>
      </c>
      <c r="M569">
        <v>619568</v>
      </c>
      <c r="N569">
        <v>736528</v>
      </c>
      <c r="O569">
        <v>753064</v>
      </c>
      <c r="P569">
        <v>770116</v>
      </c>
      <c r="Q569">
        <v>785886</v>
      </c>
      <c r="R569">
        <v>792673</v>
      </c>
      <c r="X569">
        <v>9799</v>
      </c>
      <c r="Y569">
        <v>17162</v>
      </c>
      <c r="Z569">
        <v>14776</v>
      </c>
      <c r="AA569">
        <v>16418</v>
      </c>
      <c r="AB569">
        <v>116960</v>
      </c>
      <c r="AC569">
        <v>16536</v>
      </c>
      <c r="AD569">
        <v>17052</v>
      </c>
      <c r="AE569">
        <v>15770</v>
      </c>
      <c r="AF569">
        <v>6787</v>
      </c>
      <c r="AG569" s="2" t="s">
        <v>734</v>
      </c>
      <c r="AH569" s="2" t="s">
        <v>734</v>
      </c>
      <c r="AI569" s="2" t="s">
        <v>734</v>
      </c>
    </row>
    <row r="570" spans="2:35" x14ac:dyDescent="0.25">
      <c r="B570" t="s">
        <v>181</v>
      </c>
      <c r="C570" t="s">
        <v>176</v>
      </c>
      <c r="D570">
        <v>140</v>
      </c>
      <c r="E570" t="s">
        <v>759</v>
      </c>
      <c r="F570" t="s">
        <v>182</v>
      </c>
      <c r="G570"/>
      <c r="H570"/>
      <c r="I570">
        <v>227864</v>
      </c>
      <c r="J570">
        <v>228808</v>
      </c>
      <c r="K570">
        <v>230672</v>
      </c>
      <c r="L570">
        <v>232273</v>
      </c>
      <c r="M570">
        <v>233593</v>
      </c>
      <c r="N570">
        <v>234426</v>
      </c>
      <c r="O570">
        <v>235301</v>
      </c>
      <c r="P570">
        <v>236566</v>
      </c>
      <c r="Q570">
        <v>238419</v>
      </c>
      <c r="R570">
        <v>240435</v>
      </c>
      <c r="X570">
        <v>944</v>
      </c>
      <c r="Y570">
        <v>1864</v>
      </c>
      <c r="Z570">
        <v>1601</v>
      </c>
      <c r="AA570">
        <v>1320</v>
      </c>
      <c r="AB570">
        <v>833</v>
      </c>
      <c r="AC570">
        <v>875</v>
      </c>
      <c r="AD570">
        <v>1265</v>
      </c>
      <c r="AE570">
        <v>1853</v>
      </c>
      <c r="AF570">
        <v>2016</v>
      </c>
      <c r="AG570" s="2" t="s">
        <v>734</v>
      </c>
      <c r="AH570" s="2" t="s">
        <v>734</v>
      </c>
      <c r="AI570" s="2" t="s">
        <v>734</v>
      </c>
    </row>
    <row r="571" spans="2:35" x14ac:dyDescent="0.25">
      <c r="B571" t="s">
        <v>177</v>
      </c>
      <c r="C571" t="s">
        <v>176</v>
      </c>
      <c r="D571">
        <v>39497</v>
      </c>
      <c r="E571" t="s">
        <v>178</v>
      </c>
      <c r="F571" t="s">
        <v>101</v>
      </c>
      <c r="G571" t="s">
        <v>735</v>
      </c>
      <c r="H571"/>
      <c r="I571">
        <v>3116435</v>
      </c>
      <c r="J571">
        <v>3152145</v>
      </c>
      <c r="K571">
        <v>3219697</v>
      </c>
      <c r="L571">
        <v>3283804</v>
      </c>
      <c r="M571">
        <v>3349864</v>
      </c>
      <c r="N571">
        <v>3414084</v>
      </c>
      <c r="O571">
        <v>3475881</v>
      </c>
      <c r="P571">
        <v>3538113</v>
      </c>
      <c r="Q571">
        <v>3593515</v>
      </c>
      <c r="R571">
        <v>3644764</v>
      </c>
      <c r="X571">
        <v>35710</v>
      </c>
      <c r="Y571">
        <v>67552</v>
      </c>
      <c r="Z571">
        <v>64107</v>
      </c>
      <c r="AA571">
        <v>66060</v>
      </c>
      <c r="AB571">
        <v>64220</v>
      </c>
      <c r="AC571">
        <v>61797</v>
      </c>
      <c r="AD571">
        <v>62232</v>
      </c>
      <c r="AE571">
        <v>55402</v>
      </c>
      <c r="AF571">
        <v>51249</v>
      </c>
      <c r="AG571" s="2" t="s">
        <v>734</v>
      </c>
      <c r="AH571" s="2" t="s">
        <v>734</v>
      </c>
      <c r="AI571" s="2" t="s">
        <v>734</v>
      </c>
    </row>
    <row r="572" spans="2:35" x14ac:dyDescent="0.25">
      <c r="B572" t="s">
        <v>1239</v>
      </c>
      <c r="C572" t="s">
        <v>176</v>
      </c>
      <c r="D572">
        <v>131</v>
      </c>
      <c r="E572" t="s">
        <v>455</v>
      </c>
      <c r="F572" t="s">
        <v>447</v>
      </c>
      <c r="G572"/>
      <c r="H572"/>
      <c r="I572">
        <v>235379</v>
      </c>
      <c r="J572">
        <v>236611</v>
      </c>
      <c r="K572">
        <v>238631</v>
      </c>
      <c r="L572">
        <v>240212</v>
      </c>
      <c r="M572">
        <v>241789</v>
      </c>
      <c r="N572">
        <v>243162</v>
      </c>
      <c r="O572">
        <v>244367</v>
      </c>
      <c r="P572">
        <v>245602</v>
      </c>
      <c r="Q572">
        <v>246826</v>
      </c>
      <c r="R572">
        <v>248378</v>
      </c>
      <c r="X572">
        <v>1232</v>
      </c>
      <c r="Y572">
        <v>2020</v>
      </c>
      <c r="Z572">
        <v>1581</v>
      </c>
      <c r="AA572">
        <v>1577</v>
      </c>
      <c r="AB572">
        <v>1373</v>
      </c>
      <c r="AC572">
        <v>1205</v>
      </c>
      <c r="AD572">
        <v>1235</v>
      </c>
      <c r="AE572">
        <v>1224</v>
      </c>
      <c r="AF572">
        <v>1552</v>
      </c>
      <c r="AG572" s="2" t="s">
        <v>734</v>
      </c>
      <c r="AH572" s="2" t="s">
        <v>734</v>
      </c>
      <c r="AI572" s="2" t="s">
        <v>734</v>
      </c>
    </row>
    <row r="573" spans="2:35" x14ac:dyDescent="0.25">
      <c r="B573" t="s">
        <v>184</v>
      </c>
      <c r="C573" t="s">
        <v>183</v>
      </c>
      <c r="D573">
        <v>39787</v>
      </c>
      <c r="E573" t="s">
        <v>185</v>
      </c>
      <c r="F573" t="s">
        <v>186</v>
      </c>
      <c r="G573" t="s">
        <v>735</v>
      </c>
      <c r="H573"/>
      <c r="I573">
        <v>147402</v>
      </c>
      <c r="J573">
        <v>148158</v>
      </c>
      <c r="K573">
        <v>149883</v>
      </c>
      <c r="L573">
        <v>151245</v>
      </c>
      <c r="M573">
        <v>152429</v>
      </c>
      <c r="N573">
        <v>153124</v>
      </c>
      <c r="O573">
        <v>154047</v>
      </c>
      <c r="P573">
        <v>155246</v>
      </c>
      <c r="Q573">
        <v>156730</v>
      </c>
      <c r="R573">
        <v>158165</v>
      </c>
      <c r="X573">
        <v>756</v>
      </c>
      <c r="Y573">
        <v>1725</v>
      </c>
      <c r="Z573">
        <v>1362</v>
      </c>
      <c r="AA573">
        <v>1184</v>
      </c>
      <c r="AB573">
        <v>695</v>
      </c>
      <c r="AC573">
        <v>923</v>
      </c>
      <c r="AD573">
        <v>1199</v>
      </c>
      <c r="AE573">
        <v>1484</v>
      </c>
      <c r="AF573">
        <v>1435</v>
      </c>
      <c r="AG573" s="2" t="s">
        <v>734</v>
      </c>
      <c r="AH573" s="2" t="s">
        <v>734</v>
      </c>
      <c r="AI573" s="2" t="s">
        <v>734</v>
      </c>
    </row>
    <row r="574" spans="2:35" x14ac:dyDescent="0.25">
      <c r="B574" t="s">
        <v>188</v>
      </c>
      <c r="C574" t="s">
        <v>183</v>
      </c>
      <c r="D574">
        <v>39051</v>
      </c>
      <c r="E574" t="s">
        <v>189</v>
      </c>
      <c r="F574" t="s">
        <v>101</v>
      </c>
      <c r="G574"/>
      <c r="H574"/>
      <c r="I574">
        <v>31526</v>
      </c>
      <c r="J574">
        <v>31528</v>
      </c>
      <c r="K574">
        <v>31562</v>
      </c>
      <c r="L574">
        <v>31566</v>
      </c>
      <c r="M574">
        <v>31577</v>
      </c>
      <c r="N574">
        <v>31582</v>
      </c>
      <c r="O574">
        <v>31582</v>
      </c>
      <c r="P574">
        <v>31582</v>
      </c>
      <c r="Q574">
        <v>31312</v>
      </c>
      <c r="R574">
        <v>31319</v>
      </c>
      <c r="X574">
        <v>2</v>
      </c>
      <c r="Y574">
        <v>34</v>
      </c>
      <c r="Z574">
        <v>4</v>
      </c>
      <c r="AA574">
        <v>11</v>
      </c>
      <c r="AB574">
        <v>5</v>
      </c>
      <c r="AC574">
        <v>0</v>
      </c>
      <c r="AD574">
        <v>0</v>
      </c>
      <c r="AE574" t="s">
        <v>856</v>
      </c>
      <c r="AF574">
        <v>7</v>
      </c>
      <c r="AG574" s="2" t="s">
        <v>734</v>
      </c>
      <c r="AH574" s="2" t="s">
        <v>734</v>
      </c>
      <c r="AI574" s="2" t="s">
        <v>734</v>
      </c>
    </row>
    <row r="575" spans="2:35" x14ac:dyDescent="0.25">
      <c r="B575" t="s">
        <v>187</v>
      </c>
      <c r="C575" t="s">
        <v>183</v>
      </c>
      <c r="D575">
        <v>150</v>
      </c>
      <c r="E575" t="s">
        <v>897</v>
      </c>
      <c r="F575" t="s">
        <v>101</v>
      </c>
      <c r="G575" t="s">
        <v>735</v>
      </c>
      <c r="H575"/>
      <c r="I575">
        <v>4422256</v>
      </c>
      <c r="J575">
        <v>4449688</v>
      </c>
      <c r="K575">
        <v>4502763</v>
      </c>
      <c r="L575">
        <v>4552131</v>
      </c>
      <c r="M575">
        <v>4604357</v>
      </c>
      <c r="N575">
        <v>4660695</v>
      </c>
      <c r="O575">
        <v>4720104</v>
      </c>
      <c r="P575">
        <v>4793229</v>
      </c>
      <c r="Q575">
        <v>4868063</v>
      </c>
      <c r="R575">
        <v>4940165</v>
      </c>
      <c r="X575">
        <v>27432</v>
      </c>
      <c r="Y575">
        <v>53075</v>
      </c>
      <c r="Z575">
        <v>49368</v>
      </c>
      <c r="AA575">
        <v>52226</v>
      </c>
      <c r="AB575">
        <v>56338</v>
      </c>
      <c r="AC575">
        <v>59409</v>
      </c>
      <c r="AD575">
        <v>73125</v>
      </c>
      <c r="AE575">
        <v>74834</v>
      </c>
      <c r="AF575">
        <v>72102</v>
      </c>
      <c r="AG575" s="2" t="s">
        <v>734</v>
      </c>
      <c r="AH575" s="2" t="s">
        <v>734</v>
      </c>
      <c r="AI575" s="2" t="s">
        <v>734</v>
      </c>
    </row>
    <row r="576" spans="2:35" x14ac:dyDescent="0.25">
      <c r="B576" t="s">
        <v>1317</v>
      </c>
      <c r="C576" t="s">
        <v>183</v>
      </c>
      <c r="D576">
        <v>131</v>
      </c>
      <c r="E576" t="s">
        <v>455</v>
      </c>
      <c r="F576" t="s">
        <v>447</v>
      </c>
      <c r="G576"/>
      <c r="H576"/>
      <c r="I576">
        <v>677063</v>
      </c>
      <c r="J576">
        <v>680958</v>
      </c>
      <c r="K576">
        <v>688077</v>
      </c>
      <c r="L576">
        <v>694137</v>
      </c>
      <c r="M576">
        <v>700096</v>
      </c>
      <c r="N576">
        <v>705362</v>
      </c>
      <c r="O576">
        <v>710006</v>
      </c>
      <c r="P576">
        <v>714856</v>
      </c>
      <c r="Q576">
        <v>719848</v>
      </c>
      <c r="R576">
        <v>725567</v>
      </c>
      <c r="X576">
        <v>3895</v>
      </c>
      <c r="Y576">
        <v>7119</v>
      </c>
      <c r="Z576">
        <v>6060</v>
      </c>
      <c r="AA576">
        <v>5959</v>
      </c>
      <c r="AB576">
        <v>5266</v>
      </c>
      <c r="AC576">
        <v>4644</v>
      </c>
      <c r="AD576">
        <v>4850</v>
      </c>
      <c r="AE576">
        <v>4992</v>
      </c>
      <c r="AF576">
        <v>5719</v>
      </c>
      <c r="AG576" s="2" t="s">
        <v>734</v>
      </c>
      <c r="AH576" s="2" t="s">
        <v>734</v>
      </c>
      <c r="AI576" s="2" t="s">
        <v>734</v>
      </c>
    </row>
    <row r="577" spans="2:35" x14ac:dyDescent="0.25">
      <c r="B577" t="s">
        <v>1320</v>
      </c>
      <c r="C577" t="s">
        <v>183</v>
      </c>
      <c r="D577">
        <v>142</v>
      </c>
      <c r="E577" t="s">
        <v>823</v>
      </c>
      <c r="F577" t="s">
        <v>864</v>
      </c>
      <c r="G577" t="s">
        <v>824</v>
      </c>
      <c r="H577" t="s">
        <v>821</v>
      </c>
      <c r="I577">
        <v>37695</v>
      </c>
      <c r="J577">
        <v>37861</v>
      </c>
      <c r="K577">
        <v>38291</v>
      </c>
      <c r="L577">
        <v>38580</v>
      </c>
      <c r="M577">
        <v>38994</v>
      </c>
      <c r="N577">
        <v>39314</v>
      </c>
      <c r="O577">
        <v>39657</v>
      </c>
      <c r="P577">
        <v>40054</v>
      </c>
      <c r="Q577">
        <v>40414</v>
      </c>
      <c r="R577">
        <v>40969</v>
      </c>
      <c r="X577">
        <v>166</v>
      </c>
      <c r="Y577">
        <v>430</v>
      </c>
      <c r="Z577">
        <v>289</v>
      </c>
      <c r="AA577">
        <v>414</v>
      </c>
      <c r="AB577">
        <v>320</v>
      </c>
      <c r="AC577">
        <v>343</v>
      </c>
      <c r="AD577">
        <v>397</v>
      </c>
      <c r="AE577">
        <v>360</v>
      </c>
      <c r="AF577">
        <v>555</v>
      </c>
      <c r="AG577" s="2" t="s">
        <v>734</v>
      </c>
      <c r="AH577" s="2" t="s">
        <v>734</v>
      </c>
      <c r="AI577" s="2" t="s">
        <v>734</v>
      </c>
    </row>
    <row r="578" spans="2:35" x14ac:dyDescent="0.25">
      <c r="B578">
        <v>90003147</v>
      </c>
      <c r="C578" t="s">
        <v>190</v>
      </c>
      <c r="D578">
        <v>30000</v>
      </c>
      <c r="E578" t="s">
        <v>763</v>
      </c>
      <c r="F578" t="s">
        <v>764</v>
      </c>
      <c r="G578"/>
      <c r="H578" t="s">
        <v>875</v>
      </c>
      <c r="I578"/>
      <c r="J578"/>
      <c r="K578"/>
      <c r="L578"/>
      <c r="M578"/>
      <c r="N578"/>
      <c r="O578"/>
      <c r="P578"/>
      <c r="Q578"/>
      <c r="R578"/>
      <c r="X578" t="s">
        <v>734</v>
      </c>
      <c r="Y578" t="s">
        <v>734</v>
      </c>
      <c r="Z578" t="s">
        <v>734</v>
      </c>
      <c r="AA578" t="s">
        <v>734</v>
      </c>
      <c r="AB578" t="s">
        <v>734</v>
      </c>
      <c r="AC578" t="s">
        <v>734</v>
      </c>
      <c r="AD578" t="s">
        <v>734</v>
      </c>
      <c r="AE578" t="s">
        <v>734</v>
      </c>
      <c r="AF578" t="s">
        <v>734</v>
      </c>
      <c r="AG578" s="2" t="s">
        <v>734</v>
      </c>
      <c r="AH578" s="2" t="s">
        <v>734</v>
      </c>
      <c r="AI578" s="2" t="s">
        <v>734</v>
      </c>
    </row>
    <row r="579" spans="2:35" x14ac:dyDescent="0.25">
      <c r="B579" t="s">
        <v>191</v>
      </c>
      <c r="C579" t="s">
        <v>190</v>
      </c>
      <c r="D579">
        <v>39434</v>
      </c>
      <c r="E579" t="s">
        <v>192</v>
      </c>
      <c r="F579" t="s">
        <v>982</v>
      </c>
      <c r="G579" t="s">
        <v>448</v>
      </c>
      <c r="H579"/>
      <c r="I579">
        <v>667193</v>
      </c>
      <c r="J579">
        <v>668376</v>
      </c>
      <c r="K579">
        <v>669207</v>
      </c>
      <c r="L579">
        <v>669207</v>
      </c>
      <c r="M579">
        <v>669208</v>
      </c>
      <c r="N579">
        <v>669208</v>
      </c>
      <c r="O579"/>
      <c r="P579"/>
      <c r="Q579"/>
      <c r="R579"/>
      <c r="X579">
        <v>1183</v>
      </c>
      <c r="Y579">
        <v>831</v>
      </c>
      <c r="Z579">
        <v>0</v>
      </c>
      <c r="AA579">
        <v>1</v>
      </c>
      <c r="AB579">
        <v>0</v>
      </c>
      <c r="AC579" t="s">
        <v>734</v>
      </c>
      <c r="AD579" t="s">
        <v>734</v>
      </c>
      <c r="AE579" t="s">
        <v>734</v>
      </c>
      <c r="AF579" t="s">
        <v>734</v>
      </c>
      <c r="AG579" s="2" t="s">
        <v>734</v>
      </c>
      <c r="AH579" s="2" t="s">
        <v>734</v>
      </c>
      <c r="AI579" s="2" t="s">
        <v>734</v>
      </c>
    </row>
    <row r="580" spans="2:35" x14ac:dyDescent="0.25">
      <c r="B580" t="s">
        <v>191</v>
      </c>
      <c r="C580" t="s">
        <v>190</v>
      </c>
      <c r="D580">
        <v>140</v>
      </c>
      <c r="E580" t="s">
        <v>1328</v>
      </c>
      <c r="F580" t="s">
        <v>982</v>
      </c>
      <c r="G580" t="s">
        <v>448</v>
      </c>
      <c r="H580"/>
      <c r="I580"/>
      <c r="J580"/>
      <c r="K580"/>
      <c r="L580"/>
      <c r="M580"/>
      <c r="N580">
        <v>669208</v>
      </c>
      <c r="O580">
        <v>669208</v>
      </c>
      <c r="P580">
        <v>669208</v>
      </c>
      <c r="Q580">
        <v>0</v>
      </c>
      <c r="R580">
        <v>0</v>
      </c>
      <c r="X580" t="s">
        <v>734</v>
      </c>
      <c r="Y580" t="s">
        <v>734</v>
      </c>
      <c r="Z580" t="s">
        <v>734</v>
      </c>
      <c r="AA580" t="s">
        <v>734</v>
      </c>
      <c r="AB580" t="s">
        <v>734</v>
      </c>
      <c r="AC580">
        <v>0</v>
      </c>
      <c r="AD580">
        <v>0</v>
      </c>
      <c r="AE580" t="s">
        <v>856</v>
      </c>
      <c r="AF580">
        <v>0</v>
      </c>
      <c r="AG580" s="2" t="s">
        <v>734</v>
      </c>
      <c r="AH580" s="2" t="s">
        <v>734</v>
      </c>
      <c r="AI580" s="2" t="s">
        <v>734</v>
      </c>
    </row>
    <row r="581" spans="2:35" x14ac:dyDescent="0.25">
      <c r="B581" t="s">
        <v>873</v>
      </c>
      <c r="C581" t="s">
        <v>190</v>
      </c>
      <c r="D581">
        <v>140</v>
      </c>
      <c r="E581" t="s">
        <v>874</v>
      </c>
      <c r="F581" t="s">
        <v>985</v>
      </c>
      <c r="G581"/>
      <c r="H581"/>
      <c r="I581">
        <v>145420</v>
      </c>
      <c r="J581">
        <v>145459</v>
      </c>
      <c r="K581">
        <v>145699</v>
      </c>
      <c r="L581">
        <v>145937</v>
      </c>
      <c r="M581">
        <v>146332</v>
      </c>
      <c r="N581">
        <v>146846</v>
      </c>
      <c r="O581">
        <v>147406</v>
      </c>
      <c r="P581">
        <v>148609</v>
      </c>
      <c r="Q581">
        <v>150256</v>
      </c>
      <c r="R581">
        <v>151731</v>
      </c>
      <c r="X581">
        <v>39</v>
      </c>
      <c r="Y581">
        <v>240</v>
      </c>
      <c r="Z581">
        <v>238</v>
      </c>
      <c r="AA581">
        <v>395</v>
      </c>
      <c r="AB581">
        <v>514</v>
      </c>
      <c r="AC581">
        <v>560</v>
      </c>
      <c r="AD581">
        <v>1203</v>
      </c>
      <c r="AE581">
        <v>1647</v>
      </c>
      <c r="AF581">
        <v>1475</v>
      </c>
      <c r="AG581" s="2" t="s">
        <v>734</v>
      </c>
      <c r="AH581" s="2" t="s">
        <v>734</v>
      </c>
      <c r="AI581" s="2" t="s">
        <v>734</v>
      </c>
    </row>
    <row r="582" spans="2:35" x14ac:dyDescent="0.25">
      <c r="B582" t="s">
        <v>197</v>
      </c>
      <c r="C582" t="s">
        <v>190</v>
      </c>
      <c r="D582">
        <v>39042</v>
      </c>
      <c r="E582" t="s">
        <v>198</v>
      </c>
      <c r="F582" t="s">
        <v>990</v>
      </c>
      <c r="G582" t="s">
        <v>199</v>
      </c>
      <c r="H582"/>
      <c r="I582">
        <v>31963</v>
      </c>
      <c r="J582">
        <v>32312</v>
      </c>
      <c r="K582">
        <v>32316</v>
      </c>
      <c r="L582">
        <v>33895</v>
      </c>
      <c r="M582">
        <v>34409</v>
      </c>
      <c r="N582">
        <v>34906</v>
      </c>
      <c r="O582">
        <v>35525</v>
      </c>
      <c r="P582">
        <v>36628</v>
      </c>
      <c r="Q582">
        <v>38005</v>
      </c>
      <c r="R582">
        <v>39241</v>
      </c>
      <c r="X582">
        <v>349</v>
      </c>
      <c r="Y582">
        <v>4</v>
      </c>
      <c r="Z582">
        <v>1579</v>
      </c>
      <c r="AA582">
        <v>514</v>
      </c>
      <c r="AB582">
        <v>497</v>
      </c>
      <c r="AC582">
        <v>619</v>
      </c>
      <c r="AD582">
        <v>1103</v>
      </c>
      <c r="AE582">
        <v>1377</v>
      </c>
      <c r="AF582">
        <v>1236</v>
      </c>
      <c r="AG582" s="2" t="s">
        <v>734</v>
      </c>
      <c r="AH582" s="2" t="s">
        <v>734</v>
      </c>
      <c r="AI582" s="2" t="s">
        <v>734</v>
      </c>
    </row>
    <row r="583" spans="2:35" x14ac:dyDescent="0.25">
      <c r="B583" t="s">
        <v>193</v>
      </c>
      <c r="C583" t="s">
        <v>190</v>
      </c>
      <c r="D583">
        <v>39275</v>
      </c>
      <c r="E583" t="s">
        <v>194</v>
      </c>
      <c r="F583" t="s">
        <v>983</v>
      </c>
      <c r="G583"/>
      <c r="H583"/>
      <c r="I583">
        <v>32601</v>
      </c>
      <c r="J583">
        <v>32653</v>
      </c>
      <c r="K583">
        <v>32708</v>
      </c>
      <c r="L583">
        <v>32790</v>
      </c>
      <c r="M583">
        <v>32826</v>
      </c>
      <c r="N583">
        <v>32856</v>
      </c>
      <c r="O583">
        <v>32867</v>
      </c>
      <c r="P583">
        <v>32891</v>
      </c>
      <c r="Q583">
        <v>32933</v>
      </c>
      <c r="R583">
        <v>32958</v>
      </c>
      <c r="X583">
        <v>52</v>
      </c>
      <c r="Y583">
        <v>55</v>
      </c>
      <c r="Z583">
        <v>82</v>
      </c>
      <c r="AA583">
        <v>36</v>
      </c>
      <c r="AB583">
        <v>30</v>
      </c>
      <c r="AC583">
        <v>11</v>
      </c>
      <c r="AD583">
        <v>24</v>
      </c>
      <c r="AE583">
        <v>42</v>
      </c>
      <c r="AF583">
        <v>25</v>
      </c>
      <c r="AG583" s="2" t="s">
        <v>734</v>
      </c>
      <c r="AH583" s="2" t="s">
        <v>734</v>
      </c>
      <c r="AI583" s="2" t="s">
        <v>734</v>
      </c>
    </row>
    <row r="584" spans="2:35" x14ac:dyDescent="0.25">
      <c r="B584" t="s">
        <v>195</v>
      </c>
      <c r="C584" t="s">
        <v>190</v>
      </c>
      <c r="D584">
        <v>39135</v>
      </c>
      <c r="E584" t="s">
        <v>196</v>
      </c>
      <c r="F584" t="s">
        <v>991</v>
      </c>
      <c r="G584" t="s">
        <v>449</v>
      </c>
      <c r="H584"/>
      <c r="I584">
        <v>601053</v>
      </c>
      <c r="J584">
        <v>605617</v>
      </c>
      <c r="K584">
        <v>616305</v>
      </c>
      <c r="L584">
        <v>626348</v>
      </c>
      <c r="M584">
        <v>634516</v>
      </c>
      <c r="N584">
        <v>641827</v>
      </c>
      <c r="O584">
        <v>649844</v>
      </c>
      <c r="P584">
        <v>660198</v>
      </c>
      <c r="Q584">
        <v>670740</v>
      </c>
      <c r="R584">
        <v>681130</v>
      </c>
      <c r="X584">
        <v>4564</v>
      </c>
      <c r="Y584">
        <v>10688</v>
      </c>
      <c r="Z584">
        <v>10043</v>
      </c>
      <c r="AA584">
        <v>8168</v>
      </c>
      <c r="AB584">
        <v>7311</v>
      </c>
      <c r="AC584">
        <v>8017</v>
      </c>
      <c r="AD584">
        <v>10354</v>
      </c>
      <c r="AE584">
        <v>10542</v>
      </c>
      <c r="AF584">
        <v>10390</v>
      </c>
      <c r="AG584" s="2" t="s">
        <v>734</v>
      </c>
      <c r="AH584" s="2" t="s">
        <v>734</v>
      </c>
      <c r="AI584" s="2" t="s">
        <v>734</v>
      </c>
    </row>
    <row r="585" spans="2:35" x14ac:dyDescent="0.25">
      <c r="B585" t="s">
        <v>1350</v>
      </c>
      <c r="C585" t="s">
        <v>190</v>
      </c>
      <c r="D585">
        <v>131</v>
      </c>
      <c r="E585" t="s">
        <v>455</v>
      </c>
      <c r="F585" t="s">
        <v>47</v>
      </c>
      <c r="G585"/>
      <c r="H585"/>
      <c r="I585">
        <v>604645</v>
      </c>
      <c r="J585">
        <v>607775</v>
      </c>
      <c r="K585">
        <v>613523</v>
      </c>
      <c r="L585">
        <v>618340</v>
      </c>
      <c r="M585">
        <v>622944</v>
      </c>
      <c r="N585">
        <v>626837</v>
      </c>
      <c r="O585">
        <v>630484</v>
      </c>
      <c r="P585">
        <v>634161</v>
      </c>
      <c r="Q585">
        <v>637834</v>
      </c>
      <c r="R585">
        <v>641925</v>
      </c>
      <c r="X585">
        <v>3130</v>
      </c>
      <c r="Y585">
        <v>5748</v>
      </c>
      <c r="Z585">
        <v>4817</v>
      </c>
      <c r="AA585">
        <v>4604</v>
      </c>
      <c r="AB585">
        <v>3893</v>
      </c>
      <c r="AC585">
        <v>3647</v>
      </c>
      <c r="AD585">
        <v>3677</v>
      </c>
      <c r="AE585">
        <v>3673</v>
      </c>
      <c r="AF585">
        <v>4091</v>
      </c>
      <c r="AG585" s="2" t="s">
        <v>734</v>
      </c>
      <c r="AH585" s="2" t="s">
        <v>734</v>
      </c>
      <c r="AI585" s="2" t="s">
        <v>734</v>
      </c>
    </row>
    <row r="586" spans="2:35" x14ac:dyDescent="0.25">
      <c r="B586" t="s">
        <v>1255</v>
      </c>
      <c r="C586" t="s">
        <v>200</v>
      </c>
      <c r="D586">
        <v>140</v>
      </c>
      <c r="E586" t="s">
        <v>898</v>
      </c>
      <c r="F586" t="s">
        <v>450</v>
      </c>
      <c r="G586" t="s">
        <v>451</v>
      </c>
      <c r="H586"/>
      <c r="I586">
        <v>284935</v>
      </c>
      <c r="J586">
        <v>286133</v>
      </c>
      <c r="K586">
        <v>289915</v>
      </c>
      <c r="L586">
        <v>293631</v>
      </c>
      <c r="M586">
        <v>296904</v>
      </c>
      <c r="N586">
        <v>300052</v>
      </c>
      <c r="O586">
        <v>303222</v>
      </c>
      <c r="P586">
        <v>307564</v>
      </c>
      <c r="Q586">
        <v>311878</v>
      </c>
      <c r="R586">
        <v>315549</v>
      </c>
      <c r="X586">
        <v>1198</v>
      </c>
      <c r="Y586">
        <v>3782</v>
      </c>
      <c r="Z586">
        <v>3716</v>
      </c>
      <c r="AA586">
        <v>3273</v>
      </c>
      <c r="AB586">
        <v>3148</v>
      </c>
      <c r="AC586">
        <v>3170</v>
      </c>
      <c r="AD586">
        <v>4342</v>
      </c>
      <c r="AE586">
        <v>4314</v>
      </c>
      <c r="AF586">
        <v>3671</v>
      </c>
      <c r="AG586" s="2" t="s">
        <v>734</v>
      </c>
      <c r="AH586" s="2" t="s">
        <v>734</v>
      </c>
      <c r="AI586" s="2" t="s">
        <v>734</v>
      </c>
    </row>
    <row r="587" spans="2:35" x14ac:dyDescent="0.25">
      <c r="B587" t="s">
        <v>1256</v>
      </c>
      <c r="C587" t="s">
        <v>200</v>
      </c>
      <c r="D587">
        <v>140</v>
      </c>
      <c r="E587" t="s">
        <v>899</v>
      </c>
      <c r="F587" t="s">
        <v>450</v>
      </c>
      <c r="G587" t="s">
        <v>451</v>
      </c>
      <c r="H587"/>
      <c r="I587">
        <v>848395</v>
      </c>
      <c r="J587">
        <v>853117</v>
      </c>
      <c r="K587">
        <v>862357</v>
      </c>
      <c r="L587">
        <v>870864</v>
      </c>
      <c r="M587">
        <v>879174</v>
      </c>
      <c r="N587">
        <v>887681</v>
      </c>
      <c r="O587">
        <v>896250</v>
      </c>
      <c r="P587">
        <v>905777</v>
      </c>
      <c r="Q587">
        <v>915478</v>
      </c>
      <c r="R587">
        <v>925026</v>
      </c>
      <c r="X587">
        <v>4722</v>
      </c>
      <c r="Y587">
        <v>9240</v>
      </c>
      <c r="Z587">
        <v>8507</v>
      </c>
      <c r="AA587">
        <v>8310</v>
      </c>
      <c r="AB587">
        <v>8507</v>
      </c>
      <c r="AC587">
        <v>8569</v>
      </c>
      <c r="AD587">
        <v>9527</v>
      </c>
      <c r="AE587">
        <v>9701</v>
      </c>
      <c r="AF587">
        <v>9548</v>
      </c>
      <c r="AG587" s="2" t="s">
        <v>734</v>
      </c>
      <c r="AH587" s="2" t="s">
        <v>734</v>
      </c>
      <c r="AI587" s="2" t="s">
        <v>734</v>
      </c>
    </row>
    <row r="588" spans="2:35" x14ac:dyDescent="0.25">
      <c r="B588" t="s">
        <v>1263</v>
      </c>
      <c r="C588" t="s">
        <v>200</v>
      </c>
      <c r="D588">
        <v>39783</v>
      </c>
      <c r="E588" t="s">
        <v>216</v>
      </c>
      <c r="F588" t="s">
        <v>217</v>
      </c>
      <c r="G588"/>
      <c r="H588"/>
      <c r="I588">
        <v>137307</v>
      </c>
      <c r="J588">
        <v>137657</v>
      </c>
      <c r="K588">
        <v>138330</v>
      </c>
      <c r="L588">
        <v>139023</v>
      </c>
      <c r="M588">
        <v>139726</v>
      </c>
      <c r="N588">
        <v>140512</v>
      </c>
      <c r="O588">
        <v>141353</v>
      </c>
      <c r="P588">
        <v>142438</v>
      </c>
      <c r="Q588">
        <v>143442</v>
      </c>
      <c r="R588">
        <v>144479</v>
      </c>
      <c r="X588">
        <v>350</v>
      </c>
      <c r="Y588">
        <v>673</v>
      </c>
      <c r="Z588">
        <v>693</v>
      </c>
      <c r="AA588">
        <v>703</v>
      </c>
      <c r="AB588">
        <v>786</v>
      </c>
      <c r="AC588">
        <v>841</v>
      </c>
      <c r="AD588">
        <v>1085</v>
      </c>
      <c r="AE588">
        <v>1004</v>
      </c>
      <c r="AF588">
        <v>1037</v>
      </c>
      <c r="AG588" s="2" t="s">
        <v>734</v>
      </c>
      <c r="AH588" s="2" t="s">
        <v>734</v>
      </c>
      <c r="AI588" s="2" t="s">
        <v>734</v>
      </c>
    </row>
    <row r="589" spans="2:35" x14ac:dyDescent="0.25">
      <c r="B589" t="s">
        <v>1299</v>
      </c>
      <c r="C589" t="s">
        <v>200</v>
      </c>
      <c r="D589">
        <v>39372</v>
      </c>
      <c r="E589" t="s">
        <v>749</v>
      </c>
      <c r="F589" t="s">
        <v>985</v>
      </c>
      <c r="G589" t="s">
        <v>913</v>
      </c>
      <c r="H589" t="s">
        <v>912</v>
      </c>
      <c r="I589">
        <v>3135</v>
      </c>
      <c r="J589">
        <v>3332</v>
      </c>
      <c r="K589">
        <v>3751</v>
      </c>
      <c r="L589">
        <v>4140</v>
      </c>
      <c r="M589">
        <v>4422</v>
      </c>
      <c r="N589">
        <v>4708</v>
      </c>
      <c r="O589">
        <v>5112</v>
      </c>
      <c r="P589">
        <v>5864</v>
      </c>
      <c r="Q589">
        <v>6880</v>
      </c>
      <c r="R589">
        <v>7508</v>
      </c>
      <c r="X589">
        <v>197</v>
      </c>
      <c r="Y589">
        <v>419</v>
      </c>
      <c r="Z589">
        <v>389</v>
      </c>
      <c r="AA589">
        <v>282</v>
      </c>
      <c r="AB589">
        <v>286</v>
      </c>
      <c r="AC589">
        <v>404</v>
      </c>
      <c r="AD589">
        <v>752</v>
      </c>
      <c r="AE589">
        <v>1016</v>
      </c>
      <c r="AF589">
        <v>628</v>
      </c>
      <c r="AG589" s="2" t="s">
        <v>734</v>
      </c>
      <c r="AH589" s="2" t="s">
        <v>734</v>
      </c>
      <c r="AI589" s="2" t="s">
        <v>734</v>
      </c>
    </row>
    <row r="590" spans="2:35" x14ac:dyDescent="0.25">
      <c r="B590" t="s">
        <v>877</v>
      </c>
      <c r="C590" t="s">
        <v>200</v>
      </c>
      <c r="D590">
        <v>39477</v>
      </c>
      <c r="E590" t="s">
        <v>210</v>
      </c>
      <c r="F590" t="s">
        <v>982</v>
      </c>
      <c r="G590"/>
      <c r="H590" t="s">
        <v>914</v>
      </c>
      <c r="I590">
        <v>14235</v>
      </c>
      <c r="J590">
        <v>14616</v>
      </c>
      <c r="K590">
        <v>15577</v>
      </c>
      <c r="L590">
        <v>16091</v>
      </c>
      <c r="M590">
        <v>16369</v>
      </c>
      <c r="N590">
        <v>16870</v>
      </c>
      <c r="O590">
        <v>17549</v>
      </c>
      <c r="P590">
        <v>19606</v>
      </c>
      <c r="Q590">
        <v>22126</v>
      </c>
      <c r="R590">
        <v>24420</v>
      </c>
      <c r="X590">
        <v>381</v>
      </c>
      <c r="Y590">
        <v>961</v>
      </c>
      <c r="Z590">
        <v>514</v>
      </c>
      <c r="AA590">
        <v>278</v>
      </c>
      <c r="AB590">
        <v>501</v>
      </c>
      <c r="AC590">
        <v>679</v>
      </c>
      <c r="AD590">
        <v>2057</v>
      </c>
      <c r="AE590">
        <v>2520</v>
      </c>
      <c r="AF590">
        <v>2294</v>
      </c>
      <c r="AG590" s="2" t="s">
        <v>734</v>
      </c>
      <c r="AH590" s="2" t="s">
        <v>734</v>
      </c>
      <c r="AI590" s="2" t="s">
        <v>734</v>
      </c>
    </row>
    <row r="591" spans="2:35" x14ac:dyDescent="0.25">
      <c r="B591" t="s">
        <v>877</v>
      </c>
      <c r="C591" t="s">
        <v>200</v>
      </c>
      <c r="D591">
        <v>39477</v>
      </c>
      <c r="E591" t="s">
        <v>210</v>
      </c>
      <c r="F591" t="s">
        <v>101</v>
      </c>
      <c r="G591"/>
      <c r="H591"/>
      <c r="I591"/>
      <c r="J591"/>
      <c r="K591"/>
      <c r="L591"/>
      <c r="M591"/>
      <c r="N591"/>
      <c r="O591"/>
      <c r="P591"/>
      <c r="Q591"/>
      <c r="R591"/>
      <c r="X591" t="s">
        <v>734</v>
      </c>
      <c r="Y591" t="s">
        <v>734</v>
      </c>
      <c r="Z591" t="s">
        <v>734</v>
      </c>
      <c r="AA591" t="s">
        <v>734</v>
      </c>
      <c r="AB591" t="s">
        <v>734</v>
      </c>
      <c r="AC591" t="s">
        <v>734</v>
      </c>
      <c r="AD591" t="s">
        <v>734</v>
      </c>
      <c r="AE591" t="s">
        <v>734</v>
      </c>
      <c r="AF591" t="s">
        <v>734</v>
      </c>
      <c r="AG591" s="2" t="s">
        <v>734</v>
      </c>
      <c r="AH591" s="2" t="s">
        <v>734</v>
      </c>
      <c r="AI591" s="2" t="s">
        <v>734</v>
      </c>
    </row>
    <row r="592" spans="2:35" x14ac:dyDescent="0.25">
      <c r="B592" t="s">
        <v>1092</v>
      </c>
      <c r="C592" t="s">
        <v>200</v>
      </c>
      <c r="D592">
        <v>39308</v>
      </c>
      <c r="E592" t="s">
        <v>110</v>
      </c>
      <c r="F592" t="s">
        <v>1345</v>
      </c>
      <c r="G592"/>
      <c r="H592" t="s">
        <v>1095</v>
      </c>
      <c r="I592">
        <v>0</v>
      </c>
      <c r="J592">
        <v>5</v>
      </c>
      <c r="K592">
        <v>984</v>
      </c>
      <c r="L592">
        <v>2350</v>
      </c>
      <c r="M592">
        <v>3352</v>
      </c>
      <c r="N592">
        <v>4392</v>
      </c>
      <c r="O592">
        <v>5530</v>
      </c>
      <c r="P592">
        <v>7236</v>
      </c>
      <c r="Q592">
        <v>8948</v>
      </c>
      <c r="R592">
        <v>10359</v>
      </c>
      <c r="X592">
        <v>5</v>
      </c>
      <c r="Y592">
        <v>979</v>
      </c>
      <c r="Z592">
        <v>1366</v>
      </c>
      <c r="AA592">
        <v>1002</v>
      </c>
      <c r="AB592">
        <v>1040</v>
      </c>
      <c r="AC592">
        <v>1138</v>
      </c>
      <c r="AD592">
        <v>1706</v>
      </c>
      <c r="AE592">
        <v>1712</v>
      </c>
      <c r="AF592">
        <v>1411</v>
      </c>
      <c r="AG592" s="2" t="s">
        <v>734</v>
      </c>
      <c r="AH592" s="2" t="s">
        <v>734</v>
      </c>
      <c r="AI592" s="2" t="s">
        <v>734</v>
      </c>
    </row>
    <row r="593" spans="2:35" x14ac:dyDescent="0.25">
      <c r="B593" t="s">
        <v>1094</v>
      </c>
      <c r="C593" t="s">
        <v>200</v>
      </c>
      <c r="D593">
        <v>39587</v>
      </c>
      <c r="E593" t="s">
        <v>1093</v>
      </c>
      <c r="F593" t="s">
        <v>1346</v>
      </c>
      <c r="G593"/>
      <c r="H593" t="s">
        <v>1095</v>
      </c>
      <c r="I593">
        <v>0</v>
      </c>
      <c r="J593">
        <v>97</v>
      </c>
      <c r="K593">
        <v>197</v>
      </c>
      <c r="L593">
        <v>506</v>
      </c>
      <c r="M593">
        <v>1411</v>
      </c>
      <c r="N593">
        <v>3707</v>
      </c>
      <c r="O593">
        <v>6391</v>
      </c>
      <c r="P593">
        <v>9413</v>
      </c>
      <c r="Q593">
        <v>12193</v>
      </c>
      <c r="R593">
        <v>14767</v>
      </c>
      <c r="X593">
        <v>97</v>
      </c>
      <c r="Y593">
        <v>100</v>
      </c>
      <c r="Z593">
        <v>309</v>
      </c>
      <c r="AA593">
        <v>905</v>
      </c>
      <c r="AB593">
        <v>2296</v>
      </c>
      <c r="AC593">
        <v>2684</v>
      </c>
      <c r="AD593">
        <v>3022</v>
      </c>
      <c r="AE593">
        <v>2780</v>
      </c>
      <c r="AF593">
        <v>2574</v>
      </c>
      <c r="AG593" s="2" t="s">
        <v>734</v>
      </c>
      <c r="AH593" s="2" t="s">
        <v>734</v>
      </c>
      <c r="AI593" s="2" t="s">
        <v>734</v>
      </c>
    </row>
    <row r="594" spans="2:35" x14ac:dyDescent="0.25">
      <c r="B594" t="s">
        <v>1259</v>
      </c>
      <c r="C594" t="s">
        <v>200</v>
      </c>
      <c r="D594">
        <v>39313</v>
      </c>
      <c r="E594" t="s">
        <v>1260</v>
      </c>
      <c r="F594" t="s">
        <v>1347</v>
      </c>
      <c r="G594"/>
      <c r="H594" t="s">
        <v>1261</v>
      </c>
      <c r="I594"/>
      <c r="J594"/>
      <c r="K594"/>
      <c r="L594">
        <v>5</v>
      </c>
      <c r="M594">
        <v>213</v>
      </c>
      <c r="N594">
        <v>976</v>
      </c>
      <c r="O594">
        <v>2045</v>
      </c>
      <c r="P594">
        <v>4154</v>
      </c>
      <c r="Q594">
        <v>6366</v>
      </c>
      <c r="R594">
        <v>8603</v>
      </c>
      <c r="X594" t="s">
        <v>734</v>
      </c>
      <c r="Y594" t="s">
        <v>734</v>
      </c>
      <c r="Z594" t="s">
        <v>734</v>
      </c>
      <c r="AA594">
        <v>208</v>
      </c>
      <c r="AB594">
        <v>763</v>
      </c>
      <c r="AC594">
        <v>1069</v>
      </c>
      <c r="AD594">
        <v>2109</v>
      </c>
      <c r="AE594">
        <v>2212</v>
      </c>
      <c r="AF594">
        <v>2237</v>
      </c>
      <c r="AG594" s="2" t="s">
        <v>734</v>
      </c>
      <c r="AH594" s="2" t="s">
        <v>734</v>
      </c>
      <c r="AI594" s="2" t="s">
        <v>734</v>
      </c>
    </row>
    <row r="595" spans="2:35" x14ac:dyDescent="0.25">
      <c r="B595" t="s">
        <v>1118</v>
      </c>
      <c r="C595" t="s">
        <v>200</v>
      </c>
      <c r="D595">
        <v>39578</v>
      </c>
      <c r="E595" t="s">
        <v>1117</v>
      </c>
      <c r="F595" t="s">
        <v>1348</v>
      </c>
      <c r="G595"/>
      <c r="H595" t="s">
        <v>1119</v>
      </c>
      <c r="I595"/>
      <c r="J595">
        <v>5</v>
      </c>
      <c r="K595">
        <v>10</v>
      </c>
      <c r="L595">
        <v>41</v>
      </c>
      <c r="M595">
        <v>53</v>
      </c>
      <c r="N595">
        <v>60</v>
      </c>
      <c r="O595">
        <v>915</v>
      </c>
      <c r="P595">
        <v>2390</v>
      </c>
      <c r="Q595">
        <v>4048</v>
      </c>
      <c r="R595">
        <v>5507</v>
      </c>
      <c r="X595" t="s">
        <v>734</v>
      </c>
      <c r="Y595">
        <v>5</v>
      </c>
      <c r="Z595">
        <v>31</v>
      </c>
      <c r="AA595">
        <v>12</v>
      </c>
      <c r="AB595">
        <v>7</v>
      </c>
      <c r="AC595">
        <v>855</v>
      </c>
      <c r="AD595">
        <v>1475</v>
      </c>
      <c r="AE595">
        <v>1658</v>
      </c>
      <c r="AF595">
        <v>1459</v>
      </c>
      <c r="AG595" s="2" t="s">
        <v>734</v>
      </c>
      <c r="AH595" s="2" t="s">
        <v>734</v>
      </c>
      <c r="AI595" s="2" t="s">
        <v>734</v>
      </c>
    </row>
    <row r="596" spans="2:35" x14ac:dyDescent="0.25">
      <c r="B596" t="s">
        <v>748</v>
      </c>
      <c r="C596" t="s">
        <v>200</v>
      </c>
      <c r="D596">
        <v>39931</v>
      </c>
      <c r="E596" t="s">
        <v>208</v>
      </c>
      <c r="F596" t="s">
        <v>983</v>
      </c>
      <c r="G596" t="s">
        <v>861</v>
      </c>
      <c r="H596" t="s">
        <v>911</v>
      </c>
      <c r="I596">
        <v>3994</v>
      </c>
      <c r="J596">
        <v>4166</v>
      </c>
      <c r="K596">
        <v>4547</v>
      </c>
      <c r="L596">
        <v>5000</v>
      </c>
      <c r="M596">
        <v>5420</v>
      </c>
      <c r="N596">
        <v>5861</v>
      </c>
      <c r="O596">
        <v>6283</v>
      </c>
      <c r="P596">
        <v>6825</v>
      </c>
      <c r="Q596">
        <v>7469</v>
      </c>
      <c r="R596">
        <v>8065</v>
      </c>
      <c r="X596">
        <v>172</v>
      </c>
      <c r="Y596">
        <v>381</v>
      </c>
      <c r="Z596">
        <v>453</v>
      </c>
      <c r="AA596">
        <v>420</v>
      </c>
      <c r="AB596">
        <v>441</v>
      </c>
      <c r="AC596">
        <v>422</v>
      </c>
      <c r="AD596">
        <v>542</v>
      </c>
      <c r="AE596">
        <v>644</v>
      </c>
      <c r="AF596">
        <v>596</v>
      </c>
      <c r="AG596" s="2" t="s">
        <v>734</v>
      </c>
      <c r="AH596" s="2" t="s">
        <v>734</v>
      </c>
      <c r="AI596" s="2" t="s">
        <v>734</v>
      </c>
    </row>
    <row r="597" spans="2:35" x14ac:dyDescent="0.25">
      <c r="B597" t="s">
        <v>1047</v>
      </c>
      <c r="C597" t="s">
        <v>200</v>
      </c>
      <c r="D597">
        <v>39581</v>
      </c>
      <c r="E597" t="s">
        <v>1359</v>
      </c>
      <c r="F597" t="s">
        <v>1059</v>
      </c>
      <c r="G597"/>
      <c r="H597" t="s">
        <v>1194</v>
      </c>
      <c r="I597">
        <v>84197</v>
      </c>
      <c r="J597">
        <v>84197</v>
      </c>
      <c r="K597">
        <v>84197</v>
      </c>
      <c r="L597">
        <v>84197</v>
      </c>
      <c r="M597">
        <v>84197</v>
      </c>
      <c r="N597">
        <v>84197</v>
      </c>
      <c r="O597">
        <v>84197</v>
      </c>
      <c r="P597">
        <v>84197</v>
      </c>
      <c r="Q597">
        <v>0</v>
      </c>
      <c r="R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  <c r="AE597" t="s">
        <v>856</v>
      </c>
      <c r="AF597">
        <v>0</v>
      </c>
      <c r="AG597" s="2" t="s">
        <v>734</v>
      </c>
      <c r="AH597" s="2" t="s">
        <v>734</v>
      </c>
      <c r="AI597" s="2" t="s">
        <v>734</v>
      </c>
    </row>
    <row r="598" spans="2:35" x14ac:dyDescent="0.25">
      <c r="B598" t="s">
        <v>1047</v>
      </c>
      <c r="C598" t="s">
        <v>200</v>
      </c>
      <c r="D598">
        <v>30000</v>
      </c>
      <c r="E598" t="s">
        <v>1048</v>
      </c>
      <c r="F598" t="s">
        <v>984</v>
      </c>
      <c r="G598"/>
      <c r="H598" t="s">
        <v>1055</v>
      </c>
      <c r="I598"/>
      <c r="J598"/>
      <c r="K598"/>
      <c r="L598"/>
      <c r="M598"/>
      <c r="N598"/>
      <c r="O598"/>
      <c r="P598"/>
      <c r="Q598"/>
      <c r="R598"/>
      <c r="X598" t="s">
        <v>734</v>
      </c>
      <c r="Y598" t="s">
        <v>734</v>
      </c>
      <c r="Z598" t="s">
        <v>734</v>
      </c>
      <c r="AA598" t="s">
        <v>734</v>
      </c>
      <c r="AB598" t="s">
        <v>734</v>
      </c>
      <c r="AC598" t="s">
        <v>734</v>
      </c>
      <c r="AD598" t="s">
        <v>734</v>
      </c>
      <c r="AE598" t="s">
        <v>734</v>
      </c>
      <c r="AF598" t="s">
        <v>734</v>
      </c>
      <c r="AG598" s="2" t="s">
        <v>734</v>
      </c>
      <c r="AH598" s="2" t="s">
        <v>734</v>
      </c>
      <c r="AI598" s="2" t="s">
        <v>734</v>
      </c>
    </row>
    <row r="599" spans="2:35" x14ac:dyDescent="0.25">
      <c r="B599" t="s">
        <v>201</v>
      </c>
      <c r="C599" t="s">
        <v>200</v>
      </c>
      <c r="D599">
        <v>39439</v>
      </c>
      <c r="E599" t="s">
        <v>1049</v>
      </c>
      <c r="F599" t="s">
        <v>202</v>
      </c>
      <c r="G599"/>
      <c r="H599"/>
      <c r="I599">
        <v>6683</v>
      </c>
      <c r="J599">
        <v>6704</v>
      </c>
      <c r="K599">
        <v>6745</v>
      </c>
      <c r="L599">
        <v>6783</v>
      </c>
      <c r="M599">
        <v>6823</v>
      </c>
      <c r="N599">
        <v>6864</v>
      </c>
      <c r="O599">
        <v>6907</v>
      </c>
      <c r="P599">
        <v>6961</v>
      </c>
      <c r="Q599">
        <v>7014</v>
      </c>
      <c r="R599">
        <v>7064</v>
      </c>
      <c r="X599">
        <v>21</v>
      </c>
      <c r="Y599">
        <v>41</v>
      </c>
      <c r="Z599">
        <v>38</v>
      </c>
      <c r="AA599">
        <v>40</v>
      </c>
      <c r="AB599">
        <v>41</v>
      </c>
      <c r="AC599">
        <v>43</v>
      </c>
      <c r="AD599">
        <v>54</v>
      </c>
      <c r="AE599">
        <v>53</v>
      </c>
      <c r="AF599">
        <v>50</v>
      </c>
      <c r="AG599" s="2" t="s">
        <v>734</v>
      </c>
      <c r="AH599" s="2" t="s">
        <v>734</v>
      </c>
      <c r="AI599" s="2" t="s">
        <v>734</v>
      </c>
    </row>
    <row r="600" spans="2:35" x14ac:dyDescent="0.25">
      <c r="B600" t="s">
        <v>213</v>
      </c>
      <c r="C600" t="s">
        <v>200</v>
      </c>
      <c r="D600">
        <v>39793</v>
      </c>
      <c r="E600" t="s">
        <v>214</v>
      </c>
      <c r="F600" t="s">
        <v>215</v>
      </c>
      <c r="G600"/>
      <c r="H600"/>
      <c r="I600">
        <v>60847</v>
      </c>
      <c r="J600">
        <v>61214</v>
      </c>
      <c r="K600">
        <v>61993</v>
      </c>
      <c r="L600">
        <v>62778</v>
      </c>
      <c r="M600">
        <v>63556</v>
      </c>
      <c r="N600">
        <v>64336</v>
      </c>
      <c r="O600">
        <v>65074</v>
      </c>
      <c r="P600">
        <v>65902</v>
      </c>
      <c r="Q600">
        <v>66705</v>
      </c>
      <c r="R600">
        <v>67563</v>
      </c>
      <c r="X600">
        <v>367</v>
      </c>
      <c r="Y600">
        <v>779</v>
      </c>
      <c r="Z600">
        <v>785</v>
      </c>
      <c r="AA600">
        <v>778</v>
      </c>
      <c r="AB600">
        <v>780</v>
      </c>
      <c r="AC600">
        <v>738</v>
      </c>
      <c r="AD600">
        <v>828</v>
      </c>
      <c r="AE600">
        <v>803</v>
      </c>
      <c r="AF600">
        <v>858</v>
      </c>
      <c r="AG600" s="2" t="s">
        <v>734</v>
      </c>
      <c r="AH600" s="2" t="s">
        <v>734</v>
      </c>
      <c r="AI600" s="2" t="s">
        <v>734</v>
      </c>
    </row>
    <row r="601" spans="2:35" x14ac:dyDescent="0.25">
      <c r="B601" t="s">
        <v>206</v>
      </c>
      <c r="C601" t="s">
        <v>200</v>
      </c>
      <c r="D601">
        <v>150</v>
      </c>
      <c r="E601" t="s">
        <v>894</v>
      </c>
      <c r="F601" t="s">
        <v>101</v>
      </c>
      <c r="G601" t="s">
        <v>746</v>
      </c>
      <c r="H601"/>
      <c r="I601"/>
      <c r="J601"/>
      <c r="K601"/>
      <c r="L601"/>
      <c r="M601"/>
      <c r="N601"/>
      <c r="O601"/>
      <c r="P601"/>
      <c r="Q601"/>
      <c r="R601"/>
      <c r="X601" t="s">
        <v>734</v>
      </c>
      <c r="Y601" t="s">
        <v>734</v>
      </c>
      <c r="Z601" t="s">
        <v>734</v>
      </c>
      <c r="AA601" t="s">
        <v>734</v>
      </c>
      <c r="AB601" t="s">
        <v>734</v>
      </c>
      <c r="AC601" t="s">
        <v>734</v>
      </c>
      <c r="AD601" t="s">
        <v>734</v>
      </c>
      <c r="AE601" t="s">
        <v>734</v>
      </c>
      <c r="AF601" t="s">
        <v>734</v>
      </c>
      <c r="AG601" s="2" t="s">
        <v>734</v>
      </c>
      <c r="AH601" s="2" t="s">
        <v>734</v>
      </c>
      <c r="AI601" s="2" t="s">
        <v>734</v>
      </c>
    </row>
    <row r="602" spans="2:35" x14ac:dyDescent="0.25">
      <c r="B602" t="s">
        <v>207</v>
      </c>
      <c r="C602" t="s">
        <v>200</v>
      </c>
      <c r="D602">
        <v>39238</v>
      </c>
      <c r="E602" t="s">
        <v>208</v>
      </c>
      <c r="F602" t="s">
        <v>991</v>
      </c>
      <c r="G602"/>
      <c r="H602"/>
      <c r="I602">
        <v>154544</v>
      </c>
      <c r="J602">
        <v>155262</v>
      </c>
      <c r="K602">
        <v>156449</v>
      </c>
      <c r="L602">
        <v>157513</v>
      </c>
      <c r="M602">
        <v>158518</v>
      </c>
      <c r="N602">
        <v>159470</v>
      </c>
      <c r="O602">
        <v>160570</v>
      </c>
      <c r="P602">
        <v>162197</v>
      </c>
      <c r="Q602">
        <v>163836</v>
      </c>
      <c r="R602">
        <v>165433</v>
      </c>
      <c r="X602">
        <v>718</v>
      </c>
      <c r="Y602">
        <v>1187</v>
      </c>
      <c r="Z602">
        <v>1064</v>
      </c>
      <c r="AA602">
        <v>1005</v>
      </c>
      <c r="AB602">
        <v>952</v>
      </c>
      <c r="AC602">
        <v>1100</v>
      </c>
      <c r="AD602">
        <v>1627</v>
      </c>
      <c r="AE602">
        <v>1639</v>
      </c>
      <c r="AF602">
        <v>1597</v>
      </c>
      <c r="AG602" s="2" t="s">
        <v>734</v>
      </c>
      <c r="AH602" s="2" t="s">
        <v>734</v>
      </c>
      <c r="AI602" s="2" t="s">
        <v>734</v>
      </c>
    </row>
    <row r="603" spans="2:35" x14ac:dyDescent="0.25">
      <c r="B603" t="s">
        <v>209</v>
      </c>
      <c r="C603" t="s">
        <v>200</v>
      </c>
      <c r="D603">
        <v>39402</v>
      </c>
      <c r="E603" t="s">
        <v>210</v>
      </c>
      <c r="F603" t="s">
        <v>211</v>
      </c>
      <c r="G603"/>
      <c r="H603" t="s">
        <v>212</v>
      </c>
      <c r="I603"/>
      <c r="J603"/>
      <c r="K603"/>
      <c r="L603"/>
      <c r="M603"/>
      <c r="N603"/>
      <c r="O603"/>
      <c r="P603"/>
      <c r="Q603"/>
      <c r="R603"/>
      <c r="X603" t="s">
        <v>734</v>
      </c>
      <c r="Y603" t="s">
        <v>734</v>
      </c>
      <c r="Z603" t="s">
        <v>734</v>
      </c>
      <c r="AA603" t="s">
        <v>734</v>
      </c>
      <c r="AB603" t="s">
        <v>734</v>
      </c>
      <c r="AC603" t="s">
        <v>734</v>
      </c>
      <c r="AD603" t="s">
        <v>734</v>
      </c>
      <c r="AE603" t="s">
        <v>734</v>
      </c>
      <c r="AF603" t="s">
        <v>734</v>
      </c>
      <c r="AG603" s="2" t="s">
        <v>734</v>
      </c>
      <c r="AH603" s="2" t="s">
        <v>734</v>
      </c>
      <c r="AI603" s="2" t="s">
        <v>734</v>
      </c>
    </row>
    <row r="604" spans="2:35" x14ac:dyDescent="0.25">
      <c r="B604" t="s">
        <v>203</v>
      </c>
      <c r="C604" t="s">
        <v>200</v>
      </c>
      <c r="D604">
        <v>39340</v>
      </c>
      <c r="E604" t="s">
        <v>204</v>
      </c>
      <c r="F604" t="s">
        <v>990</v>
      </c>
      <c r="G604"/>
      <c r="H604" t="s">
        <v>205</v>
      </c>
      <c r="I604">
        <v>865824</v>
      </c>
      <c r="J604">
        <v>867693</v>
      </c>
      <c r="K604">
        <v>876330</v>
      </c>
      <c r="L604">
        <v>879116</v>
      </c>
      <c r="M604">
        <v>881764</v>
      </c>
      <c r="N604">
        <v>883489</v>
      </c>
      <c r="O604">
        <v>884949</v>
      </c>
      <c r="P604">
        <v>886940</v>
      </c>
      <c r="Q604">
        <v>888638</v>
      </c>
      <c r="R604">
        <v>891256</v>
      </c>
      <c r="X604">
        <v>1869</v>
      </c>
      <c r="Y604">
        <v>8637</v>
      </c>
      <c r="Z604">
        <v>2786</v>
      </c>
      <c r="AA604">
        <v>2648</v>
      </c>
      <c r="AB604">
        <v>1725</v>
      </c>
      <c r="AC604">
        <v>1460</v>
      </c>
      <c r="AD604">
        <v>1991</v>
      </c>
      <c r="AE604">
        <v>1698</v>
      </c>
      <c r="AF604">
        <v>2618</v>
      </c>
      <c r="AG604" s="2" t="s">
        <v>734</v>
      </c>
      <c r="AH604" s="2" t="s">
        <v>734</v>
      </c>
      <c r="AI604" s="2" t="s">
        <v>734</v>
      </c>
    </row>
    <row r="605" spans="2:35" x14ac:dyDescent="0.25">
      <c r="B605" t="s">
        <v>1240</v>
      </c>
      <c r="C605" t="s">
        <v>200</v>
      </c>
      <c r="D605">
        <v>131</v>
      </c>
      <c r="E605" t="s">
        <v>455</v>
      </c>
      <c r="F605" t="s">
        <v>47</v>
      </c>
      <c r="G605"/>
      <c r="H605"/>
      <c r="I605">
        <v>760982</v>
      </c>
      <c r="J605">
        <v>765081</v>
      </c>
      <c r="K605">
        <v>772681</v>
      </c>
      <c r="L605">
        <v>778927</v>
      </c>
      <c r="M605">
        <v>784917</v>
      </c>
      <c r="N605">
        <v>790745</v>
      </c>
      <c r="O605">
        <v>795800</v>
      </c>
      <c r="P605">
        <v>800813</v>
      </c>
      <c r="Q605">
        <v>805787</v>
      </c>
      <c r="R605">
        <v>812601</v>
      </c>
      <c r="X605">
        <v>4099</v>
      </c>
      <c r="Y605">
        <v>7600</v>
      </c>
      <c r="Z605">
        <v>6246</v>
      </c>
      <c r="AA605">
        <v>5990</v>
      </c>
      <c r="AB605">
        <v>5828</v>
      </c>
      <c r="AC605">
        <v>5055</v>
      </c>
      <c r="AD605">
        <v>5013</v>
      </c>
      <c r="AE605">
        <v>4974</v>
      </c>
      <c r="AF605">
        <v>6814</v>
      </c>
      <c r="AG605" s="2" t="s">
        <v>734</v>
      </c>
      <c r="AH605" s="2" t="s">
        <v>734</v>
      </c>
      <c r="AI605" s="2" t="s">
        <v>734</v>
      </c>
    </row>
    <row r="606" spans="2:35" x14ac:dyDescent="0.25">
      <c r="B606" t="s">
        <v>218</v>
      </c>
      <c r="C606" t="s">
        <v>200</v>
      </c>
      <c r="D606">
        <v>150</v>
      </c>
      <c r="E606" t="s">
        <v>895</v>
      </c>
      <c r="F606" t="s">
        <v>219</v>
      </c>
      <c r="G606" t="s">
        <v>220</v>
      </c>
      <c r="H606"/>
      <c r="I606">
        <v>17811</v>
      </c>
      <c r="J606">
        <v>17929</v>
      </c>
      <c r="K606">
        <v>18162</v>
      </c>
      <c r="L606">
        <v>18376</v>
      </c>
      <c r="M606">
        <v>18569</v>
      </c>
      <c r="N606">
        <v>18756</v>
      </c>
      <c r="O606">
        <v>18875</v>
      </c>
      <c r="P606">
        <v>19206</v>
      </c>
      <c r="Q606">
        <v>19430</v>
      </c>
      <c r="R606">
        <v>19684</v>
      </c>
      <c r="X606">
        <v>118</v>
      </c>
      <c r="Y606">
        <v>233</v>
      </c>
      <c r="Z606">
        <v>214</v>
      </c>
      <c r="AA606">
        <v>193</v>
      </c>
      <c r="AB606">
        <v>187</v>
      </c>
      <c r="AC606">
        <v>119</v>
      </c>
      <c r="AD606">
        <v>331</v>
      </c>
      <c r="AE606">
        <v>224</v>
      </c>
      <c r="AF606">
        <v>254</v>
      </c>
      <c r="AG606" s="2" t="s">
        <v>734</v>
      </c>
      <c r="AH606" s="2" t="s">
        <v>734</v>
      </c>
      <c r="AI606" s="2" t="s">
        <v>734</v>
      </c>
    </row>
    <row r="607" spans="2:35" x14ac:dyDescent="0.25">
      <c r="B607" t="s">
        <v>1056</v>
      </c>
      <c r="C607" t="s">
        <v>200</v>
      </c>
      <c r="F607"/>
      <c r="G607"/>
      <c r="H607" t="s">
        <v>1057</v>
      </c>
      <c r="I607"/>
      <c r="J607"/>
      <c r="K607"/>
      <c r="L607"/>
      <c r="M607"/>
      <c r="N607"/>
      <c r="O607"/>
      <c r="P607"/>
      <c r="Q607"/>
      <c r="R607"/>
      <c r="X607" t="s">
        <v>734</v>
      </c>
      <c r="Y607" t="s">
        <v>734</v>
      </c>
      <c r="Z607" t="s">
        <v>734</v>
      </c>
      <c r="AA607" t="s">
        <v>734</v>
      </c>
      <c r="AB607" t="s">
        <v>734</v>
      </c>
      <c r="AC607" t="s">
        <v>734</v>
      </c>
      <c r="AD607" t="s">
        <v>734</v>
      </c>
      <c r="AE607" t="s">
        <v>734</v>
      </c>
      <c r="AF607" t="s">
        <v>734</v>
      </c>
      <c r="AG607" s="2" t="s">
        <v>734</v>
      </c>
      <c r="AH607" s="2" t="s">
        <v>734</v>
      </c>
      <c r="AI607" s="2" t="s">
        <v>734</v>
      </c>
    </row>
    <row r="608" spans="2:35" x14ac:dyDescent="0.25">
      <c r="B608" t="s">
        <v>223</v>
      </c>
      <c r="C608" t="s">
        <v>221</v>
      </c>
      <c r="D608">
        <v>39132</v>
      </c>
      <c r="E608" t="s">
        <v>224</v>
      </c>
      <c r="F608" s="158" t="s">
        <v>1138</v>
      </c>
      <c r="I608" s="158">
        <v>444436</v>
      </c>
      <c r="J608" s="158">
        <v>447233</v>
      </c>
      <c r="K608" s="158">
        <v>452543</v>
      </c>
      <c r="L608" s="158">
        <v>457435</v>
      </c>
      <c r="M608" s="158">
        <v>462483</v>
      </c>
      <c r="N608" s="158">
        <v>467341</v>
      </c>
      <c r="O608" s="158">
        <v>472162</v>
      </c>
      <c r="P608" s="158">
        <v>477444</v>
      </c>
      <c r="Q608" s="158">
        <v>482668</v>
      </c>
      <c r="R608" s="158">
        <v>488026</v>
      </c>
      <c r="X608" s="2">
        <v>2797</v>
      </c>
      <c r="Y608" s="2">
        <v>5310</v>
      </c>
      <c r="Z608" s="2">
        <v>4892</v>
      </c>
      <c r="AA608" s="2">
        <v>5048</v>
      </c>
      <c r="AB608" s="2">
        <v>4858</v>
      </c>
      <c r="AC608" s="2">
        <v>4821</v>
      </c>
      <c r="AD608" s="2">
        <v>5282</v>
      </c>
      <c r="AE608" s="2">
        <v>5224</v>
      </c>
      <c r="AF608" s="2">
        <v>5358</v>
      </c>
      <c r="AG608" s="2" t="s">
        <v>734</v>
      </c>
      <c r="AH608" s="2" t="s">
        <v>734</v>
      </c>
      <c r="AI608" s="2" t="s">
        <v>734</v>
      </c>
    </row>
    <row r="609" spans="2:35" x14ac:dyDescent="0.25">
      <c r="B609" t="s">
        <v>225</v>
      </c>
      <c r="C609" t="s">
        <v>221</v>
      </c>
      <c r="D609">
        <v>39036</v>
      </c>
      <c r="E609" t="s">
        <v>226</v>
      </c>
      <c r="F609" s="158" t="s">
        <v>1139</v>
      </c>
      <c r="G609" s="158" t="s">
        <v>227</v>
      </c>
      <c r="I609" s="158">
        <v>1003020</v>
      </c>
      <c r="J609" s="158">
        <v>1005804</v>
      </c>
      <c r="K609" s="158">
        <v>1012894</v>
      </c>
      <c r="L609" s="158">
        <v>1018869</v>
      </c>
      <c r="M609" s="158">
        <v>1024754</v>
      </c>
      <c r="N609" s="158">
        <v>1034002</v>
      </c>
      <c r="O609" s="158">
        <v>1042559</v>
      </c>
      <c r="P609" s="158">
        <v>1044632</v>
      </c>
      <c r="Q609" s="158">
        <v>1045822</v>
      </c>
      <c r="R609" s="158">
        <v>1046101</v>
      </c>
      <c r="X609" s="2">
        <v>2784</v>
      </c>
      <c r="Y609" s="2">
        <v>7090</v>
      </c>
      <c r="Z609" s="2">
        <v>5975</v>
      </c>
      <c r="AA609" s="2">
        <v>5885</v>
      </c>
      <c r="AB609" s="2">
        <v>9248</v>
      </c>
      <c r="AC609" s="2">
        <v>8557</v>
      </c>
      <c r="AD609" s="2">
        <v>2073</v>
      </c>
      <c r="AE609" s="2">
        <v>1190</v>
      </c>
      <c r="AF609" s="2">
        <v>279</v>
      </c>
      <c r="AG609" s="2" t="s">
        <v>734</v>
      </c>
      <c r="AH609" s="2" t="s">
        <v>734</v>
      </c>
      <c r="AI609" s="2" t="s">
        <v>734</v>
      </c>
    </row>
    <row r="610" spans="2:35" x14ac:dyDescent="0.25">
      <c r="B610" t="s">
        <v>1319</v>
      </c>
      <c r="C610" t="s">
        <v>221</v>
      </c>
      <c r="D610">
        <v>1</v>
      </c>
      <c r="E610" t="s">
        <v>896</v>
      </c>
      <c r="F610" s="158" t="s">
        <v>293</v>
      </c>
      <c r="G610" s="158" t="s">
        <v>222</v>
      </c>
      <c r="I610" s="158">
        <v>827928</v>
      </c>
      <c r="J610" s="158">
        <v>835615</v>
      </c>
      <c r="K610" s="158">
        <v>853576</v>
      </c>
      <c r="L610" s="158">
        <v>869972</v>
      </c>
      <c r="M610" s="158">
        <v>886252</v>
      </c>
      <c r="N610" s="158">
        <v>905000</v>
      </c>
      <c r="O610" s="158">
        <v>923283</v>
      </c>
      <c r="P610" s="158">
        <v>934954</v>
      </c>
      <c r="Q610" s="158">
        <v>945684</v>
      </c>
      <c r="R610" s="158">
        <v>956128</v>
      </c>
      <c r="X610" s="2">
        <v>7687</v>
      </c>
      <c r="Y610" s="2">
        <v>17961</v>
      </c>
      <c r="Z610" s="2">
        <v>16396</v>
      </c>
      <c r="AA610" s="2">
        <v>16280</v>
      </c>
      <c r="AB610" s="2">
        <v>18748</v>
      </c>
      <c r="AC610" s="2">
        <v>18283</v>
      </c>
      <c r="AD610" s="2">
        <v>11671</v>
      </c>
      <c r="AE610" s="2">
        <v>10730</v>
      </c>
      <c r="AF610" s="2">
        <v>10444</v>
      </c>
      <c r="AG610" s="2" t="s">
        <v>734</v>
      </c>
      <c r="AH610" s="2" t="s">
        <v>734</v>
      </c>
      <c r="AI610" s="2" t="s">
        <v>734</v>
      </c>
    </row>
    <row r="611" spans="2:35" x14ac:dyDescent="0.25">
      <c r="B611" t="s">
        <v>1318</v>
      </c>
      <c r="C611" t="s">
        <v>221</v>
      </c>
      <c r="D611">
        <v>131</v>
      </c>
      <c r="E611" t="s">
        <v>455</v>
      </c>
      <c r="F611" s="158" t="s">
        <v>293</v>
      </c>
      <c r="G611" s="158" t="s">
        <v>162</v>
      </c>
      <c r="I611" s="158">
        <v>285911</v>
      </c>
      <c r="J611" s="158">
        <v>287897</v>
      </c>
      <c r="K611" s="158">
        <v>293218</v>
      </c>
      <c r="L611" s="158">
        <v>298532</v>
      </c>
      <c r="M611" s="158">
        <v>303652</v>
      </c>
      <c r="N611" s="158">
        <v>308000</v>
      </c>
      <c r="O611" s="158">
        <v>312796</v>
      </c>
      <c r="P611" s="158">
        <v>316895</v>
      </c>
      <c r="Q611" s="158">
        <v>320988</v>
      </c>
      <c r="R611" s="158">
        <v>325567</v>
      </c>
      <c r="X611" s="2">
        <v>1986</v>
      </c>
      <c r="Y611" s="2">
        <v>5321</v>
      </c>
      <c r="Z611" s="2">
        <v>5314</v>
      </c>
      <c r="AA611" s="2">
        <v>5120</v>
      </c>
      <c r="AB611" s="2">
        <v>4348</v>
      </c>
      <c r="AC611" s="2">
        <v>4796</v>
      </c>
      <c r="AD611" s="2">
        <v>4099</v>
      </c>
      <c r="AE611" s="2">
        <v>4093</v>
      </c>
      <c r="AF611" s="2">
        <v>4579</v>
      </c>
      <c r="AG611" s="2" t="s">
        <v>734</v>
      </c>
      <c r="AH611" s="2" t="s">
        <v>734</v>
      </c>
      <c r="AI611" s="2" t="s">
        <v>734</v>
      </c>
    </row>
    <row r="612" spans="2:35" x14ac:dyDescent="0.25">
      <c r="B612" t="s">
        <v>235</v>
      </c>
      <c r="C612" t="s">
        <v>228</v>
      </c>
      <c r="D612">
        <v>39381</v>
      </c>
      <c r="E612" t="s">
        <v>236</v>
      </c>
      <c r="F612" s="158" t="s">
        <v>231</v>
      </c>
      <c r="I612" s="158">
        <v>14872</v>
      </c>
      <c r="J612" s="158">
        <v>14958</v>
      </c>
      <c r="K612" s="158">
        <v>15135</v>
      </c>
      <c r="L612" s="158">
        <v>15280</v>
      </c>
      <c r="M612" s="158">
        <v>15385</v>
      </c>
      <c r="N612" s="158">
        <v>15526</v>
      </c>
      <c r="O612" s="158">
        <v>15724</v>
      </c>
      <c r="P612" s="158">
        <v>16071</v>
      </c>
      <c r="Q612" s="158">
        <v>16465</v>
      </c>
      <c r="R612" s="158">
        <v>16739</v>
      </c>
      <c r="X612" s="2">
        <v>86</v>
      </c>
      <c r="Y612" s="2">
        <v>177</v>
      </c>
      <c r="Z612" s="2">
        <v>145</v>
      </c>
      <c r="AA612" s="2">
        <v>105</v>
      </c>
      <c r="AB612" s="2">
        <v>141</v>
      </c>
      <c r="AC612" s="2">
        <v>198</v>
      </c>
      <c r="AD612" s="2">
        <v>347</v>
      </c>
      <c r="AE612" s="2">
        <v>394</v>
      </c>
      <c r="AF612" s="2">
        <v>274</v>
      </c>
      <c r="AG612" s="2" t="s">
        <v>734</v>
      </c>
      <c r="AH612" s="2" t="s">
        <v>734</v>
      </c>
      <c r="AI612" s="2" t="s">
        <v>734</v>
      </c>
    </row>
    <row r="613" spans="2:35" x14ac:dyDescent="0.25">
      <c r="B613" t="s">
        <v>237</v>
      </c>
      <c r="C613" t="s">
        <v>228</v>
      </c>
      <c r="D613">
        <v>140</v>
      </c>
      <c r="E613" t="s">
        <v>893</v>
      </c>
      <c r="F613" s="158" t="s">
        <v>231</v>
      </c>
      <c r="G613" s="158" t="s">
        <v>238</v>
      </c>
      <c r="I613" s="158">
        <v>62979</v>
      </c>
      <c r="J613" s="158">
        <v>63312</v>
      </c>
      <c r="K613" s="158">
        <v>63917</v>
      </c>
      <c r="L613" s="158">
        <v>64492</v>
      </c>
      <c r="M613" s="158">
        <v>65092</v>
      </c>
      <c r="N613" s="158">
        <v>65738</v>
      </c>
      <c r="O613" s="158">
        <v>66543</v>
      </c>
      <c r="P613" s="158">
        <v>67600</v>
      </c>
      <c r="Q613" s="158">
        <v>68550</v>
      </c>
      <c r="R613" s="158">
        <v>69359</v>
      </c>
      <c r="X613" s="2">
        <v>333</v>
      </c>
      <c r="Y613" s="2">
        <v>605</v>
      </c>
      <c r="Z613" s="2">
        <v>575</v>
      </c>
      <c r="AA613" s="2">
        <v>600</v>
      </c>
      <c r="AB613" s="2">
        <v>646</v>
      </c>
      <c r="AC613" s="2">
        <v>805</v>
      </c>
      <c r="AD613" s="2">
        <v>1057</v>
      </c>
      <c r="AE613" s="2">
        <v>950</v>
      </c>
      <c r="AF613" s="2">
        <v>809</v>
      </c>
      <c r="AG613" s="2" t="s">
        <v>734</v>
      </c>
      <c r="AH613" s="2" t="s">
        <v>734</v>
      </c>
      <c r="AI613" s="2" t="s">
        <v>734</v>
      </c>
    </row>
    <row r="614" spans="2:35" x14ac:dyDescent="0.25">
      <c r="B614" t="s">
        <v>229</v>
      </c>
      <c r="C614" t="s">
        <v>228</v>
      </c>
      <c r="D614">
        <v>39291</v>
      </c>
      <c r="E614" t="s">
        <v>230</v>
      </c>
      <c r="F614" s="158" t="s">
        <v>231</v>
      </c>
      <c r="G614" s="158" t="s">
        <v>232</v>
      </c>
      <c r="I614" s="158">
        <v>45070</v>
      </c>
      <c r="J614" s="158">
        <v>45311</v>
      </c>
      <c r="K614" s="158">
        <v>45886</v>
      </c>
      <c r="L614" s="158">
        <v>46361</v>
      </c>
      <c r="M614" s="158">
        <v>46760</v>
      </c>
      <c r="N614" s="158">
        <v>47098</v>
      </c>
      <c r="O614" s="158">
        <v>47557</v>
      </c>
      <c r="P614" s="158">
        <v>48246</v>
      </c>
      <c r="Q614" s="158">
        <v>48495</v>
      </c>
      <c r="R614" s="158">
        <v>49600</v>
      </c>
      <c r="X614" s="2">
        <v>241</v>
      </c>
      <c r="Y614" s="2">
        <v>575</v>
      </c>
      <c r="Z614" s="2">
        <v>475</v>
      </c>
      <c r="AA614" s="2">
        <v>399</v>
      </c>
      <c r="AB614" s="2">
        <v>338</v>
      </c>
      <c r="AC614" s="2">
        <v>459</v>
      </c>
      <c r="AD614" s="2">
        <v>689</v>
      </c>
      <c r="AE614" s="2">
        <v>249</v>
      </c>
      <c r="AF614" s="2">
        <v>1105</v>
      </c>
      <c r="AG614" s="2" t="s">
        <v>734</v>
      </c>
      <c r="AH614" s="2" t="s">
        <v>734</v>
      </c>
      <c r="AI614" s="2" t="s">
        <v>734</v>
      </c>
    </row>
    <row r="615" spans="2:35" x14ac:dyDescent="0.25">
      <c r="B615" t="s">
        <v>233</v>
      </c>
      <c r="C615" t="s">
        <v>228</v>
      </c>
      <c r="D615">
        <v>140</v>
      </c>
      <c r="E615" t="s">
        <v>900</v>
      </c>
      <c r="F615" s="158" t="s">
        <v>234</v>
      </c>
      <c r="I615" s="158">
        <v>508040</v>
      </c>
      <c r="J615" s="158">
        <v>511424</v>
      </c>
      <c r="K615" s="158">
        <v>518438</v>
      </c>
      <c r="L615" s="158">
        <v>524371</v>
      </c>
      <c r="M615" s="158">
        <v>528342</v>
      </c>
      <c r="N615" s="158">
        <v>531522</v>
      </c>
      <c r="O615" s="158">
        <v>535426</v>
      </c>
      <c r="P615" s="158">
        <v>541306</v>
      </c>
      <c r="Q615" s="158">
        <v>548319</v>
      </c>
      <c r="R615" s="158">
        <v>554939</v>
      </c>
      <c r="X615" s="2">
        <v>3384</v>
      </c>
      <c r="Y615" s="2">
        <v>7014</v>
      </c>
      <c r="Z615" s="2">
        <v>5933</v>
      </c>
      <c r="AA615" s="2">
        <v>3971</v>
      </c>
      <c r="AB615" s="2">
        <v>3180</v>
      </c>
      <c r="AC615" s="2">
        <v>3904</v>
      </c>
      <c r="AD615" s="2">
        <v>5880</v>
      </c>
      <c r="AE615" s="2">
        <v>7013</v>
      </c>
      <c r="AF615" s="2">
        <v>6620</v>
      </c>
      <c r="AG615" s="2" t="s">
        <v>734</v>
      </c>
      <c r="AH615" s="2" t="s">
        <v>734</v>
      </c>
      <c r="AI615" s="2" t="s">
        <v>734</v>
      </c>
    </row>
    <row r="616" spans="2:35" x14ac:dyDescent="0.25">
      <c r="B616" t="s">
        <v>818</v>
      </c>
      <c r="C616" t="s">
        <v>228</v>
      </c>
      <c r="D616">
        <v>142</v>
      </c>
      <c r="E616" t="s">
        <v>822</v>
      </c>
      <c r="F616" s="158" t="s">
        <v>1344</v>
      </c>
      <c r="G616" s="158" t="s">
        <v>820</v>
      </c>
      <c r="H616" s="158" t="s">
        <v>821</v>
      </c>
      <c r="O616" s="158">
        <v>3315</v>
      </c>
      <c r="P616" s="158">
        <v>3361</v>
      </c>
      <c r="Q616" s="158">
        <v>3413</v>
      </c>
      <c r="R616" s="158">
        <v>3467</v>
      </c>
      <c r="X616" s="2" t="s">
        <v>734</v>
      </c>
      <c r="Y616" s="2" t="s">
        <v>734</v>
      </c>
      <c r="Z616" s="2" t="s">
        <v>734</v>
      </c>
      <c r="AA616" s="2" t="s">
        <v>734</v>
      </c>
      <c r="AB616" s="2" t="s">
        <v>734</v>
      </c>
      <c r="AC616" s="2" t="s">
        <v>734</v>
      </c>
      <c r="AD616" s="2">
        <v>46</v>
      </c>
      <c r="AE616" s="2">
        <v>52</v>
      </c>
      <c r="AF616" s="2">
        <v>54</v>
      </c>
      <c r="AG616" s="2" t="s">
        <v>734</v>
      </c>
      <c r="AH616" s="2" t="s">
        <v>734</v>
      </c>
      <c r="AI616" s="2" t="s">
        <v>734</v>
      </c>
    </row>
    <row r="617" spans="2:35" x14ac:dyDescent="0.25">
      <c r="B617" t="s">
        <v>1321</v>
      </c>
      <c r="C617" t="s">
        <v>228</v>
      </c>
      <c r="D617">
        <v>131</v>
      </c>
      <c r="E617" t="s">
        <v>455</v>
      </c>
      <c r="F617" s="158" t="s">
        <v>47</v>
      </c>
      <c r="I617" s="158">
        <v>179810</v>
      </c>
      <c r="J617" s="158">
        <v>181116</v>
      </c>
      <c r="K617" s="158">
        <v>183542</v>
      </c>
      <c r="L617" s="158">
        <v>185631</v>
      </c>
      <c r="M617" s="158">
        <v>187634</v>
      </c>
      <c r="N617" s="158">
        <v>189000</v>
      </c>
      <c r="O617" s="158">
        <v>190832</v>
      </c>
      <c r="P617" s="158">
        <v>192414</v>
      </c>
      <c r="Q617" s="158">
        <v>194622</v>
      </c>
      <c r="R617" s="158">
        <v>197219</v>
      </c>
      <c r="X617" s="2">
        <v>1306</v>
      </c>
      <c r="Y617" s="2">
        <v>2426</v>
      </c>
      <c r="Z617" s="2">
        <v>2089</v>
      </c>
      <c r="AA617" s="2">
        <v>2003</v>
      </c>
      <c r="AB617" s="2">
        <v>1366</v>
      </c>
      <c r="AC617" s="2">
        <v>1832</v>
      </c>
      <c r="AD617" s="2">
        <v>1582</v>
      </c>
      <c r="AE617" s="2">
        <v>2208</v>
      </c>
      <c r="AF617" s="2">
        <v>2597</v>
      </c>
      <c r="AG617" s="2" t="s">
        <v>734</v>
      </c>
      <c r="AH617" s="2" t="s">
        <v>734</v>
      </c>
      <c r="AI617" s="2" t="s">
        <v>734</v>
      </c>
    </row>
    <row r="618" spans="2:35" x14ac:dyDescent="0.25">
      <c r="B618" t="s">
        <v>1349</v>
      </c>
      <c r="C618" t="s">
        <v>239</v>
      </c>
      <c r="D618">
        <v>131</v>
      </c>
      <c r="E618" t="s">
        <v>455</v>
      </c>
      <c r="F618" s="158" t="s">
        <v>47</v>
      </c>
      <c r="I618" s="158">
        <v>177515</v>
      </c>
      <c r="J618" s="158">
        <v>179926</v>
      </c>
      <c r="K618" s="158">
        <v>183841</v>
      </c>
      <c r="L618" s="158">
        <v>187157</v>
      </c>
      <c r="M618" s="158">
        <v>190743</v>
      </c>
      <c r="N618" s="158">
        <v>193000</v>
      </c>
      <c r="O618" s="158">
        <v>196195</v>
      </c>
      <c r="P618" s="158">
        <v>198451</v>
      </c>
      <c r="Q618" s="158">
        <v>198517</v>
      </c>
      <c r="R618" s="158">
        <v>198592</v>
      </c>
      <c r="X618" s="2">
        <v>2411</v>
      </c>
      <c r="Y618" s="2">
        <v>3915</v>
      </c>
      <c r="Z618" s="2">
        <v>3316</v>
      </c>
      <c r="AA618" s="2">
        <v>3586</v>
      </c>
      <c r="AB618" s="2">
        <v>2257</v>
      </c>
      <c r="AC618" s="2">
        <v>3195</v>
      </c>
      <c r="AD618" s="2">
        <v>2256</v>
      </c>
      <c r="AE618" s="2">
        <v>66</v>
      </c>
      <c r="AF618" s="2">
        <v>75</v>
      </c>
      <c r="AG618" s="2" t="s">
        <v>734</v>
      </c>
      <c r="AH618" s="2" t="s">
        <v>734</v>
      </c>
      <c r="AI618" s="2" t="s">
        <v>734</v>
      </c>
    </row>
    <row r="619" spans="2:35" x14ac:dyDescent="0.25">
      <c r="B619" t="s">
        <v>1302</v>
      </c>
      <c r="C619" t="s">
        <v>240</v>
      </c>
      <c r="D619">
        <v>39010</v>
      </c>
      <c r="E619" t="s">
        <v>452</v>
      </c>
      <c r="F619" s="158" t="s">
        <v>63</v>
      </c>
      <c r="G619" s="158" t="s">
        <v>453</v>
      </c>
      <c r="H619" s="158" t="s">
        <v>445</v>
      </c>
      <c r="I619" s="158">
        <v>3063</v>
      </c>
      <c r="J619" s="158">
        <v>3063</v>
      </c>
      <c r="K619" s="158">
        <v>3063</v>
      </c>
      <c r="L619" s="158">
        <v>3174</v>
      </c>
      <c r="M619" s="158">
        <v>3397</v>
      </c>
      <c r="N619" s="158">
        <v>3621</v>
      </c>
      <c r="O619" s="158">
        <v>3839</v>
      </c>
      <c r="P619" s="158">
        <v>4181</v>
      </c>
      <c r="Q619" s="158">
        <v>4508</v>
      </c>
      <c r="R619" s="158">
        <v>4840</v>
      </c>
      <c r="X619" s="2">
        <v>0</v>
      </c>
      <c r="Y619" s="2">
        <v>0</v>
      </c>
      <c r="Z619" s="2">
        <v>111</v>
      </c>
      <c r="AA619" s="2">
        <v>223</v>
      </c>
      <c r="AB619" s="2">
        <v>224</v>
      </c>
      <c r="AC619" s="2">
        <v>218</v>
      </c>
      <c r="AD619" s="2">
        <v>342</v>
      </c>
      <c r="AE619" s="2">
        <v>327</v>
      </c>
      <c r="AF619" s="2">
        <v>332</v>
      </c>
      <c r="AG619" s="2" t="s">
        <v>734</v>
      </c>
      <c r="AH619" s="2" t="s">
        <v>734</v>
      </c>
      <c r="AI619" s="2" t="s">
        <v>734</v>
      </c>
    </row>
    <row r="620" spans="2:35" x14ac:dyDescent="0.25">
      <c r="B620" t="s">
        <v>241</v>
      </c>
      <c r="C620" t="s">
        <v>240</v>
      </c>
      <c r="D620">
        <v>39361</v>
      </c>
      <c r="E620" t="s">
        <v>242</v>
      </c>
      <c r="F620" s="158" t="s">
        <v>38</v>
      </c>
      <c r="G620" s="158" t="s">
        <v>243</v>
      </c>
      <c r="I620" s="158">
        <v>53279</v>
      </c>
      <c r="J620" s="158">
        <v>53466</v>
      </c>
      <c r="K620" s="158">
        <v>53971</v>
      </c>
      <c r="L620" s="158">
        <v>54335</v>
      </c>
      <c r="M620" s="158">
        <v>54577</v>
      </c>
      <c r="N620" s="158">
        <v>54735</v>
      </c>
      <c r="O620" s="158">
        <v>54969</v>
      </c>
      <c r="P620" s="158">
        <v>55583</v>
      </c>
      <c r="Q620" s="158">
        <v>56309</v>
      </c>
      <c r="R620" s="158">
        <v>56901</v>
      </c>
      <c r="X620" s="2">
        <v>187</v>
      </c>
      <c r="Y620" s="2">
        <v>505</v>
      </c>
      <c r="Z620" s="2">
        <v>364</v>
      </c>
      <c r="AA620" s="2">
        <v>242</v>
      </c>
      <c r="AB620" s="2">
        <v>158</v>
      </c>
      <c r="AC620" s="2">
        <v>234</v>
      </c>
      <c r="AD620" s="2">
        <v>614</v>
      </c>
      <c r="AE620" s="2">
        <v>726</v>
      </c>
      <c r="AF620" s="2">
        <v>592</v>
      </c>
      <c r="AG620" s="2" t="s">
        <v>734</v>
      </c>
      <c r="AH620" s="2" t="s">
        <v>734</v>
      </c>
      <c r="AI620" s="2" t="s">
        <v>734</v>
      </c>
    </row>
    <row r="621" spans="2:35" x14ac:dyDescent="0.25">
      <c r="B621">
        <v>71300126545</v>
      </c>
      <c r="C621" t="s">
        <v>244</v>
      </c>
      <c r="D621">
        <v>39314</v>
      </c>
      <c r="E621" t="s">
        <v>250</v>
      </c>
      <c r="F621" s="158" t="s">
        <v>765</v>
      </c>
      <c r="G621" s="158" t="s">
        <v>252</v>
      </c>
      <c r="I621" s="158">
        <v>124884</v>
      </c>
      <c r="J621" s="158">
        <v>125680</v>
      </c>
      <c r="K621" s="158">
        <v>126438</v>
      </c>
      <c r="L621" s="158">
        <v>128584</v>
      </c>
      <c r="M621" s="158">
        <v>130937</v>
      </c>
      <c r="N621" s="158">
        <v>131824</v>
      </c>
      <c r="O621" s="158">
        <v>132591</v>
      </c>
      <c r="P621" s="158">
        <v>133354</v>
      </c>
      <c r="Q621" s="158">
        <v>134421</v>
      </c>
      <c r="R621" s="158">
        <v>137141</v>
      </c>
      <c r="X621" s="2">
        <v>796</v>
      </c>
      <c r="Y621" s="2">
        <v>758</v>
      </c>
      <c r="Z621" s="2">
        <v>2146</v>
      </c>
      <c r="AA621" s="2">
        <v>2353</v>
      </c>
      <c r="AB621" s="2">
        <v>887</v>
      </c>
      <c r="AC621" s="2">
        <v>767</v>
      </c>
      <c r="AD621" s="2">
        <v>763</v>
      </c>
      <c r="AE621" s="2">
        <v>1067</v>
      </c>
      <c r="AF621" s="2">
        <v>2720</v>
      </c>
      <c r="AG621" s="2" t="s">
        <v>734</v>
      </c>
      <c r="AH621" s="2" t="s">
        <v>734</v>
      </c>
      <c r="AI621" s="2" t="s">
        <v>734</v>
      </c>
    </row>
    <row r="622" spans="2:35" x14ac:dyDescent="0.25">
      <c r="B622">
        <v>71300126550</v>
      </c>
      <c r="C622" t="s">
        <v>244</v>
      </c>
      <c r="D622">
        <v>39028</v>
      </c>
      <c r="E622" t="s">
        <v>246</v>
      </c>
      <c r="F622" s="158" t="s">
        <v>766</v>
      </c>
      <c r="G622" s="158" t="s">
        <v>254</v>
      </c>
      <c r="I622" s="158">
        <v>400788</v>
      </c>
      <c r="J622" s="158">
        <v>403064</v>
      </c>
      <c r="K622" s="158">
        <v>405597</v>
      </c>
      <c r="L622" s="158">
        <v>408286</v>
      </c>
      <c r="M622" s="158">
        <v>411049</v>
      </c>
      <c r="N622" s="158">
        <v>413492</v>
      </c>
      <c r="O622" s="158">
        <v>415633</v>
      </c>
      <c r="P622" s="158">
        <v>417761</v>
      </c>
      <c r="Q622" s="158">
        <v>419810</v>
      </c>
      <c r="R622" s="158">
        <v>422441</v>
      </c>
      <c r="X622" s="2">
        <v>2276</v>
      </c>
      <c r="Y622" s="2">
        <v>2533</v>
      </c>
      <c r="Z622" s="2">
        <v>2689</v>
      </c>
      <c r="AA622" s="2">
        <v>2763</v>
      </c>
      <c r="AB622" s="2">
        <v>2443</v>
      </c>
      <c r="AC622" s="2">
        <v>2141</v>
      </c>
      <c r="AD622" s="2">
        <v>2128</v>
      </c>
      <c r="AE622" s="2">
        <v>2049</v>
      </c>
      <c r="AF622" s="2">
        <v>2631</v>
      </c>
      <c r="AG622" s="2" t="s">
        <v>734</v>
      </c>
      <c r="AH622" s="2" t="s">
        <v>734</v>
      </c>
      <c r="AI622" s="2" t="s">
        <v>734</v>
      </c>
    </row>
    <row r="623" spans="2:35" x14ac:dyDescent="0.25">
      <c r="B623">
        <v>71300126611</v>
      </c>
      <c r="C623" t="s">
        <v>244</v>
      </c>
      <c r="D623">
        <v>39038</v>
      </c>
      <c r="E623" t="s">
        <v>246</v>
      </c>
      <c r="F623" s="158" t="s">
        <v>767</v>
      </c>
      <c r="G623" s="158" t="s">
        <v>256</v>
      </c>
      <c r="I623" s="158">
        <v>364694</v>
      </c>
      <c r="J623" s="158">
        <v>364804</v>
      </c>
      <c r="K623" s="158">
        <v>364808</v>
      </c>
      <c r="L623" s="158">
        <v>364808</v>
      </c>
      <c r="M623" s="158">
        <v>364808</v>
      </c>
      <c r="N623" s="158">
        <v>364808</v>
      </c>
      <c r="O623" s="158">
        <v>364808</v>
      </c>
      <c r="P623" s="158">
        <v>364984</v>
      </c>
      <c r="Q623" s="158">
        <v>365324</v>
      </c>
      <c r="R623" s="158">
        <v>365533</v>
      </c>
      <c r="X623" s="2">
        <v>110</v>
      </c>
      <c r="Y623" s="2">
        <v>4</v>
      </c>
      <c r="Z623" s="2">
        <v>0</v>
      </c>
      <c r="AA623" s="2">
        <v>0</v>
      </c>
      <c r="AB623" s="2">
        <v>0</v>
      </c>
      <c r="AC623" s="2">
        <v>0</v>
      </c>
      <c r="AD623" s="2">
        <v>176</v>
      </c>
      <c r="AE623" s="2">
        <v>340</v>
      </c>
      <c r="AF623" s="2">
        <v>209</v>
      </c>
      <c r="AG623" s="2" t="s">
        <v>734</v>
      </c>
      <c r="AH623" s="2" t="s">
        <v>734</v>
      </c>
      <c r="AI623" s="2" t="s">
        <v>734</v>
      </c>
    </row>
    <row r="624" spans="2:35" x14ac:dyDescent="0.25">
      <c r="B624">
        <v>71300126612</v>
      </c>
      <c r="C624" t="s">
        <v>244</v>
      </c>
      <c r="D624">
        <v>39139</v>
      </c>
      <c r="E624" t="s">
        <v>250</v>
      </c>
      <c r="F624" s="158" t="s">
        <v>768</v>
      </c>
      <c r="G624" s="158" t="s">
        <v>251</v>
      </c>
      <c r="I624" s="158">
        <v>193943</v>
      </c>
      <c r="J624" s="158">
        <v>194282</v>
      </c>
      <c r="K624" s="158">
        <v>195196</v>
      </c>
      <c r="L624" s="158">
        <v>196191</v>
      </c>
      <c r="M624" s="158">
        <v>198076</v>
      </c>
      <c r="N624" s="158">
        <v>199835</v>
      </c>
      <c r="O624" s="158">
        <v>201372</v>
      </c>
      <c r="P624" s="158">
        <v>202425</v>
      </c>
      <c r="Q624" s="158">
        <v>203899</v>
      </c>
      <c r="R624" s="158">
        <v>205770</v>
      </c>
      <c r="X624" s="2">
        <v>339</v>
      </c>
      <c r="Y624" s="2">
        <v>914</v>
      </c>
      <c r="Z624" s="2">
        <v>995</v>
      </c>
      <c r="AA624" s="2">
        <v>1885</v>
      </c>
      <c r="AB624" s="2">
        <v>1759</v>
      </c>
      <c r="AC624" s="2">
        <v>1537</v>
      </c>
      <c r="AD624" s="2">
        <v>1053</v>
      </c>
      <c r="AE624" s="2">
        <v>1474</v>
      </c>
      <c r="AF624" s="2">
        <v>1871</v>
      </c>
      <c r="AG624" s="2" t="s">
        <v>734</v>
      </c>
      <c r="AH624" s="2" t="s">
        <v>734</v>
      </c>
      <c r="AI624" s="2" t="s">
        <v>734</v>
      </c>
    </row>
    <row r="625" spans="2:35" x14ac:dyDescent="0.25">
      <c r="B625">
        <v>71300126614</v>
      </c>
      <c r="C625" t="s">
        <v>244</v>
      </c>
      <c r="D625">
        <v>39037</v>
      </c>
      <c r="E625" t="s">
        <v>246</v>
      </c>
      <c r="F625" s="158" t="s">
        <v>769</v>
      </c>
      <c r="G625" s="158" t="s">
        <v>255</v>
      </c>
      <c r="I625" s="158">
        <v>378820</v>
      </c>
      <c r="J625" s="158">
        <v>380502</v>
      </c>
      <c r="K625" s="158">
        <v>382451</v>
      </c>
      <c r="L625" s="158">
        <v>384663</v>
      </c>
      <c r="M625" s="158">
        <v>386868</v>
      </c>
      <c r="N625" s="158">
        <v>388854</v>
      </c>
      <c r="O625" s="158">
        <v>390040</v>
      </c>
      <c r="P625" s="158">
        <v>390162</v>
      </c>
      <c r="Q625" s="158">
        <v>391990</v>
      </c>
      <c r="R625" s="158">
        <v>394307</v>
      </c>
      <c r="X625" s="2">
        <v>1682</v>
      </c>
      <c r="Y625" s="2">
        <v>1949</v>
      </c>
      <c r="Z625" s="2">
        <v>2212</v>
      </c>
      <c r="AA625" s="2">
        <v>2205</v>
      </c>
      <c r="AB625" s="2">
        <v>1986</v>
      </c>
      <c r="AC625" s="2">
        <v>1186</v>
      </c>
      <c r="AD625" s="2">
        <v>122</v>
      </c>
      <c r="AE625" s="2">
        <v>1828</v>
      </c>
      <c r="AF625" s="2">
        <v>2317</v>
      </c>
      <c r="AG625" s="2" t="s">
        <v>734</v>
      </c>
      <c r="AH625" s="2" t="s">
        <v>734</v>
      </c>
      <c r="AI625" s="2" t="s">
        <v>734</v>
      </c>
    </row>
    <row r="626" spans="2:35" x14ac:dyDescent="0.25">
      <c r="B626">
        <v>71300126675</v>
      </c>
      <c r="C626" t="s">
        <v>244</v>
      </c>
      <c r="D626">
        <v>39024</v>
      </c>
      <c r="E626" t="s">
        <v>246</v>
      </c>
      <c r="F626" s="158" t="s">
        <v>770</v>
      </c>
      <c r="G626" s="158" t="s">
        <v>249</v>
      </c>
      <c r="I626" s="158">
        <v>178063</v>
      </c>
      <c r="J626" s="158">
        <v>179137</v>
      </c>
      <c r="K626" s="158">
        <v>180991</v>
      </c>
      <c r="L626" s="158">
        <v>182454</v>
      </c>
      <c r="M626" s="158">
        <v>183892</v>
      </c>
      <c r="N626" s="158">
        <v>185160</v>
      </c>
      <c r="O626" s="158">
        <v>185967</v>
      </c>
      <c r="P626" s="158">
        <v>186004</v>
      </c>
      <c r="Q626" s="158">
        <v>186565</v>
      </c>
      <c r="R626" s="158">
        <v>187285</v>
      </c>
      <c r="X626" s="2">
        <v>1074</v>
      </c>
      <c r="Y626" s="2">
        <v>1854</v>
      </c>
      <c r="Z626" s="2">
        <v>1463</v>
      </c>
      <c r="AA626" s="2">
        <v>1438</v>
      </c>
      <c r="AB626" s="2">
        <v>1268</v>
      </c>
      <c r="AC626" s="2">
        <v>807</v>
      </c>
      <c r="AD626" s="2">
        <v>37</v>
      </c>
      <c r="AE626" s="2">
        <v>561</v>
      </c>
      <c r="AF626" s="2">
        <v>720</v>
      </c>
      <c r="AG626" s="2" t="s">
        <v>734</v>
      </c>
      <c r="AH626" s="2" t="s">
        <v>734</v>
      </c>
      <c r="AI626" s="2" t="s">
        <v>734</v>
      </c>
    </row>
    <row r="627" spans="2:35" x14ac:dyDescent="0.25">
      <c r="B627">
        <v>71300126679</v>
      </c>
      <c r="C627" t="s">
        <v>244</v>
      </c>
      <c r="D627">
        <v>39019</v>
      </c>
      <c r="E627" t="s">
        <v>246</v>
      </c>
      <c r="F627" s="158" t="s">
        <v>771</v>
      </c>
      <c r="G627" s="158" t="s">
        <v>248</v>
      </c>
      <c r="I627" s="158">
        <v>239052</v>
      </c>
      <c r="J627" s="158">
        <v>241319</v>
      </c>
      <c r="K627" s="158">
        <v>243472</v>
      </c>
      <c r="L627" s="158">
        <v>246448</v>
      </c>
      <c r="M627" s="158">
        <v>249488</v>
      </c>
      <c r="N627" s="158">
        <v>252149</v>
      </c>
      <c r="O627" s="158">
        <v>254346</v>
      </c>
      <c r="P627" s="158">
        <v>256114</v>
      </c>
      <c r="Q627" s="158">
        <v>258458</v>
      </c>
      <c r="R627" s="158">
        <v>261467</v>
      </c>
      <c r="X627" s="2">
        <v>2267</v>
      </c>
      <c r="Y627" s="2">
        <v>2153</v>
      </c>
      <c r="Z627" s="2">
        <v>2976</v>
      </c>
      <c r="AA627" s="2">
        <v>3040</v>
      </c>
      <c r="AB627" s="2">
        <v>2661</v>
      </c>
      <c r="AC627" s="2">
        <v>2197</v>
      </c>
      <c r="AD627" s="2">
        <v>1768</v>
      </c>
      <c r="AE627" s="2">
        <v>2344</v>
      </c>
      <c r="AF627" s="2">
        <v>3009</v>
      </c>
      <c r="AG627" s="2" t="s">
        <v>734</v>
      </c>
      <c r="AH627" s="2" t="s">
        <v>734</v>
      </c>
      <c r="AI627" s="2" t="s">
        <v>734</v>
      </c>
    </row>
    <row r="628" spans="2:35" x14ac:dyDescent="0.25">
      <c r="B628">
        <v>71300126840</v>
      </c>
      <c r="C628" t="s">
        <v>244</v>
      </c>
      <c r="D628">
        <v>39140</v>
      </c>
      <c r="E628" t="s">
        <v>250</v>
      </c>
      <c r="F628" s="158" t="s">
        <v>772</v>
      </c>
      <c r="G628" s="158" t="s">
        <v>253</v>
      </c>
      <c r="I628" s="158">
        <v>321707</v>
      </c>
      <c r="J628" s="158">
        <v>321755</v>
      </c>
      <c r="K628" s="158">
        <v>322144</v>
      </c>
      <c r="L628" s="158">
        <v>322696</v>
      </c>
      <c r="M628" s="158">
        <v>324176</v>
      </c>
      <c r="N628" s="158">
        <v>324724</v>
      </c>
      <c r="O628" s="158">
        <v>324770</v>
      </c>
      <c r="P628" s="158">
        <v>324888</v>
      </c>
      <c r="Q628" s="158">
        <v>326160</v>
      </c>
      <c r="R628" s="158">
        <v>327781</v>
      </c>
      <c r="X628" s="2">
        <v>48</v>
      </c>
      <c r="Y628" s="2">
        <v>389</v>
      </c>
      <c r="Z628" s="2">
        <v>552</v>
      </c>
      <c r="AA628" s="2">
        <v>1480</v>
      </c>
      <c r="AB628" s="2">
        <v>548</v>
      </c>
      <c r="AC628" s="2">
        <v>46</v>
      </c>
      <c r="AD628" s="2">
        <v>118</v>
      </c>
      <c r="AE628" s="2">
        <v>1272</v>
      </c>
      <c r="AF628" s="2">
        <v>1621</v>
      </c>
      <c r="AG628" s="2" t="s">
        <v>734</v>
      </c>
      <c r="AH628" s="2" t="s">
        <v>734</v>
      </c>
      <c r="AI628" s="2" t="s">
        <v>734</v>
      </c>
    </row>
    <row r="629" spans="2:35" x14ac:dyDescent="0.25">
      <c r="B629">
        <v>71300126846</v>
      </c>
      <c r="C629" t="s">
        <v>244</v>
      </c>
      <c r="D629">
        <v>39005</v>
      </c>
      <c r="E629" t="s">
        <v>246</v>
      </c>
      <c r="F629" s="158" t="s">
        <v>773</v>
      </c>
      <c r="G629" s="158" t="s">
        <v>247</v>
      </c>
      <c r="I629" s="158">
        <v>194554</v>
      </c>
      <c r="J629" s="158">
        <v>195283</v>
      </c>
      <c r="K629" s="158">
        <v>196512</v>
      </c>
      <c r="L629" s="158">
        <v>197418</v>
      </c>
      <c r="M629" s="158">
        <v>198315</v>
      </c>
      <c r="N629" s="158">
        <v>199136</v>
      </c>
      <c r="O629" s="158">
        <v>199857</v>
      </c>
      <c r="P629" s="158">
        <v>200585</v>
      </c>
      <c r="Q629" s="158">
        <v>201287</v>
      </c>
      <c r="R629" s="158">
        <v>202194</v>
      </c>
      <c r="X629" s="2">
        <v>729</v>
      </c>
      <c r="Y629" s="2">
        <v>1229</v>
      </c>
      <c r="Z629" s="2">
        <v>906</v>
      </c>
      <c r="AA629" s="2">
        <v>897</v>
      </c>
      <c r="AB629" s="2">
        <v>821</v>
      </c>
      <c r="AC629" s="2">
        <v>721</v>
      </c>
      <c r="AD629" s="2">
        <v>728</v>
      </c>
      <c r="AE629" s="2">
        <v>702</v>
      </c>
      <c r="AF629" s="2">
        <v>907</v>
      </c>
      <c r="AG629" s="2" t="s">
        <v>734</v>
      </c>
      <c r="AH629" s="2" t="s">
        <v>734</v>
      </c>
      <c r="AI629" s="2" t="s">
        <v>734</v>
      </c>
    </row>
    <row r="630" spans="2:35" x14ac:dyDescent="0.25">
      <c r="B630">
        <v>116104</v>
      </c>
      <c r="C630" t="s">
        <v>257</v>
      </c>
      <c r="D630">
        <v>39303</v>
      </c>
      <c r="E630" t="s">
        <v>250</v>
      </c>
      <c r="F630" s="158" t="s">
        <v>767</v>
      </c>
      <c r="G630" s="158" t="s">
        <v>271</v>
      </c>
      <c r="I630" s="158">
        <v>319807</v>
      </c>
      <c r="J630" s="158">
        <v>321306</v>
      </c>
      <c r="K630" s="158">
        <v>323674</v>
      </c>
      <c r="L630" s="158">
        <v>325453</v>
      </c>
      <c r="M630" s="158">
        <v>327018</v>
      </c>
      <c r="N630" s="158">
        <v>329534</v>
      </c>
      <c r="O630" s="158">
        <v>329866</v>
      </c>
      <c r="P630" s="158">
        <v>331178</v>
      </c>
      <c r="Q630" s="158">
        <v>332586</v>
      </c>
      <c r="R630" s="158">
        <v>334123</v>
      </c>
      <c r="X630" s="2">
        <v>1499</v>
      </c>
      <c r="Y630" s="2">
        <v>2368</v>
      </c>
      <c r="Z630" s="2">
        <v>1779</v>
      </c>
      <c r="AA630" s="2">
        <v>1565</v>
      </c>
      <c r="AB630" s="2">
        <v>2516</v>
      </c>
      <c r="AC630" s="2">
        <v>332</v>
      </c>
      <c r="AD630" s="2">
        <v>1312</v>
      </c>
      <c r="AE630" s="2">
        <v>1408</v>
      </c>
      <c r="AF630" s="2">
        <v>1537</v>
      </c>
      <c r="AG630" s="2" t="s">
        <v>734</v>
      </c>
      <c r="AH630" s="2" t="s">
        <v>734</v>
      </c>
      <c r="AI630" s="2" t="s">
        <v>734</v>
      </c>
    </row>
    <row r="631" spans="2:35" x14ac:dyDescent="0.25">
      <c r="B631">
        <v>116446</v>
      </c>
      <c r="C631" t="s">
        <v>257</v>
      </c>
      <c r="D631">
        <v>39319</v>
      </c>
      <c r="E631" t="s">
        <v>250</v>
      </c>
      <c r="F631" s="158" t="s">
        <v>771</v>
      </c>
      <c r="G631" s="158" t="s">
        <v>264</v>
      </c>
      <c r="I631" s="158">
        <v>186195</v>
      </c>
      <c r="J631" s="158">
        <v>186945</v>
      </c>
      <c r="K631" s="158">
        <v>188216</v>
      </c>
      <c r="L631" s="158">
        <v>189210</v>
      </c>
      <c r="M631" s="158">
        <v>190148</v>
      </c>
      <c r="N631" s="158">
        <v>190848</v>
      </c>
      <c r="O631" s="158">
        <v>191552</v>
      </c>
      <c r="P631" s="158">
        <v>192376</v>
      </c>
      <c r="Q631" s="158">
        <v>193334</v>
      </c>
      <c r="R631" s="158">
        <v>194549</v>
      </c>
      <c r="X631" s="2">
        <v>750</v>
      </c>
      <c r="Y631" s="2">
        <v>1271</v>
      </c>
      <c r="Z631" s="2">
        <v>994</v>
      </c>
      <c r="AA631" s="2">
        <v>938</v>
      </c>
      <c r="AB631" s="2">
        <v>700</v>
      </c>
      <c r="AC631" s="2">
        <v>704</v>
      </c>
      <c r="AD631" s="2">
        <v>824</v>
      </c>
      <c r="AE631" s="2">
        <v>958</v>
      </c>
      <c r="AF631" s="2">
        <v>1215</v>
      </c>
      <c r="AG631" s="2" t="s">
        <v>734</v>
      </c>
      <c r="AH631" s="2" t="s">
        <v>734</v>
      </c>
      <c r="AI631" s="2" t="s">
        <v>734</v>
      </c>
    </row>
    <row r="632" spans="2:35" x14ac:dyDescent="0.25">
      <c r="B632">
        <v>116498</v>
      </c>
      <c r="C632" t="s">
        <v>257</v>
      </c>
      <c r="D632">
        <v>39320</v>
      </c>
      <c r="E632" t="s">
        <v>250</v>
      </c>
      <c r="F632" s="158" t="s">
        <v>770</v>
      </c>
      <c r="G632" s="158" t="s">
        <v>265</v>
      </c>
      <c r="I632" s="158">
        <v>167101</v>
      </c>
      <c r="J632" s="158">
        <v>168178</v>
      </c>
      <c r="K632" s="158">
        <v>170020</v>
      </c>
      <c r="L632" s="158">
        <v>171564</v>
      </c>
      <c r="M632" s="158">
        <v>172937</v>
      </c>
      <c r="N632" s="158">
        <v>174272</v>
      </c>
      <c r="O632" s="158">
        <v>175459</v>
      </c>
      <c r="P632" s="158">
        <v>176662</v>
      </c>
      <c r="Q632" s="158">
        <v>177868</v>
      </c>
      <c r="R632" s="158">
        <v>179383</v>
      </c>
      <c r="X632" s="2">
        <v>1077</v>
      </c>
      <c r="Y632" s="2">
        <v>1842</v>
      </c>
      <c r="Z632" s="2">
        <v>1544</v>
      </c>
      <c r="AA632" s="2">
        <v>1373</v>
      </c>
      <c r="AB632" s="2">
        <v>1335</v>
      </c>
      <c r="AC632" s="2">
        <v>1187</v>
      </c>
      <c r="AD632" s="2">
        <v>1203</v>
      </c>
      <c r="AE632" s="2">
        <v>1206</v>
      </c>
      <c r="AF632" s="2">
        <v>1515</v>
      </c>
      <c r="AG632" s="2" t="s">
        <v>734</v>
      </c>
      <c r="AH632" s="2" t="s">
        <v>734</v>
      </c>
      <c r="AI632" s="2" t="s">
        <v>734</v>
      </c>
    </row>
    <row r="633" spans="2:35" x14ac:dyDescent="0.25">
      <c r="B633">
        <v>126610</v>
      </c>
      <c r="C633" t="s">
        <v>257</v>
      </c>
      <c r="D633">
        <v>39321</v>
      </c>
      <c r="E633" t="s">
        <v>250</v>
      </c>
      <c r="F633" s="158" t="s">
        <v>768</v>
      </c>
      <c r="G633" s="158" t="s">
        <v>266</v>
      </c>
      <c r="I633" s="158">
        <v>163880</v>
      </c>
      <c r="J633" s="158">
        <v>164974</v>
      </c>
      <c r="K633" s="158">
        <v>166217</v>
      </c>
      <c r="L633" s="158">
        <v>167258</v>
      </c>
      <c r="M633" s="158">
        <v>168184</v>
      </c>
      <c r="N633" s="158">
        <v>169081</v>
      </c>
      <c r="O633" s="158">
        <v>169874</v>
      </c>
      <c r="P633" s="158">
        <v>170678</v>
      </c>
      <c r="Q633" s="158">
        <v>171969</v>
      </c>
      <c r="R633" s="158">
        <v>172440</v>
      </c>
      <c r="X633" s="2">
        <v>1094</v>
      </c>
      <c r="Y633" s="2">
        <v>1243</v>
      </c>
      <c r="Z633" s="2">
        <v>1041</v>
      </c>
      <c r="AA633" s="2">
        <v>926</v>
      </c>
      <c r="AB633" s="2">
        <v>897</v>
      </c>
      <c r="AC633" s="2">
        <v>793</v>
      </c>
      <c r="AD633" s="2">
        <v>804</v>
      </c>
      <c r="AE633" s="2">
        <v>1291</v>
      </c>
      <c r="AF633" s="2">
        <v>471</v>
      </c>
      <c r="AG633" s="2" t="s">
        <v>734</v>
      </c>
      <c r="AH633" s="2" t="s">
        <v>734</v>
      </c>
      <c r="AI633" s="2" t="s">
        <v>734</v>
      </c>
    </row>
    <row r="634" spans="2:35" x14ac:dyDescent="0.25">
      <c r="B634">
        <v>126682</v>
      </c>
      <c r="C634" t="s">
        <v>257</v>
      </c>
      <c r="D634">
        <v>39318</v>
      </c>
      <c r="E634" t="s">
        <v>250</v>
      </c>
      <c r="F634" s="158" t="s">
        <v>773</v>
      </c>
      <c r="G634" s="158" t="s">
        <v>263</v>
      </c>
      <c r="I634" s="158">
        <v>163785</v>
      </c>
      <c r="J634" s="158">
        <v>164499</v>
      </c>
      <c r="K634" s="158">
        <v>165631</v>
      </c>
      <c r="L634" s="158">
        <v>166618</v>
      </c>
      <c r="M634" s="158">
        <v>167459</v>
      </c>
      <c r="N634" s="158">
        <v>168268</v>
      </c>
      <c r="O634" s="158">
        <v>168968</v>
      </c>
      <c r="P634" s="158">
        <v>169723</v>
      </c>
      <c r="Q634" s="158">
        <v>170590</v>
      </c>
      <c r="R634" s="158">
        <v>171731</v>
      </c>
      <c r="X634" s="2">
        <v>714</v>
      </c>
      <c r="Y634" s="2">
        <v>1132</v>
      </c>
      <c r="Z634" s="2">
        <v>987</v>
      </c>
      <c r="AA634" s="2">
        <v>841</v>
      </c>
      <c r="AB634" s="2">
        <v>809</v>
      </c>
      <c r="AC634" s="2">
        <v>700</v>
      </c>
      <c r="AD634" s="2">
        <v>755</v>
      </c>
      <c r="AE634" s="2">
        <v>867</v>
      </c>
      <c r="AF634" s="2">
        <v>1141</v>
      </c>
      <c r="AG634" s="2" t="s">
        <v>734</v>
      </c>
      <c r="AH634" s="2" t="s">
        <v>734</v>
      </c>
      <c r="AI634" s="2" t="s">
        <v>734</v>
      </c>
    </row>
    <row r="635" spans="2:35" x14ac:dyDescent="0.25">
      <c r="B635">
        <v>140754</v>
      </c>
      <c r="C635" t="s">
        <v>257</v>
      </c>
      <c r="D635">
        <v>39302</v>
      </c>
      <c r="E635" t="s">
        <v>250</v>
      </c>
      <c r="F635" s="158" t="s">
        <v>769</v>
      </c>
      <c r="G635" s="158" t="s">
        <v>270</v>
      </c>
      <c r="I635" s="158">
        <v>261619</v>
      </c>
      <c r="J635" s="158">
        <v>261905</v>
      </c>
      <c r="K635" s="158">
        <v>262408</v>
      </c>
      <c r="L635" s="158">
        <v>262839</v>
      </c>
      <c r="M635" s="158">
        <v>263247</v>
      </c>
      <c r="N635" s="158">
        <v>263606</v>
      </c>
      <c r="O635" s="158">
        <v>263899</v>
      </c>
      <c r="P635" s="158">
        <v>264258</v>
      </c>
      <c r="Q635" s="158">
        <v>264863</v>
      </c>
      <c r="R635" s="158">
        <v>265606</v>
      </c>
      <c r="X635" s="2">
        <v>286</v>
      </c>
      <c r="Y635" s="2">
        <v>503</v>
      </c>
      <c r="Z635" s="2">
        <v>431</v>
      </c>
      <c r="AA635" s="2">
        <v>408</v>
      </c>
      <c r="AB635" s="2">
        <v>359</v>
      </c>
      <c r="AC635" s="2">
        <v>293</v>
      </c>
      <c r="AD635" s="2">
        <v>359</v>
      </c>
      <c r="AE635" s="2">
        <v>605</v>
      </c>
      <c r="AF635" s="2">
        <v>743</v>
      </c>
      <c r="AG635" s="2" t="s">
        <v>734</v>
      </c>
      <c r="AH635" s="2" t="s">
        <v>734</v>
      </c>
      <c r="AI635" s="2" t="s">
        <v>734</v>
      </c>
    </row>
    <row r="636" spans="2:35" x14ac:dyDescent="0.25">
      <c r="B636">
        <v>65100116117</v>
      </c>
      <c r="C636" t="s">
        <v>257</v>
      </c>
      <c r="D636">
        <v>39299</v>
      </c>
      <c r="E636" t="s">
        <v>250</v>
      </c>
      <c r="F636" s="158" t="s">
        <v>765</v>
      </c>
      <c r="G636" s="158" t="s">
        <v>267</v>
      </c>
      <c r="I636" s="158">
        <v>189416</v>
      </c>
      <c r="J636" s="158">
        <v>189416</v>
      </c>
      <c r="K636" s="158">
        <v>189416</v>
      </c>
      <c r="L636" s="158">
        <v>189416</v>
      </c>
      <c r="M636" s="158">
        <v>189416</v>
      </c>
      <c r="N636" s="158">
        <v>189416</v>
      </c>
      <c r="O636" s="158">
        <v>189416</v>
      </c>
      <c r="P636" s="158">
        <v>189416</v>
      </c>
      <c r="Q636" s="158">
        <v>189416</v>
      </c>
      <c r="R636" s="158">
        <v>189416</v>
      </c>
      <c r="X636" s="2">
        <v>0</v>
      </c>
      <c r="Y636" s="2">
        <v>0</v>
      </c>
      <c r="Z636" s="2">
        <v>0</v>
      </c>
      <c r="AA636" s="2">
        <v>0</v>
      </c>
      <c r="AB636" s="2">
        <v>0</v>
      </c>
      <c r="AC636" s="2">
        <v>0</v>
      </c>
      <c r="AD636" s="2">
        <v>0</v>
      </c>
      <c r="AE636" s="2">
        <v>0</v>
      </c>
      <c r="AF636" s="2">
        <v>0</v>
      </c>
      <c r="AG636" s="2" t="s">
        <v>734</v>
      </c>
      <c r="AH636" s="2" t="s">
        <v>734</v>
      </c>
      <c r="AI636" s="2" t="s">
        <v>734</v>
      </c>
    </row>
    <row r="637" spans="2:35" x14ac:dyDescent="0.25">
      <c r="B637">
        <v>71300126672</v>
      </c>
      <c r="C637" t="s">
        <v>257</v>
      </c>
      <c r="D637">
        <v>39301</v>
      </c>
      <c r="E637" t="s">
        <v>250</v>
      </c>
      <c r="F637" s="158" t="s">
        <v>766</v>
      </c>
      <c r="G637" s="158" t="s">
        <v>269</v>
      </c>
      <c r="I637" s="158">
        <v>293037</v>
      </c>
      <c r="J637" s="158">
        <v>293556</v>
      </c>
      <c r="K637" s="158">
        <v>294092</v>
      </c>
      <c r="L637" s="158">
        <v>294551</v>
      </c>
      <c r="M637" s="158">
        <v>294956</v>
      </c>
      <c r="N637" s="158">
        <v>295270</v>
      </c>
      <c r="O637" s="158">
        <v>295615</v>
      </c>
      <c r="P637" s="158">
        <v>296006</v>
      </c>
      <c r="Q637" s="158">
        <v>296709</v>
      </c>
      <c r="R637" s="158">
        <v>297642</v>
      </c>
      <c r="X637" s="2">
        <v>519</v>
      </c>
      <c r="Y637" s="2">
        <v>536</v>
      </c>
      <c r="Z637" s="2">
        <v>459</v>
      </c>
      <c r="AA637" s="2">
        <v>405</v>
      </c>
      <c r="AB637" s="2">
        <v>314</v>
      </c>
      <c r="AC637" s="2">
        <v>345</v>
      </c>
      <c r="AD637" s="2">
        <v>391</v>
      </c>
      <c r="AE637" s="2">
        <v>703</v>
      </c>
      <c r="AF637" s="2">
        <v>933</v>
      </c>
      <c r="AG637" s="2" t="s">
        <v>734</v>
      </c>
      <c r="AH637" s="2" t="s">
        <v>734</v>
      </c>
      <c r="AI637" s="2" t="s">
        <v>734</v>
      </c>
    </row>
    <row r="638" spans="2:35" x14ac:dyDescent="0.25">
      <c r="B638">
        <v>73900146533</v>
      </c>
      <c r="C638" t="s">
        <v>257</v>
      </c>
      <c r="D638">
        <v>39300</v>
      </c>
      <c r="E638" t="s">
        <v>250</v>
      </c>
      <c r="F638" s="158" t="s">
        <v>772</v>
      </c>
      <c r="G638" s="158" t="s">
        <v>268</v>
      </c>
      <c r="I638" s="158">
        <v>268862</v>
      </c>
      <c r="J638" s="158">
        <v>269982</v>
      </c>
      <c r="K638" s="158">
        <v>271834</v>
      </c>
      <c r="L638" s="158">
        <v>273429</v>
      </c>
      <c r="M638" s="158">
        <v>274985</v>
      </c>
      <c r="N638" s="158">
        <v>276487</v>
      </c>
      <c r="O638" s="158">
        <v>277767</v>
      </c>
      <c r="P638" s="158">
        <v>279089</v>
      </c>
      <c r="Q638" s="158">
        <v>280479</v>
      </c>
      <c r="R638" s="158">
        <v>282185</v>
      </c>
      <c r="X638" s="2">
        <v>1120</v>
      </c>
      <c r="Y638" s="2">
        <v>1852</v>
      </c>
      <c r="Z638" s="2">
        <v>1595</v>
      </c>
      <c r="AA638" s="2">
        <v>1556</v>
      </c>
      <c r="AB638" s="2">
        <v>1502</v>
      </c>
      <c r="AC638" s="2">
        <v>1280</v>
      </c>
      <c r="AD638" s="2">
        <v>1322</v>
      </c>
      <c r="AE638" s="2">
        <v>1390</v>
      </c>
      <c r="AF638" s="2">
        <v>1706</v>
      </c>
      <c r="AG638" s="2" t="s">
        <v>734</v>
      </c>
      <c r="AH638" s="2" t="s">
        <v>734</v>
      </c>
      <c r="AI638" s="2" t="s">
        <v>734</v>
      </c>
    </row>
    <row r="639" spans="2:35" x14ac:dyDescent="0.25">
      <c r="B639" t="s">
        <v>258</v>
      </c>
      <c r="C639" t="s">
        <v>257</v>
      </c>
      <c r="D639">
        <v>39177</v>
      </c>
      <c r="E639" t="s">
        <v>250</v>
      </c>
      <c r="F639" s="158" t="s">
        <v>63</v>
      </c>
      <c r="I639" s="158">
        <v>470084</v>
      </c>
      <c r="J639" s="158">
        <v>475042</v>
      </c>
      <c r="K639" s="158">
        <v>484280</v>
      </c>
      <c r="L639" s="158">
        <v>492008</v>
      </c>
      <c r="M639" s="158">
        <v>499665</v>
      </c>
      <c r="N639" s="158">
        <v>507989</v>
      </c>
      <c r="O639" s="158">
        <v>518159</v>
      </c>
      <c r="P639" s="158">
        <v>532890</v>
      </c>
      <c r="Q639" s="158">
        <v>548548</v>
      </c>
      <c r="R639" s="158">
        <v>564074</v>
      </c>
      <c r="X639" s="2">
        <v>4958</v>
      </c>
      <c r="Y639" s="2">
        <v>9238</v>
      </c>
      <c r="Z639" s="2">
        <v>7728</v>
      </c>
      <c r="AA639" s="2">
        <v>7657</v>
      </c>
      <c r="AB639" s="2">
        <v>8324</v>
      </c>
      <c r="AC639" s="2">
        <v>10170</v>
      </c>
      <c r="AD639" s="2">
        <v>14731</v>
      </c>
      <c r="AE639" s="2">
        <v>15658</v>
      </c>
      <c r="AF639" s="2">
        <v>15526</v>
      </c>
      <c r="AG639" s="2" t="s">
        <v>734</v>
      </c>
      <c r="AH639" s="2" t="s">
        <v>734</v>
      </c>
      <c r="AI639" s="2" t="s">
        <v>734</v>
      </c>
    </row>
    <row r="640" spans="2:35" x14ac:dyDescent="0.25">
      <c r="B640" t="s">
        <v>260</v>
      </c>
      <c r="C640" t="s">
        <v>257</v>
      </c>
      <c r="D640">
        <v>39284</v>
      </c>
      <c r="E640" t="s">
        <v>261</v>
      </c>
      <c r="F640" s="158" t="s">
        <v>262</v>
      </c>
      <c r="I640" s="158">
        <v>231646</v>
      </c>
      <c r="J640" s="158">
        <v>232633</v>
      </c>
      <c r="K640" s="158">
        <v>234388</v>
      </c>
      <c r="L640" s="158">
        <v>235701</v>
      </c>
      <c r="M640" s="158">
        <v>237120</v>
      </c>
      <c r="N640" s="158">
        <v>238655</v>
      </c>
      <c r="O640" s="158">
        <v>240177</v>
      </c>
      <c r="P640" s="158">
        <v>242831</v>
      </c>
      <c r="Q640" s="158">
        <v>245374</v>
      </c>
      <c r="R640" s="158">
        <v>247512</v>
      </c>
      <c r="X640" s="2">
        <v>987</v>
      </c>
      <c r="Y640" s="2">
        <v>1755</v>
      </c>
      <c r="Z640" s="2">
        <v>1313</v>
      </c>
      <c r="AA640" s="2">
        <v>1419</v>
      </c>
      <c r="AB640" s="2">
        <v>1535</v>
      </c>
      <c r="AC640" s="2">
        <v>1522</v>
      </c>
      <c r="AD640" s="2">
        <v>2654</v>
      </c>
      <c r="AE640" s="2">
        <v>2543</v>
      </c>
      <c r="AF640" s="2">
        <v>2138</v>
      </c>
      <c r="AG640" s="2" t="s">
        <v>734</v>
      </c>
      <c r="AH640" s="2" t="s">
        <v>734</v>
      </c>
      <c r="AI640" s="2" t="s">
        <v>734</v>
      </c>
    </row>
    <row r="641" spans="2:35" x14ac:dyDescent="0.25">
      <c r="B641" t="s">
        <v>259</v>
      </c>
      <c r="C641" t="s">
        <v>257</v>
      </c>
      <c r="D641">
        <v>39176</v>
      </c>
      <c r="E641" t="s">
        <v>250</v>
      </c>
      <c r="F641" s="158" t="s">
        <v>63</v>
      </c>
      <c r="I641" s="158">
        <v>509599</v>
      </c>
      <c r="J641" s="158">
        <v>511255</v>
      </c>
      <c r="K641" s="158">
        <v>514311</v>
      </c>
      <c r="L641" s="158">
        <v>516781</v>
      </c>
      <c r="M641" s="158">
        <v>519360</v>
      </c>
      <c r="N641" s="158">
        <v>522162</v>
      </c>
      <c r="O641" s="158">
        <v>525220</v>
      </c>
      <c r="P641" s="158">
        <v>529372</v>
      </c>
      <c r="Q641" s="158">
        <v>533588</v>
      </c>
      <c r="R641" s="158">
        <v>537755</v>
      </c>
      <c r="X641" s="2">
        <v>1656</v>
      </c>
      <c r="Y641" s="2">
        <v>3056</v>
      </c>
      <c r="Z641" s="2">
        <v>2470</v>
      </c>
      <c r="AA641" s="2">
        <v>2579</v>
      </c>
      <c r="AB641" s="2">
        <v>2802</v>
      </c>
      <c r="AC641" s="2">
        <v>3058</v>
      </c>
      <c r="AD641" s="2">
        <v>4152</v>
      </c>
      <c r="AE641" s="2">
        <v>4216</v>
      </c>
      <c r="AF641" s="2">
        <v>4167</v>
      </c>
      <c r="AG641" s="2" t="s">
        <v>734</v>
      </c>
      <c r="AH641" s="2" t="s">
        <v>734</v>
      </c>
      <c r="AI641" s="2" t="s">
        <v>734</v>
      </c>
    </row>
    <row r="642" spans="2:35" x14ac:dyDescent="0.25">
      <c r="B642">
        <v>181156</v>
      </c>
      <c r="C642" t="s">
        <v>272</v>
      </c>
      <c r="D642">
        <v>39445</v>
      </c>
      <c r="E642" t="s">
        <v>250</v>
      </c>
      <c r="F642" s="158" t="s">
        <v>774</v>
      </c>
      <c r="G642" s="158" t="s">
        <v>281</v>
      </c>
      <c r="I642" s="158">
        <v>180752</v>
      </c>
      <c r="J642" s="158">
        <v>181479</v>
      </c>
      <c r="K642" s="158">
        <v>182716</v>
      </c>
      <c r="L642" s="158">
        <v>183670</v>
      </c>
      <c r="M642" s="158">
        <v>184632</v>
      </c>
      <c r="N642" s="158">
        <v>185500</v>
      </c>
      <c r="O642" s="158">
        <v>186278</v>
      </c>
      <c r="P642" s="158">
        <v>187034</v>
      </c>
      <c r="Q642" s="158">
        <v>187654</v>
      </c>
      <c r="R642" s="158">
        <v>188510</v>
      </c>
      <c r="X642" s="2">
        <v>727</v>
      </c>
      <c r="Y642" s="2">
        <v>1237</v>
      </c>
      <c r="Z642" s="2">
        <v>954</v>
      </c>
      <c r="AA642" s="2">
        <v>962</v>
      </c>
      <c r="AB642" s="2">
        <v>868</v>
      </c>
      <c r="AC642" s="2">
        <v>778</v>
      </c>
      <c r="AD642" s="2">
        <v>756</v>
      </c>
      <c r="AE642" s="2">
        <v>620</v>
      </c>
      <c r="AF642" s="2">
        <v>856</v>
      </c>
      <c r="AG642" s="2" t="s">
        <v>734</v>
      </c>
      <c r="AH642" s="2" t="s">
        <v>734</v>
      </c>
      <c r="AI642" s="2" t="s">
        <v>734</v>
      </c>
    </row>
    <row r="643" spans="2:35" x14ac:dyDescent="0.25">
      <c r="B643">
        <v>181183</v>
      </c>
      <c r="C643" t="s">
        <v>272</v>
      </c>
      <c r="D643">
        <v>39446</v>
      </c>
      <c r="E643" t="s">
        <v>250</v>
      </c>
      <c r="F643" s="158" t="s">
        <v>775</v>
      </c>
      <c r="G643" s="158" t="s">
        <v>282</v>
      </c>
      <c r="I643" s="158">
        <v>246035</v>
      </c>
      <c r="J643" s="158">
        <v>247440</v>
      </c>
      <c r="K643" s="158">
        <v>249827</v>
      </c>
      <c r="L643" s="158">
        <v>251694</v>
      </c>
      <c r="M643" s="158">
        <v>253625</v>
      </c>
      <c r="N643" s="158">
        <v>255290</v>
      </c>
      <c r="O643" s="158">
        <v>256701</v>
      </c>
      <c r="P643" s="158">
        <v>258124</v>
      </c>
      <c r="Q643" s="158">
        <v>259804</v>
      </c>
      <c r="R643" s="158">
        <v>262238</v>
      </c>
      <c r="X643" s="2">
        <v>1405</v>
      </c>
      <c r="Y643" s="2">
        <v>2387</v>
      </c>
      <c r="Z643" s="2">
        <v>1867</v>
      </c>
      <c r="AA643" s="2">
        <v>1931</v>
      </c>
      <c r="AB643" s="2">
        <v>1665</v>
      </c>
      <c r="AC643" s="2">
        <v>1411</v>
      </c>
      <c r="AD643" s="2">
        <v>1423</v>
      </c>
      <c r="AE643" s="2">
        <v>1680</v>
      </c>
      <c r="AF643" s="2">
        <v>2434</v>
      </c>
      <c r="AG643" s="2" t="s">
        <v>734</v>
      </c>
      <c r="AH643" s="2" t="s">
        <v>734</v>
      </c>
      <c r="AI643" s="2" t="s">
        <v>734</v>
      </c>
    </row>
    <row r="644" spans="2:35" x14ac:dyDescent="0.25">
      <c r="B644">
        <v>181237</v>
      </c>
      <c r="C644" t="s">
        <v>272</v>
      </c>
      <c r="D644">
        <v>39447</v>
      </c>
      <c r="E644" t="s">
        <v>250</v>
      </c>
      <c r="F644" s="158" t="s">
        <v>776</v>
      </c>
      <c r="G644" s="158" t="s">
        <v>283</v>
      </c>
      <c r="I644" s="158">
        <v>227595</v>
      </c>
      <c r="J644" s="158">
        <v>229125</v>
      </c>
      <c r="K644" s="158">
        <v>231725</v>
      </c>
      <c r="L644" s="158">
        <v>233785</v>
      </c>
      <c r="M644" s="158">
        <v>235905</v>
      </c>
      <c r="N644" s="158">
        <v>237773</v>
      </c>
      <c r="O644" s="158">
        <v>239320</v>
      </c>
      <c r="P644" s="158">
        <v>240900</v>
      </c>
      <c r="Q644" s="158">
        <v>241227</v>
      </c>
      <c r="R644" s="158">
        <v>241232</v>
      </c>
      <c r="X644" s="2">
        <v>1530</v>
      </c>
      <c r="Y644" s="2">
        <v>2600</v>
      </c>
      <c r="Z644" s="2">
        <v>2060</v>
      </c>
      <c r="AA644" s="2">
        <v>2120</v>
      </c>
      <c r="AB644" s="2">
        <v>1868</v>
      </c>
      <c r="AC644" s="2">
        <v>1547</v>
      </c>
      <c r="AD644" s="2">
        <v>1580</v>
      </c>
      <c r="AE644" s="2">
        <v>327</v>
      </c>
      <c r="AF644" s="2">
        <v>5</v>
      </c>
      <c r="AG644" s="2" t="s">
        <v>734</v>
      </c>
      <c r="AH644" s="2" t="s">
        <v>734</v>
      </c>
      <c r="AI644" s="2" t="s">
        <v>734</v>
      </c>
    </row>
    <row r="645" spans="2:35" x14ac:dyDescent="0.25">
      <c r="B645">
        <v>181317</v>
      </c>
      <c r="C645" t="s">
        <v>272</v>
      </c>
      <c r="D645">
        <v>39296</v>
      </c>
      <c r="E645" t="s">
        <v>250</v>
      </c>
      <c r="F645" s="158" t="s">
        <v>782</v>
      </c>
      <c r="G645" s="158" t="s">
        <v>276</v>
      </c>
      <c r="I645" s="158">
        <v>123618</v>
      </c>
      <c r="J645" s="158">
        <v>124873</v>
      </c>
      <c r="K645" s="158">
        <v>127033</v>
      </c>
      <c r="L645" s="158">
        <v>128855</v>
      </c>
      <c r="M645" s="158">
        <v>130487</v>
      </c>
      <c r="N645" s="158">
        <v>132052</v>
      </c>
      <c r="O645" s="158">
        <v>133438</v>
      </c>
      <c r="P645" s="158">
        <v>134831</v>
      </c>
      <c r="Q645" s="158">
        <v>136236</v>
      </c>
      <c r="R645" s="158">
        <v>138268</v>
      </c>
      <c r="X645" s="2">
        <v>1255</v>
      </c>
      <c r="Y645" s="2">
        <v>2160</v>
      </c>
      <c r="Z645" s="2">
        <v>1822</v>
      </c>
      <c r="AA645" s="2">
        <v>1632</v>
      </c>
      <c r="AB645" s="2">
        <v>1565</v>
      </c>
      <c r="AC645" s="2">
        <v>1386</v>
      </c>
      <c r="AD645" s="2">
        <v>1393</v>
      </c>
      <c r="AE645" s="2">
        <v>1405</v>
      </c>
      <c r="AF645" s="2">
        <v>2032</v>
      </c>
      <c r="AG645" s="2" t="s">
        <v>734</v>
      </c>
      <c r="AH645" s="2" t="s">
        <v>734</v>
      </c>
      <c r="AI645" s="2" t="s">
        <v>734</v>
      </c>
    </row>
    <row r="646" spans="2:35" x14ac:dyDescent="0.25">
      <c r="B646">
        <v>181320</v>
      </c>
      <c r="C646" t="s">
        <v>272</v>
      </c>
      <c r="D646">
        <v>39297</v>
      </c>
      <c r="E646" t="s">
        <v>250</v>
      </c>
      <c r="F646" s="158" t="s">
        <v>783</v>
      </c>
      <c r="G646" s="158" t="s">
        <v>277</v>
      </c>
      <c r="I646" s="158">
        <v>159455</v>
      </c>
      <c r="J646" s="158">
        <v>161361</v>
      </c>
      <c r="K646" s="158">
        <v>164077</v>
      </c>
      <c r="L646" s="158">
        <v>166342</v>
      </c>
      <c r="M646" s="158">
        <v>168228</v>
      </c>
      <c r="N646" s="158">
        <v>169802</v>
      </c>
      <c r="O646" s="158">
        <v>171201</v>
      </c>
      <c r="P646" s="158">
        <v>172494</v>
      </c>
      <c r="Q646" s="158">
        <v>173672</v>
      </c>
      <c r="R646" s="158">
        <v>176072</v>
      </c>
      <c r="X646" s="2">
        <v>1906</v>
      </c>
      <c r="Y646" s="2">
        <v>2716</v>
      </c>
      <c r="Z646" s="2">
        <v>2265</v>
      </c>
      <c r="AA646" s="2">
        <v>1886</v>
      </c>
      <c r="AB646" s="2">
        <v>1574</v>
      </c>
      <c r="AC646" s="2">
        <v>1399</v>
      </c>
      <c r="AD646" s="2">
        <v>1293</v>
      </c>
      <c r="AE646" s="2">
        <v>1178</v>
      </c>
      <c r="AF646" s="2">
        <v>2400</v>
      </c>
      <c r="AG646" s="2" t="s">
        <v>734</v>
      </c>
      <c r="AH646" s="2" t="s">
        <v>734</v>
      </c>
      <c r="AI646" s="2" t="s">
        <v>734</v>
      </c>
    </row>
    <row r="647" spans="2:35" x14ac:dyDescent="0.25">
      <c r="B647">
        <v>181321</v>
      </c>
      <c r="C647" t="s">
        <v>272</v>
      </c>
      <c r="D647">
        <v>39448</v>
      </c>
      <c r="E647" t="s">
        <v>250</v>
      </c>
      <c r="F647" s="158" t="s">
        <v>777</v>
      </c>
      <c r="G647" s="158" t="s">
        <v>284</v>
      </c>
      <c r="I647" s="158">
        <v>278850</v>
      </c>
      <c r="J647" s="158">
        <v>280753</v>
      </c>
      <c r="K647" s="158">
        <v>284051</v>
      </c>
      <c r="L647" s="158">
        <v>286629</v>
      </c>
      <c r="M647" s="158">
        <v>289262</v>
      </c>
      <c r="N647" s="158">
        <v>291629</v>
      </c>
      <c r="O647" s="158">
        <v>293740</v>
      </c>
      <c r="P647" s="158">
        <v>293871</v>
      </c>
      <c r="Q647" s="158">
        <v>298007</v>
      </c>
      <c r="R647" s="158">
        <v>300822</v>
      </c>
      <c r="X647" s="2">
        <v>1903</v>
      </c>
      <c r="Y647" s="2">
        <v>3298</v>
      </c>
      <c r="Z647" s="2">
        <v>2578</v>
      </c>
      <c r="AA647" s="2">
        <v>2633</v>
      </c>
      <c r="AB647" s="2">
        <v>2367</v>
      </c>
      <c r="AC647" s="2">
        <v>2111</v>
      </c>
      <c r="AD647" s="2">
        <v>131</v>
      </c>
      <c r="AE647" s="2">
        <v>4136</v>
      </c>
      <c r="AF647" s="2">
        <v>2815</v>
      </c>
      <c r="AG647" s="2" t="s">
        <v>734</v>
      </c>
      <c r="AH647" s="2" t="s">
        <v>734</v>
      </c>
      <c r="AI647" s="2" t="s">
        <v>734</v>
      </c>
    </row>
    <row r="648" spans="2:35" x14ac:dyDescent="0.25">
      <c r="B648">
        <v>181345</v>
      </c>
      <c r="C648" t="s">
        <v>272</v>
      </c>
      <c r="D648">
        <v>39294</v>
      </c>
      <c r="E648" t="s">
        <v>250</v>
      </c>
      <c r="F648" s="158" t="s">
        <v>781</v>
      </c>
      <c r="G648" s="158" t="s">
        <v>275</v>
      </c>
      <c r="I648" s="158">
        <v>178526</v>
      </c>
      <c r="J648" s="158">
        <v>181136</v>
      </c>
      <c r="K648" s="158">
        <v>185605</v>
      </c>
      <c r="L648" s="158">
        <v>189306</v>
      </c>
      <c r="M648" s="158">
        <v>192584</v>
      </c>
      <c r="N648" s="158">
        <v>195693</v>
      </c>
      <c r="O648" s="158">
        <v>198344</v>
      </c>
      <c r="P648" s="158">
        <v>200852</v>
      </c>
      <c r="Q648" s="158">
        <v>203097</v>
      </c>
      <c r="R648" s="158">
        <v>206919</v>
      </c>
      <c r="X648" s="2">
        <v>2610</v>
      </c>
      <c r="Y648" s="2">
        <v>4469</v>
      </c>
      <c r="Z648" s="2">
        <v>3701</v>
      </c>
      <c r="AA648" s="2">
        <v>3278</v>
      </c>
      <c r="AB648" s="2">
        <v>3109</v>
      </c>
      <c r="AC648" s="2">
        <v>2651</v>
      </c>
      <c r="AD648" s="2">
        <v>2508</v>
      </c>
      <c r="AE648" s="2">
        <v>2245</v>
      </c>
      <c r="AF648" s="2">
        <v>3822</v>
      </c>
      <c r="AG648" s="2" t="s">
        <v>734</v>
      </c>
      <c r="AH648" s="2" t="s">
        <v>734</v>
      </c>
      <c r="AI648" s="2" t="s">
        <v>734</v>
      </c>
    </row>
    <row r="649" spans="2:35" x14ac:dyDescent="0.25">
      <c r="B649">
        <v>181795</v>
      </c>
      <c r="C649" t="s">
        <v>272</v>
      </c>
      <c r="D649">
        <v>39298</v>
      </c>
      <c r="E649" t="s">
        <v>250</v>
      </c>
      <c r="F649" s="158" t="s">
        <v>784</v>
      </c>
      <c r="G649" s="158" t="s">
        <v>278</v>
      </c>
      <c r="I649" s="158">
        <v>171381</v>
      </c>
      <c r="J649" s="158">
        <v>173133</v>
      </c>
      <c r="K649" s="158">
        <v>176154</v>
      </c>
      <c r="L649" s="158">
        <v>178660</v>
      </c>
      <c r="M649" s="158">
        <v>180895</v>
      </c>
      <c r="N649" s="158">
        <v>183033</v>
      </c>
      <c r="O649" s="158">
        <v>184912</v>
      </c>
      <c r="P649" s="158">
        <v>186709</v>
      </c>
      <c r="Q649" s="158">
        <v>188510</v>
      </c>
      <c r="R649" s="158">
        <v>190855</v>
      </c>
      <c r="X649" s="2">
        <v>1752</v>
      </c>
      <c r="Y649" s="2">
        <v>3021</v>
      </c>
      <c r="Z649" s="2">
        <v>2506</v>
      </c>
      <c r="AA649" s="2">
        <v>2235</v>
      </c>
      <c r="AB649" s="2">
        <v>2138</v>
      </c>
      <c r="AC649" s="2">
        <v>1879</v>
      </c>
      <c r="AD649" s="2">
        <v>1797</v>
      </c>
      <c r="AE649" s="2">
        <v>1801</v>
      </c>
      <c r="AF649" s="2">
        <v>2345</v>
      </c>
      <c r="AG649" s="2" t="s">
        <v>734</v>
      </c>
      <c r="AH649" s="2" t="s">
        <v>734</v>
      </c>
      <c r="AI649" s="2" t="s">
        <v>734</v>
      </c>
    </row>
    <row r="650" spans="2:35" x14ac:dyDescent="0.25">
      <c r="B650">
        <v>349452</v>
      </c>
      <c r="C650" t="s">
        <v>272</v>
      </c>
      <c r="D650">
        <v>39449</v>
      </c>
      <c r="E650" t="s">
        <v>250</v>
      </c>
      <c r="F650" s="158" t="s">
        <v>785</v>
      </c>
      <c r="G650" s="158" t="s">
        <v>279</v>
      </c>
      <c r="I650" s="158">
        <v>33845</v>
      </c>
      <c r="J650" s="158">
        <v>35861</v>
      </c>
      <c r="K650" s="158">
        <v>37445</v>
      </c>
      <c r="L650" s="158">
        <v>37445</v>
      </c>
      <c r="M650" s="158">
        <v>37445</v>
      </c>
      <c r="N650" s="158">
        <v>37445</v>
      </c>
      <c r="O650" s="158">
        <v>37445</v>
      </c>
      <c r="P650" s="158">
        <v>37445</v>
      </c>
      <c r="Q650" s="158">
        <v>37445</v>
      </c>
      <c r="R650" s="158">
        <v>39299</v>
      </c>
      <c r="X650" s="2">
        <v>2016</v>
      </c>
      <c r="Y650" s="2">
        <v>1584</v>
      </c>
      <c r="Z650" s="2">
        <v>0</v>
      </c>
      <c r="AA650" s="2">
        <v>0</v>
      </c>
      <c r="AB650" s="2">
        <v>0</v>
      </c>
      <c r="AC650" s="2">
        <v>0</v>
      </c>
      <c r="AD650" s="2">
        <v>0</v>
      </c>
      <c r="AE650" s="2">
        <v>0</v>
      </c>
      <c r="AF650" s="2">
        <v>1854</v>
      </c>
      <c r="AG650" s="2" t="s">
        <v>734</v>
      </c>
      <c r="AH650" s="2" t="s">
        <v>734</v>
      </c>
      <c r="AI650" s="2" t="s">
        <v>734</v>
      </c>
    </row>
    <row r="651" spans="2:35" x14ac:dyDescent="0.25">
      <c r="B651">
        <v>357873</v>
      </c>
      <c r="C651" t="s">
        <v>272</v>
      </c>
      <c r="D651">
        <v>39450</v>
      </c>
      <c r="E651" t="s">
        <v>250</v>
      </c>
      <c r="F651" s="158" t="s">
        <v>786</v>
      </c>
      <c r="G651" s="158" t="s">
        <v>280</v>
      </c>
      <c r="I651" s="158">
        <v>5319</v>
      </c>
      <c r="J651" s="158">
        <v>5319</v>
      </c>
      <c r="K651" s="158">
        <v>5319</v>
      </c>
      <c r="L651" s="158">
        <v>5319</v>
      </c>
      <c r="M651" s="158">
        <v>5319</v>
      </c>
      <c r="N651" s="158">
        <v>5319</v>
      </c>
      <c r="O651" s="158">
        <v>5319</v>
      </c>
      <c r="P651" s="158">
        <v>5319</v>
      </c>
      <c r="Q651" s="158">
        <v>5319</v>
      </c>
      <c r="R651" s="158">
        <v>5699</v>
      </c>
      <c r="X651" s="2">
        <v>0</v>
      </c>
      <c r="Y651" s="2">
        <v>0</v>
      </c>
      <c r="Z651" s="2">
        <v>0</v>
      </c>
      <c r="AA651" s="2">
        <v>0</v>
      </c>
      <c r="AB651" s="2">
        <v>0</v>
      </c>
      <c r="AC651" s="2">
        <v>0</v>
      </c>
      <c r="AD651" s="2">
        <v>0</v>
      </c>
      <c r="AE651" s="2">
        <v>0</v>
      </c>
      <c r="AF651" s="2">
        <v>380</v>
      </c>
      <c r="AG651" s="2" t="s">
        <v>734</v>
      </c>
      <c r="AH651" s="2" t="s">
        <v>734</v>
      </c>
      <c r="AI651" s="2" t="s">
        <v>734</v>
      </c>
    </row>
    <row r="652" spans="2:35" x14ac:dyDescent="0.25">
      <c r="B652">
        <v>357875</v>
      </c>
      <c r="C652" t="s">
        <v>272</v>
      </c>
      <c r="D652">
        <v>39454</v>
      </c>
      <c r="E652" t="s">
        <v>250</v>
      </c>
      <c r="F652" s="158" t="s">
        <v>778</v>
      </c>
      <c r="G652" s="158" t="s">
        <v>285</v>
      </c>
      <c r="I652" s="158">
        <v>14035</v>
      </c>
      <c r="J652" s="158">
        <v>14035</v>
      </c>
      <c r="K652" s="158">
        <v>14035</v>
      </c>
      <c r="L652" s="158">
        <v>14035</v>
      </c>
      <c r="M652" s="158">
        <v>14035</v>
      </c>
      <c r="N652" s="158">
        <v>14035</v>
      </c>
      <c r="O652" s="158">
        <v>14035</v>
      </c>
      <c r="P652" s="158">
        <v>14035</v>
      </c>
      <c r="Q652" s="158">
        <v>14035</v>
      </c>
      <c r="R652" s="158">
        <v>16672</v>
      </c>
      <c r="X652" s="2">
        <v>0</v>
      </c>
      <c r="Y652" s="2">
        <v>0</v>
      </c>
      <c r="Z652" s="2">
        <v>0</v>
      </c>
      <c r="AA652" s="2">
        <v>0</v>
      </c>
      <c r="AB652" s="2">
        <v>0</v>
      </c>
      <c r="AC652" s="2">
        <v>0</v>
      </c>
      <c r="AD652" s="2">
        <v>0</v>
      </c>
      <c r="AE652" s="2">
        <v>0</v>
      </c>
      <c r="AF652" s="2">
        <v>2637</v>
      </c>
      <c r="AG652" s="2" t="s">
        <v>734</v>
      </c>
      <c r="AH652" s="2" t="s">
        <v>734</v>
      </c>
      <c r="AI652" s="2" t="s">
        <v>734</v>
      </c>
    </row>
    <row r="653" spans="2:35" x14ac:dyDescent="0.25">
      <c r="B653">
        <v>358168</v>
      </c>
      <c r="C653" t="s">
        <v>272</v>
      </c>
      <c r="D653">
        <v>39457</v>
      </c>
      <c r="E653" t="s">
        <v>250</v>
      </c>
      <c r="F653" s="158" t="s">
        <v>779</v>
      </c>
      <c r="G653" s="158" t="s">
        <v>286</v>
      </c>
      <c r="I653" s="158">
        <v>27454</v>
      </c>
      <c r="J653" s="158">
        <v>29204</v>
      </c>
      <c r="K653" s="158">
        <v>32213</v>
      </c>
      <c r="L653" s="158">
        <v>34728</v>
      </c>
      <c r="M653" s="158">
        <v>36973</v>
      </c>
      <c r="N653" s="158">
        <v>39136</v>
      </c>
      <c r="O653" s="158">
        <v>41060</v>
      </c>
      <c r="P653" s="158">
        <v>42997</v>
      </c>
      <c r="Q653" s="158">
        <v>44576</v>
      </c>
      <c r="R653" s="158">
        <v>46147</v>
      </c>
      <c r="X653" s="2">
        <v>1750</v>
      </c>
      <c r="Y653" s="2">
        <v>3009</v>
      </c>
      <c r="Z653" s="2">
        <v>2515</v>
      </c>
      <c r="AA653" s="2">
        <v>2245</v>
      </c>
      <c r="AB653" s="2">
        <v>2163</v>
      </c>
      <c r="AC653" s="2">
        <v>1924</v>
      </c>
      <c r="AD653" s="2">
        <v>1937</v>
      </c>
      <c r="AE653" s="2">
        <v>1579</v>
      </c>
      <c r="AF653" s="2">
        <v>1571</v>
      </c>
      <c r="AG653" s="2" t="s">
        <v>734</v>
      </c>
      <c r="AH653" s="2" t="s">
        <v>734</v>
      </c>
      <c r="AI653" s="2" t="s">
        <v>734</v>
      </c>
    </row>
    <row r="654" spans="2:35" x14ac:dyDescent="0.25">
      <c r="B654">
        <v>359329</v>
      </c>
      <c r="C654" t="s">
        <v>272</v>
      </c>
      <c r="D654">
        <v>39458</v>
      </c>
      <c r="E654" t="s">
        <v>250</v>
      </c>
      <c r="F654" s="158" t="s">
        <v>780</v>
      </c>
      <c r="G654" s="158" t="s">
        <v>287</v>
      </c>
      <c r="I654" s="158">
        <v>31282</v>
      </c>
      <c r="J654" s="158">
        <v>33279</v>
      </c>
      <c r="K654" s="158">
        <v>36724</v>
      </c>
      <c r="L654" s="158">
        <v>39604</v>
      </c>
      <c r="M654" s="158">
        <v>42172</v>
      </c>
      <c r="N654" s="158">
        <v>44647</v>
      </c>
      <c r="O654" s="158">
        <v>46844</v>
      </c>
      <c r="P654" s="158">
        <v>49057</v>
      </c>
      <c r="Q654" s="158">
        <v>51276</v>
      </c>
      <c r="R654" s="158">
        <v>54154</v>
      </c>
      <c r="X654" s="2">
        <v>1997</v>
      </c>
      <c r="Y654" s="2">
        <v>3445</v>
      </c>
      <c r="Z654" s="2">
        <v>2880</v>
      </c>
      <c r="AA654" s="2">
        <v>2568</v>
      </c>
      <c r="AB654" s="2">
        <v>2475</v>
      </c>
      <c r="AC654" s="2">
        <v>2197</v>
      </c>
      <c r="AD654" s="2">
        <v>2213</v>
      </c>
      <c r="AE654" s="2">
        <v>2219</v>
      </c>
      <c r="AF654" s="2">
        <v>2878</v>
      </c>
      <c r="AG654" s="2" t="s">
        <v>734</v>
      </c>
      <c r="AH654" s="2" t="s">
        <v>734</v>
      </c>
      <c r="AI654" s="2" t="s">
        <v>734</v>
      </c>
    </row>
    <row r="655" spans="2:35" x14ac:dyDescent="0.25">
      <c r="B655" t="s">
        <v>273</v>
      </c>
      <c r="C655" t="s">
        <v>272</v>
      </c>
      <c r="D655">
        <v>39267</v>
      </c>
      <c r="E655" t="s">
        <v>274</v>
      </c>
      <c r="F655" s="158" t="s">
        <v>262</v>
      </c>
      <c r="I655" s="158">
        <v>18246</v>
      </c>
      <c r="J655" s="158">
        <v>18246</v>
      </c>
      <c r="K655" s="158">
        <v>18247</v>
      </c>
      <c r="L655" s="158">
        <v>18248</v>
      </c>
      <c r="M655" s="158">
        <v>18252</v>
      </c>
      <c r="N655" s="158">
        <v>18253</v>
      </c>
      <c r="O655" s="158">
        <v>18583</v>
      </c>
      <c r="P655" s="158">
        <v>18907</v>
      </c>
      <c r="Q655" s="158">
        <v>19115</v>
      </c>
      <c r="R655" s="158">
        <v>19144</v>
      </c>
      <c r="X655" s="2">
        <v>0</v>
      </c>
      <c r="Y655" s="2">
        <v>1</v>
      </c>
      <c r="Z655" s="2">
        <v>1</v>
      </c>
      <c r="AA655" s="2">
        <v>4</v>
      </c>
      <c r="AB655" s="2">
        <v>1</v>
      </c>
      <c r="AC655" s="2">
        <v>330</v>
      </c>
      <c r="AD655" s="2">
        <v>324</v>
      </c>
      <c r="AE655" s="2">
        <v>208</v>
      </c>
      <c r="AF655" s="2">
        <v>29</v>
      </c>
      <c r="AG655" s="2" t="s">
        <v>734</v>
      </c>
      <c r="AH655" s="2" t="s">
        <v>734</v>
      </c>
      <c r="AI655" s="2" t="s">
        <v>734</v>
      </c>
    </row>
    <row r="656" spans="2:35" x14ac:dyDescent="0.25">
      <c r="B656" t="s">
        <v>428</v>
      </c>
      <c r="C656" t="s">
        <v>288</v>
      </c>
      <c r="D656">
        <v>39370</v>
      </c>
      <c r="E656" t="s">
        <v>454</v>
      </c>
      <c r="F656" s="158" t="s">
        <v>101</v>
      </c>
      <c r="X656" s="2" t="s">
        <v>734</v>
      </c>
      <c r="Y656" s="2" t="s">
        <v>734</v>
      </c>
      <c r="Z656" s="2" t="s">
        <v>734</v>
      </c>
      <c r="AA656" s="2" t="s">
        <v>734</v>
      </c>
      <c r="AB656" s="2" t="s">
        <v>734</v>
      </c>
      <c r="AC656" s="2" t="s">
        <v>734</v>
      </c>
      <c r="AD656" s="2" t="s">
        <v>734</v>
      </c>
      <c r="AE656" s="2" t="s">
        <v>734</v>
      </c>
      <c r="AF656" s="2" t="s">
        <v>734</v>
      </c>
      <c r="AG656" s="2" t="s">
        <v>734</v>
      </c>
      <c r="AH656" s="2" t="s">
        <v>734</v>
      </c>
      <c r="AI656" s="2" t="s">
        <v>734</v>
      </c>
    </row>
    <row r="657" spans="2:35" x14ac:dyDescent="0.25">
      <c r="B657" t="s">
        <v>428</v>
      </c>
      <c r="C657" t="s">
        <v>288</v>
      </c>
      <c r="D657">
        <v>39020</v>
      </c>
      <c r="E657" t="s">
        <v>454</v>
      </c>
      <c r="F657" s="158" t="s">
        <v>982</v>
      </c>
      <c r="G657" s="158" t="s">
        <v>870</v>
      </c>
      <c r="I657" s="158">
        <v>18895</v>
      </c>
      <c r="J657" s="158">
        <v>19094</v>
      </c>
      <c r="K657" s="158">
        <v>19461</v>
      </c>
      <c r="L657" s="158">
        <v>19765</v>
      </c>
      <c r="M657" s="158">
        <v>19933</v>
      </c>
      <c r="N657" s="158">
        <v>19976</v>
      </c>
      <c r="O657" s="158">
        <v>20019</v>
      </c>
      <c r="P657" s="158">
        <v>20153</v>
      </c>
      <c r="Q657" s="158">
        <v>20281</v>
      </c>
      <c r="R657" s="158">
        <v>20418</v>
      </c>
      <c r="X657" s="2">
        <v>199</v>
      </c>
      <c r="Y657" s="2">
        <v>367</v>
      </c>
      <c r="Z657" s="2">
        <v>304</v>
      </c>
      <c r="AA657" s="2">
        <v>168</v>
      </c>
      <c r="AB657" s="2">
        <v>43</v>
      </c>
      <c r="AC657" s="2">
        <v>43</v>
      </c>
      <c r="AD657" s="2">
        <v>134</v>
      </c>
      <c r="AE657" s="2">
        <v>128</v>
      </c>
      <c r="AF657" s="2">
        <v>137</v>
      </c>
      <c r="AG657" s="2" t="s">
        <v>734</v>
      </c>
      <c r="AH657" s="2" t="s">
        <v>734</v>
      </c>
      <c r="AI657" s="2" t="s">
        <v>734</v>
      </c>
    </row>
    <row r="658" spans="2:35" x14ac:dyDescent="0.25">
      <c r="B658" t="s">
        <v>697</v>
      </c>
      <c r="C658" t="s">
        <v>288</v>
      </c>
      <c r="D658">
        <v>140</v>
      </c>
      <c r="E658" t="s">
        <v>21</v>
      </c>
      <c r="F658" s="158" t="s">
        <v>983</v>
      </c>
      <c r="G658" s="158" t="s">
        <v>698</v>
      </c>
      <c r="I658" s="158">
        <v>9367</v>
      </c>
      <c r="J658" s="158">
        <v>9738</v>
      </c>
      <c r="K658" s="158">
        <v>9792</v>
      </c>
      <c r="L658" s="158">
        <v>9799</v>
      </c>
      <c r="M658" s="158">
        <v>9807</v>
      </c>
      <c r="N658" s="158">
        <v>10315</v>
      </c>
      <c r="O658" s="158">
        <v>10315</v>
      </c>
      <c r="P658" s="158">
        <v>10326</v>
      </c>
      <c r="Q658" s="158">
        <v>10584</v>
      </c>
      <c r="R658" s="158">
        <v>12376</v>
      </c>
      <c r="X658" s="2">
        <v>371</v>
      </c>
      <c r="Y658" s="2">
        <v>54</v>
      </c>
      <c r="Z658" s="2">
        <v>7</v>
      </c>
      <c r="AA658" s="2">
        <v>8</v>
      </c>
      <c r="AB658" s="2">
        <v>508</v>
      </c>
      <c r="AC658" s="2">
        <v>0</v>
      </c>
      <c r="AD658" s="2">
        <v>11</v>
      </c>
      <c r="AE658" s="2">
        <v>258</v>
      </c>
      <c r="AF658" s="2">
        <v>1792</v>
      </c>
      <c r="AG658" s="2" t="s">
        <v>734</v>
      </c>
      <c r="AH658" s="2" t="s">
        <v>734</v>
      </c>
      <c r="AI658" s="2" t="s">
        <v>734</v>
      </c>
    </row>
    <row r="659" spans="2:35" x14ac:dyDescent="0.25">
      <c r="B659" t="s">
        <v>294</v>
      </c>
      <c r="C659" t="s">
        <v>288</v>
      </c>
      <c r="D659">
        <v>39131</v>
      </c>
      <c r="E659" t="s">
        <v>295</v>
      </c>
      <c r="F659" s="158" t="s">
        <v>991</v>
      </c>
      <c r="I659" s="158">
        <v>578776</v>
      </c>
      <c r="J659" s="158">
        <v>580525</v>
      </c>
      <c r="K659" s="158">
        <v>583695</v>
      </c>
      <c r="L659" s="158">
        <v>586566</v>
      </c>
      <c r="M659" s="158">
        <v>589860</v>
      </c>
      <c r="N659" s="158">
        <v>593141</v>
      </c>
      <c r="O659" s="158">
        <v>596515</v>
      </c>
      <c r="P659" s="158">
        <v>600440</v>
      </c>
      <c r="Q659" s="158">
        <v>604071</v>
      </c>
      <c r="R659" s="158">
        <v>607963</v>
      </c>
      <c r="X659" s="2">
        <v>1749</v>
      </c>
      <c r="Y659" s="2">
        <v>3170</v>
      </c>
      <c r="Z659" s="2">
        <v>2871</v>
      </c>
      <c r="AA659" s="2">
        <v>3294</v>
      </c>
      <c r="AB659" s="2">
        <v>3281</v>
      </c>
      <c r="AC659" s="2">
        <v>3374</v>
      </c>
      <c r="AD659" s="2">
        <v>3925</v>
      </c>
      <c r="AE659" s="2">
        <v>3631</v>
      </c>
      <c r="AF659" s="2">
        <v>3892</v>
      </c>
      <c r="AG659" s="2" t="s">
        <v>734</v>
      </c>
      <c r="AH659" s="2" t="s">
        <v>734</v>
      </c>
      <c r="AI659" s="2" t="s">
        <v>734</v>
      </c>
    </row>
    <row r="660" spans="2:35" x14ac:dyDescent="0.25">
      <c r="B660" t="s">
        <v>696</v>
      </c>
      <c r="C660" t="s">
        <v>288</v>
      </c>
      <c r="D660">
        <v>140</v>
      </c>
      <c r="E660" t="s">
        <v>747</v>
      </c>
      <c r="F660" s="158" t="s">
        <v>987</v>
      </c>
      <c r="I660" s="158">
        <v>86923</v>
      </c>
      <c r="J660" s="158">
        <v>87080</v>
      </c>
      <c r="K660" s="158">
        <v>87370</v>
      </c>
      <c r="L660" s="158">
        <v>87620</v>
      </c>
      <c r="M660" s="158">
        <v>87879</v>
      </c>
      <c r="N660" s="158">
        <v>88177</v>
      </c>
      <c r="O660" s="158">
        <v>88512</v>
      </c>
      <c r="P660" s="158">
        <v>88910</v>
      </c>
      <c r="Q660" s="158">
        <v>89318</v>
      </c>
      <c r="R660" s="158">
        <v>89733</v>
      </c>
      <c r="X660" s="2">
        <v>157</v>
      </c>
      <c r="Y660" s="2">
        <v>290</v>
      </c>
      <c r="Z660" s="2">
        <v>250</v>
      </c>
      <c r="AA660" s="2">
        <v>259</v>
      </c>
      <c r="AB660" s="2">
        <v>298</v>
      </c>
      <c r="AC660" s="2">
        <v>335</v>
      </c>
      <c r="AD660" s="2">
        <v>398</v>
      </c>
      <c r="AE660" s="2">
        <v>408</v>
      </c>
      <c r="AF660" s="2">
        <v>415</v>
      </c>
      <c r="AG660" s="2" t="s">
        <v>734</v>
      </c>
      <c r="AH660" s="2" t="s">
        <v>734</v>
      </c>
      <c r="AI660" s="2" t="s">
        <v>734</v>
      </c>
    </row>
    <row r="661" spans="2:35" x14ac:dyDescent="0.25">
      <c r="B661" t="s">
        <v>968</v>
      </c>
      <c r="C661" t="s">
        <v>288</v>
      </c>
      <c r="D661">
        <v>140</v>
      </c>
      <c r="E661" t="s">
        <v>969</v>
      </c>
      <c r="F661" s="158" t="s">
        <v>984</v>
      </c>
      <c r="G661" s="158" t="s">
        <v>970</v>
      </c>
      <c r="I661" s="158">
        <v>213744</v>
      </c>
      <c r="J661" s="158">
        <v>214067</v>
      </c>
      <c r="K661" s="158">
        <v>214695</v>
      </c>
      <c r="L661" s="158">
        <v>215414</v>
      </c>
      <c r="M661" s="158">
        <v>215414</v>
      </c>
      <c r="N661" s="158">
        <v>216553</v>
      </c>
      <c r="O661" s="158">
        <v>217237</v>
      </c>
      <c r="P661" s="158">
        <v>217859</v>
      </c>
      <c r="Q661" s="158">
        <v>218514</v>
      </c>
      <c r="R661" s="158">
        <v>219366</v>
      </c>
      <c r="X661" s="2">
        <v>323</v>
      </c>
      <c r="Y661" s="2">
        <v>628</v>
      </c>
      <c r="Z661" s="2">
        <v>719</v>
      </c>
      <c r="AA661" s="2">
        <v>0</v>
      </c>
      <c r="AB661" s="2">
        <v>1139</v>
      </c>
      <c r="AC661" s="2">
        <v>684</v>
      </c>
      <c r="AD661" s="2">
        <v>622</v>
      </c>
      <c r="AE661" s="2">
        <v>655</v>
      </c>
      <c r="AF661" s="2">
        <v>852</v>
      </c>
      <c r="AG661" s="2" t="s">
        <v>734</v>
      </c>
      <c r="AH661" s="2" t="s">
        <v>734</v>
      </c>
      <c r="AI661" s="2" t="s">
        <v>734</v>
      </c>
    </row>
    <row r="662" spans="2:35" x14ac:dyDescent="0.25">
      <c r="B662" t="s">
        <v>291</v>
      </c>
      <c r="C662" t="s">
        <v>288</v>
      </c>
      <c r="D662">
        <v>39390</v>
      </c>
      <c r="E662" t="s">
        <v>292</v>
      </c>
      <c r="F662" s="158" t="s">
        <v>985</v>
      </c>
      <c r="I662" s="158">
        <v>24276</v>
      </c>
      <c r="J662" s="158">
        <v>24430</v>
      </c>
      <c r="K662" s="158">
        <v>24977</v>
      </c>
      <c r="L662" s="158">
        <v>24990</v>
      </c>
      <c r="M662" s="158">
        <v>25177</v>
      </c>
      <c r="N662" s="158">
        <v>25481</v>
      </c>
      <c r="O662" s="158">
        <v>25813</v>
      </c>
      <c r="P662" s="158">
        <v>26268</v>
      </c>
      <c r="Q662" s="158">
        <v>26739</v>
      </c>
      <c r="R662" s="158">
        <v>27184</v>
      </c>
      <c r="X662" s="2">
        <v>154</v>
      </c>
      <c r="Y662" s="2">
        <v>547</v>
      </c>
      <c r="Z662" s="2">
        <v>13</v>
      </c>
      <c r="AA662" s="2">
        <v>187</v>
      </c>
      <c r="AB662" s="2">
        <v>304</v>
      </c>
      <c r="AC662" s="2">
        <v>332</v>
      </c>
      <c r="AD662" s="2">
        <v>455</v>
      </c>
      <c r="AE662" s="2">
        <v>471</v>
      </c>
      <c r="AF662" s="2">
        <v>445</v>
      </c>
      <c r="AG662" s="2" t="s">
        <v>734</v>
      </c>
      <c r="AH662" s="2" t="s">
        <v>734</v>
      </c>
      <c r="AI662" s="2" t="s">
        <v>734</v>
      </c>
    </row>
    <row r="663" spans="2:35" x14ac:dyDescent="0.25">
      <c r="B663" t="s">
        <v>289</v>
      </c>
      <c r="C663" t="s">
        <v>288</v>
      </c>
      <c r="D663">
        <v>39006</v>
      </c>
      <c r="E663" t="s">
        <v>290</v>
      </c>
      <c r="F663" s="158" t="s">
        <v>990</v>
      </c>
      <c r="I663" s="158">
        <v>54790</v>
      </c>
      <c r="J663" s="158">
        <v>55272</v>
      </c>
      <c r="K663" s="158">
        <v>56389</v>
      </c>
      <c r="L663" s="158">
        <v>57120</v>
      </c>
      <c r="M663" s="158">
        <v>57615</v>
      </c>
      <c r="N663" s="158">
        <v>58006</v>
      </c>
      <c r="O663" s="158">
        <v>58477</v>
      </c>
      <c r="P663" s="158">
        <v>59319</v>
      </c>
      <c r="Q663" s="158">
        <v>60335</v>
      </c>
      <c r="R663" s="158">
        <v>61023</v>
      </c>
      <c r="X663" s="2">
        <v>482</v>
      </c>
      <c r="Y663" s="2">
        <v>1117</v>
      </c>
      <c r="Z663" s="2">
        <v>731</v>
      </c>
      <c r="AA663" s="2">
        <v>495</v>
      </c>
      <c r="AB663" s="2">
        <v>391</v>
      </c>
      <c r="AC663" s="2">
        <v>471</v>
      </c>
      <c r="AD663" s="2">
        <v>842</v>
      </c>
      <c r="AE663" s="2">
        <v>1016</v>
      </c>
      <c r="AF663" s="2">
        <v>688</v>
      </c>
      <c r="AG663" s="2" t="s">
        <v>734</v>
      </c>
      <c r="AH663" s="2" t="s">
        <v>734</v>
      </c>
      <c r="AI663" s="2" t="s">
        <v>734</v>
      </c>
    </row>
    <row r="664" spans="2:35" x14ac:dyDescent="0.25">
      <c r="B664" t="s">
        <v>1241</v>
      </c>
      <c r="C664" t="s">
        <v>288</v>
      </c>
      <c r="D664">
        <v>30000</v>
      </c>
      <c r="E664" t="s">
        <v>742</v>
      </c>
      <c r="I664" s="158">
        <v>1074846</v>
      </c>
      <c r="J664" s="158">
        <v>1082467</v>
      </c>
      <c r="K664" s="158">
        <v>1095180</v>
      </c>
      <c r="L664" s="158">
        <v>1105892</v>
      </c>
      <c r="M664" s="158">
        <v>1116739</v>
      </c>
      <c r="N664" s="158">
        <v>1126831</v>
      </c>
      <c r="O664" s="158">
        <v>1136418</v>
      </c>
      <c r="P664" s="158">
        <v>1147225</v>
      </c>
      <c r="Q664" s="158">
        <v>1158475</v>
      </c>
      <c r="R664" s="158">
        <v>1171773</v>
      </c>
      <c r="X664" s="2">
        <v>7621</v>
      </c>
      <c r="Y664" s="2">
        <v>12713</v>
      </c>
      <c r="Z664" s="2">
        <v>10712</v>
      </c>
      <c r="AA664" s="2">
        <v>10847</v>
      </c>
      <c r="AB664" s="2">
        <v>10092</v>
      </c>
      <c r="AC664" s="2">
        <v>9587</v>
      </c>
      <c r="AD664" s="2">
        <v>10807</v>
      </c>
      <c r="AE664" s="2">
        <v>11250</v>
      </c>
      <c r="AF664" s="2">
        <v>13298</v>
      </c>
      <c r="AG664" s="2" t="s">
        <v>734</v>
      </c>
      <c r="AH664" s="2" t="s">
        <v>734</v>
      </c>
      <c r="AI664" s="2" t="s">
        <v>734</v>
      </c>
    </row>
    <row r="665" spans="2:35" x14ac:dyDescent="0.25">
      <c r="B665" t="s">
        <v>1258</v>
      </c>
      <c r="C665" t="s">
        <v>288</v>
      </c>
      <c r="D665">
        <v>131</v>
      </c>
      <c r="E665" t="s">
        <v>455</v>
      </c>
      <c r="F665" s="158" t="s">
        <v>47</v>
      </c>
      <c r="H665" s="158" t="s">
        <v>1058</v>
      </c>
      <c r="I665" s="158">
        <v>449304</v>
      </c>
      <c r="J665" s="158">
        <v>453315</v>
      </c>
      <c r="K665" s="158">
        <v>460134</v>
      </c>
      <c r="L665" s="158">
        <v>465155</v>
      </c>
      <c r="M665" s="158">
        <v>470408</v>
      </c>
      <c r="N665" s="158">
        <v>475050</v>
      </c>
      <c r="O665" s="158">
        <v>479121</v>
      </c>
      <c r="P665" s="158">
        <v>483282</v>
      </c>
      <c r="Q665" s="158">
        <v>487406</v>
      </c>
      <c r="R665" s="158">
        <v>492504</v>
      </c>
      <c r="X665" s="2">
        <v>4011</v>
      </c>
      <c r="Y665" s="2">
        <v>6819</v>
      </c>
      <c r="Z665" s="2">
        <v>5021</v>
      </c>
      <c r="AA665" s="2">
        <v>5253</v>
      </c>
      <c r="AB665" s="2">
        <v>4642</v>
      </c>
      <c r="AC665" s="2">
        <v>4071</v>
      </c>
      <c r="AD665" s="2">
        <v>4161</v>
      </c>
      <c r="AE665" s="2">
        <v>4124</v>
      </c>
      <c r="AF665" s="2">
        <v>5098</v>
      </c>
      <c r="AG665" s="2" t="s">
        <v>734</v>
      </c>
      <c r="AH665" s="2" t="s">
        <v>734</v>
      </c>
      <c r="AI665" s="2" t="s">
        <v>734</v>
      </c>
    </row>
    <row r="666" spans="2:35" x14ac:dyDescent="0.25">
      <c r="B666">
        <v>1014100108</v>
      </c>
      <c r="C666" t="s">
        <v>296</v>
      </c>
      <c r="D666">
        <v>39384</v>
      </c>
      <c r="E666" t="s">
        <v>736</v>
      </c>
      <c r="F666" s="158" t="s">
        <v>47</v>
      </c>
      <c r="I666" s="158">
        <v>0</v>
      </c>
      <c r="X666" s="2" t="s">
        <v>734</v>
      </c>
      <c r="Y666" s="2" t="s">
        <v>734</v>
      </c>
      <c r="Z666" s="2" t="s">
        <v>734</v>
      </c>
      <c r="AA666" s="2" t="s">
        <v>734</v>
      </c>
      <c r="AB666" s="2" t="s">
        <v>734</v>
      </c>
      <c r="AC666" s="2" t="s">
        <v>734</v>
      </c>
      <c r="AD666" s="2" t="s">
        <v>734</v>
      </c>
      <c r="AE666" s="2" t="s">
        <v>734</v>
      </c>
      <c r="AF666" s="2" t="s">
        <v>734</v>
      </c>
      <c r="AG666" s="2" t="s">
        <v>734</v>
      </c>
      <c r="AH666" s="2" t="s">
        <v>734</v>
      </c>
      <c r="AI666" s="2" t="s">
        <v>734</v>
      </c>
    </row>
    <row r="667" spans="2:35" x14ac:dyDescent="0.25">
      <c r="B667">
        <v>1014100108</v>
      </c>
      <c r="C667" t="s">
        <v>296</v>
      </c>
      <c r="D667">
        <v>39505</v>
      </c>
      <c r="E667" t="s">
        <v>297</v>
      </c>
      <c r="F667" s="158" t="s">
        <v>47</v>
      </c>
      <c r="I667" s="158">
        <v>67261</v>
      </c>
      <c r="J667" s="158">
        <v>67649</v>
      </c>
      <c r="K667" s="158">
        <v>68235</v>
      </c>
      <c r="L667" s="158">
        <v>68750</v>
      </c>
      <c r="M667" s="158">
        <v>68843</v>
      </c>
      <c r="N667" s="158">
        <v>68854</v>
      </c>
      <c r="O667" s="158">
        <v>69982</v>
      </c>
      <c r="P667" s="158">
        <v>69992</v>
      </c>
      <c r="Q667" s="158">
        <v>69002</v>
      </c>
      <c r="R667" s="158">
        <v>69013</v>
      </c>
      <c r="X667" s="2">
        <v>388</v>
      </c>
      <c r="Y667" s="2">
        <v>586</v>
      </c>
      <c r="Z667" s="2">
        <v>515</v>
      </c>
      <c r="AA667" s="2">
        <v>93</v>
      </c>
      <c r="AB667" s="2">
        <v>11</v>
      </c>
      <c r="AC667" s="2">
        <v>1128</v>
      </c>
      <c r="AD667" s="2">
        <v>10</v>
      </c>
      <c r="AE667" s="2" t="s">
        <v>856</v>
      </c>
      <c r="AF667" s="2">
        <v>11</v>
      </c>
      <c r="AG667" s="2" t="s">
        <v>734</v>
      </c>
      <c r="AH667" s="2" t="s">
        <v>734</v>
      </c>
      <c r="AI667" s="2" t="s">
        <v>734</v>
      </c>
    </row>
    <row r="668" spans="2:35" x14ac:dyDescent="0.25">
      <c r="B668" t="s">
        <v>1242</v>
      </c>
      <c r="C668" t="s">
        <v>296</v>
      </c>
      <c r="D668">
        <v>30000</v>
      </c>
      <c r="E668" t="s">
        <v>742</v>
      </c>
      <c r="F668" s="158" t="s">
        <v>63</v>
      </c>
      <c r="I668" s="158">
        <v>318464</v>
      </c>
      <c r="J668" s="158">
        <v>323256</v>
      </c>
      <c r="K668" s="158">
        <v>331428</v>
      </c>
      <c r="L668" s="158">
        <v>337426</v>
      </c>
      <c r="M668" s="158">
        <v>343335</v>
      </c>
      <c r="N668" s="158">
        <v>348704</v>
      </c>
      <c r="O668" s="158">
        <v>353680</v>
      </c>
      <c r="P668" s="158">
        <v>358864</v>
      </c>
      <c r="Q668" s="158">
        <v>364024</v>
      </c>
      <c r="R668" s="158">
        <v>370026</v>
      </c>
      <c r="X668" s="2">
        <v>4792</v>
      </c>
      <c r="Y668" s="2">
        <v>8172</v>
      </c>
      <c r="Z668" s="2">
        <v>5998</v>
      </c>
      <c r="AA668" s="2">
        <v>5909</v>
      </c>
      <c r="AB668" s="2">
        <v>5369</v>
      </c>
      <c r="AC668" s="2">
        <v>4976</v>
      </c>
      <c r="AD668" s="2">
        <v>5184</v>
      </c>
      <c r="AE668" s="2">
        <v>5160</v>
      </c>
      <c r="AF668" s="2">
        <v>6002</v>
      </c>
      <c r="AG668" s="2" t="s">
        <v>734</v>
      </c>
      <c r="AH668" s="2" t="s">
        <v>734</v>
      </c>
      <c r="AI668" s="2" t="s">
        <v>734</v>
      </c>
    </row>
    <row r="669" spans="2:35" x14ac:dyDescent="0.25">
      <c r="B669" t="s">
        <v>1243</v>
      </c>
      <c r="C669" t="s">
        <v>296</v>
      </c>
      <c r="D669">
        <v>131</v>
      </c>
      <c r="E669" t="s">
        <v>455</v>
      </c>
      <c r="F669" s="158" t="s">
        <v>47</v>
      </c>
      <c r="I669" s="158">
        <v>215628</v>
      </c>
      <c r="J669" s="158">
        <v>219158</v>
      </c>
      <c r="K669" s="158">
        <v>225147</v>
      </c>
      <c r="L669" s="158">
        <v>229352</v>
      </c>
      <c r="M669" s="158">
        <v>234215</v>
      </c>
      <c r="N669" s="158">
        <v>237893</v>
      </c>
      <c r="O669" s="158">
        <v>241528</v>
      </c>
      <c r="P669" s="158">
        <v>245267</v>
      </c>
      <c r="Q669" s="158">
        <v>249007</v>
      </c>
      <c r="R669" s="158">
        <v>253479</v>
      </c>
      <c r="X669" s="2">
        <v>3530</v>
      </c>
      <c r="Y669" s="2">
        <v>5989</v>
      </c>
      <c r="Z669" s="2">
        <v>4205</v>
      </c>
      <c r="AA669" s="2">
        <v>4863</v>
      </c>
      <c r="AB669" s="2">
        <v>3678</v>
      </c>
      <c r="AC669" s="2">
        <v>3635</v>
      </c>
      <c r="AD669" s="2">
        <v>3739</v>
      </c>
      <c r="AE669" s="2">
        <v>3740</v>
      </c>
      <c r="AF669" s="2">
        <v>4472</v>
      </c>
      <c r="AG669" s="2" t="s">
        <v>734</v>
      </c>
      <c r="AH669" s="2" t="s">
        <v>734</v>
      </c>
      <c r="AI669" s="2" t="s">
        <v>734</v>
      </c>
    </row>
    <row r="670" spans="2:35" x14ac:dyDescent="0.25">
      <c r="B670" t="s">
        <v>1244</v>
      </c>
      <c r="C670" t="s">
        <v>296</v>
      </c>
      <c r="D670">
        <v>132</v>
      </c>
      <c r="E670" t="s">
        <v>737</v>
      </c>
      <c r="F670" s="158" t="s">
        <v>47</v>
      </c>
      <c r="H670" s="158" t="s">
        <v>738</v>
      </c>
      <c r="I670" s="158">
        <v>12199</v>
      </c>
      <c r="J670" s="158">
        <v>12204</v>
      </c>
      <c r="K670" s="158">
        <v>12213</v>
      </c>
      <c r="L670" s="158">
        <v>12220</v>
      </c>
      <c r="M670" s="158">
        <v>12227</v>
      </c>
      <c r="N670" s="158">
        <v>12233</v>
      </c>
      <c r="O670" s="158">
        <v>12238</v>
      </c>
      <c r="P670" s="158">
        <v>12244</v>
      </c>
      <c r="Q670" s="158">
        <v>12249</v>
      </c>
      <c r="R670" s="158">
        <v>12256</v>
      </c>
      <c r="X670" s="2">
        <v>5</v>
      </c>
      <c r="Y670" s="2">
        <v>9</v>
      </c>
      <c r="Z670" s="2">
        <v>7</v>
      </c>
      <c r="AA670" s="2">
        <v>7</v>
      </c>
      <c r="AB670" s="2">
        <v>6</v>
      </c>
      <c r="AC670" s="2">
        <v>5</v>
      </c>
      <c r="AD670" s="2">
        <v>6</v>
      </c>
      <c r="AE670" s="2">
        <v>5</v>
      </c>
      <c r="AF670" s="2">
        <v>7</v>
      </c>
      <c r="AG670" s="2" t="s">
        <v>734</v>
      </c>
      <c r="AH670" s="2" t="s">
        <v>734</v>
      </c>
      <c r="AI670" s="2" t="s">
        <v>734</v>
      </c>
    </row>
    <row r="671" spans="2:35" x14ac:dyDescent="0.25">
      <c r="B671">
        <v>114467100</v>
      </c>
      <c r="C671" t="s">
        <v>298</v>
      </c>
      <c r="D671">
        <v>39518</v>
      </c>
      <c r="E671" t="s">
        <v>996</v>
      </c>
      <c r="F671" s="158" t="s">
        <v>47</v>
      </c>
      <c r="G671" s="158" t="s">
        <v>303</v>
      </c>
      <c r="I671" s="158">
        <v>60159</v>
      </c>
      <c r="J671" s="158">
        <v>61800</v>
      </c>
      <c r="K671" s="158">
        <v>64315</v>
      </c>
      <c r="L671" s="158">
        <v>66261</v>
      </c>
      <c r="M671" s="158">
        <v>68445</v>
      </c>
      <c r="N671" s="158">
        <v>70040</v>
      </c>
      <c r="O671" s="158">
        <v>71607</v>
      </c>
      <c r="P671" s="158">
        <v>73220</v>
      </c>
      <c r="Q671" s="158">
        <v>74836</v>
      </c>
      <c r="R671" s="158">
        <v>76771</v>
      </c>
      <c r="X671" s="2">
        <v>1641</v>
      </c>
      <c r="Y671" s="2">
        <v>2515</v>
      </c>
      <c r="Z671" s="2">
        <v>1946</v>
      </c>
      <c r="AA671" s="2">
        <v>2184</v>
      </c>
      <c r="AB671" s="2">
        <v>1595</v>
      </c>
      <c r="AC671" s="2">
        <v>1567</v>
      </c>
      <c r="AD671" s="2">
        <v>1613</v>
      </c>
      <c r="AE671" s="2">
        <v>1616</v>
      </c>
      <c r="AF671" s="2">
        <v>1935</v>
      </c>
      <c r="AG671" s="2" t="s">
        <v>734</v>
      </c>
      <c r="AH671" s="2" t="s">
        <v>734</v>
      </c>
      <c r="AI671" s="2" t="s">
        <v>734</v>
      </c>
    </row>
    <row r="672" spans="2:35" x14ac:dyDescent="0.25">
      <c r="B672">
        <v>114467132</v>
      </c>
      <c r="C672" t="s">
        <v>298</v>
      </c>
      <c r="D672">
        <v>39519</v>
      </c>
      <c r="E672" t="s">
        <v>997</v>
      </c>
      <c r="F672" s="158" t="s">
        <v>47</v>
      </c>
      <c r="G672" s="158" t="s">
        <v>304</v>
      </c>
      <c r="I672" s="158">
        <v>49601</v>
      </c>
      <c r="J672" s="158">
        <v>50799</v>
      </c>
      <c r="K672" s="158">
        <v>52958</v>
      </c>
      <c r="L672" s="158">
        <v>54625</v>
      </c>
      <c r="M672" s="158">
        <v>56503</v>
      </c>
      <c r="N672" s="158">
        <v>57876</v>
      </c>
      <c r="O672" s="158">
        <v>59220</v>
      </c>
      <c r="P672" s="158">
        <v>60607</v>
      </c>
      <c r="Q672" s="158">
        <v>61999</v>
      </c>
      <c r="R672" s="158">
        <v>63656</v>
      </c>
      <c r="X672" s="2">
        <v>1198</v>
      </c>
      <c r="Y672" s="2">
        <v>2159</v>
      </c>
      <c r="Z672" s="2">
        <v>1667</v>
      </c>
      <c r="AA672" s="2">
        <v>1878</v>
      </c>
      <c r="AB672" s="2">
        <v>1373</v>
      </c>
      <c r="AC672" s="2">
        <v>1344</v>
      </c>
      <c r="AD672" s="2">
        <v>1387</v>
      </c>
      <c r="AE672" s="2">
        <v>1392</v>
      </c>
      <c r="AF672" s="2">
        <v>1657</v>
      </c>
      <c r="AG672" s="2" t="s">
        <v>734</v>
      </c>
      <c r="AH672" s="2" t="s">
        <v>734</v>
      </c>
      <c r="AI672" s="2" t="s">
        <v>734</v>
      </c>
    </row>
    <row r="673" spans="2:35" x14ac:dyDescent="0.25">
      <c r="B673">
        <v>114481072</v>
      </c>
      <c r="C673" t="s">
        <v>298</v>
      </c>
      <c r="D673">
        <v>132</v>
      </c>
      <c r="E673" t="s">
        <v>305</v>
      </c>
      <c r="F673" s="158" t="s">
        <v>47</v>
      </c>
      <c r="G673" s="158" t="s">
        <v>305</v>
      </c>
      <c r="I673" s="158">
        <v>60195</v>
      </c>
      <c r="J673" s="158">
        <v>61544</v>
      </c>
      <c r="K673" s="158">
        <v>64045</v>
      </c>
      <c r="L673" s="158">
        <v>65977</v>
      </c>
      <c r="M673" s="158">
        <v>68136</v>
      </c>
      <c r="N673" s="158">
        <v>69710</v>
      </c>
      <c r="O673" s="158">
        <v>71254</v>
      </c>
      <c r="P673" s="158">
        <v>72850</v>
      </c>
      <c r="Q673" s="158">
        <v>74451</v>
      </c>
      <c r="R673" s="158">
        <v>76352</v>
      </c>
      <c r="X673" s="2">
        <v>1349</v>
      </c>
      <c r="Y673" s="2">
        <v>2501</v>
      </c>
      <c r="Z673" s="2">
        <v>1932</v>
      </c>
      <c r="AA673" s="2">
        <v>2159</v>
      </c>
      <c r="AB673" s="2">
        <v>1574</v>
      </c>
      <c r="AC673" s="2">
        <v>1544</v>
      </c>
      <c r="AD673" s="2">
        <v>1596</v>
      </c>
      <c r="AE673" s="2">
        <v>1601</v>
      </c>
      <c r="AF673" s="2">
        <v>1901</v>
      </c>
      <c r="AG673" s="2" t="s">
        <v>734</v>
      </c>
      <c r="AH673" s="2" t="s">
        <v>734</v>
      </c>
      <c r="AI673" s="2" t="s">
        <v>734</v>
      </c>
    </row>
    <row r="674" spans="2:35" x14ac:dyDescent="0.25">
      <c r="B674">
        <v>114484080</v>
      </c>
      <c r="C674" t="s">
        <v>298</v>
      </c>
      <c r="D674">
        <v>39517</v>
      </c>
      <c r="E674" t="s">
        <v>998</v>
      </c>
      <c r="F674" s="158" t="s">
        <v>47</v>
      </c>
      <c r="G674" s="158" t="s">
        <v>302</v>
      </c>
      <c r="I674" s="158">
        <v>58390</v>
      </c>
      <c r="J674" s="158">
        <v>61605</v>
      </c>
      <c r="K674" s="158">
        <v>64150</v>
      </c>
      <c r="L674" s="158">
        <v>66124</v>
      </c>
      <c r="M674" s="158">
        <v>68335</v>
      </c>
      <c r="N674" s="158">
        <v>69948</v>
      </c>
      <c r="O674" s="158">
        <v>71533</v>
      </c>
      <c r="P674" s="158">
        <v>73168</v>
      </c>
      <c r="Q674" s="158">
        <v>74809</v>
      </c>
      <c r="R674" s="158">
        <v>76770</v>
      </c>
      <c r="X674" s="2">
        <v>3215</v>
      </c>
      <c r="Y674" s="2">
        <v>2545</v>
      </c>
      <c r="Z674" s="2">
        <v>1974</v>
      </c>
      <c r="AA674" s="2">
        <v>2211</v>
      </c>
      <c r="AB674" s="2">
        <v>1613</v>
      </c>
      <c r="AC674" s="2">
        <v>1585</v>
      </c>
      <c r="AD674" s="2">
        <v>1635</v>
      </c>
      <c r="AE674" s="2">
        <v>1641</v>
      </c>
      <c r="AF674" s="2">
        <v>1961</v>
      </c>
      <c r="AG674" s="2" t="s">
        <v>734</v>
      </c>
      <c r="AH674" s="2" t="s">
        <v>734</v>
      </c>
      <c r="AI674" s="2" t="s">
        <v>734</v>
      </c>
    </row>
    <row r="675" spans="2:35" x14ac:dyDescent="0.25">
      <c r="B675" t="s">
        <v>299</v>
      </c>
      <c r="C675" t="s">
        <v>298</v>
      </c>
      <c r="D675">
        <v>39504</v>
      </c>
      <c r="E675" t="s">
        <v>146</v>
      </c>
      <c r="F675" s="158" t="s">
        <v>47</v>
      </c>
      <c r="G675" s="158" t="s">
        <v>300</v>
      </c>
      <c r="I675" s="158">
        <v>14823</v>
      </c>
      <c r="J675" s="158">
        <v>14847</v>
      </c>
      <c r="K675" s="158">
        <v>14852</v>
      </c>
      <c r="L675" s="158">
        <v>14853</v>
      </c>
      <c r="M675" s="158">
        <v>14853</v>
      </c>
      <c r="N675" s="158">
        <v>14853</v>
      </c>
      <c r="O675" s="158">
        <v>14853</v>
      </c>
      <c r="P675" s="158">
        <v>14853</v>
      </c>
      <c r="Q675" s="158">
        <v>14853</v>
      </c>
      <c r="R675" s="158">
        <v>14853</v>
      </c>
      <c r="X675" s="2">
        <v>24</v>
      </c>
      <c r="Y675" s="2">
        <v>5</v>
      </c>
      <c r="Z675" s="2">
        <v>1</v>
      </c>
      <c r="AA675" s="2">
        <v>0</v>
      </c>
      <c r="AB675" s="2">
        <v>0</v>
      </c>
      <c r="AC675" s="2">
        <v>0</v>
      </c>
      <c r="AD675" s="2">
        <v>0</v>
      </c>
      <c r="AE675" s="2">
        <v>0</v>
      </c>
      <c r="AF675" s="2">
        <v>0</v>
      </c>
      <c r="AG675" s="2" t="s">
        <v>734</v>
      </c>
      <c r="AH675" s="2" t="s">
        <v>734</v>
      </c>
      <c r="AI675" s="2" t="s">
        <v>734</v>
      </c>
    </row>
    <row r="676" spans="2:35" x14ac:dyDescent="0.25">
      <c r="B676" t="s">
        <v>1306</v>
      </c>
      <c r="C676" t="s">
        <v>298</v>
      </c>
      <c r="D676">
        <v>30000</v>
      </c>
      <c r="E676" t="s">
        <v>742</v>
      </c>
      <c r="F676" s="158" t="s">
        <v>63</v>
      </c>
      <c r="I676" s="158">
        <v>909858</v>
      </c>
      <c r="J676" s="158">
        <v>926677</v>
      </c>
      <c r="K676" s="158">
        <v>964795</v>
      </c>
      <c r="L676" s="158">
        <v>995326</v>
      </c>
      <c r="M676" s="158">
        <v>1029986</v>
      </c>
      <c r="N676" s="158">
        <v>1055305</v>
      </c>
      <c r="O676" s="158">
        <v>1080445</v>
      </c>
      <c r="P676" s="158">
        <v>1109616</v>
      </c>
      <c r="Q676" s="158">
        <v>1136187</v>
      </c>
      <c r="X676" s="2">
        <v>16819</v>
      </c>
      <c r="Y676" s="2">
        <v>38118</v>
      </c>
      <c r="Z676" s="2">
        <v>30531</v>
      </c>
      <c r="AA676" s="2">
        <v>34660</v>
      </c>
      <c r="AB676" s="2">
        <v>25319</v>
      </c>
      <c r="AC676" s="2">
        <v>25140</v>
      </c>
      <c r="AD676" s="2">
        <v>29171</v>
      </c>
      <c r="AE676" s="2">
        <v>26571</v>
      </c>
      <c r="AF676" s="2" t="s">
        <v>734</v>
      </c>
      <c r="AG676" s="2" t="s">
        <v>734</v>
      </c>
      <c r="AH676" s="2" t="s">
        <v>734</v>
      </c>
      <c r="AI676" s="2" t="s">
        <v>734</v>
      </c>
    </row>
    <row r="677" spans="2:35" x14ac:dyDescent="0.25">
      <c r="B677" t="s">
        <v>1308</v>
      </c>
      <c r="C677" t="s">
        <v>298</v>
      </c>
      <c r="D677">
        <v>132</v>
      </c>
      <c r="E677" t="s">
        <v>457</v>
      </c>
      <c r="F677" s="158" t="s">
        <v>47</v>
      </c>
      <c r="H677" s="158" t="s">
        <v>1309</v>
      </c>
      <c r="O677" s="158">
        <v>280688</v>
      </c>
      <c r="P677" s="158">
        <v>286909</v>
      </c>
      <c r="Q677" s="158">
        <v>293149</v>
      </c>
      <c r="X677" s="2" t="s">
        <v>734</v>
      </c>
      <c r="Y677" s="2" t="s">
        <v>734</v>
      </c>
      <c r="Z677" s="2" t="s">
        <v>734</v>
      </c>
      <c r="AA677" s="2" t="s">
        <v>734</v>
      </c>
      <c r="AB677" s="2" t="s">
        <v>734</v>
      </c>
      <c r="AC677" s="2" t="s">
        <v>734</v>
      </c>
      <c r="AD677" s="2">
        <v>6221</v>
      </c>
      <c r="AE677" s="2">
        <v>6240</v>
      </c>
      <c r="AF677" s="2" t="s">
        <v>734</v>
      </c>
      <c r="AG677" s="2" t="s">
        <v>734</v>
      </c>
      <c r="AH677" s="2" t="s">
        <v>734</v>
      </c>
      <c r="AI677" s="2" t="s">
        <v>734</v>
      </c>
    </row>
    <row r="678" spans="2:35" x14ac:dyDescent="0.25">
      <c r="B678" t="s">
        <v>1307</v>
      </c>
      <c r="C678" t="s">
        <v>298</v>
      </c>
      <c r="D678">
        <v>131</v>
      </c>
      <c r="E678" t="s">
        <v>455</v>
      </c>
      <c r="F678" s="158" t="s">
        <v>47</v>
      </c>
      <c r="I678" s="158">
        <v>75048</v>
      </c>
      <c r="J678" s="158">
        <v>75812</v>
      </c>
      <c r="K678" s="158">
        <v>77945</v>
      </c>
      <c r="L678" s="158">
        <v>79862</v>
      </c>
      <c r="M678" s="158">
        <v>82033</v>
      </c>
      <c r="N678" s="158">
        <v>83630</v>
      </c>
      <c r="O678" s="158">
        <v>85196</v>
      </c>
      <c r="P678" s="158">
        <v>86815</v>
      </c>
      <c r="Q678" s="158">
        <v>88434</v>
      </c>
      <c r="X678" s="2">
        <v>764</v>
      </c>
      <c r="Y678" s="2">
        <v>2133</v>
      </c>
      <c r="Z678" s="2">
        <v>1917</v>
      </c>
      <c r="AA678" s="2">
        <v>2171</v>
      </c>
      <c r="AB678" s="2">
        <v>1597</v>
      </c>
      <c r="AC678" s="2">
        <v>1566</v>
      </c>
      <c r="AD678" s="2">
        <v>1619</v>
      </c>
      <c r="AE678" s="2">
        <v>1619</v>
      </c>
      <c r="AF678" s="2" t="s">
        <v>734</v>
      </c>
      <c r="AG678" s="2" t="s">
        <v>734</v>
      </c>
      <c r="AH678" s="2" t="s">
        <v>734</v>
      </c>
      <c r="AI678" s="2" t="s">
        <v>734</v>
      </c>
    </row>
    <row r="679" spans="2:35" x14ac:dyDescent="0.25">
      <c r="B679" t="s">
        <v>1257</v>
      </c>
      <c r="C679" t="s">
        <v>298</v>
      </c>
      <c r="D679">
        <v>141</v>
      </c>
      <c r="E679" t="s">
        <v>806</v>
      </c>
      <c r="F679" s="158" t="s">
        <v>807</v>
      </c>
      <c r="K679" s="158">
        <v>3493</v>
      </c>
      <c r="L679" s="158">
        <v>3493</v>
      </c>
      <c r="M679" s="158">
        <v>3493</v>
      </c>
      <c r="N679" s="158">
        <v>3556</v>
      </c>
      <c r="O679" s="158">
        <v>3578</v>
      </c>
      <c r="P679" s="158">
        <v>3595</v>
      </c>
      <c r="X679" s="2" t="s">
        <v>734</v>
      </c>
      <c r="Y679" s="2" t="s">
        <v>734</v>
      </c>
      <c r="Z679" s="2">
        <v>0</v>
      </c>
      <c r="AA679" s="2">
        <v>0</v>
      </c>
      <c r="AB679" s="2">
        <v>63</v>
      </c>
      <c r="AC679" s="2">
        <v>22</v>
      </c>
      <c r="AD679" s="2">
        <v>17</v>
      </c>
      <c r="AE679" s="2" t="s">
        <v>734</v>
      </c>
      <c r="AF679" s="2" t="s">
        <v>734</v>
      </c>
      <c r="AG679" s="2" t="s">
        <v>734</v>
      </c>
      <c r="AH679" s="2" t="s">
        <v>734</v>
      </c>
      <c r="AI679" s="2" t="s">
        <v>734</v>
      </c>
    </row>
    <row r="680" spans="2:35" x14ac:dyDescent="0.25">
      <c r="B680">
        <v>114467037</v>
      </c>
      <c r="C680" t="s">
        <v>306</v>
      </c>
      <c r="D680">
        <v>39548</v>
      </c>
      <c r="E680" t="s">
        <v>999</v>
      </c>
      <c r="F680" s="158" t="s">
        <v>47</v>
      </c>
      <c r="G680" s="158" t="s">
        <v>309</v>
      </c>
      <c r="I680" s="158">
        <v>65709</v>
      </c>
      <c r="J680" s="158">
        <v>67122</v>
      </c>
      <c r="K680" s="158">
        <v>69491</v>
      </c>
      <c r="L680" s="158">
        <v>71466</v>
      </c>
      <c r="M680" s="158">
        <v>73679</v>
      </c>
      <c r="N680" s="158">
        <v>75294</v>
      </c>
      <c r="O680" s="158">
        <v>76878</v>
      </c>
      <c r="P680" s="158">
        <v>78508</v>
      </c>
      <c r="Q680" s="158">
        <v>80144</v>
      </c>
      <c r="R680" s="158">
        <v>82096</v>
      </c>
      <c r="X680" s="2">
        <v>1413</v>
      </c>
      <c r="Y680" s="2">
        <v>2369</v>
      </c>
      <c r="Z680" s="2">
        <v>1975</v>
      </c>
      <c r="AA680" s="2">
        <v>2213</v>
      </c>
      <c r="AB680" s="2">
        <v>1615</v>
      </c>
      <c r="AC680" s="2">
        <v>1584</v>
      </c>
      <c r="AD680" s="2">
        <v>1630</v>
      </c>
      <c r="AE680" s="2">
        <v>1636</v>
      </c>
      <c r="AF680" s="2">
        <v>1952</v>
      </c>
      <c r="AG680" s="2" t="s">
        <v>734</v>
      </c>
      <c r="AH680" s="2" t="s">
        <v>734</v>
      </c>
      <c r="AI680" s="2" t="s">
        <v>734</v>
      </c>
    </row>
    <row r="681" spans="2:35" x14ac:dyDescent="0.25">
      <c r="B681">
        <v>114481067</v>
      </c>
      <c r="C681" t="s">
        <v>306</v>
      </c>
      <c r="D681">
        <v>39549</v>
      </c>
      <c r="E681" t="s">
        <v>1000</v>
      </c>
      <c r="F681" s="158" t="s">
        <v>47</v>
      </c>
      <c r="G681" s="158" t="s">
        <v>310</v>
      </c>
      <c r="I681" s="158">
        <v>26678</v>
      </c>
      <c r="J681" s="158">
        <v>26949</v>
      </c>
      <c r="K681" s="158">
        <v>27403</v>
      </c>
      <c r="L681" s="158">
        <v>27781</v>
      </c>
      <c r="M681" s="158">
        <v>28227</v>
      </c>
      <c r="N681" s="158">
        <v>28535</v>
      </c>
      <c r="O681" s="158">
        <v>28988</v>
      </c>
      <c r="P681" s="158">
        <v>29585</v>
      </c>
      <c r="Q681" s="158">
        <v>30185</v>
      </c>
      <c r="R681" s="158">
        <v>30899</v>
      </c>
      <c r="X681" s="2">
        <v>271</v>
      </c>
      <c r="Y681" s="2">
        <v>454</v>
      </c>
      <c r="Z681" s="2">
        <v>378</v>
      </c>
      <c r="AA681" s="2">
        <v>446</v>
      </c>
      <c r="AB681" s="2">
        <v>308</v>
      </c>
      <c r="AC681" s="2">
        <v>453</v>
      </c>
      <c r="AD681" s="2">
        <v>597</v>
      </c>
      <c r="AE681" s="2">
        <v>600</v>
      </c>
      <c r="AF681" s="2">
        <v>714</v>
      </c>
      <c r="AG681" s="2" t="s">
        <v>734</v>
      </c>
      <c r="AH681" s="2" t="s">
        <v>734</v>
      </c>
      <c r="AI681" s="2" t="s">
        <v>734</v>
      </c>
    </row>
    <row r="682" spans="2:35" x14ac:dyDescent="0.25">
      <c r="B682">
        <v>114481080</v>
      </c>
      <c r="C682" t="s">
        <v>306</v>
      </c>
      <c r="D682">
        <v>39547</v>
      </c>
      <c r="E682" t="s">
        <v>1001</v>
      </c>
      <c r="F682" s="158" t="s">
        <v>47</v>
      </c>
      <c r="G682" s="158" t="s">
        <v>308</v>
      </c>
      <c r="I682" s="158">
        <v>65642</v>
      </c>
      <c r="J682" s="158">
        <v>67034</v>
      </c>
      <c r="K682" s="158">
        <v>69363</v>
      </c>
      <c r="L682" s="158">
        <v>71225</v>
      </c>
      <c r="M682" s="158">
        <v>73390</v>
      </c>
      <c r="N682" s="158">
        <v>74964</v>
      </c>
      <c r="O682" s="158">
        <v>76511</v>
      </c>
      <c r="P682" s="158">
        <v>78106</v>
      </c>
      <c r="Q682" s="158">
        <v>79707</v>
      </c>
      <c r="R682" s="158">
        <v>81617</v>
      </c>
      <c r="X682" s="2">
        <v>1392</v>
      </c>
      <c r="Y682" s="2">
        <v>2329</v>
      </c>
      <c r="Z682" s="2">
        <v>1862</v>
      </c>
      <c r="AA682" s="2">
        <v>2165</v>
      </c>
      <c r="AB682" s="2">
        <v>1574</v>
      </c>
      <c r="AC682" s="2">
        <v>1547</v>
      </c>
      <c r="AD682" s="2">
        <v>1595</v>
      </c>
      <c r="AE682" s="2">
        <v>1601</v>
      </c>
      <c r="AF682" s="2">
        <v>1910</v>
      </c>
      <c r="AG682" s="2" t="s">
        <v>734</v>
      </c>
      <c r="AH682" s="2" t="s">
        <v>734</v>
      </c>
      <c r="AI682" s="2" t="s">
        <v>734</v>
      </c>
    </row>
    <row r="683" spans="2:35" x14ac:dyDescent="0.25">
      <c r="B683">
        <v>114484112</v>
      </c>
      <c r="C683" t="s">
        <v>306</v>
      </c>
      <c r="D683">
        <v>39526</v>
      </c>
      <c r="E683" t="s">
        <v>1002</v>
      </c>
      <c r="F683" s="158" t="s">
        <v>47</v>
      </c>
      <c r="G683" s="158" t="s">
        <v>307</v>
      </c>
      <c r="I683" s="158">
        <v>66009</v>
      </c>
      <c r="J683" s="158">
        <v>67418</v>
      </c>
      <c r="K683" s="158">
        <v>69786</v>
      </c>
      <c r="L683" s="158">
        <v>71744</v>
      </c>
      <c r="M683" s="158">
        <v>73927</v>
      </c>
      <c r="N683" s="158">
        <v>75517</v>
      </c>
      <c r="O683" s="158">
        <v>77075</v>
      </c>
      <c r="P683" s="158">
        <v>78681</v>
      </c>
      <c r="Q683" s="158">
        <v>80282</v>
      </c>
      <c r="R683" s="158">
        <v>82213</v>
      </c>
      <c r="X683" s="2">
        <v>1409</v>
      </c>
      <c r="Y683" s="2">
        <v>2368</v>
      </c>
      <c r="Z683" s="2">
        <v>1958</v>
      </c>
      <c r="AA683" s="2">
        <v>2183</v>
      </c>
      <c r="AB683" s="2">
        <v>1590</v>
      </c>
      <c r="AC683" s="2">
        <v>1558</v>
      </c>
      <c r="AD683" s="2">
        <v>1606</v>
      </c>
      <c r="AE683" s="2">
        <v>1601</v>
      </c>
      <c r="AF683" s="2">
        <v>1931</v>
      </c>
      <c r="AG683" s="2" t="s">
        <v>734</v>
      </c>
      <c r="AH683" s="2" t="s">
        <v>734</v>
      </c>
      <c r="AI683" s="2" t="s">
        <v>734</v>
      </c>
    </row>
  </sheetData>
  <mergeCells count="3">
    <mergeCell ref="B248:AI248"/>
    <mergeCell ref="B188:AI188"/>
    <mergeCell ref="B2:AI2"/>
  </mergeCell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AI178"/>
  <sheetViews>
    <sheetView zoomScale="70" zoomScaleNormal="70" workbookViewId="0"/>
  </sheetViews>
  <sheetFormatPr baseColWidth="10" defaultRowHeight="15" x14ac:dyDescent="0.25"/>
  <cols>
    <col min="2" max="2" width="34.7109375" bestFit="1" customWidth="1"/>
    <col min="3" max="3" width="20.42578125" bestFit="1" customWidth="1"/>
    <col min="4" max="4" width="9.28515625" style="2" customWidth="1"/>
    <col min="5" max="5" width="63.7109375" bestFit="1" customWidth="1"/>
    <col min="6" max="6" width="52.42578125" style="1" bestFit="1" customWidth="1"/>
    <col min="7" max="7" width="72.7109375" style="1" customWidth="1"/>
    <col min="8" max="8" width="83" style="1" customWidth="1"/>
    <col min="9" max="11" width="11.5703125" style="1" customWidth="1"/>
    <col min="12" max="12" width="13.7109375" style="1" customWidth="1"/>
    <col min="13" max="13" width="16.5703125" style="1" customWidth="1"/>
    <col min="14" max="14" width="15.28515625" style="1" customWidth="1"/>
    <col min="15" max="15" width="20.140625" style="1" bestFit="1" customWidth="1"/>
    <col min="16" max="16" width="11.5703125" style="1" customWidth="1"/>
    <col min="17" max="17" width="13.28515625" style="1" customWidth="1"/>
    <col min="18" max="22" width="11.5703125" customWidth="1"/>
    <col min="24" max="24" width="15.7109375" bestFit="1" customWidth="1"/>
  </cols>
  <sheetData>
    <row r="1" spans="1:35" s="3" customFormat="1" ht="18.600000000000001" customHeight="1" thickBot="1" x14ac:dyDescent="0.3">
      <c r="A1" s="212"/>
      <c r="B1" s="213"/>
      <c r="C1" s="214"/>
      <c r="D1" s="214"/>
      <c r="E1" s="215"/>
      <c r="F1" s="215"/>
      <c r="G1" s="215"/>
      <c r="H1" s="226"/>
      <c r="I1" s="236"/>
      <c r="J1" s="236"/>
      <c r="K1" s="236"/>
      <c r="L1" s="236"/>
      <c r="M1" s="236"/>
      <c r="N1" s="236"/>
      <c r="O1" s="236"/>
      <c r="P1" s="236"/>
      <c r="Q1" s="236"/>
      <c r="R1" s="52"/>
    </row>
    <row r="2" spans="1:35" ht="18.75" x14ac:dyDescent="0.25">
      <c r="A2" s="95"/>
      <c r="B2" s="145" t="s">
        <v>18</v>
      </c>
      <c r="C2" s="146" t="s">
        <v>0</v>
      </c>
      <c r="D2" s="146" t="s">
        <v>710</v>
      </c>
      <c r="E2" s="146" t="s">
        <v>1</v>
      </c>
      <c r="F2" s="237" t="s">
        <v>2</v>
      </c>
      <c r="G2" s="237" t="s">
        <v>3</v>
      </c>
      <c r="H2" s="237" t="s">
        <v>4</v>
      </c>
      <c r="I2" s="284" t="s">
        <v>1100</v>
      </c>
      <c r="J2" s="285" t="s">
        <v>1050</v>
      </c>
      <c r="K2" s="285" t="s">
        <v>1101</v>
      </c>
      <c r="L2" s="286" t="s">
        <v>1102</v>
      </c>
      <c r="M2" s="285" t="s">
        <v>1103</v>
      </c>
      <c r="N2" s="285" t="s">
        <v>1104</v>
      </c>
      <c r="O2" s="285" t="s">
        <v>1105</v>
      </c>
      <c r="P2" s="285" t="s">
        <v>1106</v>
      </c>
      <c r="Q2" s="285" t="s">
        <v>1107</v>
      </c>
      <c r="R2" s="287" t="s">
        <v>1108</v>
      </c>
      <c r="S2" s="288" t="s">
        <v>1109</v>
      </c>
      <c r="T2" s="288" t="s">
        <v>1110</v>
      </c>
      <c r="U2" s="288" t="s">
        <v>1111</v>
      </c>
      <c r="V2" s="289" t="s">
        <v>1112</v>
      </c>
      <c r="W2" s="99" t="s">
        <v>756</v>
      </c>
      <c r="X2" s="100" t="s">
        <v>488</v>
      </c>
      <c r="Y2" s="100" t="s">
        <v>489</v>
      </c>
      <c r="Z2" s="100" t="s">
        <v>490</v>
      </c>
      <c r="AA2" s="100" t="s">
        <v>491</v>
      </c>
      <c r="AB2" s="100" t="s">
        <v>492</v>
      </c>
      <c r="AC2" s="100" t="s">
        <v>493</v>
      </c>
      <c r="AD2" s="100" t="s">
        <v>494</v>
      </c>
      <c r="AE2" s="100" t="s">
        <v>495</v>
      </c>
      <c r="AF2" s="100" t="s">
        <v>496</v>
      </c>
      <c r="AG2" s="100" t="s">
        <v>497</v>
      </c>
      <c r="AH2" s="100" t="s">
        <v>498</v>
      </c>
      <c r="AI2" s="100" t="s">
        <v>499</v>
      </c>
    </row>
    <row r="3" spans="1:35" ht="18.75" customHeight="1" x14ac:dyDescent="0.3">
      <c r="A3" s="290"/>
      <c r="B3" s="220">
        <v>78226859</v>
      </c>
      <c r="C3" s="96" t="s">
        <v>615</v>
      </c>
      <c r="D3" s="96">
        <v>0</v>
      </c>
      <c r="E3" s="203" t="s">
        <v>21</v>
      </c>
      <c r="F3" s="195" t="s">
        <v>616</v>
      </c>
      <c r="G3" s="205" t="s">
        <v>1391</v>
      </c>
      <c r="H3" s="204"/>
      <c r="I3" s="193">
        <v>16546510</v>
      </c>
      <c r="J3" s="193">
        <v>16603699</v>
      </c>
      <c r="K3" s="193">
        <v>16702778</v>
      </c>
      <c r="L3" s="193">
        <v>16845675</v>
      </c>
      <c r="M3" s="153">
        <v>16940351</v>
      </c>
      <c r="N3" s="153">
        <v>17049248</v>
      </c>
      <c r="O3" s="153">
        <v>17181117</v>
      </c>
      <c r="P3" s="153">
        <v>17302739</v>
      </c>
      <c r="Q3" s="153">
        <v>17435174</v>
      </c>
      <c r="R3" s="235">
        <v>17545099</v>
      </c>
      <c r="S3" s="225">
        <v>17639107</v>
      </c>
      <c r="T3" s="225">
        <v>17749806</v>
      </c>
      <c r="U3" s="225">
        <v>17849660</v>
      </c>
      <c r="V3" s="225"/>
      <c r="W3" s="151"/>
      <c r="X3" s="151">
        <v>57189</v>
      </c>
      <c r="Y3" s="151">
        <v>99079</v>
      </c>
      <c r="Z3" s="151">
        <v>142897</v>
      </c>
      <c r="AA3" s="151">
        <v>94676</v>
      </c>
      <c r="AB3" s="151">
        <v>108897</v>
      </c>
      <c r="AC3" s="151">
        <v>131869</v>
      </c>
      <c r="AD3" s="151">
        <v>121622</v>
      </c>
      <c r="AE3" s="151">
        <v>132435</v>
      </c>
      <c r="AF3" s="151">
        <v>109925</v>
      </c>
      <c r="AG3" s="151">
        <v>94008</v>
      </c>
      <c r="AH3" s="151">
        <v>110699</v>
      </c>
      <c r="AI3" s="151">
        <v>99854</v>
      </c>
    </row>
    <row r="4" spans="1:35" ht="18.75" customHeight="1" x14ac:dyDescent="0.3">
      <c r="A4" s="290"/>
      <c r="B4" s="291">
        <v>79007</v>
      </c>
      <c r="C4" s="201" t="s">
        <v>617</v>
      </c>
      <c r="D4" s="201">
        <v>3</v>
      </c>
      <c r="E4" s="202" t="s">
        <v>1390</v>
      </c>
      <c r="F4" s="195" t="s">
        <v>619</v>
      </c>
      <c r="G4" s="108" t="s">
        <v>620</v>
      </c>
      <c r="H4" s="195"/>
      <c r="I4" s="193">
        <v>54812.3</v>
      </c>
      <c r="J4" s="193">
        <v>55717.2</v>
      </c>
      <c r="K4" s="193">
        <v>56886</v>
      </c>
      <c r="L4" s="193">
        <v>58209.7</v>
      </c>
      <c r="M4" s="193">
        <v>59014.5</v>
      </c>
      <c r="N4" s="193">
        <v>59713.3</v>
      </c>
      <c r="O4" s="193">
        <v>60502</v>
      </c>
      <c r="P4" s="193">
        <v>60997.8</v>
      </c>
      <c r="Q4" s="193">
        <v>61931.3</v>
      </c>
      <c r="R4" s="235">
        <v>62717.2</v>
      </c>
      <c r="S4" s="225">
        <v>63709.9</v>
      </c>
      <c r="T4" s="225">
        <v>65236.5</v>
      </c>
      <c r="U4" s="225">
        <v>66672.899999999994</v>
      </c>
      <c r="V4" s="225"/>
      <c r="W4" s="151"/>
      <c r="X4" s="151">
        <v>904.89999999999418</v>
      </c>
      <c r="Y4" s="151">
        <v>1168.8000000000029</v>
      </c>
      <c r="Z4" s="151">
        <v>1323.6999999999971</v>
      </c>
      <c r="AA4" s="151">
        <v>804.80000000000291</v>
      </c>
      <c r="AB4" s="151">
        <v>698.80000000000291</v>
      </c>
      <c r="AC4" s="151">
        <v>788.69999999999709</v>
      </c>
      <c r="AD4" s="151">
        <v>495.80000000000291</v>
      </c>
      <c r="AE4" s="151">
        <v>933.5</v>
      </c>
      <c r="AF4" s="151">
        <v>785.89999999999418</v>
      </c>
      <c r="AG4" s="151">
        <v>992.70000000000437</v>
      </c>
      <c r="AH4" s="151">
        <v>1526.5999999999985</v>
      </c>
      <c r="AI4" s="151">
        <v>1436.3999999999942</v>
      </c>
    </row>
    <row r="5" spans="1:35" ht="18.75" x14ac:dyDescent="0.25">
      <c r="A5" s="290"/>
      <c r="B5" s="106">
        <v>79062</v>
      </c>
      <c r="C5" s="103" t="s">
        <v>617</v>
      </c>
      <c r="D5" s="103">
        <v>3</v>
      </c>
      <c r="E5" s="194" t="s">
        <v>21</v>
      </c>
      <c r="F5" s="195" t="s">
        <v>619</v>
      </c>
      <c r="G5" s="108" t="s">
        <v>1365</v>
      </c>
      <c r="H5" s="195"/>
      <c r="I5" s="193"/>
      <c r="J5" s="193"/>
      <c r="K5" s="193"/>
      <c r="L5" s="193"/>
      <c r="M5" s="193"/>
      <c r="N5" s="193">
        <v>36975</v>
      </c>
      <c r="O5" s="193">
        <v>37459</v>
      </c>
      <c r="P5" s="193"/>
      <c r="Q5" s="193">
        <v>38966.300000000003</v>
      </c>
      <c r="R5" s="235">
        <v>39664.9</v>
      </c>
      <c r="S5" s="225">
        <v>40111.9</v>
      </c>
      <c r="T5" s="225">
        <v>40488.1</v>
      </c>
      <c r="U5" s="225">
        <v>41204.800000000003</v>
      </c>
      <c r="V5" s="225"/>
      <c r="W5" s="151"/>
      <c r="X5" s="151" t="s">
        <v>734</v>
      </c>
      <c r="Y5" s="151" t="s">
        <v>734</v>
      </c>
      <c r="Z5" s="151" t="s">
        <v>734</v>
      </c>
      <c r="AA5" s="151" t="s">
        <v>734</v>
      </c>
      <c r="AB5" s="151" t="s">
        <v>734</v>
      </c>
      <c r="AC5" s="151">
        <v>484</v>
      </c>
      <c r="AD5" s="151" t="s">
        <v>734</v>
      </c>
      <c r="AE5" s="151" t="s">
        <v>734</v>
      </c>
      <c r="AF5" s="151">
        <v>698.59999999999854</v>
      </c>
      <c r="AG5" s="151">
        <v>447</v>
      </c>
      <c r="AH5" s="151">
        <v>376.19999999999709</v>
      </c>
      <c r="AI5" s="151">
        <v>716.70000000000437</v>
      </c>
    </row>
    <row r="6" spans="1:35" ht="18.75" x14ac:dyDescent="0.25">
      <c r="A6" s="290"/>
      <c r="B6" s="106">
        <v>32973653</v>
      </c>
      <c r="C6" s="106" t="s">
        <v>617</v>
      </c>
      <c r="D6" s="106">
        <v>3</v>
      </c>
      <c r="E6" s="192" t="s">
        <v>21</v>
      </c>
      <c r="F6" s="192" t="s">
        <v>1423</v>
      </c>
      <c r="G6" s="192" t="s">
        <v>1418</v>
      </c>
      <c r="H6" s="192" t="s">
        <v>703</v>
      </c>
      <c r="I6" s="192">
        <v>2074</v>
      </c>
      <c r="J6" s="192">
        <v>2344</v>
      </c>
      <c r="K6" s="192">
        <v>2808</v>
      </c>
      <c r="L6" s="192">
        <v>3275</v>
      </c>
      <c r="M6" s="192">
        <v>3499</v>
      </c>
      <c r="N6" s="192">
        <v>3680</v>
      </c>
      <c r="O6" s="192">
        <v>3920</v>
      </c>
      <c r="P6" s="192">
        <v>4274</v>
      </c>
      <c r="Q6" s="192">
        <v>4676</v>
      </c>
      <c r="R6" s="225">
        <v>5054</v>
      </c>
      <c r="S6" s="225">
        <v>5280</v>
      </c>
      <c r="T6" s="225">
        <v>5587</v>
      </c>
      <c r="U6" s="225">
        <v>5911</v>
      </c>
      <c r="V6" s="225"/>
      <c r="W6" s="151"/>
      <c r="X6" s="151">
        <v>270</v>
      </c>
      <c r="Y6" s="151">
        <v>464</v>
      </c>
      <c r="Z6" s="151">
        <v>467</v>
      </c>
      <c r="AA6" s="151">
        <v>224</v>
      </c>
      <c r="AB6" s="151">
        <v>181</v>
      </c>
      <c r="AC6" s="151">
        <v>240</v>
      </c>
      <c r="AD6" s="151">
        <v>354</v>
      </c>
      <c r="AE6" s="151">
        <v>402</v>
      </c>
      <c r="AF6" s="151">
        <v>378</v>
      </c>
      <c r="AG6" s="151">
        <v>226</v>
      </c>
      <c r="AH6" s="151">
        <v>307</v>
      </c>
      <c r="AI6" s="151">
        <v>324</v>
      </c>
    </row>
    <row r="7" spans="1:35" ht="18.75" x14ac:dyDescent="0.25">
      <c r="A7" s="290"/>
      <c r="B7" s="106" t="s">
        <v>409</v>
      </c>
      <c r="C7" s="106" t="s">
        <v>617</v>
      </c>
      <c r="D7" s="106">
        <v>3</v>
      </c>
      <c r="E7" s="192" t="s">
        <v>21</v>
      </c>
      <c r="F7" s="192" t="s">
        <v>636</v>
      </c>
      <c r="G7" s="192" t="s">
        <v>637</v>
      </c>
      <c r="H7" s="192" t="s">
        <v>1185</v>
      </c>
      <c r="I7" s="192">
        <v>13239</v>
      </c>
      <c r="J7" s="192">
        <v>13239</v>
      </c>
      <c r="K7" s="192">
        <v>13380</v>
      </c>
      <c r="L7" s="192">
        <v>13544.9</v>
      </c>
      <c r="M7" s="192">
        <v>13673.9</v>
      </c>
      <c r="N7" s="192">
        <v>13808.8</v>
      </c>
      <c r="O7" s="192">
        <v>13904.3</v>
      </c>
      <c r="P7" s="192">
        <v>13914.6</v>
      </c>
      <c r="Q7" s="192">
        <v>13937.5</v>
      </c>
      <c r="R7" s="225">
        <v>13937.5</v>
      </c>
      <c r="S7" s="225">
        <v>13940.2</v>
      </c>
      <c r="T7" s="225">
        <v>13960.7</v>
      </c>
      <c r="U7" s="225">
        <v>13972.7</v>
      </c>
      <c r="V7" s="225"/>
      <c r="W7" s="151"/>
      <c r="X7" s="151">
        <v>0</v>
      </c>
      <c r="Y7" s="151">
        <v>141</v>
      </c>
      <c r="Z7" s="151">
        <v>164.89999999999964</v>
      </c>
      <c r="AA7" s="151">
        <v>129</v>
      </c>
      <c r="AB7" s="151">
        <v>134.89999999999964</v>
      </c>
      <c r="AC7" s="151">
        <v>95.5</v>
      </c>
      <c r="AD7" s="151">
        <v>10.300000000001091</v>
      </c>
      <c r="AE7" s="151">
        <v>22.899999999999636</v>
      </c>
      <c r="AF7" s="151">
        <v>0</v>
      </c>
      <c r="AG7" s="151">
        <v>2.7000000000007276</v>
      </c>
      <c r="AH7" s="151">
        <v>20.5</v>
      </c>
      <c r="AI7" s="151">
        <v>12</v>
      </c>
    </row>
    <row r="8" spans="1:35" ht="18.75" x14ac:dyDescent="0.25">
      <c r="A8" s="290"/>
      <c r="B8" s="106" t="s">
        <v>413</v>
      </c>
      <c r="C8" s="106" t="s">
        <v>617</v>
      </c>
      <c r="D8" s="106">
        <v>0</v>
      </c>
      <c r="E8" s="197" t="s">
        <v>21</v>
      </c>
      <c r="F8" s="197" t="s">
        <v>621</v>
      </c>
      <c r="G8" s="108" t="s">
        <v>642</v>
      </c>
      <c r="H8" s="198"/>
      <c r="I8" s="193">
        <v>2718156.6</v>
      </c>
      <c r="J8" s="193">
        <v>2734622.2</v>
      </c>
      <c r="K8" s="193">
        <v>2758945</v>
      </c>
      <c r="L8" s="193">
        <v>2787828.6</v>
      </c>
      <c r="M8" s="193">
        <v>2807239.2</v>
      </c>
      <c r="N8" s="193">
        <v>2827547.8</v>
      </c>
      <c r="O8" s="193">
        <v>2855007.2</v>
      </c>
      <c r="P8" s="193">
        <v>2874031.8</v>
      </c>
      <c r="Q8" s="193">
        <v>2903721.4</v>
      </c>
      <c r="R8" s="235">
        <v>2928501.8</v>
      </c>
      <c r="S8" s="225">
        <v>2949308.6</v>
      </c>
      <c r="T8" s="225">
        <v>2976885.2</v>
      </c>
      <c r="U8" s="225">
        <v>3004738</v>
      </c>
      <c r="V8" s="225"/>
      <c r="W8" s="151"/>
      <c r="X8" s="151">
        <v>16465.600000000093</v>
      </c>
      <c r="Y8" s="151">
        <v>24322.799999999814</v>
      </c>
      <c r="Z8" s="151">
        <v>28883.600000000093</v>
      </c>
      <c r="AA8" s="151">
        <v>19410.600000000093</v>
      </c>
      <c r="AB8" s="151">
        <v>20308.599999999627</v>
      </c>
      <c r="AC8" s="151">
        <v>27459.400000000373</v>
      </c>
      <c r="AD8" s="151">
        <v>19024.599999999627</v>
      </c>
      <c r="AE8" s="151">
        <v>29689.600000000093</v>
      </c>
      <c r="AF8" s="151">
        <v>24780.399999999907</v>
      </c>
      <c r="AG8" s="151">
        <v>20806.800000000279</v>
      </c>
      <c r="AH8" s="151">
        <v>27576.600000000093</v>
      </c>
      <c r="AI8" s="151">
        <v>27852.799999999814</v>
      </c>
    </row>
    <row r="9" spans="1:35" ht="18.75" x14ac:dyDescent="0.25">
      <c r="A9" s="290"/>
      <c r="B9" s="106" t="s">
        <v>407</v>
      </c>
      <c r="C9" s="106" t="s">
        <v>617</v>
      </c>
      <c r="D9" s="106">
        <v>3</v>
      </c>
      <c r="E9" s="197" t="s">
        <v>21</v>
      </c>
      <c r="F9" s="197" t="s">
        <v>621</v>
      </c>
      <c r="G9" s="108" t="s">
        <v>626</v>
      </c>
      <c r="H9" s="198"/>
      <c r="I9" s="193">
        <v>1949</v>
      </c>
      <c r="J9" s="193">
        <v>1949</v>
      </c>
      <c r="K9" s="193">
        <v>1949</v>
      </c>
      <c r="L9" s="193">
        <v>1949</v>
      </c>
      <c r="M9" s="193">
        <v>1949</v>
      </c>
      <c r="N9" s="193">
        <v>1949</v>
      </c>
      <c r="O9" s="193">
        <v>1949</v>
      </c>
      <c r="P9" s="193">
        <v>1950</v>
      </c>
      <c r="Q9" s="193">
        <v>1974</v>
      </c>
      <c r="R9" s="235">
        <v>1986</v>
      </c>
      <c r="S9" s="225">
        <v>1986</v>
      </c>
      <c r="T9" s="225">
        <v>1986</v>
      </c>
      <c r="U9" s="225">
        <v>1986</v>
      </c>
      <c r="V9" s="225"/>
      <c r="W9" s="151"/>
      <c r="X9" s="151">
        <v>0</v>
      </c>
      <c r="Y9" s="151">
        <v>0</v>
      </c>
      <c r="Z9" s="151">
        <v>0</v>
      </c>
      <c r="AA9" s="151">
        <v>0</v>
      </c>
      <c r="AB9" s="151">
        <v>0</v>
      </c>
      <c r="AC9" s="151">
        <v>0</v>
      </c>
      <c r="AD9" s="151">
        <v>1</v>
      </c>
      <c r="AE9" s="151">
        <v>24</v>
      </c>
      <c r="AF9" s="151">
        <v>12</v>
      </c>
      <c r="AG9" s="151">
        <v>0</v>
      </c>
      <c r="AH9" s="151">
        <v>0</v>
      </c>
      <c r="AI9" s="151">
        <v>0</v>
      </c>
    </row>
    <row r="10" spans="1:35" ht="18.75" x14ac:dyDescent="0.25">
      <c r="A10" s="290"/>
      <c r="B10" s="106" t="s">
        <v>406</v>
      </c>
      <c r="C10" s="106" t="s">
        <v>617</v>
      </c>
      <c r="D10" s="106">
        <v>0</v>
      </c>
      <c r="E10" s="192" t="s">
        <v>21</v>
      </c>
      <c r="F10" s="192" t="s">
        <v>621</v>
      </c>
      <c r="G10" s="192" t="s">
        <v>1421</v>
      </c>
      <c r="H10" s="192"/>
      <c r="I10" s="192">
        <v>260793</v>
      </c>
      <c r="J10" s="192">
        <v>262264</v>
      </c>
      <c r="K10" s="192">
        <v>264507</v>
      </c>
      <c r="L10" s="192">
        <v>267191</v>
      </c>
      <c r="M10" s="192">
        <v>268850</v>
      </c>
      <c r="N10" s="192">
        <v>270004</v>
      </c>
      <c r="O10" s="192">
        <v>271455</v>
      </c>
      <c r="P10" s="192">
        <v>272783</v>
      </c>
      <c r="Q10" s="192">
        <v>274714</v>
      </c>
      <c r="R10" s="225">
        <v>276385</v>
      </c>
      <c r="S10" s="225">
        <v>278000</v>
      </c>
      <c r="T10" s="225">
        <v>280110</v>
      </c>
      <c r="U10" s="225">
        <v>282457</v>
      </c>
      <c r="V10" s="225"/>
      <c r="W10" s="151"/>
      <c r="X10" s="151">
        <v>1471</v>
      </c>
      <c r="Y10" s="151">
        <v>2243</v>
      </c>
      <c r="Z10" s="151">
        <v>2684</v>
      </c>
      <c r="AA10" s="151">
        <v>1659</v>
      </c>
      <c r="AB10" s="151">
        <v>1154</v>
      </c>
      <c r="AC10" s="151">
        <v>1451</v>
      </c>
      <c r="AD10" s="151">
        <v>1328</v>
      </c>
      <c r="AE10" s="151">
        <v>1931</v>
      </c>
      <c r="AF10" s="151">
        <v>1671</v>
      </c>
      <c r="AG10" s="151">
        <v>1615</v>
      </c>
      <c r="AH10" s="151">
        <v>2110</v>
      </c>
      <c r="AI10" s="151">
        <v>2347</v>
      </c>
    </row>
    <row r="11" spans="1:35" ht="18.75" x14ac:dyDescent="0.25">
      <c r="A11" s="290"/>
      <c r="B11" s="106" t="s">
        <v>405</v>
      </c>
      <c r="C11" s="106" t="s">
        <v>617</v>
      </c>
      <c r="D11" s="106">
        <v>3</v>
      </c>
      <c r="E11" s="192" t="s">
        <v>21</v>
      </c>
      <c r="F11" s="192" t="s">
        <v>621</v>
      </c>
      <c r="G11" s="192" t="s">
        <v>625</v>
      </c>
      <c r="H11" s="192"/>
      <c r="I11" s="192">
        <v>30129</v>
      </c>
      <c r="J11" s="192">
        <v>30129</v>
      </c>
      <c r="K11" s="192">
        <v>30129</v>
      </c>
      <c r="L11" s="192">
        <v>30129</v>
      </c>
      <c r="M11" s="192">
        <v>30129</v>
      </c>
      <c r="N11" s="192">
        <v>30129</v>
      </c>
      <c r="O11" s="192">
        <v>30129</v>
      </c>
      <c r="P11" s="192">
        <v>30130</v>
      </c>
      <c r="Q11" s="192">
        <v>30130</v>
      </c>
      <c r="R11" s="225">
        <v>30131</v>
      </c>
      <c r="S11" s="225">
        <v>30132</v>
      </c>
      <c r="T11" s="225">
        <v>30132</v>
      </c>
      <c r="U11" s="225">
        <v>30132</v>
      </c>
      <c r="V11" s="225"/>
      <c r="W11" s="151"/>
      <c r="X11" s="151">
        <v>0</v>
      </c>
      <c r="Y11" s="151">
        <v>0</v>
      </c>
      <c r="Z11" s="151">
        <v>0</v>
      </c>
      <c r="AA11" s="151">
        <v>0</v>
      </c>
      <c r="AB11" s="151">
        <v>0</v>
      </c>
      <c r="AC11" s="151">
        <v>0</v>
      </c>
      <c r="AD11" s="151">
        <v>1</v>
      </c>
      <c r="AE11" s="151">
        <v>0</v>
      </c>
      <c r="AF11" s="151">
        <v>1</v>
      </c>
      <c r="AG11" s="151">
        <v>1</v>
      </c>
      <c r="AH11" s="151">
        <v>0</v>
      </c>
      <c r="AI11" s="151">
        <v>0</v>
      </c>
    </row>
    <row r="12" spans="1:35" ht="18.75" x14ac:dyDescent="0.25">
      <c r="A12" s="290"/>
      <c r="B12" s="106" t="s">
        <v>400</v>
      </c>
      <c r="C12" s="106" t="s">
        <v>617</v>
      </c>
      <c r="D12" s="106">
        <v>3</v>
      </c>
      <c r="E12" s="192" t="s">
        <v>21</v>
      </c>
      <c r="F12" s="192" t="s">
        <v>621</v>
      </c>
      <c r="G12" s="192" t="s">
        <v>1392</v>
      </c>
      <c r="H12" s="192"/>
      <c r="I12" s="192">
        <v>596320</v>
      </c>
      <c r="J12" s="192">
        <v>599194</v>
      </c>
      <c r="K12" s="192">
        <v>603289</v>
      </c>
      <c r="L12" s="192">
        <v>607960</v>
      </c>
      <c r="M12" s="192">
        <v>611203</v>
      </c>
      <c r="N12" s="192">
        <v>614912</v>
      </c>
      <c r="O12" s="192">
        <v>619715</v>
      </c>
      <c r="P12" s="192">
        <v>623553</v>
      </c>
      <c r="Q12" s="192">
        <v>630041</v>
      </c>
      <c r="R12" s="225">
        <v>635469</v>
      </c>
      <c r="S12" s="225">
        <v>639652</v>
      </c>
      <c r="T12" s="225">
        <v>644576</v>
      </c>
      <c r="U12" s="225">
        <v>648612</v>
      </c>
      <c r="V12" s="225"/>
      <c r="W12" s="151"/>
      <c r="X12" s="151">
        <v>2874</v>
      </c>
      <c r="Y12" s="151">
        <v>4095</v>
      </c>
      <c r="Z12" s="151">
        <v>4671</v>
      </c>
      <c r="AA12" s="151">
        <v>3243</v>
      </c>
      <c r="AB12" s="151">
        <v>3709</v>
      </c>
      <c r="AC12" s="151">
        <v>4803</v>
      </c>
      <c r="AD12" s="151">
        <v>3838</v>
      </c>
      <c r="AE12" s="151">
        <v>6488</v>
      </c>
      <c r="AF12" s="151">
        <v>5428</v>
      </c>
      <c r="AG12" s="151">
        <v>4183</v>
      </c>
      <c r="AH12" s="151">
        <v>4924</v>
      </c>
      <c r="AI12" s="151">
        <v>4036</v>
      </c>
    </row>
    <row r="13" spans="1:35" ht="18.75" x14ac:dyDescent="0.25">
      <c r="A13" s="290"/>
      <c r="B13" s="210" t="s">
        <v>412</v>
      </c>
      <c r="C13" s="61" t="s">
        <v>617</v>
      </c>
      <c r="D13" s="61">
        <v>3</v>
      </c>
      <c r="E13" s="197" t="s">
        <v>21</v>
      </c>
      <c r="F13" s="197" t="s">
        <v>621</v>
      </c>
      <c r="G13" s="198" t="s">
        <v>1402</v>
      </c>
      <c r="H13" s="197"/>
      <c r="I13" s="199">
        <v>55000</v>
      </c>
      <c r="J13" s="199">
        <v>60005</v>
      </c>
      <c r="K13" s="199">
        <v>62585</v>
      </c>
      <c r="L13" s="199">
        <v>65639</v>
      </c>
      <c r="M13" s="199">
        <v>67907</v>
      </c>
      <c r="N13" s="199">
        <v>70234</v>
      </c>
      <c r="O13" s="199">
        <v>73028</v>
      </c>
      <c r="P13" s="199">
        <v>74908</v>
      </c>
      <c r="Q13" s="199">
        <v>77709</v>
      </c>
      <c r="R13" s="235">
        <v>80582</v>
      </c>
      <c r="S13" s="225">
        <v>83225</v>
      </c>
      <c r="T13" s="225">
        <v>87035</v>
      </c>
      <c r="U13" s="225">
        <v>90899</v>
      </c>
      <c r="V13" s="225"/>
      <c r="W13" s="151"/>
      <c r="X13" s="151">
        <v>5005</v>
      </c>
      <c r="Y13" s="151">
        <v>2580</v>
      </c>
      <c r="Z13" s="151">
        <v>3054</v>
      </c>
      <c r="AA13" s="151">
        <v>2268</v>
      </c>
      <c r="AB13" s="151">
        <v>2327</v>
      </c>
      <c r="AC13" s="151">
        <v>2794</v>
      </c>
      <c r="AD13" s="151">
        <v>1880</v>
      </c>
      <c r="AE13" s="151">
        <v>2801</v>
      </c>
      <c r="AF13" s="151">
        <v>2873</v>
      </c>
      <c r="AG13" s="151">
        <v>2643</v>
      </c>
      <c r="AH13" s="151">
        <v>3810</v>
      </c>
      <c r="AI13" s="151">
        <v>3864</v>
      </c>
    </row>
    <row r="14" spans="1:35" ht="18.75" x14ac:dyDescent="0.25">
      <c r="A14" s="290"/>
      <c r="B14" s="106" t="s">
        <v>411</v>
      </c>
      <c r="C14" s="106" t="s">
        <v>617</v>
      </c>
      <c r="D14" s="106">
        <v>0</v>
      </c>
      <c r="E14" s="192" t="s">
        <v>21</v>
      </c>
      <c r="F14" s="192" t="s">
        <v>621</v>
      </c>
      <c r="G14" s="192" t="s">
        <v>641</v>
      </c>
      <c r="H14" s="192"/>
      <c r="I14" s="192">
        <v>11</v>
      </c>
      <c r="J14" s="192">
        <v>11</v>
      </c>
      <c r="K14" s="192">
        <v>11</v>
      </c>
      <c r="L14" s="192">
        <v>11</v>
      </c>
      <c r="M14" s="192">
        <v>11</v>
      </c>
      <c r="N14" s="192">
        <v>11</v>
      </c>
      <c r="O14" s="192">
        <v>11</v>
      </c>
      <c r="P14" s="192">
        <v>11</v>
      </c>
      <c r="Q14" s="192">
        <v>11</v>
      </c>
      <c r="R14" s="225">
        <v>11</v>
      </c>
      <c r="S14" s="225">
        <v>11</v>
      </c>
      <c r="T14" s="225">
        <v>11</v>
      </c>
      <c r="U14" s="225">
        <v>11</v>
      </c>
      <c r="V14" s="225"/>
      <c r="W14" s="151"/>
      <c r="X14" s="151">
        <v>0</v>
      </c>
      <c r="Y14" s="151">
        <v>0</v>
      </c>
      <c r="Z14" s="151">
        <v>0</v>
      </c>
      <c r="AA14" s="151">
        <v>0</v>
      </c>
      <c r="AB14" s="151">
        <v>0</v>
      </c>
      <c r="AC14" s="151">
        <v>0</v>
      </c>
      <c r="AD14" s="151">
        <v>0</v>
      </c>
      <c r="AE14" s="151">
        <v>0</v>
      </c>
      <c r="AF14" s="151">
        <v>0</v>
      </c>
      <c r="AG14" s="151">
        <v>0</v>
      </c>
      <c r="AH14" s="151">
        <v>0</v>
      </c>
      <c r="AI14" s="151">
        <v>0</v>
      </c>
    </row>
    <row r="15" spans="1:35" ht="18.75" x14ac:dyDescent="0.25">
      <c r="A15" s="290"/>
      <c r="B15" s="210" t="s">
        <v>401</v>
      </c>
      <c r="C15" s="61" t="s">
        <v>617</v>
      </c>
      <c r="D15" s="61">
        <v>0</v>
      </c>
      <c r="E15" s="197" t="s">
        <v>21</v>
      </c>
      <c r="F15" s="197" t="s">
        <v>621</v>
      </c>
      <c r="G15" s="198" t="s">
        <v>1393</v>
      </c>
      <c r="H15" s="197"/>
      <c r="I15" s="199">
        <v>348285</v>
      </c>
      <c r="J15" s="199">
        <v>350037</v>
      </c>
      <c r="K15" s="199">
        <v>353102</v>
      </c>
      <c r="L15" s="199">
        <v>357194</v>
      </c>
      <c r="M15" s="199">
        <v>359875</v>
      </c>
      <c r="N15" s="199">
        <v>363380</v>
      </c>
      <c r="O15" s="199">
        <v>368733</v>
      </c>
      <c r="P15" s="199">
        <v>370603</v>
      </c>
      <c r="Q15" s="199">
        <v>375329</v>
      </c>
      <c r="R15" s="235">
        <v>378076</v>
      </c>
      <c r="S15" s="225">
        <v>379519</v>
      </c>
      <c r="T15" s="225">
        <v>381746</v>
      </c>
      <c r="U15" s="225">
        <v>384275</v>
      </c>
      <c r="V15" s="225"/>
      <c r="W15" s="151"/>
      <c r="X15" s="151">
        <v>1752</v>
      </c>
      <c r="Y15" s="151">
        <v>3065</v>
      </c>
      <c r="Z15" s="151">
        <v>4092</v>
      </c>
      <c r="AA15" s="151">
        <v>2681</v>
      </c>
      <c r="AB15" s="151">
        <v>3505</v>
      </c>
      <c r="AC15" s="151">
        <v>5353</v>
      </c>
      <c r="AD15" s="151">
        <v>1870</v>
      </c>
      <c r="AE15" s="151">
        <v>4726</v>
      </c>
      <c r="AF15" s="151">
        <v>2747</v>
      </c>
      <c r="AG15" s="151">
        <v>1443</v>
      </c>
      <c r="AH15" s="151">
        <v>2227</v>
      </c>
      <c r="AI15" s="151">
        <v>2529</v>
      </c>
    </row>
    <row r="16" spans="1:35" ht="18.75" x14ac:dyDescent="0.25">
      <c r="A16" s="290"/>
      <c r="B16" s="106" t="s">
        <v>402</v>
      </c>
      <c r="C16" s="106" t="s">
        <v>617</v>
      </c>
      <c r="D16" s="106">
        <v>0</v>
      </c>
      <c r="E16" s="192" t="s">
        <v>21</v>
      </c>
      <c r="F16" s="192" t="s">
        <v>621</v>
      </c>
      <c r="G16" s="192" t="s">
        <v>622</v>
      </c>
      <c r="H16" s="192"/>
      <c r="I16" s="192">
        <v>548746</v>
      </c>
      <c r="J16" s="192">
        <v>551733</v>
      </c>
      <c r="K16" s="192">
        <v>556436</v>
      </c>
      <c r="L16" s="192">
        <v>562646</v>
      </c>
      <c r="M16" s="192">
        <v>566619</v>
      </c>
      <c r="N16" s="192">
        <v>570014</v>
      </c>
      <c r="O16" s="192">
        <v>575329</v>
      </c>
      <c r="P16" s="192">
        <v>579690</v>
      </c>
      <c r="Q16" s="192">
        <v>585313</v>
      </c>
      <c r="R16" s="225">
        <v>590254</v>
      </c>
      <c r="S16" s="225">
        <v>595006</v>
      </c>
      <c r="T16" s="225">
        <v>601205</v>
      </c>
      <c r="U16" s="225">
        <v>607545</v>
      </c>
      <c r="V16" s="225"/>
      <c r="W16" s="151"/>
      <c r="X16" s="151">
        <v>2987</v>
      </c>
      <c r="Y16" s="151">
        <v>4703</v>
      </c>
      <c r="Z16" s="151">
        <v>6210</v>
      </c>
      <c r="AA16" s="151">
        <v>3973</v>
      </c>
      <c r="AB16" s="151">
        <v>3395</v>
      </c>
      <c r="AC16" s="151">
        <v>5315</v>
      </c>
      <c r="AD16" s="151">
        <v>4361</v>
      </c>
      <c r="AE16" s="151">
        <v>5623</v>
      </c>
      <c r="AF16" s="151">
        <v>4941</v>
      </c>
      <c r="AG16" s="151">
        <v>4752</v>
      </c>
      <c r="AH16" s="151">
        <v>6199</v>
      </c>
      <c r="AI16" s="151">
        <v>6340</v>
      </c>
    </row>
    <row r="17" spans="1:35" ht="18.75" x14ac:dyDescent="0.25">
      <c r="A17" s="290"/>
      <c r="B17" s="106" t="s">
        <v>414</v>
      </c>
      <c r="C17" s="106" t="s">
        <v>617</v>
      </c>
      <c r="D17" s="106">
        <v>3</v>
      </c>
      <c r="E17" s="192" t="s">
        <v>21</v>
      </c>
      <c r="F17" s="192" t="s">
        <v>621</v>
      </c>
      <c r="G17" s="192" t="s">
        <v>643</v>
      </c>
      <c r="H17" s="192"/>
      <c r="I17" s="192">
        <v>22966</v>
      </c>
      <c r="J17" s="192">
        <v>23494</v>
      </c>
      <c r="K17" s="192">
        <v>24174</v>
      </c>
      <c r="L17" s="192">
        <v>24947</v>
      </c>
      <c r="M17" s="192">
        <v>25454</v>
      </c>
      <c r="N17" s="192">
        <v>25944</v>
      </c>
      <c r="O17" s="192">
        <v>26515</v>
      </c>
      <c r="P17" s="192">
        <v>26870</v>
      </c>
      <c r="Q17" s="192">
        <v>27398</v>
      </c>
      <c r="R17" s="110">
        <v>27976</v>
      </c>
      <c r="S17" s="110">
        <v>28531</v>
      </c>
      <c r="T17" s="110">
        <v>29355</v>
      </c>
      <c r="U17" s="110">
        <v>30330</v>
      </c>
      <c r="V17" s="110"/>
      <c r="W17" s="151"/>
      <c r="X17" s="151">
        <v>528</v>
      </c>
      <c r="Y17" s="151">
        <v>680</v>
      </c>
      <c r="Z17" s="151">
        <v>773</v>
      </c>
      <c r="AA17" s="151">
        <v>507</v>
      </c>
      <c r="AB17" s="151">
        <v>490</v>
      </c>
      <c r="AC17" s="151">
        <v>571</v>
      </c>
      <c r="AD17" s="151">
        <v>355</v>
      </c>
      <c r="AE17" s="151">
        <v>528</v>
      </c>
      <c r="AF17" s="151">
        <v>578</v>
      </c>
      <c r="AG17" s="151">
        <v>555</v>
      </c>
      <c r="AH17" s="151">
        <v>824</v>
      </c>
      <c r="AI17" s="151">
        <v>975</v>
      </c>
    </row>
    <row r="18" spans="1:35" ht="18.75" x14ac:dyDescent="0.25">
      <c r="A18" s="290"/>
      <c r="B18" s="106" t="s">
        <v>415</v>
      </c>
      <c r="C18" s="106" t="s">
        <v>617</v>
      </c>
      <c r="D18" s="106">
        <v>3</v>
      </c>
      <c r="E18" s="107" t="s">
        <v>21</v>
      </c>
      <c r="F18" s="192" t="s">
        <v>621</v>
      </c>
      <c r="G18" s="108" t="s">
        <v>646</v>
      </c>
      <c r="H18" s="108"/>
      <c r="I18" s="193">
        <v>30</v>
      </c>
      <c r="J18" s="193">
        <v>30</v>
      </c>
      <c r="K18" s="193">
        <v>30</v>
      </c>
      <c r="L18" s="193">
        <v>30</v>
      </c>
      <c r="M18" s="193">
        <v>30</v>
      </c>
      <c r="N18" s="193">
        <v>30</v>
      </c>
      <c r="O18" s="193">
        <v>30</v>
      </c>
      <c r="P18" s="193">
        <v>30</v>
      </c>
      <c r="Q18" s="193">
        <v>30</v>
      </c>
      <c r="R18" s="235">
        <v>30</v>
      </c>
      <c r="S18" s="225">
        <v>30</v>
      </c>
      <c r="T18" s="225">
        <v>30</v>
      </c>
      <c r="U18" s="225">
        <v>30</v>
      </c>
      <c r="V18" s="225"/>
      <c r="W18" s="151"/>
      <c r="X18" s="151">
        <v>0</v>
      </c>
      <c r="Y18" s="151">
        <v>0</v>
      </c>
      <c r="Z18" s="151">
        <v>0</v>
      </c>
      <c r="AA18" s="151">
        <v>0</v>
      </c>
      <c r="AB18" s="151">
        <v>0</v>
      </c>
      <c r="AC18" s="151">
        <v>0</v>
      </c>
      <c r="AD18" s="151">
        <v>0</v>
      </c>
      <c r="AE18" s="151">
        <v>0</v>
      </c>
      <c r="AF18" s="151">
        <v>0</v>
      </c>
      <c r="AG18" s="151">
        <v>0</v>
      </c>
      <c r="AH18" s="151">
        <v>0</v>
      </c>
      <c r="AI18" s="151">
        <v>0</v>
      </c>
    </row>
    <row r="19" spans="1:35" ht="18.75" x14ac:dyDescent="0.25">
      <c r="A19" s="290"/>
      <c r="B19" s="106" t="s">
        <v>410</v>
      </c>
      <c r="C19" s="103" t="s">
        <v>617</v>
      </c>
      <c r="D19" s="103">
        <v>3</v>
      </c>
      <c r="E19" s="194" t="s">
        <v>21</v>
      </c>
      <c r="F19" s="195" t="s">
        <v>638</v>
      </c>
      <c r="G19" s="107" t="s">
        <v>1401</v>
      </c>
      <c r="H19" s="194"/>
      <c r="I19" s="193">
        <v>2985</v>
      </c>
      <c r="J19" s="193">
        <v>2985</v>
      </c>
      <c r="K19" s="193">
        <v>3002</v>
      </c>
      <c r="L19" s="193">
        <v>3002</v>
      </c>
      <c r="M19" s="193">
        <v>3002</v>
      </c>
      <c r="N19" s="193">
        <v>3002</v>
      </c>
      <c r="O19" s="193">
        <v>3002</v>
      </c>
      <c r="P19" s="193">
        <v>3002</v>
      </c>
      <c r="Q19" s="193">
        <v>3002</v>
      </c>
      <c r="R19" s="235">
        <v>3002</v>
      </c>
      <c r="S19" s="225">
        <v>3002</v>
      </c>
      <c r="T19" s="225">
        <v>3002</v>
      </c>
      <c r="U19" s="225">
        <v>3002</v>
      </c>
      <c r="V19" s="225"/>
      <c r="W19" s="151"/>
      <c r="X19" s="151">
        <v>0</v>
      </c>
      <c r="Y19" s="151">
        <v>34</v>
      </c>
      <c r="Z19" s="151">
        <v>0</v>
      </c>
      <c r="AA19" s="151">
        <v>0</v>
      </c>
      <c r="AB19" s="151">
        <v>0</v>
      </c>
      <c r="AC19" s="151">
        <v>0</v>
      </c>
      <c r="AD19" s="151">
        <v>0</v>
      </c>
      <c r="AE19" s="151">
        <v>0</v>
      </c>
      <c r="AF19" s="151">
        <v>0</v>
      </c>
      <c r="AG19" s="151">
        <v>0</v>
      </c>
      <c r="AH19" s="151">
        <v>0</v>
      </c>
      <c r="AI19" s="151">
        <v>0</v>
      </c>
    </row>
    <row r="20" spans="1:35" ht="18.75" x14ac:dyDescent="0.25">
      <c r="A20" s="290"/>
      <c r="B20" s="106" t="s">
        <v>1425</v>
      </c>
      <c r="C20" s="103" t="s">
        <v>617</v>
      </c>
      <c r="D20" s="103">
        <v>3</v>
      </c>
      <c r="E20" s="194" t="s">
        <v>21</v>
      </c>
      <c r="F20" s="195" t="s">
        <v>647</v>
      </c>
      <c r="G20" s="107" t="s">
        <v>1404</v>
      </c>
      <c r="H20" s="194" t="s">
        <v>648</v>
      </c>
      <c r="I20" s="193">
        <v>10891</v>
      </c>
      <c r="J20" s="193">
        <v>10897</v>
      </c>
      <c r="K20" s="193">
        <v>10962</v>
      </c>
      <c r="L20" s="193">
        <v>11408</v>
      </c>
      <c r="M20" s="193">
        <v>11681</v>
      </c>
      <c r="N20" s="193">
        <v>11731</v>
      </c>
      <c r="O20" s="193">
        <v>12146</v>
      </c>
      <c r="P20" s="193">
        <v>12301</v>
      </c>
      <c r="Q20" s="193">
        <v>13110</v>
      </c>
      <c r="R20" s="235">
        <v>13767</v>
      </c>
      <c r="S20" s="225">
        <v>14717</v>
      </c>
      <c r="T20" s="225">
        <v>15607</v>
      </c>
      <c r="U20" s="225">
        <v>16611</v>
      </c>
      <c r="V20" s="225"/>
      <c r="W20" s="151"/>
      <c r="X20" s="151">
        <v>6</v>
      </c>
      <c r="Y20" s="151">
        <v>65</v>
      </c>
      <c r="Z20" s="151">
        <v>446</v>
      </c>
      <c r="AA20" s="151">
        <v>273</v>
      </c>
      <c r="AB20" s="151">
        <v>50</v>
      </c>
      <c r="AC20" s="151">
        <v>415</v>
      </c>
      <c r="AD20" s="151">
        <v>155</v>
      </c>
      <c r="AE20" s="151">
        <v>809</v>
      </c>
      <c r="AF20" s="151">
        <v>657</v>
      </c>
      <c r="AG20" s="151">
        <v>950</v>
      </c>
      <c r="AH20" s="151">
        <v>890</v>
      </c>
      <c r="AI20" s="151">
        <v>1004</v>
      </c>
    </row>
    <row r="21" spans="1:35" ht="18.75" x14ac:dyDescent="0.25">
      <c r="A21" s="290"/>
      <c r="B21" s="106" t="s">
        <v>416</v>
      </c>
      <c r="C21" s="106" t="s">
        <v>650</v>
      </c>
      <c r="D21" s="106">
        <v>3</v>
      </c>
      <c r="E21" s="107" t="s">
        <v>21</v>
      </c>
      <c r="F21" s="108" t="s">
        <v>654</v>
      </c>
      <c r="G21" s="108" t="s">
        <v>653</v>
      </c>
      <c r="H21" s="108" t="s">
        <v>1468</v>
      </c>
      <c r="I21" s="193">
        <v>1088421</v>
      </c>
      <c r="J21" s="193">
        <v>1095630</v>
      </c>
      <c r="K21" s="193">
        <v>1105567</v>
      </c>
      <c r="L21" s="193">
        <v>1122219</v>
      </c>
      <c r="M21" s="193">
        <v>1133905</v>
      </c>
      <c r="N21" s="193">
        <v>1145389</v>
      </c>
      <c r="O21" s="193">
        <v>1153038</v>
      </c>
      <c r="P21" s="193">
        <v>1166042</v>
      </c>
      <c r="Q21" s="193">
        <v>1177861</v>
      </c>
      <c r="R21" s="235">
        <v>1190434</v>
      </c>
      <c r="S21" s="225">
        <v>1202379</v>
      </c>
      <c r="T21" s="225">
        <v>1219000</v>
      </c>
      <c r="U21" s="225">
        <v>1232933</v>
      </c>
      <c r="V21" s="225"/>
      <c r="W21" s="151"/>
      <c r="X21" s="151">
        <v>7209</v>
      </c>
      <c r="Y21" s="151">
        <v>9937</v>
      </c>
      <c r="Z21" s="151">
        <v>16652</v>
      </c>
      <c r="AA21" s="151">
        <v>11686</v>
      </c>
      <c r="AB21" s="151">
        <v>11484</v>
      </c>
      <c r="AC21" s="151">
        <v>7649</v>
      </c>
      <c r="AD21" s="151">
        <v>13004</v>
      </c>
      <c r="AE21" s="151">
        <v>11819</v>
      </c>
      <c r="AF21" s="151">
        <v>12573</v>
      </c>
      <c r="AG21" s="151">
        <v>11945</v>
      </c>
      <c r="AH21" s="151">
        <v>16621</v>
      </c>
      <c r="AI21" s="151">
        <v>13933</v>
      </c>
    </row>
    <row r="22" spans="1:35" ht="18.75" x14ac:dyDescent="0.25">
      <c r="A22" s="290"/>
      <c r="B22" s="210" t="s">
        <v>425</v>
      </c>
      <c r="C22" s="210" t="s">
        <v>650</v>
      </c>
      <c r="D22" s="210">
        <v>3</v>
      </c>
      <c r="E22" s="211" t="s">
        <v>21</v>
      </c>
      <c r="F22" s="211" t="s">
        <v>654</v>
      </c>
      <c r="G22" s="211" t="s">
        <v>1407</v>
      </c>
      <c r="H22" s="211"/>
      <c r="I22" s="211">
        <v>3593.8</v>
      </c>
      <c r="J22" s="211">
        <v>3593.8</v>
      </c>
      <c r="K22" s="211">
        <v>3593.8</v>
      </c>
      <c r="L22" s="211">
        <v>3593.8</v>
      </c>
      <c r="M22" s="211">
        <v>3593.8</v>
      </c>
      <c r="N22" s="211">
        <v>3593.8</v>
      </c>
      <c r="O22" s="211">
        <v>3595.5</v>
      </c>
      <c r="P22" s="211">
        <v>3595.5</v>
      </c>
      <c r="Q22" s="211">
        <v>3595.5</v>
      </c>
      <c r="R22" s="225">
        <v>3595.5</v>
      </c>
      <c r="S22" s="225">
        <v>3595.5</v>
      </c>
      <c r="T22" s="225">
        <v>3595.5</v>
      </c>
      <c r="U22" s="225">
        <v>3595.5</v>
      </c>
      <c r="V22" s="225"/>
      <c r="W22" s="151"/>
      <c r="X22" s="151">
        <v>0</v>
      </c>
      <c r="Y22" s="151">
        <v>0</v>
      </c>
      <c r="Z22" s="151">
        <v>0</v>
      </c>
      <c r="AA22" s="151">
        <v>0</v>
      </c>
      <c r="AB22" s="151">
        <v>0</v>
      </c>
      <c r="AC22" s="151">
        <v>1.6999999999998181</v>
      </c>
      <c r="AD22" s="151">
        <v>0</v>
      </c>
      <c r="AE22" s="151">
        <v>0</v>
      </c>
      <c r="AF22" s="151">
        <v>0</v>
      </c>
      <c r="AG22" s="151">
        <v>0</v>
      </c>
      <c r="AH22" s="151">
        <v>0</v>
      </c>
      <c r="AI22" s="151">
        <v>0</v>
      </c>
    </row>
    <row r="23" spans="1:35" ht="18.75" x14ac:dyDescent="0.25">
      <c r="A23" s="290"/>
      <c r="B23" s="106" t="s">
        <v>421</v>
      </c>
      <c r="C23" s="106" t="s">
        <v>650</v>
      </c>
      <c r="D23" s="106">
        <v>3</v>
      </c>
      <c r="E23" s="192" t="s">
        <v>21</v>
      </c>
      <c r="F23" s="192" t="s">
        <v>654</v>
      </c>
      <c r="G23" s="192" t="s">
        <v>660</v>
      </c>
      <c r="H23" s="192"/>
      <c r="I23" s="192">
        <v>168294.3</v>
      </c>
      <c r="J23" s="192">
        <v>169495.6</v>
      </c>
      <c r="K23" s="192">
        <v>170443</v>
      </c>
      <c r="L23" s="192">
        <v>171927.1</v>
      </c>
      <c r="M23" s="192">
        <v>172904.9</v>
      </c>
      <c r="N23" s="192">
        <v>173866.7</v>
      </c>
      <c r="O23" s="192">
        <v>174612.2</v>
      </c>
      <c r="P23" s="192">
        <v>175465.8</v>
      </c>
      <c r="Q23" s="192">
        <v>175466</v>
      </c>
      <c r="R23" s="225">
        <v>175466</v>
      </c>
      <c r="S23" s="225">
        <v>175724.3</v>
      </c>
      <c r="T23" s="225">
        <v>177320.7</v>
      </c>
      <c r="U23" s="225">
        <v>178779.1</v>
      </c>
      <c r="V23" s="225"/>
      <c r="W23" s="151"/>
      <c r="X23" s="151">
        <v>1201.3000000000175</v>
      </c>
      <c r="Y23" s="151">
        <v>947.39999999999418</v>
      </c>
      <c r="Z23" s="151">
        <v>1484.1000000000058</v>
      </c>
      <c r="AA23" s="151">
        <v>977.79999999998836</v>
      </c>
      <c r="AB23" s="151">
        <v>961.80000000001746</v>
      </c>
      <c r="AC23" s="151">
        <v>745.5</v>
      </c>
      <c r="AD23" s="151">
        <v>853.59999999997672</v>
      </c>
      <c r="AE23" s="151">
        <v>0.20000000001164153</v>
      </c>
      <c r="AF23" s="151">
        <v>0</v>
      </c>
      <c r="AG23" s="151">
        <v>258.29999999998836</v>
      </c>
      <c r="AH23" s="151">
        <v>1596.4000000000233</v>
      </c>
      <c r="AI23" s="151">
        <v>1458.3999999999942</v>
      </c>
    </row>
    <row r="24" spans="1:35" ht="18.75" x14ac:dyDescent="0.25">
      <c r="A24" s="290"/>
      <c r="B24" s="106" t="s">
        <v>422</v>
      </c>
      <c r="C24" s="106" t="s">
        <v>650</v>
      </c>
      <c r="D24" s="106">
        <v>3</v>
      </c>
      <c r="E24" s="192" t="s">
        <v>21</v>
      </c>
      <c r="F24" s="192" t="s">
        <v>654</v>
      </c>
      <c r="G24" s="192" t="s">
        <v>661</v>
      </c>
      <c r="H24" s="192"/>
      <c r="I24" s="192">
        <v>602.5</v>
      </c>
      <c r="J24" s="192">
        <v>602.5</v>
      </c>
      <c r="K24" s="192">
        <v>602.5</v>
      </c>
      <c r="L24" s="192">
        <v>602.5</v>
      </c>
      <c r="M24" s="192">
        <v>602.5</v>
      </c>
      <c r="N24" s="192">
        <v>602.5</v>
      </c>
      <c r="O24" s="192">
        <v>602.5</v>
      </c>
      <c r="P24" s="192">
        <v>602.5</v>
      </c>
      <c r="Q24" s="192">
        <v>602.5</v>
      </c>
      <c r="R24" s="225">
        <v>602.5</v>
      </c>
      <c r="S24" s="225">
        <v>602.5</v>
      </c>
      <c r="T24" s="225">
        <v>602.5</v>
      </c>
      <c r="U24" s="225">
        <v>602.5</v>
      </c>
      <c r="V24" s="225"/>
      <c r="W24" s="151"/>
      <c r="X24" s="151">
        <v>0</v>
      </c>
      <c r="Y24" s="151">
        <v>0</v>
      </c>
      <c r="Z24" s="151">
        <v>0</v>
      </c>
      <c r="AA24" s="151">
        <v>0</v>
      </c>
      <c r="AB24" s="151">
        <v>0</v>
      </c>
      <c r="AC24" s="151">
        <v>0</v>
      </c>
      <c r="AD24" s="151">
        <v>0</v>
      </c>
      <c r="AE24" s="151">
        <v>0</v>
      </c>
      <c r="AF24" s="151">
        <v>0</v>
      </c>
      <c r="AG24" s="151">
        <v>0</v>
      </c>
      <c r="AH24" s="151">
        <v>0</v>
      </c>
      <c r="AI24" s="151">
        <v>0</v>
      </c>
    </row>
    <row r="25" spans="1:35" ht="18.75" x14ac:dyDescent="0.25">
      <c r="A25" s="290"/>
      <c r="B25" s="106" t="s">
        <v>423</v>
      </c>
      <c r="C25" s="106" t="s">
        <v>650</v>
      </c>
      <c r="D25" s="106">
        <v>3</v>
      </c>
      <c r="E25" s="192" t="s">
        <v>21</v>
      </c>
      <c r="F25" s="192" t="s">
        <v>654</v>
      </c>
      <c r="G25" s="192" t="s">
        <v>662</v>
      </c>
      <c r="H25" s="192" t="s">
        <v>663</v>
      </c>
      <c r="I25" s="192">
        <v>52232.3</v>
      </c>
      <c r="J25" s="192">
        <v>53554</v>
      </c>
      <c r="K25" s="192">
        <v>55252</v>
      </c>
      <c r="L25" s="192">
        <v>57192.3</v>
      </c>
      <c r="M25" s="192">
        <v>58484.4</v>
      </c>
      <c r="N25" s="192">
        <v>59730.6</v>
      </c>
      <c r="O25" s="192">
        <v>61163.6</v>
      </c>
      <c r="P25" s="192">
        <v>62020.5</v>
      </c>
      <c r="Q25" s="192">
        <v>63233.7</v>
      </c>
      <c r="R25" s="225">
        <v>64601.599999999999</v>
      </c>
      <c r="S25" s="225">
        <v>65932</v>
      </c>
      <c r="T25" s="225">
        <v>67797.5</v>
      </c>
      <c r="U25" s="225">
        <v>69575.100000000006</v>
      </c>
      <c r="V25" s="225"/>
      <c r="W25" s="151"/>
      <c r="X25" s="151">
        <v>1321.6999999999971</v>
      </c>
      <c r="Y25" s="151">
        <v>1698</v>
      </c>
      <c r="Z25" s="151">
        <v>1940.3000000000029</v>
      </c>
      <c r="AA25" s="151">
        <v>1292.0999999999985</v>
      </c>
      <c r="AB25" s="151">
        <v>1246.1999999999971</v>
      </c>
      <c r="AC25" s="151">
        <v>1433</v>
      </c>
      <c r="AD25" s="151">
        <v>856.90000000000146</v>
      </c>
      <c r="AE25" s="151">
        <v>1213.1999999999971</v>
      </c>
      <c r="AF25" s="151">
        <v>1367.9000000000015</v>
      </c>
      <c r="AG25" s="151">
        <v>1330.4000000000015</v>
      </c>
      <c r="AH25" s="151">
        <v>1865.5</v>
      </c>
      <c r="AI25" s="151">
        <v>1777.6000000000058</v>
      </c>
    </row>
    <row r="26" spans="1:35" ht="18.75" x14ac:dyDescent="0.25">
      <c r="A26" s="290"/>
      <c r="B26" s="106">
        <v>30574059</v>
      </c>
      <c r="C26" s="106" t="s">
        <v>670</v>
      </c>
      <c r="D26" s="106">
        <v>3</v>
      </c>
      <c r="E26" s="192" t="s">
        <v>21</v>
      </c>
      <c r="F26" s="192" t="s">
        <v>679</v>
      </c>
      <c r="G26" s="192" t="s">
        <v>678</v>
      </c>
      <c r="H26" s="192" t="s">
        <v>680</v>
      </c>
      <c r="I26" s="192">
        <v>139470</v>
      </c>
      <c r="J26" s="192">
        <v>140851.6</v>
      </c>
      <c r="K26" s="192">
        <v>142580</v>
      </c>
      <c r="L26" s="192">
        <v>144614.5</v>
      </c>
      <c r="M26" s="192">
        <v>146111.9</v>
      </c>
      <c r="N26" s="192">
        <v>147565.9</v>
      </c>
      <c r="O26" s="192">
        <v>149284.20000000001</v>
      </c>
      <c r="P26" s="192">
        <v>150343</v>
      </c>
      <c r="Q26" s="192">
        <v>151912.1</v>
      </c>
      <c r="R26" s="225">
        <v>153602.4</v>
      </c>
      <c r="S26" s="225">
        <v>155230.20000000001</v>
      </c>
      <c r="T26" s="225">
        <v>157631.6</v>
      </c>
      <c r="U26" s="225">
        <v>159533.4</v>
      </c>
      <c r="V26" s="225"/>
      <c r="W26" s="151"/>
      <c r="X26" s="151">
        <v>1381.6000000000058</v>
      </c>
      <c r="Y26" s="151">
        <v>1728.3999999999942</v>
      </c>
      <c r="Z26" s="151">
        <v>2034.5</v>
      </c>
      <c r="AA26" s="151">
        <v>1497.3999999999942</v>
      </c>
      <c r="AB26" s="151">
        <v>1454</v>
      </c>
      <c r="AC26" s="151">
        <v>1718.3000000000175</v>
      </c>
      <c r="AD26" s="151">
        <v>1058.7999999999884</v>
      </c>
      <c r="AE26" s="151">
        <v>1569.1000000000058</v>
      </c>
      <c r="AF26" s="151">
        <v>1690.2999999999884</v>
      </c>
      <c r="AG26" s="151">
        <v>1627.8000000000175</v>
      </c>
      <c r="AH26" s="151">
        <v>2401.3999999999942</v>
      </c>
      <c r="AI26" s="151">
        <v>1901.7999999999884</v>
      </c>
    </row>
    <row r="27" spans="1:35" ht="18.75" x14ac:dyDescent="0.25">
      <c r="A27" s="290"/>
      <c r="B27" s="106" t="s">
        <v>426</v>
      </c>
      <c r="C27" s="106" t="s">
        <v>670</v>
      </c>
      <c r="D27" s="106">
        <v>3</v>
      </c>
      <c r="E27" s="192" t="s">
        <v>677</v>
      </c>
      <c r="F27" s="192" t="s">
        <v>676</v>
      </c>
      <c r="G27" s="192" t="s">
        <v>1413</v>
      </c>
      <c r="H27" s="192"/>
      <c r="I27" s="192">
        <v>626223.6</v>
      </c>
      <c r="J27" s="192">
        <v>627368</v>
      </c>
      <c r="K27" s="192">
        <v>628804</v>
      </c>
      <c r="L27" s="192">
        <v>630582.6</v>
      </c>
      <c r="M27" s="192">
        <v>631933.30000000005</v>
      </c>
      <c r="N27" s="192">
        <v>633217.69999999995</v>
      </c>
      <c r="O27" s="192">
        <v>634675.30000000005</v>
      </c>
      <c r="P27" s="192">
        <v>636503</v>
      </c>
      <c r="Q27" s="192">
        <v>637025.4</v>
      </c>
      <c r="R27" s="225">
        <v>638530.69999999995</v>
      </c>
      <c r="S27" s="225">
        <v>640105.80000000005</v>
      </c>
      <c r="T27" s="225">
        <v>642590.9</v>
      </c>
      <c r="U27" s="225">
        <v>644696.30000000005</v>
      </c>
      <c r="V27" s="225"/>
      <c r="W27" s="151"/>
      <c r="X27" s="151">
        <v>1144.4000000000233</v>
      </c>
      <c r="Y27" s="151">
        <v>1436</v>
      </c>
      <c r="Z27" s="151">
        <v>1778.5999999999767</v>
      </c>
      <c r="AA27" s="151">
        <v>1350.7000000000698</v>
      </c>
      <c r="AB27" s="151">
        <v>1284.3999999999069</v>
      </c>
      <c r="AC27" s="151">
        <v>1457.6000000000931</v>
      </c>
      <c r="AD27" s="151">
        <v>1827.6999999999534</v>
      </c>
      <c r="AE27" s="151">
        <v>522.40000000002328</v>
      </c>
      <c r="AF27" s="151">
        <v>1505.2999999999302</v>
      </c>
      <c r="AG27" s="151">
        <v>1575.1000000000931</v>
      </c>
      <c r="AH27" s="151">
        <v>2485.0999999999767</v>
      </c>
      <c r="AI27" s="151">
        <v>2105.4000000000233</v>
      </c>
    </row>
    <row r="28" spans="1:35" ht="18.75" customHeight="1" x14ac:dyDescent="0.25">
      <c r="A28" s="290"/>
      <c r="B28" s="106">
        <v>50767753</v>
      </c>
      <c r="C28" s="106" t="s">
        <v>681</v>
      </c>
      <c r="D28" s="106">
        <v>3</v>
      </c>
      <c r="E28" s="107" t="s">
        <v>21</v>
      </c>
      <c r="F28" s="192" t="s">
        <v>1414</v>
      </c>
      <c r="G28" s="108" t="s">
        <v>1415</v>
      </c>
      <c r="H28" s="108"/>
      <c r="I28" s="193">
        <v>1638</v>
      </c>
      <c r="J28" s="193">
        <v>1735</v>
      </c>
      <c r="K28" s="193">
        <v>1877</v>
      </c>
      <c r="L28" s="193">
        <v>2039</v>
      </c>
      <c r="M28" s="193">
        <v>2140</v>
      </c>
      <c r="N28" s="193">
        <v>2218</v>
      </c>
      <c r="O28" s="193">
        <v>2271</v>
      </c>
      <c r="P28" s="193">
        <v>2272</v>
      </c>
      <c r="Q28" s="193">
        <v>2272</v>
      </c>
      <c r="R28" s="235">
        <v>2272</v>
      </c>
      <c r="S28" s="225">
        <v>2273</v>
      </c>
      <c r="T28" s="225">
        <v>2309</v>
      </c>
      <c r="U28" s="225">
        <v>2374</v>
      </c>
      <c r="V28" s="225"/>
      <c r="W28" s="151"/>
      <c r="X28" s="151">
        <v>97</v>
      </c>
      <c r="Y28" s="151">
        <v>142</v>
      </c>
      <c r="Z28" s="151">
        <v>162</v>
      </c>
      <c r="AA28" s="151">
        <v>101</v>
      </c>
      <c r="AB28" s="151">
        <v>78</v>
      </c>
      <c r="AC28" s="151">
        <v>53</v>
      </c>
      <c r="AD28" s="151">
        <v>1</v>
      </c>
      <c r="AE28" s="151">
        <v>0</v>
      </c>
      <c r="AF28" s="151">
        <v>0</v>
      </c>
      <c r="AG28" s="151">
        <v>1</v>
      </c>
      <c r="AH28" s="151">
        <v>36</v>
      </c>
      <c r="AI28" s="151">
        <v>65</v>
      </c>
    </row>
    <row r="29" spans="1:35" ht="18.75" customHeight="1" x14ac:dyDescent="0.25">
      <c r="A29" s="290"/>
      <c r="B29" s="106">
        <v>50767755</v>
      </c>
      <c r="C29" s="106" t="s">
        <v>681</v>
      </c>
      <c r="D29" s="106">
        <v>3</v>
      </c>
      <c r="E29" s="107" t="s">
        <v>21</v>
      </c>
      <c r="F29" s="192" t="s">
        <v>1414</v>
      </c>
      <c r="G29" s="108" t="s">
        <v>1416</v>
      </c>
      <c r="H29" s="108"/>
      <c r="I29" s="193">
        <v>1259</v>
      </c>
      <c r="J29" s="193">
        <v>1324</v>
      </c>
      <c r="K29" s="193">
        <v>1416</v>
      </c>
      <c r="L29" s="193">
        <v>1525</v>
      </c>
      <c r="M29" s="193">
        <v>1594</v>
      </c>
      <c r="N29" s="193">
        <v>1654</v>
      </c>
      <c r="O29" s="193">
        <v>1695</v>
      </c>
      <c r="P29" s="193">
        <v>1715</v>
      </c>
      <c r="Q29" s="193">
        <v>1742</v>
      </c>
      <c r="R29" s="235">
        <v>1776</v>
      </c>
      <c r="S29" s="225">
        <v>1811</v>
      </c>
      <c r="T29" s="225">
        <v>1896</v>
      </c>
      <c r="U29" s="225">
        <v>2095</v>
      </c>
      <c r="V29" s="225"/>
      <c r="W29" s="151"/>
      <c r="X29" s="151">
        <v>65</v>
      </c>
      <c r="Y29" s="151">
        <v>92</v>
      </c>
      <c r="Z29" s="151">
        <v>109</v>
      </c>
      <c r="AA29" s="151">
        <v>69</v>
      </c>
      <c r="AB29" s="151">
        <v>60</v>
      </c>
      <c r="AC29" s="151">
        <v>41</v>
      </c>
      <c r="AD29" s="151">
        <v>20</v>
      </c>
      <c r="AE29" s="151">
        <v>27</v>
      </c>
      <c r="AF29" s="151">
        <v>34</v>
      </c>
      <c r="AG29" s="151">
        <v>35</v>
      </c>
      <c r="AH29" s="151">
        <v>85</v>
      </c>
      <c r="AI29" s="151">
        <v>199</v>
      </c>
    </row>
    <row r="30" spans="1:35" ht="18.75" customHeight="1" x14ac:dyDescent="0.25">
      <c r="A30" s="290"/>
      <c r="B30" s="106" t="s">
        <v>427</v>
      </c>
      <c r="C30" s="106" t="s">
        <v>681</v>
      </c>
      <c r="D30" s="106">
        <v>0</v>
      </c>
      <c r="E30" s="107" t="s">
        <v>21</v>
      </c>
      <c r="F30" s="192" t="s">
        <v>1414</v>
      </c>
      <c r="G30" s="108" t="s">
        <v>682</v>
      </c>
      <c r="H30" s="108"/>
      <c r="I30" s="193">
        <v>276109.90000000002</v>
      </c>
      <c r="J30" s="193">
        <v>280206.09999999998</v>
      </c>
      <c r="K30" s="193">
        <v>286798</v>
      </c>
      <c r="L30" s="193">
        <v>295330.40000000002</v>
      </c>
      <c r="M30" s="193">
        <v>301155.90000000002</v>
      </c>
      <c r="N30" s="193">
        <v>306659.20000000001</v>
      </c>
      <c r="O30" s="193">
        <v>313121.2</v>
      </c>
      <c r="P30" s="193">
        <v>318275.26</v>
      </c>
      <c r="Q30" s="193">
        <v>323495.59999999998</v>
      </c>
      <c r="R30" s="235">
        <v>330094.7</v>
      </c>
      <c r="S30" s="225">
        <v>336340</v>
      </c>
      <c r="T30" s="225">
        <v>345271</v>
      </c>
      <c r="U30" s="225">
        <v>356029.5</v>
      </c>
      <c r="V30" s="225"/>
      <c r="W30" s="151"/>
      <c r="X30" s="151">
        <v>4096.1999999999534</v>
      </c>
      <c r="Y30" s="151">
        <v>6591.9000000000233</v>
      </c>
      <c r="Z30" s="151">
        <v>8532.4000000000233</v>
      </c>
      <c r="AA30" s="151">
        <v>5825.5</v>
      </c>
      <c r="AB30" s="151">
        <v>5503.2999999999884</v>
      </c>
      <c r="AC30" s="151">
        <v>6462</v>
      </c>
      <c r="AD30" s="151">
        <v>5154.0599999999977</v>
      </c>
      <c r="AE30" s="151">
        <v>5220.3399999999674</v>
      </c>
      <c r="AF30" s="151">
        <v>6599.1000000000349</v>
      </c>
      <c r="AG30" s="151">
        <v>6245.2999999999884</v>
      </c>
      <c r="AH30" s="151">
        <v>8931</v>
      </c>
      <c r="AI30" s="151">
        <v>10758.5</v>
      </c>
    </row>
    <row r="31" spans="1:35" ht="18.75" customHeight="1" x14ac:dyDescent="0.25">
      <c r="A31" s="290"/>
      <c r="B31" s="106">
        <v>41709388</v>
      </c>
      <c r="C31" s="106" t="s">
        <v>683</v>
      </c>
      <c r="D31" s="106">
        <v>3</v>
      </c>
      <c r="E31" s="107" t="s">
        <v>21</v>
      </c>
      <c r="F31" s="192" t="s">
        <v>645</v>
      </c>
      <c r="G31" s="108" t="s">
        <v>684</v>
      </c>
      <c r="H31" s="108" t="s">
        <v>1417</v>
      </c>
      <c r="I31" s="193">
        <v>35387</v>
      </c>
      <c r="J31" s="193">
        <v>35833</v>
      </c>
      <c r="K31" s="193">
        <v>36198.5</v>
      </c>
      <c r="L31" s="193">
        <v>36564</v>
      </c>
      <c r="M31" s="193">
        <v>36743</v>
      </c>
      <c r="N31" s="193">
        <v>37393</v>
      </c>
      <c r="O31" s="193">
        <v>38478</v>
      </c>
      <c r="P31" s="193">
        <v>39007</v>
      </c>
      <c r="Q31" s="193"/>
      <c r="R31" s="235">
        <v>0</v>
      </c>
      <c r="S31" s="225"/>
      <c r="T31" s="225"/>
      <c r="U31" s="225"/>
      <c r="V31" s="225"/>
      <c r="W31" s="151"/>
      <c r="X31" s="151">
        <v>446</v>
      </c>
      <c r="Y31" s="151">
        <v>365.5</v>
      </c>
      <c r="Z31" s="151">
        <v>365.5</v>
      </c>
      <c r="AA31" s="151">
        <v>179</v>
      </c>
      <c r="AB31" s="151">
        <v>650</v>
      </c>
      <c r="AC31" s="151">
        <v>1085</v>
      </c>
      <c r="AD31" s="151">
        <v>529</v>
      </c>
      <c r="AE31" s="151" t="s">
        <v>734</v>
      </c>
      <c r="AF31" s="151" t="s">
        <v>734</v>
      </c>
      <c r="AG31" s="151" t="s">
        <v>734</v>
      </c>
      <c r="AH31" s="151" t="s">
        <v>734</v>
      </c>
      <c r="AI31" s="151" t="s">
        <v>734</v>
      </c>
    </row>
    <row r="32" spans="1:35" ht="18.75" customHeight="1" x14ac:dyDescent="0.25">
      <c r="A32" s="290"/>
      <c r="B32" s="106">
        <v>49311166</v>
      </c>
      <c r="C32" s="106" t="s">
        <v>683</v>
      </c>
      <c r="D32" s="106">
        <v>3</v>
      </c>
      <c r="E32" s="107" t="s">
        <v>21</v>
      </c>
      <c r="F32" s="192" t="s">
        <v>645</v>
      </c>
      <c r="G32" s="108" t="s">
        <v>684</v>
      </c>
      <c r="H32" s="108" t="s">
        <v>1443</v>
      </c>
      <c r="I32" s="193"/>
      <c r="J32" s="193"/>
      <c r="K32" s="193"/>
      <c r="L32" s="193"/>
      <c r="M32" s="193"/>
      <c r="N32" s="193"/>
      <c r="O32" s="193"/>
      <c r="P32" s="193"/>
      <c r="Q32" s="193"/>
      <c r="R32" s="235">
        <v>0</v>
      </c>
      <c r="S32" s="225">
        <v>556</v>
      </c>
      <c r="T32" s="225">
        <v>2008</v>
      </c>
      <c r="U32" s="225">
        <v>3325</v>
      </c>
      <c r="V32" s="225"/>
      <c r="W32" s="151"/>
      <c r="X32" s="151" t="s">
        <v>734</v>
      </c>
      <c r="Y32" s="151" t="s">
        <v>734</v>
      </c>
      <c r="Z32" s="151" t="s">
        <v>734</v>
      </c>
      <c r="AA32" s="151" t="s">
        <v>734</v>
      </c>
      <c r="AB32" s="151" t="s">
        <v>734</v>
      </c>
      <c r="AC32" s="151" t="s">
        <v>734</v>
      </c>
      <c r="AD32" s="151" t="s">
        <v>734</v>
      </c>
      <c r="AE32" s="151" t="s">
        <v>734</v>
      </c>
      <c r="AF32" s="151" t="s">
        <v>734</v>
      </c>
      <c r="AG32" s="151">
        <v>556</v>
      </c>
      <c r="AH32" s="151">
        <v>1452</v>
      </c>
      <c r="AI32" s="151">
        <v>1317</v>
      </c>
    </row>
    <row r="33" spans="1:35" ht="18.75" customHeight="1" x14ac:dyDescent="0.25">
      <c r="A33" s="290"/>
      <c r="B33" s="106" t="s">
        <v>1272</v>
      </c>
      <c r="C33" s="106" t="s">
        <v>356</v>
      </c>
      <c r="D33" s="106">
        <v>0</v>
      </c>
      <c r="E33" s="107" t="s">
        <v>391</v>
      </c>
      <c r="F33" s="192" t="s">
        <v>392</v>
      </c>
      <c r="G33" s="108"/>
      <c r="H33" s="108" t="s">
        <v>960</v>
      </c>
      <c r="I33" s="193">
        <v>185893</v>
      </c>
      <c r="J33" s="193">
        <v>186803</v>
      </c>
      <c r="K33" s="193">
        <v>188456</v>
      </c>
      <c r="L33" s="193">
        <v>189930</v>
      </c>
      <c r="M33" s="193">
        <v>191626</v>
      </c>
      <c r="N33" s="193">
        <v>193091</v>
      </c>
      <c r="O33" s="193">
        <v>194550</v>
      </c>
      <c r="P33" s="193">
        <v>196354</v>
      </c>
      <c r="Q33" s="193">
        <v>197678</v>
      </c>
      <c r="R33" s="235"/>
      <c r="S33" s="225"/>
      <c r="T33" s="225">
        <v>1133879</v>
      </c>
      <c r="U33" s="225">
        <v>1136003</v>
      </c>
      <c r="V33" s="225"/>
      <c r="W33" s="151"/>
      <c r="X33" s="151">
        <v>910</v>
      </c>
      <c r="Y33" s="151">
        <v>1653</v>
      </c>
      <c r="Z33" s="151">
        <v>1474</v>
      </c>
      <c r="AA33" s="151">
        <v>1696</v>
      </c>
      <c r="AB33" s="151">
        <v>1465</v>
      </c>
      <c r="AC33" s="151">
        <v>1459</v>
      </c>
      <c r="AD33" s="151">
        <v>1804</v>
      </c>
      <c r="AE33" s="151">
        <v>1324</v>
      </c>
      <c r="AF33" s="151" t="s">
        <v>734</v>
      </c>
      <c r="AG33" s="151" t="s">
        <v>734</v>
      </c>
      <c r="AH33" s="151" t="s">
        <v>734</v>
      </c>
      <c r="AI33" s="151">
        <v>2124</v>
      </c>
    </row>
    <row r="34" spans="1:35" ht="18.75" customHeight="1" x14ac:dyDescent="0.25">
      <c r="A34" s="290"/>
      <c r="B34" s="106" t="s">
        <v>1273</v>
      </c>
      <c r="C34" s="106" t="s">
        <v>356</v>
      </c>
      <c r="D34" s="106">
        <v>0</v>
      </c>
      <c r="E34" s="107" t="s">
        <v>393</v>
      </c>
      <c r="F34" s="192" t="s">
        <v>394</v>
      </c>
      <c r="G34" s="108"/>
      <c r="H34" s="108" t="s">
        <v>960</v>
      </c>
      <c r="I34" s="193">
        <v>353452</v>
      </c>
      <c r="J34" s="193">
        <v>355112</v>
      </c>
      <c r="K34" s="193">
        <v>358868</v>
      </c>
      <c r="L34" s="193">
        <v>361575</v>
      </c>
      <c r="M34" s="193">
        <v>364541</v>
      </c>
      <c r="N34" s="193">
        <v>367292</v>
      </c>
      <c r="O34" s="193">
        <v>370518</v>
      </c>
      <c r="P34" s="193">
        <v>375675</v>
      </c>
      <c r="Q34" s="193">
        <v>380290</v>
      </c>
      <c r="R34" s="235"/>
      <c r="S34" s="225"/>
      <c r="T34" s="225">
        <v>813563</v>
      </c>
      <c r="U34" s="225">
        <v>816897</v>
      </c>
      <c r="V34" s="225"/>
      <c r="W34" s="151"/>
      <c r="X34" s="151">
        <v>1660</v>
      </c>
      <c r="Y34" s="151">
        <v>3756</v>
      </c>
      <c r="Z34" s="151">
        <v>2707</v>
      </c>
      <c r="AA34" s="151">
        <v>2966</v>
      </c>
      <c r="AB34" s="151">
        <v>2751</v>
      </c>
      <c r="AC34" s="151">
        <v>3226</v>
      </c>
      <c r="AD34" s="151">
        <v>5157</v>
      </c>
      <c r="AE34" s="151">
        <v>4615</v>
      </c>
      <c r="AF34" s="151" t="s">
        <v>734</v>
      </c>
      <c r="AG34" s="151" t="s">
        <v>734</v>
      </c>
      <c r="AH34" s="151" t="s">
        <v>734</v>
      </c>
      <c r="AI34" s="151">
        <v>3334</v>
      </c>
    </row>
    <row r="35" spans="1:35" ht="18.75" x14ac:dyDescent="0.25">
      <c r="A35" s="290"/>
      <c r="B35" s="106">
        <v>5355250</v>
      </c>
      <c r="C35" s="106" t="s">
        <v>535</v>
      </c>
      <c r="D35" s="106">
        <v>2</v>
      </c>
      <c r="E35" s="107" t="s">
        <v>536</v>
      </c>
      <c r="F35" s="192"/>
      <c r="G35" s="108"/>
      <c r="H35" s="108"/>
      <c r="I35" s="193">
        <v>14113</v>
      </c>
      <c r="J35" s="193">
        <v>14113</v>
      </c>
      <c r="K35" s="193">
        <v>14115</v>
      </c>
      <c r="L35" s="193">
        <v>14162</v>
      </c>
      <c r="M35" s="193">
        <v>14209</v>
      </c>
      <c r="N35" s="193">
        <v>14259</v>
      </c>
      <c r="O35" s="193">
        <v>14303</v>
      </c>
      <c r="P35" s="193">
        <v>14339</v>
      </c>
      <c r="Q35" s="193">
        <v>14386</v>
      </c>
      <c r="R35" s="235">
        <v>14398</v>
      </c>
      <c r="S35" s="225">
        <v>14409</v>
      </c>
      <c r="T35" s="225">
        <v>14447</v>
      </c>
      <c r="U35" s="225">
        <v>14518</v>
      </c>
      <c r="V35" s="225"/>
      <c r="W35" s="151"/>
      <c r="X35" s="151">
        <v>0</v>
      </c>
      <c r="Y35" s="151">
        <v>40</v>
      </c>
      <c r="Z35" s="151">
        <v>940</v>
      </c>
      <c r="AA35" s="151">
        <v>940</v>
      </c>
      <c r="AB35" s="151">
        <v>1000</v>
      </c>
      <c r="AC35" s="151">
        <v>880</v>
      </c>
      <c r="AD35" s="151">
        <v>720</v>
      </c>
      <c r="AE35" s="151">
        <v>940</v>
      </c>
      <c r="AF35" s="151">
        <v>240</v>
      </c>
      <c r="AG35" s="151">
        <v>220</v>
      </c>
      <c r="AH35" s="151">
        <v>760</v>
      </c>
      <c r="AI35" s="151">
        <v>1420</v>
      </c>
    </row>
    <row r="36" spans="1:35" ht="18.75" x14ac:dyDescent="0.25">
      <c r="A36" s="290"/>
      <c r="B36" s="106">
        <v>5355251</v>
      </c>
      <c r="C36" s="106" t="s">
        <v>537</v>
      </c>
      <c r="D36" s="106">
        <v>2</v>
      </c>
      <c r="E36" s="107" t="s">
        <v>538</v>
      </c>
      <c r="F36" s="192"/>
      <c r="G36" s="108"/>
      <c r="H36" s="108"/>
      <c r="I36" s="193">
        <v>17089</v>
      </c>
      <c r="J36" s="193">
        <v>17089</v>
      </c>
      <c r="K36" s="193">
        <v>17089</v>
      </c>
      <c r="L36" s="193">
        <v>17089</v>
      </c>
      <c r="M36" s="193">
        <v>17089</v>
      </c>
      <c r="N36" s="193">
        <v>17089</v>
      </c>
      <c r="O36" s="193">
        <v>17089</v>
      </c>
      <c r="P36" s="193">
        <v>17089</v>
      </c>
      <c r="Q36" s="193">
        <v>17089</v>
      </c>
      <c r="R36" s="235">
        <v>17089</v>
      </c>
      <c r="S36" s="225">
        <v>17089</v>
      </c>
      <c r="T36" s="225">
        <v>17089</v>
      </c>
      <c r="U36" s="225">
        <v>17089</v>
      </c>
      <c r="V36" s="225"/>
      <c r="W36" s="151"/>
      <c r="X36" s="151">
        <v>0</v>
      </c>
      <c r="Y36" s="151">
        <v>0</v>
      </c>
      <c r="Z36" s="151">
        <v>0</v>
      </c>
      <c r="AA36" s="151">
        <v>0</v>
      </c>
      <c r="AB36" s="151">
        <v>0</v>
      </c>
      <c r="AC36" s="151">
        <v>0</v>
      </c>
      <c r="AD36" s="151">
        <v>0</v>
      </c>
      <c r="AE36" s="151">
        <v>0</v>
      </c>
      <c r="AF36" s="151">
        <v>0</v>
      </c>
      <c r="AG36" s="151">
        <v>0</v>
      </c>
      <c r="AH36" s="151">
        <v>0</v>
      </c>
      <c r="AI36" s="151">
        <v>0</v>
      </c>
    </row>
    <row r="37" spans="1:35" ht="18.75" x14ac:dyDescent="0.25">
      <c r="A37" s="290"/>
      <c r="B37" s="106">
        <v>5356223</v>
      </c>
      <c r="C37" s="106" t="s">
        <v>539</v>
      </c>
      <c r="D37" s="106">
        <v>2</v>
      </c>
      <c r="E37" s="107" t="s">
        <v>540</v>
      </c>
      <c r="F37" s="192"/>
      <c r="G37" s="108"/>
      <c r="H37" s="108"/>
      <c r="I37" s="193">
        <v>6411</v>
      </c>
      <c r="J37" s="193">
        <v>6411</v>
      </c>
      <c r="K37" s="193">
        <v>6411</v>
      </c>
      <c r="L37" s="193">
        <v>6411</v>
      </c>
      <c r="M37" s="193">
        <v>6411</v>
      </c>
      <c r="N37" s="193">
        <v>6411</v>
      </c>
      <c r="O37" s="193">
        <v>6411</v>
      </c>
      <c r="P37" s="193">
        <v>6411</v>
      </c>
      <c r="Q37" s="193">
        <v>6411</v>
      </c>
      <c r="R37" s="235">
        <v>6411</v>
      </c>
      <c r="S37" s="225">
        <v>6411</v>
      </c>
      <c r="T37" s="225"/>
      <c r="U37" s="225"/>
      <c r="V37" s="225"/>
      <c r="W37" s="151"/>
      <c r="X37" s="151">
        <v>0</v>
      </c>
      <c r="Y37" s="151">
        <v>0</v>
      </c>
      <c r="Z37" s="151">
        <v>0</v>
      </c>
      <c r="AA37" s="151">
        <v>0</v>
      </c>
      <c r="AB37" s="151">
        <v>0</v>
      </c>
      <c r="AC37" s="151">
        <v>0</v>
      </c>
      <c r="AD37" s="151">
        <v>0</v>
      </c>
      <c r="AE37" s="151">
        <v>0</v>
      </c>
      <c r="AF37" s="151">
        <v>0</v>
      </c>
      <c r="AG37" s="151">
        <v>0</v>
      </c>
      <c r="AH37" s="151" t="s">
        <v>734</v>
      </c>
      <c r="AI37" s="151" t="s">
        <v>734</v>
      </c>
    </row>
    <row r="38" spans="1:35" ht="18.75" x14ac:dyDescent="0.25">
      <c r="A38" s="290"/>
      <c r="B38" s="106">
        <v>17070</v>
      </c>
      <c r="C38" s="106" t="s">
        <v>541</v>
      </c>
      <c r="D38" s="106">
        <v>2</v>
      </c>
      <c r="E38" s="107" t="s">
        <v>557</v>
      </c>
      <c r="F38" s="192"/>
      <c r="G38" s="107" t="s">
        <v>65</v>
      </c>
      <c r="H38" s="107" t="s">
        <v>869</v>
      </c>
      <c r="I38" s="193"/>
      <c r="J38" s="193"/>
      <c r="K38" s="193"/>
      <c r="L38" s="193"/>
      <c r="M38" s="193"/>
      <c r="N38" s="193"/>
      <c r="O38" s="193"/>
      <c r="P38" s="193">
        <v>0</v>
      </c>
      <c r="Q38" s="193"/>
      <c r="R38" s="235">
        <v>139</v>
      </c>
      <c r="S38" s="225">
        <v>139</v>
      </c>
      <c r="T38" s="225">
        <v>140</v>
      </c>
      <c r="U38" s="225">
        <v>140</v>
      </c>
      <c r="V38" s="225"/>
      <c r="W38" s="151"/>
      <c r="X38" s="151" t="s">
        <v>734</v>
      </c>
      <c r="Y38" s="151" t="s">
        <v>734</v>
      </c>
      <c r="Z38" s="151" t="s">
        <v>734</v>
      </c>
      <c r="AA38" s="151" t="s">
        <v>734</v>
      </c>
      <c r="AB38" s="151" t="s">
        <v>734</v>
      </c>
      <c r="AC38" s="151" t="s">
        <v>734</v>
      </c>
      <c r="AD38" s="151" t="s">
        <v>734</v>
      </c>
      <c r="AE38" s="151" t="s">
        <v>734</v>
      </c>
      <c r="AF38" s="151" t="s">
        <v>734</v>
      </c>
      <c r="AG38" s="151">
        <v>0</v>
      </c>
      <c r="AH38" s="151">
        <v>1</v>
      </c>
      <c r="AI38" s="151">
        <v>0</v>
      </c>
    </row>
    <row r="39" spans="1:35" ht="18.75" x14ac:dyDescent="0.25">
      <c r="A39" s="290"/>
      <c r="B39" s="106">
        <v>62079903</v>
      </c>
      <c r="C39" s="106" t="s">
        <v>541</v>
      </c>
      <c r="D39" s="106">
        <v>2</v>
      </c>
      <c r="E39" s="107" t="s">
        <v>1174</v>
      </c>
      <c r="F39" s="192" t="s">
        <v>1173</v>
      </c>
      <c r="G39" s="107"/>
      <c r="H39" s="107"/>
      <c r="I39" s="193"/>
      <c r="J39" s="193"/>
      <c r="K39" s="193">
        <v>54</v>
      </c>
      <c r="L39" s="193"/>
      <c r="M39" s="193"/>
      <c r="N39" s="193"/>
      <c r="O39" s="193"/>
      <c r="P39" s="193">
        <v>0</v>
      </c>
      <c r="Q39" s="193"/>
      <c r="R39" s="235"/>
      <c r="S39" s="225">
        <v>0</v>
      </c>
      <c r="T39" s="225">
        <v>0</v>
      </c>
      <c r="U39" s="225">
        <v>0</v>
      </c>
      <c r="V39" s="225"/>
      <c r="W39" s="151"/>
      <c r="X39" s="151" t="s">
        <v>734</v>
      </c>
      <c r="Y39" s="151" t="s">
        <v>734</v>
      </c>
      <c r="Z39" s="151" t="s">
        <v>734</v>
      </c>
      <c r="AA39" s="151" t="s">
        <v>734</v>
      </c>
      <c r="AB39" s="151" t="s">
        <v>734</v>
      </c>
      <c r="AC39" s="151" t="s">
        <v>734</v>
      </c>
      <c r="AD39" s="151" t="s">
        <v>734</v>
      </c>
      <c r="AE39" s="151" t="s">
        <v>734</v>
      </c>
      <c r="AF39" s="151" t="s">
        <v>734</v>
      </c>
      <c r="AG39" s="151" t="s">
        <v>734</v>
      </c>
      <c r="AH39" s="151">
        <v>0</v>
      </c>
      <c r="AI39" s="151">
        <v>0</v>
      </c>
    </row>
    <row r="40" spans="1:35" ht="18.75" x14ac:dyDescent="0.25">
      <c r="A40" s="290"/>
      <c r="B40" s="106" t="s">
        <v>1141</v>
      </c>
      <c r="C40" s="103" t="s">
        <v>541</v>
      </c>
      <c r="D40" s="103">
        <v>2</v>
      </c>
      <c r="E40" s="194" t="s">
        <v>554</v>
      </c>
      <c r="F40" s="195" t="s">
        <v>555</v>
      </c>
      <c r="G40" s="107" t="s">
        <v>1142</v>
      </c>
      <c r="H40" s="194"/>
      <c r="I40" s="193">
        <v>79</v>
      </c>
      <c r="J40" s="193">
        <v>79</v>
      </c>
      <c r="K40" s="193">
        <v>79</v>
      </c>
      <c r="L40" s="193">
        <v>79</v>
      </c>
      <c r="M40" s="153">
        <v>79</v>
      </c>
      <c r="N40" s="153">
        <v>79</v>
      </c>
      <c r="O40" s="153">
        <v>79</v>
      </c>
      <c r="P40" s="153">
        <v>79</v>
      </c>
      <c r="Q40" s="153">
        <v>79</v>
      </c>
      <c r="R40" s="235">
        <v>79</v>
      </c>
      <c r="S40" s="225">
        <v>79</v>
      </c>
      <c r="T40" s="225"/>
      <c r="U40" s="225"/>
      <c r="V40" s="225"/>
      <c r="W40" s="151"/>
      <c r="X40" s="151">
        <v>0</v>
      </c>
      <c r="Y40" s="151">
        <v>0</v>
      </c>
      <c r="Z40" s="151">
        <v>0</v>
      </c>
      <c r="AA40" s="151">
        <v>0</v>
      </c>
      <c r="AB40" s="151">
        <v>0</v>
      </c>
      <c r="AC40" s="151">
        <v>0</v>
      </c>
      <c r="AD40" s="151">
        <v>0</v>
      </c>
      <c r="AE40" s="151">
        <v>0</v>
      </c>
      <c r="AF40" s="151">
        <v>0</v>
      </c>
      <c r="AG40" s="151">
        <v>0</v>
      </c>
      <c r="AH40" s="151" t="s">
        <v>734</v>
      </c>
      <c r="AI40" s="151" t="s">
        <v>734</v>
      </c>
    </row>
    <row r="41" spans="1:35" ht="18.75" customHeight="1" x14ac:dyDescent="0.25">
      <c r="A41" s="290"/>
      <c r="B41" s="210" t="s">
        <v>1143</v>
      </c>
      <c r="C41" s="61" t="s">
        <v>541</v>
      </c>
      <c r="D41" s="61">
        <v>2</v>
      </c>
      <c r="E41" s="197" t="s">
        <v>558</v>
      </c>
      <c r="F41" s="197" t="s">
        <v>559</v>
      </c>
      <c r="G41" s="198"/>
      <c r="H41" s="197"/>
      <c r="I41" s="199"/>
      <c r="J41" s="199"/>
      <c r="K41" s="199"/>
      <c r="L41" s="199"/>
      <c r="M41" s="199"/>
      <c r="N41" s="199"/>
      <c r="O41" s="199"/>
      <c r="P41" s="199">
        <v>3744</v>
      </c>
      <c r="Q41" s="199">
        <v>3766</v>
      </c>
      <c r="R41" s="235">
        <v>3795</v>
      </c>
      <c r="S41" s="225">
        <v>3816</v>
      </c>
      <c r="T41" s="225">
        <v>3852</v>
      </c>
      <c r="U41" s="225">
        <v>3896</v>
      </c>
      <c r="V41" s="225"/>
      <c r="W41" s="151"/>
      <c r="X41" s="151" t="s">
        <v>734</v>
      </c>
      <c r="Y41" s="151" t="s">
        <v>734</v>
      </c>
      <c r="Z41" s="151" t="s">
        <v>734</v>
      </c>
      <c r="AA41" s="151" t="s">
        <v>734</v>
      </c>
      <c r="AB41" s="151" t="s">
        <v>734</v>
      </c>
      <c r="AC41" s="151" t="s">
        <v>734</v>
      </c>
      <c r="AD41" s="151" t="s">
        <v>734</v>
      </c>
      <c r="AE41" s="151">
        <v>440</v>
      </c>
      <c r="AF41" s="151">
        <v>580</v>
      </c>
      <c r="AG41" s="151">
        <v>420</v>
      </c>
      <c r="AH41" s="151">
        <v>720</v>
      </c>
      <c r="AI41" s="151">
        <v>880</v>
      </c>
    </row>
    <row r="42" spans="1:35" ht="18.75" customHeight="1" x14ac:dyDescent="0.25">
      <c r="A42" s="290"/>
      <c r="B42" s="106" t="s">
        <v>1171</v>
      </c>
      <c r="C42" s="106" t="s">
        <v>541</v>
      </c>
      <c r="D42" s="106">
        <v>2</v>
      </c>
      <c r="E42" s="197" t="s">
        <v>1172</v>
      </c>
      <c r="F42" s="197"/>
      <c r="G42" s="108"/>
      <c r="H42" s="198"/>
      <c r="I42" s="193"/>
      <c r="J42" s="193"/>
      <c r="K42" s="193">
        <v>21982</v>
      </c>
      <c r="L42" s="193"/>
      <c r="M42" s="193"/>
      <c r="N42" s="193"/>
      <c r="O42" s="193"/>
      <c r="P42" s="193">
        <v>26670</v>
      </c>
      <c r="Q42" s="193"/>
      <c r="R42" s="235"/>
      <c r="S42" s="225"/>
      <c r="T42" s="225">
        <v>28135</v>
      </c>
      <c r="U42" s="225"/>
      <c r="V42" s="225"/>
      <c r="W42" s="151"/>
      <c r="X42" s="151" t="s">
        <v>734</v>
      </c>
      <c r="Y42" s="151" t="s">
        <v>734</v>
      </c>
      <c r="Z42" s="151" t="s">
        <v>734</v>
      </c>
      <c r="AA42" s="151" t="s">
        <v>734</v>
      </c>
      <c r="AB42" s="151" t="s">
        <v>734</v>
      </c>
      <c r="AC42" s="151" t="s">
        <v>734</v>
      </c>
      <c r="AD42" s="151" t="s">
        <v>734</v>
      </c>
      <c r="AE42" s="151" t="s">
        <v>734</v>
      </c>
      <c r="AF42" s="151" t="s">
        <v>734</v>
      </c>
      <c r="AG42" s="151" t="s">
        <v>734</v>
      </c>
      <c r="AH42" s="151" t="s">
        <v>734</v>
      </c>
      <c r="AI42" s="151" t="s">
        <v>734</v>
      </c>
    </row>
    <row r="43" spans="1:35" ht="18.75" customHeight="1" x14ac:dyDescent="0.25">
      <c r="A43" s="290"/>
      <c r="B43" s="106"/>
      <c r="C43" s="106" t="s">
        <v>541</v>
      </c>
      <c r="D43" s="106">
        <v>2</v>
      </c>
      <c r="E43" s="197" t="s">
        <v>556</v>
      </c>
      <c r="F43" s="197"/>
      <c r="G43" s="108"/>
      <c r="H43" s="198"/>
      <c r="I43" s="193">
        <v>135</v>
      </c>
      <c r="J43" s="193">
        <v>135</v>
      </c>
      <c r="K43" s="193">
        <v>136</v>
      </c>
      <c r="L43" s="193">
        <v>137</v>
      </c>
      <c r="M43" s="193">
        <v>137</v>
      </c>
      <c r="N43" s="193">
        <v>138</v>
      </c>
      <c r="O43" s="193">
        <v>138</v>
      </c>
      <c r="P43" s="193">
        <v>139</v>
      </c>
      <c r="Q43" s="193"/>
      <c r="R43" s="235"/>
      <c r="S43" s="225"/>
      <c r="T43" s="225">
        <v>0</v>
      </c>
      <c r="U43" s="225"/>
      <c r="V43" s="225"/>
      <c r="W43" s="151"/>
      <c r="X43" s="151">
        <v>0</v>
      </c>
      <c r="Y43" s="151">
        <v>1</v>
      </c>
      <c r="Z43" s="151">
        <v>1</v>
      </c>
      <c r="AA43" s="151">
        <v>0</v>
      </c>
      <c r="AB43" s="151">
        <v>1</v>
      </c>
      <c r="AC43" s="151">
        <v>0</v>
      </c>
      <c r="AD43" s="151">
        <v>1</v>
      </c>
      <c r="AE43" s="151" t="s">
        <v>734</v>
      </c>
      <c r="AF43" s="151" t="s">
        <v>734</v>
      </c>
      <c r="AG43" s="151" t="s">
        <v>734</v>
      </c>
      <c r="AH43" s="151" t="s">
        <v>734</v>
      </c>
      <c r="AI43" s="151" t="s">
        <v>734</v>
      </c>
    </row>
    <row r="44" spans="1:35" ht="18.75" customHeight="1" x14ac:dyDescent="0.25">
      <c r="A44" s="290"/>
      <c r="B44" s="106"/>
      <c r="C44" s="106" t="s">
        <v>541</v>
      </c>
      <c r="D44" s="106">
        <v>2</v>
      </c>
      <c r="E44" s="197" t="s">
        <v>172</v>
      </c>
      <c r="F44" s="197"/>
      <c r="G44" s="108"/>
      <c r="H44" s="198"/>
      <c r="I44" s="193">
        <v>3531</v>
      </c>
      <c r="J44" s="193">
        <v>3549</v>
      </c>
      <c r="K44" s="193">
        <v>3581</v>
      </c>
      <c r="L44" s="193">
        <v>3612</v>
      </c>
      <c r="M44" s="193">
        <v>3650</v>
      </c>
      <c r="N44" s="193"/>
      <c r="O44" s="193"/>
      <c r="P44" s="193"/>
      <c r="Q44" s="193"/>
      <c r="R44" s="235"/>
      <c r="S44" s="225"/>
      <c r="T44" s="225"/>
      <c r="U44" s="225"/>
      <c r="V44" s="225"/>
      <c r="W44" s="151"/>
      <c r="X44" s="151">
        <v>18</v>
      </c>
      <c r="Y44" s="151">
        <v>32</v>
      </c>
      <c r="Z44" s="151">
        <v>31</v>
      </c>
      <c r="AA44" s="151">
        <v>38</v>
      </c>
      <c r="AB44" s="151" t="s">
        <v>734</v>
      </c>
      <c r="AC44" s="151" t="s">
        <v>734</v>
      </c>
      <c r="AD44" s="151" t="s">
        <v>734</v>
      </c>
      <c r="AE44" s="151" t="s">
        <v>734</v>
      </c>
      <c r="AF44" s="151" t="s">
        <v>734</v>
      </c>
      <c r="AG44" s="151" t="s">
        <v>734</v>
      </c>
      <c r="AH44" s="151" t="s">
        <v>734</v>
      </c>
      <c r="AI44" s="151" t="s">
        <v>734</v>
      </c>
    </row>
    <row r="45" spans="1:35" ht="18.75" customHeight="1" x14ac:dyDescent="0.25">
      <c r="A45" s="290"/>
      <c r="B45" s="106">
        <v>5669713</v>
      </c>
      <c r="C45" s="106" t="s">
        <v>560</v>
      </c>
      <c r="D45" s="106">
        <v>2</v>
      </c>
      <c r="E45" s="192" t="s">
        <v>569</v>
      </c>
      <c r="F45" s="192" t="s">
        <v>124</v>
      </c>
      <c r="G45" s="192"/>
      <c r="H45" s="192"/>
      <c r="I45" s="192">
        <v>14920</v>
      </c>
      <c r="J45" s="192">
        <v>15086</v>
      </c>
      <c r="K45" s="192">
        <v>15339</v>
      </c>
      <c r="L45" s="192">
        <v>15553</v>
      </c>
      <c r="M45" s="192">
        <v>15771</v>
      </c>
      <c r="N45" s="192">
        <v>15966</v>
      </c>
      <c r="O45" s="192">
        <v>16134</v>
      </c>
      <c r="P45" s="192">
        <v>16265</v>
      </c>
      <c r="Q45" s="192">
        <v>16393</v>
      </c>
      <c r="R45" s="225">
        <v>16513</v>
      </c>
      <c r="S45" s="225">
        <v>16660</v>
      </c>
      <c r="T45" s="225">
        <v>16891</v>
      </c>
      <c r="U45" s="225">
        <v>17179</v>
      </c>
      <c r="V45" s="225"/>
      <c r="W45" s="151"/>
      <c r="X45" s="151">
        <v>8300</v>
      </c>
      <c r="Y45" s="151">
        <v>12650</v>
      </c>
      <c r="Z45" s="151">
        <v>10700</v>
      </c>
      <c r="AA45" s="151">
        <v>10900</v>
      </c>
      <c r="AB45" s="151">
        <v>9750</v>
      </c>
      <c r="AC45" s="151">
        <v>8400</v>
      </c>
      <c r="AD45" s="151">
        <v>6550</v>
      </c>
      <c r="AE45" s="151">
        <v>6400</v>
      </c>
      <c r="AF45" s="151">
        <v>6000</v>
      </c>
      <c r="AG45" s="151">
        <v>7350</v>
      </c>
      <c r="AH45" s="151">
        <v>11550</v>
      </c>
      <c r="AI45" s="151">
        <v>14400</v>
      </c>
    </row>
    <row r="46" spans="1:35" ht="18.75" x14ac:dyDescent="0.25">
      <c r="A46" s="290"/>
      <c r="B46" s="106">
        <v>20583455</v>
      </c>
      <c r="C46" s="106" t="s">
        <v>560</v>
      </c>
      <c r="D46" s="106">
        <v>2</v>
      </c>
      <c r="E46" s="192" t="s">
        <v>568</v>
      </c>
      <c r="F46" s="192" t="s">
        <v>47</v>
      </c>
      <c r="G46" s="192" t="s">
        <v>1144</v>
      </c>
      <c r="H46" s="192"/>
      <c r="I46" s="192">
        <v>160490</v>
      </c>
      <c r="J46" s="192">
        <v>161093</v>
      </c>
      <c r="K46" s="192">
        <v>162035</v>
      </c>
      <c r="L46" s="192">
        <v>162791</v>
      </c>
      <c r="M46" s="192">
        <v>163510</v>
      </c>
      <c r="N46" s="192">
        <v>164078</v>
      </c>
      <c r="O46" s="192">
        <v>164604</v>
      </c>
      <c r="P46" s="192">
        <v>164938</v>
      </c>
      <c r="Q46" s="192">
        <v>165461</v>
      </c>
      <c r="R46" s="225">
        <v>166136</v>
      </c>
      <c r="S46" s="225">
        <v>166803</v>
      </c>
      <c r="T46" s="225">
        <v>167428</v>
      </c>
      <c r="U46" s="225">
        <v>168420</v>
      </c>
      <c r="V46" s="225"/>
      <c r="W46" s="151"/>
      <c r="X46" s="151">
        <v>603</v>
      </c>
      <c r="Y46" s="151">
        <v>942</v>
      </c>
      <c r="Z46" s="151">
        <v>756</v>
      </c>
      <c r="AA46" s="151">
        <v>719</v>
      </c>
      <c r="AB46" s="151">
        <v>568</v>
      </c>
      <c r="AC46" s="151">
        <v>526</v>
      </c>
      <c r="AD46" s="151">
        <v>334</v>
      </c>
      <c r="AE46" s="151">
        <v>523</v>
      </c>
      <c r="AF46" s="151">
        <v>675</v>
      </c>
      <c r="AG46" s="151">
        <v>667</v>
      </c>
      <c r="AH46" s="151">
        <v>625</v>
      </c>
      <c r="AI46" s="151">
        <v>992</v>
      </c>
    </row>
    <row r="47" spans="1:35" ht="18.75" customHeight="1" x14ac:dyDescent="0.25">
      <c r="A47" s="290"/>
      <c r="B47" s="106"/>
      <c r="C47" s="106" t="s">
        <v>560</v>
      </c>
      <c r="D47" s="106">
        <v>2</v>
      </c>
      <c r="E47" s="192" t="s">
        <v>842</v>
      </c>
      <c r="F47" s="192" t="s">
        <v>561</v>
      </c>
      <c r="G47" s="192"/>
      <c r="H47" s="192"/>
      <c r="I47" s="192"/>
      <c r="J47" s="192"/>
      <c r="K47" s="192"/>
      <c r="L47" s="192"/>
      <c r="M47" s="192"/>
      <c r="N47" s="192"/>
      <c r="O47" s="192"/>
      <c r="P47" s="192">
        <v>0</v>
      </c>
      <c r="Q47" s="192"/>
      <c r="R47" s="225"/>
      <c r="S47" s="225"/>
      <c r="T47" s="225">
        <v>0</v>
      </c>
      <c r="U47" s="225"/>
      <c r="V47" s="225"/>
      <c r="W47" s="151"/>
      <c r="X47" s="151" t="s">
        <v>734</v>
      </c>
      <c r="Y47" s="151" t="s">
        <v>734</v>
      </c>
      <c r="Z47" s="151" t="s">
        <v>734</v>
      </c>
      <c r="AA47" s="151" t="s">
        <v>734</v>
      </c>
      <c r="AB47" s="151" t="s">
        <v>734</v>
      </c>
      <c r="AC47" s="151" t="s">
        <v>734</v>
      </c>
      <c r="AD47" s="151" t="s">
        <v>734</v>
      </c>
      <c r="AE47" s="151" t="s">
        <v>734</v>
      </c>
      <c r="AF47" s="151" t="s">
        <v>734</v>
      </c>
      <c r="AG47" s="151" t="s">
        <v>734</v>
      </c>
      <c r="AH47" s="151" t="s">
        <v>734</v>
      </c>
      <c r="AI47" s="151" t="s">
        <v>734</v>
      </c>
    </row>
    <row r="48" spans="1:35" ht="18.75" customHeight="1" x14ac:dyDescent="0.25">
      <c r="A48" s="290"/>
      <c r="B48" s="106">
        <v>11313825</v>
      </c>
      <c r="C48" s="106" t="s">
        <v>570</v>
      </c>
      <c r="D48" s="106">
        <v>2</v>
      </c>
      <c r="E48" s="192" t="s">
        <v>576</v>
      </c>
      <c r="F48" s="192"/>
      <c r="G48" s="192"/>
      <c r="H48" s="192"/>
      <c r="I48" s="192">
        <v>92579</v>
      </c>
      <c r="J48" s="192">
        <v>92845</v>
      </c>
      <c r="K48" s="192">
        <v>93274</v>
      </c>
      <c r="L48" s="192">
        <v>93604</v>
      </c>
      <c r="M48" s="192">
        <v>93890</v>
      </c>
      <c r="N48" s="192"/>
      <c r="O48" s="192">
        <v>94438</v>
      </c>
      <c r="P48" s="192">
        <v>94725</v>
      </c>
      <c r="Q48" s="192">
        <v>95097</v>
      </c>
      <c r="R48" s="225">
        <v>95436</v>
      </c>
      <c r="S48" s="225">
        <v>95642</v>
      </c>
      <c r="T48" s="225">
        <v>95766</v>
      </c>
      <c r="U48" s="225">
        <v>95895</v>
      </c>
      <c r="V48" s="225"/>
      <c r="W48" s="151"/>
      <c r="X48" s="151">
        <v>5320</v>
      </c>
      <c r="Y48" s="151">
        <v>8580</v>
      </c>
      <c r="Z48" s="151">
        <v>6600</v>
      </c>
      <c r="AA48" s="151">
        <v>5720</v>
      </c>
      <c r="AB48" s="151" t="s">
        <v>734</v>
      </c>
      <c r="AC48" s="151" t="s">
        <v>734</v>
      </c>
      <c r="AD48" s="151">
        <v>5740</v>
      </c>
      <c r="AE48" s="151">
        <v>7440</v>
      </c>
      <c r="AF48" s="151">
        <v>6780</v>
      </c>
      <c r="AG48" s="151">
        <v>4120</v>
      </c>
      <c r="AH48" s="151">
        <v>2480</v>
      </c>
      <c r="AI48" s="151">
        <v>2580</v>
      </c>
    </row>
    <row r="49" spans="1:35" ht="18.75" x14ac:dyDescent="0.25">
      <c r="A49" s="290"/>
      <c r="B49" s="106">
        <v>53035468</v>
      </c>
      <c r="C49" s="106" t="s">
        <v>570</v>
      </c>
      <c r="D49" s="106">
        <v>2</v>
      </c>
      <c r="E49" s="192" t="s">
        <v>577</v>
      </c>
      <c r="F49" s="192"/>
      <c r="G49" s="192"/>
      <c r="H49" s="192"/>
      <c r="I49" s="192">
        <v>570578</v>
      </c>
      <c r="J49" s="192">
        <v>572861</v>
      </c>
      <c r="K49" s="192">
        <v>576748</v>
      </c>
      <c r="L49" s="192">
        <v>580457</v>
      </c>
      <c r="M49" s="192">
        <v>584262</v>
      </c>
      <c r="N49" s="192">
        <v>588410</v>
      </c>
      <c r="O49" s="192">
        <v>592766</v>
      </c>
      <c r="P49" s="192">
        <v>595985</v>
      </c>
      <c r="Q49" s="192">
        <v>600274</v>
      </c>
      <c r="R49" s="225">
        <v>604326</v>
      </c>
      <c r="S49" s="225">
        <v>607926</v>
      </c>
      <c r="T49" s="225">
        <v>612473</v>
      </c>
      <c r="U49" s="225">
        <v>615051</v>
      </c>
      <c r="V49" s="225"/>
      <c r="W49" s="151"/>
      <c r="X49" s="151">
        <v>2283</v>
      </c>
      <c r="Y49" s="151">
        <v>3887</v>
      </c>
      <c r="Z49" s="151">
        <v>3709</v>
      </c>
      <c r="AA49" s="151">
        <v>3805</v>
      </c>
      <c r="AB49" s="151">
        <v>4148</v>
      </c>
      <c r="AC49" s="151">
        <v>4356</v>
      </c>
      <c r="AD49" s="151">
        <v>3219</v>
      </c>
      <c r="AE49" s="151">
        <v>4289</v>
      </c>
      <c r="AF49" s="151">
        <v>4052</v>
      </c>
      <c r="AG49" s="151">
        <v>3600</v>
      </c>
      <c r="AH49" s="151">
        <v>4547</v>
      </c>
      <c r="AI49" s="151">
        <v>2578</v>
      </c>
    </row>
    <row r="50" spans="1:35" ht="18.75" x14ac:dyDescent="0.25">
      <c r="A50" s="290"/>
      <c r="B50" s="106"/>
      <c r="C50" s="106" t="s">
        <v>570</v>
      </c>
      <c r="D50" s="106">
        <v>2</v>
      </c>
      <c r="E50" s="192" t="s">
        <v>575</v>
      </c>
      <c r="F50" s="192"/>
      <c r="G50" s="192"/>
      <c r="H50" s="192"/>
      <c r="I50" s="192"/>
      <c r="J50" s="192"/>
      <c r="K50" s="192"/>
      <c r="L50" s="192" t="s">
        <v>1192</v>
      </c>
      <c r="M50" s="192"/>
      <c r="N50" s="192"/>
      <c r="O50" s="192"/>
      <c r="P50" s="192">
        <v>0</v>
      </c>
      <c r="Q50" s="192"/>
      <c r="R50" s="225"/>
      <c r="S50" s="225">
        <v>0</v>
      </c>
      <c r="T50" s="225">
        <v>0</v>
      </c>
      <c r="U50" s="225"/>
      <c r="V50" s="225"/>
      <c r="W50" s="151"/>
      <c r="X50" s="151" t="s">
        <v>734</v>
      </c>
      <c r="Y50" s="151" t="s">
        <v>734</v>
      </c>
      <c r="Z50" s="151" t="s">
        <v>734</v>
      </c>
      <c r="AA50" s="151" t="s">
        <v>734</v>
      </c>
      <c r="AB50" s="151" t="s">
        <v>734</v>
      </c>
      <c r="AC50" s="151" t="s">
        <v>734</v>
      </c>
      <c r="AD50" s="151" t="s">
        <v>734</v>
      </c>
      <c r="AE50" s="151" t="s">
        <v>734</v>
      </c>
      <c r="AF50" s="151" t="s">
        <v>734</v>
      </c>
      <c r="AG50" s="151" t="s">
        <v>734</v>
      </c>
      <c r="AH50" s="151">
        <v>0</v>
      </c>
      <c r="AI50" s="151" t="s">
        <v>734</v>
      </c>
    </row>
    <row r="51" spans="1:35" ht="18.75" x14ac:dyDescent="0.25">
      <c r="A51" s="290"/>
      <c r="B51" s="106" t="s">
        <v>1148</v>
      </c>
      <c r="C51" s="106" t="s">
        <v>579</v>
      </c>
      <c r="D51" s="106">
        <v>2</v>
      </c>
      <c r="E51" s="192" t="s">
        <v>581</v>
      </c>
      <c r="F51" s="192" t="s">
        <v>47</v>
      </c>
      <c r="G51" s="192"/>
      <c r="H51" s="192"/>
      <c r="I51" s="192">
        <v>19281</v>
      </c>
      <c r="J51" s="192">
        <v>19373</v>
      </c>
      <c r="K51" s="192">
        <v>19515</v>
      </c>
      <c r="L51" s="192">
        <v>19634</v>
      </c>
      <c r="M51" s="192">
        <v>19763</v>
      </c>
      <c r="N51" s="192">
        <v>19872</v>
      </c>
      <c r="O51" s="192">
        <v>19980</v>
      </c>
      <c r="P51" s="192">
        <v>20051</v>
      </c>
      <c r="Q51" s="192">
        <v>20155</v>
      </c>
      <c r="R51" s="225">
        <v>20266</v>
      </c>
      <c r="S51" s="225">
        <v>20389</v>
      </c>
      <c r="T51" s="225">
        <v>20521</v>
      </c>
      <c r="U51" s="225">
        <v>20675</v>
      </c>
      <c r="V51" s="225"/>
      <c r="W51" s="151"/>
      <c r="X51" s="151">
        <v>1840</v>
      </c>
      <c r="Y51" s="151">
        <v>2840</v>
      </c>
      <c r="Z51" s="151">
        <v>2380</v>
      </c>
      <c r="AA51" s="151">
        <v>2580</v>
      </c>
      <c r="AB51" s="151">
        <v>2180</v>
      </c>
      <c r="AC51" s="151">
        <v>2160</v>
      </c>
      <c r="AD51" s="151">
        <v>1420</v>
      </c>
      <c r="AE51" s="151">
        <v>2080</v>
      </c>
      <c r="AF51" s="151">
        <v>2220</v>
      </c>
      <c r="AG51" s="151">
        <v>2460</v>
      </c>
      <c r="AH51" s="151">
        <v>2640</v>
      </c>
      <c r="AI51" s="151">
        <v>3080</v>
      </c>
    </row>
    <row r="52" spans="1:35" ht="18.75" x14ac:dyDescent="0.25">
      <c r="A52" s="290"/>
      <c r="B52" s="106" t="s">
        <v>1168</v>
      </c>
      <c r="C52" s="106" t="s">
        <v>579</v>
      </c>
      <c r="D52" s="106">
        <v>2</v>
      </c>
      <c r="E52" s="192" t="s">
        <v>1163</v>
      </c>
      <c r="F52" s="192" t="s">
        <v>47</v>
      </c>
      <c r="G52" s="192"/>
      <c r="H52" s="192"/>
      <c r="I52" s="192"/>
      <c r="J52" s="192"/>
      <c r="K52" s="192">
        <v>447821</v>
      </c>
      <c r="L52" s="192"/>
      <c r="M52" s="192"/>
      <c r="N52" s="192"/>
      <c r="O52" s="192"/>
      <c r="P52" s="192">
        <v>0</v>
      </c>
      <c r="Q52" s="192"/>
      <c r="R52" s="225"/>
      <c r="S52" s="225"/>
      <c r="T52" s="225">
        <v>0</v>
      </c>
      <c r="U52" s="225"/>
      <c r="V52" s="225"/>
      <c r="W52" s="151"/>
      <c r="X52" s="151" t="s">
        <v>734</v>
      </c>
      <c r="Y52" s="151" t="s">
        <v>734</v>
      </c>
      <c r="Z52" s="151" t="s">
        <v>734</v>
      </c>
      <c r="AA52" s="151" t="s">
        <v>734</v>
      </c>
      <c r="AB52" s="151" t="s">
        <v>734</v>
      </c>
      <c r="AC52" s="151" t="s">
        <v>734</v>
      </c>
      <c r="AD52" s="151" t="s">
        <v>734</v>
      </c>
      <c r="AE52" s="151" t="s">
        <v>734</v>
      </c>
      <c r="AF52" s="151" t="s">
        <v>734</v>
      </c>
      <c r="AG52" s="151" t="s">
        <v>734</v>
      </c>
      <c r="AH52" s="151" t="s">
        <v>734</v>
      </c>
      <c r="AI52" s="151" t="s">
        <v>734</v>
      </c>
    </row>
    <row r="53" spans="1:35" ht="18.75" x14ac:dyDescent="0.25">
      <c r="A53" s="290"/>
      <c r="B53" s="106" t="s">
        <v>1169</v>
      </c>
      <c r="C53" s="106" t="s">
        <v>579</v>
      </c>
      <c r="D53" s="106">
        <v>2</v>
      </c>
      <c r="E53" s="192" t="s">
        <v>1170</v>
      </c>
      <c r="F53" s="192" t="s">
        <v>47</v>
      </c>
      <c r="G53" s="192"/>
      <c r="H53" s="192"/>
      <c r="I53" s="192"/>
      <c r="J53" s="192"/>
      <c r="K53" s="192">
        <v>249153</v>
      </c>
      <c r="L53" s="192"/>
      <c r="M53" s="192"/>
      <c r="N53" s="192"/>
      <c r="O53" s="192"/>
      <c r="P53" s="192">
        <v>0</v>
      </c>
      <c r="Q53" s="192"/>
      <c r="R53" s="225"/>
      <c r="S53" s="225"/>
      <c r="T53" s="225">
        <v>0</v>
      </c>
      <c r="U53" s="225"/>
      <c r="V53" s="225"/>
      <c r="W53" s="151"/>
      <c r="X53" s="151" t="s">
        <v>734</v>
      </c>
      <c r="Y53" s="151" t="s">
        <v>734</v>
      </c>
      <c r="Z53" s="151" t="s">
        <v>734</v>
      </c>
      <c r="AA53" s="151" t="s">
        <v>734</v>
      </c>
      <c r="AB53" s="151" t="s">
        <v>734</v>
      </c>
      <c r="AC53" s="151" t="s">
        <v>734</v>
      </c>
      <c r="AD53" s="151" t="s">
        <v>734</v>
      </c>
      <c r="AE53" s="151" t="s">
        <v>734</v>
      </c>
      <c r="AF53" s="151" t="s">
        <v>734</v>
      </c>
      <c r="AG53" s="151" t="s">
        <v>734</v>
      </c>
      <c r="AH53" s="151" t="s">
        <v>734</v>
      </c>
      <c r="AI53" s="151" t="s">
        <v>734</v>
      </c>
    </row>
    <row r="54" spans="1:35" ht="18.75" x14ac:dyDescent="0.25">
      <c r="A54" s="290"/>
      <c r="B54" s="106">
        <v>5356221</v>
      </c>
      <c r="C54" s="106" t="s">
        <v>582</v>
      </c>
      <c r="D54" s="106">
        <v>2</v>
      </c>
      <c r="E54" s="192" t="s">
        <v>1089</v>
      </c>
      <c r="F54" s="192" t="s">
        <v>583</v>
      </c>
      <c r="G54" s="192"/>
      <c r="H54" s="192"/>
      <c r="I54" s="192">
        <v>3628</v>
      </c>
      <c r="J54" s="192">
        <v>3770</v>
      </c>
      <c r="K54" s="192">
        <v>4206</v>
      </c>
      <c r="L54" s="192">
        <v>4607</v>
      </c>
      <c r="M54" s="192">
        <v>5047</v>
      </c>
      <c r="N54" s="192">
        <v>5421</v>
      </c>
      <c r="O54" s="192">
        <v>5767</v>
      </c>
      <c r="P54" s="192">
        <v>6088</v>
      </c>
      <c r="Q54" s="192">
        <v>6535</v>
      </c>
      <c r="R54" s="225">
        <v>7009</v>
      </c>
      <c r="S54" s="225">
        <v>7446</v>
      </c>
      <c r="T54" s="225">
        <v>7876</v>
      </c>
      <c r="U54" s="225">
        <v>8405</v>
      </c>
      <c r="V54" s="225"/>
      <c r="W54" s="151"/>
      <c r="X54" s="151">
        <v>142</v>
      </c>
      <c r="Y54" s="151">
        <v>436</v>
      </c>
      <c r="Z54" s="151">
        <v>401</v>
      </c>
      <c r="AA54" s="151">
        <v>440</v>
      </c>
      <c r="AB54" s="151">
        <v>374</v>
      </c>
      <c r="AC54" s="151">
        <v>346</v>
      </c>
      <c r="AD54" s="151">
        <v>321</v>
      </c>
      <c r="AE54" s="151">
        <v>447</v>
      </c>
      <c r="AF54" s="151">
        <v>474</v>
      </c>
      <c r="AG54" s="151">
        <v>437</v>
      </c>
      <c r="AH54" s="151">
        <v>430</v>
      </c>
      <c r="AI54" s="151">
        <v>529</v>
      </c>
    </row>
    <row r="55" spans="1:35" ht="18.75" x14ac:dyDescent="0.25">
      <c r="A55" s="290"/>
      <c r="B55" s="106">
        <v>5356224</v>
      </c>
      <c r="C55" s="106" t="s">
        <v>582</v>
      </c>
      <c r="D55" s="106">
        <v>2</v>
      </c>
      <c r="E55" s="192" t="s">
        <v>584</v>
      </c>
      <c r="F55" s="192" t="s">
        <v>47</v>
      </c>
      <c r="G55" s="192"/>
      <c r="H55" s="192"/>
      <c r="I55" s="192">
        <v>5392</v>
      </c>
      <c r="J55" s="192">
        <v>5421</v>
      </c>
      <c r="K55" s="192">
        <v>5462</v>
      </c>
      <c r="L55" s="192">
        <v>5495</v>
      </c>
      <c r="M55" s="192">
        <v>5530</v>
      </c>
      <c r="N55" s="192">
        <v>5558</v>
      </c>
      <c r="O55" s="192">
        <v>5585</v>
      </c>
      <c r="P55" s="192">
        <v>5603</v>
      </c>
      <c r="Q55" s="192">
        <v>5629</v>
      </c>
      <c r="R55" s="225">
        <v>5657</v>
      </c>
      <c r="S55" s="225">
        <v>5685</v>
      </c>
      <c r="T55" s="225">
        <v>5713</v>
      </c>
      <c r="U55" s="225">
        <v>5746</v>
      </c>
      <c r="V55" s="225"/>
      <c r="W55" s="151"/>
      <c r="X55" s="151">
        <v>29</v>
      </c>
      <c r="Y55" s="151">
        <v>41</v>
      </c>
      <c r="Z55" s="151">
        <v>33</v>
      </c>
      <c r="AA55" s="151">
        <v>35</v>
      </c>
      <c r="AB55" s="151">
        <v>28</v>
      </c>
      <c r="AC55" s="151">
        <v>27</v>
      </c>
      <c r="AD55" s="151">
        <v>18</v>
      </c>
      <c r="AE55" s="151">
        <v>26</v>
      </c>
      <c r="AF55" s="151">
        <v>28</v>
      </c>
      <c r="AG55" s="151">
        <v>28</v>
      </c>
      <c r="AH55" s="151">
        <v>28</v>
      </c>
      <c r="AI55" s="151">
        <v>33</v>
      </c>
    </row>
    <row r="56" spans="1:35" ht="18.75" x14ac:dyDescent="0.25">
      <c r="A56" s="290"/>
      <c r="B56" s="106">
        <v>5355254</v>
      </c>
      <c r="C56" s="106" t="s">
        <v>585</v>
      </c>
      <c r="D56" s="106">
        <v>2</v>
      </c>
      <c r="E56" s="192" t="s">
        <v>588</v>
      </c>
      <c r="F56" s="192" t="s">
        <v>47</v>
      </c>
      <c r="G56" s="192"/>
      <c r="H56" s="192"/>
      <c r="I56" s="192">
        <v>19509</v>
      </c>
      <c r="J56" s="192">
        <v>19582</v>
      </c>
      <c r="K56" s="192">
        <v>19688</v>
      </c>
      <c r="L56" s="192">
        <v>19779</v>
      </c>
      <c r="M56" s="192">
        <v>19875</v>
      </c>
      <c r="N56" s="192">
        <v>19956</v>
      </c>
      <c r="O56" s="192">
        <v>20037</v>
      </c>
      <c r="P56" s="192">
        <v>20094</v>
      </c>
      <c r="Q56" s="192">
        <v>20179</v>
      </c>
      <c r="R56" s="225">
        <v>20265</v>
      </c>
      <c r="S56" s="225">
        <v>20366</v>
      </c>
      <c r="T56" s="225">
        <v>20468</v>
      </c>
      <c r="U56" s="225">
        <v>20588</v>
      </c>
      <c r="V56" s="225"/>
      <c r="W56" s="151"/>
      <c r="X56" s="151">
        <v>1460</v>
      </c>
      <c r="Y56" s="151">
        <v>2120</v>
      </c>
      <c r="Z56" s="151">
        <v>1820</v>
      </c>
      <c r="AA56" s="151">
        <v>1920</v>
      </c>
      <c r="AB56" s="151">
        <v>1620</v>
      </c>
      <c r="AC56" s="151">
        <v>1620</v>
      </c>
      <c r="AD56" s="151">
        <v>1140</v>
      </c>
      <c r="AE56" s="151">
        <v>1700</v>
      </c>
      <c r="AF56" s="151">
        <v>1720</v>
      </c>
      <c r="AG56" s="151">
        <v>2020</v>
      </c>
      <c r="AH56" s="151">
        <v>2040</v>
      </c>
      <c r="AI56" s="151">
        <v>2400</v>
      </c>
    </row>
    <row r="57" spans="1:35" ht="18.75" customHeight="1" x14ac:dyDescent="0.3">
      <c r="A57" s="290"/>
      <c r="B57" s="106">
        <v>5355253</v>
      </c>
      <c r="C57" s="103" t="s">
        <v>589</v>
      </c>
      <c r="D57" s="103">
        <v>2</v>
      </c>
      <c r="E57" s="104" t="s">
        <v>590</v>
      </c>
      <c r="F57" s="105" t="s">
        <v>1150</v>
      </c>
      <c r="G57" s="192"/>
      <c r="H57" s="105"/>
      <c r="I57" s="193">
        <v>13518</v>
      </c>
      <c r="J57" s="193">
        <v>13562</v>
      </c>
      <c r="K57" s="193">
        <v>13632</v>
      </c>
      <c r="L57" s="193">
        <v>13688</v>
      </c>
      <c r="M57" s="193">
        <v>13748</v>
      </c>
      <c r="N57" s="193">
        <v>13799</v>
      </c>
      <c r="O57" s="193">
        <v>13850</v>
      </c>
      <c r="P57" s="193">
        <v>13883</v>
      </c>
      <c r="Q57" s="193">
        <v>13920</v>
      </c>
      <c r="R57" s="235">
        <v>13920</v>
      </c>
      <c r="S57" s="225">
        <v>13920</v>
      </c>
      <c r="T57" s="225">
        <v>13968</v>
      </c>
      <c r="U57" s="225">
        <v>14040</v>
      </c>
      <c r="V57" s="225"/>
      <c r="W57" s="151"/>
      <c r="X57" s="151">
        <v>880</v>
      </c>
      <c r="Y57" s="151">
        <v>1400</v>
      </c>
      <c r="Z57" s="151">
        <v>1120</v>
      </c>
      <c r="AA57" s="151">
        <v>1200</v>
      </c>
      <c r="AB57" s="151">
        <v>1020</v>
      </c>
      <c r="AC57" s="151">
        <v>1020</v>
      </c>
      <c r="AD57" s="151">
        <v>660</v>
      </c>
      <c r="AE57" s="151">
        <v>740</v>
      </c>
      <c r="AF57" s="151">
        <v>0</v>
      </c>
      <c r="AG57" s="151">
        <v>0</v>
      </c>
      <c r="AH57" s="151">
        <v>960</v>
      </c>
      <c r="AI57" s="151">
        <v>1440</v>
      </c>
    </row>
    <row r="58" spans="1:35" ht="18.75" customHeight="1" x14ac:dyDescent="0.3">
      <c r="A58" s="290"/>
      <c r="B58" s="106">
        <v>5355248</v>
      </c>
      <c r="C58" s="103" t="s">
        <v>591</v>
      </c>
      <c r="D58" s="103">
        <v>2</v>
      </c>
      <c r="E58" s="104" t="s">
        <v>592</v>
      </c>
      <c r="F58" s="105"/>
      <c r="G58" s="192"/>
      <c r="H58" s="105"/>
      <c r="I58" s="193">
        <v>14158</v>
      </c>
      <c r="J58" s="193">
        <v>14217</v>
      </c>
      <c r="K58" s="193">
        <v>14307</v>
      </c>
      <c r="L58" s="193">
        <v>14381</v>
      </c>
      <c r="M58" s="193">
        <v>14460</v>
      </c>
      <c r="N58" s="193">
        <v>14526</v>
      </c>
      <c r="O58" s="193">
        <v>14590</v>
      </c>
      <c r="P58" s="193">
        <v>14633</v>
      </c>
      <c r="Q58" s="193">
        <v>14691</v>
      </c>
      <c r="R58" s="235">
        <v>14765</v>
      </c>
      <c r="S58" s="225">
        <v>14833</v>
      </c>
      <c r="T58" s="225">
        <v>14913</v>
      </c>
      <c r="U58" s="225">
        <v>15007</v>
      </c>
      <c r="V58" s="225"/>
      <c r="W58" s="151"/>
      <c r="X58" s="151">
        <v>2950</v>
      </c>
      <c r="Y58" s="151">
        <v>4500</v>
      </c>
      <c r="Z58" s="151">
        <v>3700</v>
      </c>
      <c r="AA58" s="151">
        <v>3950</v>
      </c>
      <c r="AB58" s="151">
        <v>3300</v>
      </c>
      <c r="AC58" s="151">
        <v>3200</v>
      </c>
      <c r="AD58" s="151">
        <v>2150</v>
      </c>
      <c r="AE58" s="151">
        <v>2900</v>
      </c>
      <c r="AF58" s="151">
        <v>3700</v>
      </c>
      <c r="AG58" s="151">
        <v>3400</v>
      </c>
      <c r="AH58" s="151">
        <v>4000</v>
      </c>
      <c r="AI58" s="151">
        <v>4700</v>
      </c>
    </row>
    <row r="59" spans="1:35" ht="18.75" x14ac:dyDescent="0.25">
      <c r="A59" s="290"/>
      <c r="B59" s="106">
        <v>10121</v>
      </c>
      <c r="C59" s="103" t="s">
        <v>593</v>
      </c>
      <c r="D59" s="103">
        <v>2</v>
      </c>
      <c r="E59" s="194" t="s">
        <v>1089</v>
      </c>
      <c r="F59" s="108" t="s">
        <v>596</v>
      </c>
      <c r="G59" s="108"/>
      <c r="H59" s="195"/>
      <c r="I59" s="193">
        <v>18666</v>
      </c>
      <c r="J59" s="193">
        <v>20744</v>
      </c>
      <c r="K59" s="193">
        <v>24008</v>
      </c>
      <c r="L59" s="193"/>
      <c r="M59" s="193"/>
      <c r="N59" s="193"/>
      <c r="O59" s="193"/>
      <c r="P59" s="193">
        <v>0</v>
      </c>
      <c r="Q59" s="193"/>
      <c r="R59" s="235"/>
      <c r="S59" s="225"/>
      <c r="T59" s="225"/>
      <c r="U59" s="225"/>
      <c r="V59" s="225"/>
      <c r="W59" s="151"/>
      <c r="X59" s="151">
        <v>2078</v>
      </c>
      <c r="Y59" s="151">
        <v>3264</v>
      </c>
      <c r="Z59" s="151" t="s">
        <v>734</v>
      </c>
      <c r="AA59" s="151" t="s">
        <v>734</v>
      </c>
      <c r="AB59" s="151" t="s">
        <v>734</v>
      </c>
      <c r="AC59" s="151" t="s">
        <v>734</v>
      </c>
      <c r="AD59" s="151" t="s">
        <v>734</v>
      </c>
      <c r="AE59" s="151" t="s">
        <v>734</v>
      </c>
      <c r="AF59" s="151" t="s">
        <v>734</v>
      </c>
      <c r="AG59" s="151" t="s">
        <v>734</v>
      </c>
      <c r="AH59" s="151" t="s">
        <v>734</v>
      </c>
      <c r="AI59" s="151" t="s">
        <v>734</v>
      </c>
    </row>
    <row r="60" spans="1:35" ht="18.75" customHeight="1" x14ac:dyDescent="0.25">
      <c r="A60" s="290"/>
      <c r="B60" s="210">
        <v>10122</v>
      </c>
      <c r="C60" s="61" t="s">
        <v>593</v>
      </c>
      <c r="D60" s="61">
        <v>2</v>
      </c>
      <c r="E60" s="197" t="s">
        <v>1089</v>
      </c>
      <c r="F60" s="197" t="s">
        <v>594</v>
      </c>
      <c r="G60" s="198"/>
      <c r="H60" s="197"/>
      <c r="I60" s="199">
        <v>17119</v>
      </c>
      <c r="J60" s="199">
        <v>18633</v>
      </c>
      <c r="K60" s="199">
        <v>20975</v>
      </c>
      <c r="L60" s="199"/>
      <c r="M60" s="199"/>
      <c r="N60" s="199"/>
      <c r="O60" s="199"/>
      <c r="P60" s="199">
        <v>0</v>
      </c>
      <c r="Q60" s="199"/>
      <c r="R60" s="235"/>
      <c r="S60" s="225"/>
      <c r="T60" s="225"/>
      <c r="U60" s="225"/>
      <c r="V60" s="225"/>
      <c r="W60" s="151"/>
      <c r="X60" s="151">
        <v>1514</v>
      </c>
      <c r="Y60" s="151">
        <v>2342</v>
      </c>
      <c r="Z60" s="151" t="s">
        <v>734</v>
      </c>
      <c r="AA60" s="151" t="s">
        <v>734</v>
      </c>
      <c r="AB60" s="151" t="s">
        <v>734</v>
      </c>
      <c r="AC60" s="151" t="s">
        <v>734</v>
      </c>
      <c r="AD60" s="151" t="s">
        <v>734</v>
      </c>
      <c r="AE60" s="151" t="s">
        <v>734</v>
      </c>
      <c r="AF60" s="151" t="s">
        <v>734</v>
      </c>
      <c r="AG60" s="151" t="s">
        <v>734</v>
      </c>
      <c r="AH60" s="151" t="s">
        <v>734</v>
      </c>
      <c r="AI60" s="151" t="s">
        <v>734</v>
      </c>
    </row>
    <row r="61" spans="1:35" ht="18.75" customHeight="1" x14ac:dyDescent="0.25">
      <c r="A61" s="290"/>
      <c r="B61" s="106">
        <v>531109</v>
      </c>
      <c r="C61" s="106" t="s">
        <v>593</v>
      </c>
      <c r="D61" s="106">
        <v>2</v>
      </c>
      <c r="E61" s="192" t="s">
        <v>598</v>
      </c>
      <c r="F61" s="192" t="s">
        <v>124</v>
      </c>
      <c r="G61" s="192"/>
      <c r="H61" s="192"/>
      <c r="I61" s="192">
        <v>5391</v>
      </c>
      <c r="J61" s="192">
        <v>5541</v>
      </c>
      <c r="K61" s="192">
        <v>5769</v>
      </c>
      <c r="L61" s="192">
        <v>5962</v>
      </c>
      <c r="M61" s="192">
        <v>6174</v>
      </c>
      <c r="N61" s="192">
        <v>6356</v>
      </c>
      <c r="O61" s="192">
        <v>6544</v>
      </c>
      <c r="P61" s="192">
        <v>6672</v>
      </c>
      <c r="Q61" s="192">
        <v>6858</v>
      </c>
      <c r="R61" s="110">
        <v>7056</v>
      </c>
      <c r="S61" s="110">
        <v>7264</v>
      </c>
      <c r="T61" s="110">
        <v>7493</v>
      </c>
      <c r="U61" s="110">
        <v>7764</v>
      </c>
      <c r="V61" s="110"/>
      <c r="W61" s="151"/>
      <c r="X61" s="151">
        <v>7500</v>
      </c>
      <c r="Y61" s="151">
        <v>11400</v>
      </c>
      <c r="Z61" s="151">
        <v>9650</v>
      </c>
      <c r="AA61" s="151">
        <v>10600</v>
      </c>
      <c r="AB61" s="151">
        <v>9100</v>
      </c>
      <c r="AC61" s="151">
        <v>9400</v>
      </c>
      <c r="AD61" s="151">
        <v>6400</v>
      </c>
      <c r="AE61" s="151">
        <v>9300</v>
      </c>
      <c r="AF61" s="151">
        <v>9900</v>
      </c>
      <c r="AG61" s="151">
        <v>10400</v>
      </c>
      <c r="AH61" s="151">
        <v>11450</v>
      </c>
      <c r="AI61" s="151">
        <v>13550</v>
      </c>
    </row>
    <row r="62" spans="1:35" ht="18.75" x14ac:dyDescent="0.25">
      <c r="A62" s="290"/>
      <c r="B62" s="106">
        <v>5356220</v>
      </c>
      <c r="C62" s="106" t="s">
        <v>593</v>
      </c>
      <c r="D62" s="106">
        <v>2</v>
      </c>
      <c r="E62" s="192" t="s">
        <v>599</v>
      </c>
      <c r="F62" s="192" t="s">
        <v>1151</v>
      </c>
      <c r="G62" s="192"/>
      <c r="H62" s="192"/>
      <c r="I62" s="192">
        <v>2866</v>
      </c>
      <c r="J62" s="192">
        <v>2881</v>
      </c>
      <c r="K62" s="192">
        <v>2905</v>
      </c>
      <c r="L62" s="192">
        <v>2936</v>
      </c>
      <c r="M62" s="192">
        <v>2973</v>
      </c>
      <c r="N62" s="192">
        <v>3010</v>
      </c>
      <c r="O62" s="192">
        <v>3042</v>
      </c>
      <c r="P62" s="192">
        <v>3063</v>
      </c>
      <c r="Q62" s="192">
        <v>3094</v>
      </c>
      <c r="R62" s="225">
        <v>3135</v>
      </c>
      <c r="S62" s="225">
        <v>3165</v>
      </c>
      <c r="T62" s="225">
        <v>3193</v>
      </c>
      <c r="U62" s="225">
        <v>3227</v>
      </c>
      <c r="V62" s="225"/>
      <c r="W62" s="151"/>
      <c r="X62" s="151">
        <v>300</v>
      </c>
      <c r="Y62" s="151">
        <v>480</v>
      </c>
      <c r="Z62" s="151">
        <v>620</v>
      </c>
      <c r="AA62" s="151">
        <v>740</v>
      </c>
      <c r="AB62" s="151">
        <v>740</v>
      </c>
      <c r="AC62" s="151">
        <v>640</v>
      </c>
      <c r="AD62" s="151">
        <v>420</v>
      </c>
      <c r="AE62" s="151">
        <v>620</v>
      </c>
      <c r="AF62" s="151">
        <v>820</v>
      </c>
      <c r="AG62" s="151">
        <v>600</v>
      </c>
      <c r="AH62" s="151">
        <v>560</v>
      </c>
      <c r="AI62" s="151">
        <v>680</v>
      </c>
    </row>
    <row r="63" spans="1:35" ht="18.75" x14ac:dyDescent="0.25">
      <c r="A63" s="290"/>
      <c r="B63" s="106">
        <v>5356228</v>
      </c>
      <c r="C63" s="103" t="s">
        <v>593</v>
      </c>
      <c r="D63" s="103">
        <v>2</v>
      </c>
      <c r="E63" s="194" t="s">
        <v>1152</v>
      </c>
      <c r="F63" s="108" t="s">
        <v>124</v>
      </c>
      <c r="G63" s="108"/>
      <c r="H63" s="195"/>
      <c r="I63" s="193">
        <v>11512</v>
      </c>
      <c r="J63" s="193">
        <v>11565</v>
      </c>
      <c r="K63" s="193">
        <v>11646</v>
      </c>
      <c r="L63" s="193">
        <v>11706</v>
      </c>
      <c r="M63" s="193">
        <v>11780</v>
      </c>
      <c r="N63" s="193">
        <v>11844</v>
      </c>
      <c r="O63" s="193">
        <v>11910</v>
      </c>
      <c r="P63" s="193">
        <v>11952</v>
      </c>
      <c r="Q63" s="193">
        <v>12011</v>
      </c>
      <c r="R63" s="235">
        <v>12076</v>
      </c>
      <c r="S63" s="225">
        <v>12148</v>
      </c>
      <c r="T63" s="225">
        <v>12224</v>
      </c>
      <c r="U63" s="225">
        <v>12316</v>
      </c>
      <c r="V63" s="225"/>
      <c r="W63" s="151"/>
      <c r="X63" s="151">
        <v>1060</v>
      </c>
      <c r="Y63" s="151">
        <v>1620</v>
      </c>
      <c r="Z63" s="151">
        <v>1200</v>
      </c>
      <c r="AA63" s="151">
        <v>1480</v>
      </c>
      <c r="AB63" s="151">
        <v>1280</v>
      </c>
      <c r="AC63" s="151">
        <v>1320</v>
      </c>
      <c r="AD63" s="151">
        <v>840</v>
      </c>
      <c r="AE63" s="151">
        <v>1180</v>
      </c>
      <c r="AF63" s="151">
        <v>1300</v>
      </c>
      <c r="AG63" s="151">
        <v>1440</v>
      </c>
      <c r="AH63" s="151">
        <v>1520</v>
      </c>
      <c r="AI63" s="151">
        <v>1840</v>
      </c>
    </row>
    <row r="64" spans="1:35" ht="18.75" x14ac:dyDescent="0.25">
      <c r="A64" s="290"/>
      <c r="B64" s="106">
        <v>535661921</v>
      </c>
      <c r="C64" s="103" t="s">
        <v>593</v>
      </c>
      <c r="D64" s="103">
        <v>2</v>
      </c>
      <c r="E64" s="194" t="s">
        <v>597</v>
      </c>
      <c r="F64" s="108" t="s">
        <v>124</v>
      </c>
      <c r="G64" s="108"/>
      <c r="H64" s="195"/>
      <c r="I64" s="193">
        <v>9150</v>
      </c>
      <c r="J64" s="193">
        <v>9267</v>
      </c>
      <c r="K64" s="193">
        <v>9504</v>
      </c>
      <c r="L64" s="193">
        <v>9704</v>
      </c>
      <c r="M64" s="193">
        <v>9921</v>
      </c>
      <c r="N64" s="193">
        <v>10108</v>
      </c>
      <c r="O64" s="193">
        <v>10301</v>
      </c>
      <c r="P64" s="193">
        <v>10429</v>
      </c>
      <c r="Q64" s="193">
        <v>10612</v>
      </c>
      <c r="R64" s="235">
        <v>10812</v>
      </c>
      <c r="S64" s="225">
        <v>11017</v>
      </c>
      <c r="T64" s="225">
        <v>11234</v>
      </c>
      <c r="U64" s="225">
        <v>11491</v>
      </c>
      <c r="V64" s="225"/>
      <c r="W64" s="151"/>
      <c r="X64" s="151">
        <v>5850</v>
      </c>
      <c r="Y64" s="151">
        <v>11850</v>
      </c>
      <c r="Z64" s="151">
        <v>10000</v>
      </c>
      <c r="AA64" s="151">
        <v>10850</v>
      </c>
      <c r="AB64" s="151">
        <v>9350</v>
      </c>
      <c r="AC64" s="151">
        <v>9650</v>
      </c>
      <c r="AD64" s="151">
        <v>6400</v>
      </c>
      <c r="AE64" s="151">
        <v>9150</v>
      </c>
      <c r="AF64" s="151">
        <v>10000</v>
      </c>
      <c r="AG64" s="151">
        <v>10250</v>
      </c>
      <c r="AH64" s="151">
        <v>10850</v>
      </c>
      <c r="AI64" s="151">
        <v>12850</v>
      </c>
    </row>
    <row r="65" spans="1:35" ht="18.75" x14ac:dyDescent="0.25">
      <c r="A65" s="295"/>
      <c r="B65" s="106"/>
      <c r="C65" s="106" t="s">
        <v>601</v>
      </c>
      <c r="D65" s="106">
        <v>2</v>
      </c>
      <c r="E65" s="192" t="s">
        <v>607</v>
      </c>
      <c r="F65" s="192"/>
      <c r="G65" s="192"/>
      <c r="H65" s="192"/>
      <c r="I65" s="192"/>
      <c r="J65" s="192"/>
      <c r="K65" s="192"/>
      <c r="L65" s="192"/>
      <c r="M65" s="192"/>
      <c r="N65" s="192"/>
      <c r="O65" s="192"/>
      <c r="P65" s="192">
        <v>0</v>
      </c>
      <c r="Q65" s="192"/>
      <c r="R65" s="225"/>
      <c r="S65" s="225"/>
      <c r="T65" s="225">
        <v>0</v>
      </c>
      <c r="U65" s="225"/>
      <c r="V65" s="225"/>
      <c r="W65" s="151"/>
      <c r="X65" s="151" t="s">
        <v>734</v>
      </c>
      <c r="Y65" s="151" t="s">
        <v>734</v>
      </c>
      <c r="Z65" s="151" t="s">
        <v>734</v>
      </c>
      <c r="AA65" s="151" t="s">
        <v>734</v>
      </c>
      <c r="AB65" s="151" t="s">
        <v>734</v>
      </c>
      <c r="AC65" s="151" t="s">
        <v>734</v>
      </c>
      <c r="AD65" s="151" t="s">
        <v>734</v>
      </c>
      <c r="AE65" s="151" t="s">
        <v>734</v>
      </c>
      <c r="AF65" s="151" t="s">
        <v>734</v>
      </c>
      <c r="AG65" s="151" t="s">
        <v>734</v>
      </c>
      <c r="AH65" s="151" t="s">
        <v>734</v>
      </c>
      <c r="AI65" s="151" t="s">
        <v>734</v>
      </c>
    </row>
    <row r="66" spans="1:35" ht="18.75" x14ac:dyDescent="0.25">
      <c r="A66" s="295"/>
      <c r="B66" s="106">
        <v>114014011</v>
      </c>
      <c r="C66" s="106" t="s">
        <v>610</v>
      </c>
      <c r="D66" s="106">
        <v>2</v>
      </c>
      <c r="E66" s="192" t="s">
        <v>1167</v>
      </c>
      <c r="F66" s="192" t="s">
        <v>1159</v>
      </c>
      <c r="G66" s="192"/>
      <c r="H66" s="192"/>
      <c r="I66" s="192"/>
      <c r="J66" s="192"/>
      <c r="K66" s="192">
        <v>3151</v>
      </c>
      <c r="L66" s="192"/>
      <c r="M66" s="192"/>
      <c r="N66" s="192"/>
      <c r="O66" s="192"/>
      <c r="P66" s="192">
        <v>0</v>
      </c>
      <c r="Q66" s="192"/>
      <c r="R66" s="225"/>
      <c r="S66" s="225"/>
      <c r="T66" s="225">
        <v>0</v>
      </c>
      <c r="U66" s="225"/>
      <c r="V66" s="225"/>
      <c r="W66" s="151"/>
      <c r="X66" s="151" t="s">
        <v>734</v>
      </c>
      <c r="Y66" s="151" t="s">
        <v>734</v>
      </c>
      <c r="Z66" s="151" t="s">
        <v>734</v>
      </c>
      <c r="AA66" s="151" t="s">
        <v>734</v>
      </c>
      <c r="AB66" s="151" t="s">
        <v>734</v>
      </c>
      <c r="AC66" s="151" t="s">
        <v>734</v>
      </c>
      <c r="AD66" s="151" t="s">
        <v>734</v>
      </c>
      <c r="AE66" s="151" t="s">
        <v>734</v>
      </c>
      <c r="AF66" s="151" t="s">
        <v>734</v>
      </c>
      <c r="AG66" s="151" t="s">
        <v>734</v>
      </c>
      <c r="AH66" s="151" t="s">
        <v>734</v>
      </c>
      <c r="AI66" s="151" t="s">
        <v>734</v>
      </c>
    </row>
    <row r="67" spans="1:35" ht="18.75" x14ac:dyDescent="0.25">
      <c r="A67" s="295"/>
      <c r="B67" s="106" t="s">
        <v>1166</v>
      </c>
      <c r="C67" s="106" t="s">
        <v>610</v>
      </c>
      <c r="D67" s="106">
        <v>2</v>
      </c>
      <c r="E67" s="192" t="s">
        <v>1165</v>
      </c>
      <c r="F67" s="192" t="s">
        <v>1159</v>
      </c>
      <c r="G67" s="192"/>
      <c r="H67" s="192"/>
      <c r="I67" s="192"/>
      <c r="J67" s="192"/>
      <c r="K67" s="192">
        <v>71</v>
      </c>
      <c r="L67" s="192"/>
      <c r="M67" s="192"/>
      <c r="N67" s="192"/>
      <c r="O67" s="192"/>
      <c r="P67" s="192">
        <v>0</v>
      </c>
      <c r="Q67" s="192"/>
      <c r="R67" s="225"/>
      <c r="S67" s="225"/>
      <c r="T67" s="225">
        <v>0</v>
      </c>
      <c r="U67" s="225"/>
      <c r="V67" s="225"/>
      <c r="W67" s="151"/>
      <c r="X67" s="151" t="s">
        <v>734</v>
      </c>
      <c r="Y67" s="151" t="s">
        <v>734</v>
      </c>
      <c r="Z67" s="151" t="s">
        <v>734</v>
      </c>
      <c r="AA67" s="151" t="s">
        <v>734</v>
      </c>
      <c r="AB67" s="151" t="s">
        <v>734</v>
      </c>
      <c r="AC67" s="151" t="s">
        <v>734</v>
      </c>
      <c r="AD67" s="151" t="s">
        <v>734</v>
      </c>
      <c r="AE67" s="151" t="s">
        <v>734</v>
      </c>
      <c r="AF67" s="151" t="s">
        <v>734</v>
      </c>
      <c r="AG67" s="151" t="s">
        <v>734</v>
      </c>
      <c r="AH67" s="151" t="s">
        <v>734</v>
      </c>
      <c r="AI67" s="151" t="s">
        <v>734</v>
      </c>
    </row>
    <row r="68" spans="1:35" ht="18.75" x14ac:dyDescent="0.25">
      <c r="A68" s="295"/>
      <c r="B68" s="106" t="s">
        <v>1160</v>
      </c>
      <c r="C68" s="106" t="s">
        <v>610</v>
      </c>
      <c r="D68" s="106">
        <v>2</v>
      </c>
      <c r="E68" s="192" t="s">
        <v>1161</v>
      </c>
      <c r="F68" s="192" t="s">
        <v>1159</v>
      </c>
      <c r="G68" s="192"/>
      <c r="H68" s="192"/>
      <c r="I68" s="192"/>
      <c r="J68" s="192"/>
      <c r="K68" s="192">
        <v>6777</v>
      </c>
      <c r="L68" s="192"/>
      <c r="M68" s="192"/>
      <c r="N68" s="192"/>
      <c r="O68" s="192"/>
      <c r="P68" s="192">
        <v>0</v>
      </c>
      <c r="Q68" s="192"/>
      <c r="R68" s="225"/>
      <c r="S68" s="225"/>
      <c r="T68" s="225">
        <v>0</v>
      </c>
      <c r="U68" s="225"/>
      <c r="V68" s="225"/>
      <c r="W68" s="151"/>
      <c r="X68" s="151" t="s">
        <v>734</v>
      </c>
      <c r="Y68" s="151" t="s">
        <v>734</v>
      </c>
      <c r="Z68" s="151" t="s">
        <v>734</v>
      </c>
      <c r="AA68" s="151" t="s">
        <v>734</v>
      </c>
      <c r="AB68" s="151" t="s">
        <v>734</v>
      </c>
      <c r="AC68" s="151" t="s">
        <v>734</v>
      </c>
      <c r="AD68" s="151" t="s">
        <v>734</v>
      </c>
      <c r="AE68" s="151" t="s">
        <v>734</v>
      </c>
      <c r="AF68" s="151" t="s">
        <v>734</v>
      </c>
      <c r="AG68" s="151" t="s">
        <v>734</v>
      </c>
      <c r="AH68" s="151" t="s">
        <v>734</v>
      </c>
      <c r="AI68" s="151" t="s">
        <v>734</v>
      </c>
    </row>
    <row r="69" spans="1:35" ht="18.75" x14ac:dyDescent="0.25">
      <c r="A69" s="295"/>
      <c r="B69" s="106" t="s">
        <v>1162</v>
      </c>
      <c r="C69" s="106" t="s">
        <v>610</v>
      </c>
      <c r="D69" s="106">
        <v>2</v>
      </c>
      <c r="E69" s="192" t="s">
        <v>1163</v>
      </c>
      <c r="F69" s="192" t="s">
        <v>47</v>
      </c>
      <c r="G69" s="192"/>
      <c r="H69" s="192"/>
      <c r="I69" s="192"/>
      <c r="J69" s="192"/>
      <c r="K69" s="192">
        <v>2985</v>
      </c>
      <c r="L69" s="192"/>
      <c r="M69" s="192"/>
      <c r="N69" s="192"/>
      <c r="O69" s="192"/>
      <c r="P69" s="192">
        <v>0</v>
      </c>
      <c r="Q69" s="192"/>
      <c r="R69" s="225"/>
      <c r="S69" s="225"/>
      <c r="T69" s="225">
        <v>0</v>
      </c>
      <c r="U69" s="225"/>
      <c r="V69" s="225"/>
      <c r="W69" s="151"/>
      <c r="X69" s="151" t="s">
        <v>734</v>
      </c>
      <c r="Y69" s="151" t="s">
        <v>734</v>
      </c>
      <c r="Z69" s="151" t="s">
        <v>734</v>
      </c>
      <c r="AA69" s="151" t="s">
        <v>734</v>
      </c>
      <c r="AB69" s="151" t="s">
        <v>734</v>
      </c>
      <c r="AC69" s="151" t="s">
        <v>734</v>
      </c>
      <c r="AD69" s="151" t="s">
        <v>734</v>
      </c>
      <c r="AE69" s="151" t="s">
        <v>734</v>
      </c>
      <c r="AF69" s="151" t="s">
        <v>734</v>
      </c>
      <c r="AG69" s="151" t="s">
        <v>734</v>
      </c>
      <c r="AH69" s="151" t="s">
        <v>734</v>
      </c>
      <c r="AI69" s="151" t="s">
        <v>734</v>
      </c>
    </row>
    <row r="70" spans="1:35" ht="18.75" x14ac:dyDescent="0.25">
      <c r="A70" s="295"/>
      <c r="B70" s="106" t="s">
        <v>1164</v>
      </c>
      <c r="C70" s="106" t="s">
        <v>610</v>
      </c>
      <c r="D70" s="106">
        <v>2</v>
      </c>
      <c r="E70" s="192" t="s">
        <v>1163</v>
      </c>
      <c r="F70" s="192" t="s">
        <v>1159</v>
      </c>
      <c r="G70" s="192"/>
      <c r="H70" s="192"/>
      <c r="I70" s="192"/>
      <c r="J70" s="192"/>
      <c r="K70" s="192">
        <v>1387901</v>
      </c>
      <c r="L70" s="192"/>
      <c r="M70" s="192"/>
      <c r="N70" s="192"/>
      <c r="O70" s="192"/>
      <c r="P70" s="192">
        <v>0</v>
      </c>
      <c r="Q70" s="192"/>
      <c r="R70" s="110"/>
      <c r="S70" s="110"/>
      <c r="T70" s="110">
        <v>0</v>
      </c>
      <c r="U70" s="110"/>
      <c r="V70" s="110"/>
      <c r="W70" s="151"/>
      <c r="X70" s="151" t="s">
        <v>734</v>
      </c>
      <c r="Y70" s="151" t="s">
        <v>734</v>
      </c>
      <c r="Z70" s="151" t="s">
        <v>734</v>
      </c>
      <c r="AA70" s="151" t="s">
        <v>734</v>
      </c>
      <c r="AB70" s="151" t="s">
        <v>734</v>
      </c>
      <c r="AC70" s="151" t="s">
        <v>734</v>
      </c>
      <c r="AD70" s="151" t="s">
        <v>734</v>
      </c>
      <c r="AE70" s="151" t="s">
        <v>734</v>
      </c>
      <c r="AF70" s="151" t="s">
        <v>734</v>
      </c>
      <c r="AG70" s="151" t="s">
        <v>734</v>
      </c>
      <c r="AH70" s="151" t="s">
        <v>734</v>
      </c>
      <c r="AI70" s="151" t="s">
        <v>734</v>
      </c>
    </row>
    <row r="71" spans="1:35" ht="18.75" x14ac:dyDescent="0.25">
      <c r="A71" s="295"/>
      <c r="B71" s="106" t="s">
        <v>1158</v>
      </c>
      <c r="C71" s="106" t="s">
        <v>610</v>
      </c>
      <c r="D71" s="106">
        <v>2</v>
      </c>
      <c r="E71" s="192" t="s">
        <v>613</v>
      </c>
      <c r="F71" s="192" t="s">
        <v>1159</v>
      </c>
      <c r="G71" s="192"/>
      <c r="H71" s="192"/>
      <c r="I71" s="192"/>
      <c r="J71" s="192"/>
      <c r="K71" s="192">
        <v>334905</v>
      </c>
      <c r="L71" s="192"/>
      <c r="M71" s="192"/>
      <c r="N71" s="192"/>
      <c r="O71" s="192"/>
      <c r="P71" s="192"/>
      <c r="Q71" s="192"/>
      <c r="R71" s="225"/>
      <c r="S71" s="225"/>
      <c r="T71" s="225">
        <v>0</v>
      </c>
      <c r="U71" s="225"/>
      <c r="V71" s="225"/>
      <c r="W71" s="151"/>
      <c r="X71" s="151" t="s">
        <v>734</v>
      </c>
      <c r="Y71" s="151" t="s">
        <v>734</v>
      </c>
      <c r="Z71" s="151" t="s">
        <v>734</v>
      </c>
      <c r="AA71" s="151" t="s">
        <v>734</v>
      </c>
      <c r="AB71" s="151" t="s">
        <v>734</v>
      </c>
      <c r="AC71" s="151" t="s">
        <v>734</v>
      </c>
      <c r="AD71" s="151" t="s">
        <v>734</v>
      </c>
      <c r="AE71" s="151" t="s">
        <v>734</v>
      </c>
      <c r="AF71" s="151" t="s">
        <v>734</v>
      </c>
      <c r="AG71" s="151" t="s">
        <v>734</v>
      </c>
      <c r="AH71" s="151" t="s">
        <v>734</v>
      </c>
      <c r="AI71" s="151" t="s">
        <v>734</v>
      </c>
    </row>
    <row r="72" spans="1:35" ht="18.75" x14ac:dyDescent="0.25">
      <c r="A72" s="295"/>
      <c r="B72" s="106"/>
      <c r="C72" s="106" t="s">
        <v>610</v>
      </c>
      <c r="D72" s="106">
        <v>2</v>
      </c>
      <c r="E72" s="192" t="s">
        <v>611</v>
      </c>
      <c r="F72" s="192" t="s">
        <v>612</v>
      </c>
      <c r="G72" s="192"/>
      <c r="H72" s="192"/>
      <c r="I72" s="192"/>
      <c r="J72" s="192"/>
      <c r="K72" s="192"/>
      <c r="L72" s="192"/>
      <c r="M72" s="192"/>
      <c r="N72" s="192"/>
      <c r="O72" s="192"/>
      <c r="P72" s="192"/>
      <c r="Q72" s="192"/>
      <c r="R72" s="225"/>
      <c r="S72" s="225"/>
      <c r="T72" s="225">
        <v>0</v>
      </c>
      <c r="U72" s="225"/>
      <c r="V72" s="225"/>
      <c r="W72" s="151"/>
      <c r="X72" s="151" t="s">
        <v>734</v>
      </c>
      <c r="Y72" s="151" t="s">
        <v>734</v>
      </c>
      <c r="Z72" s="151" t="s">
        <v>734</v>
      </c>
      <c r="AA72" s="151" t="s">
        <v>734</v>
      </c>
      <c r="AB72" s="151" t="s">
        <v>734</v>
      </c>
      <c r="AC72" s="151" t="s">
        <v>734</v>
      </c>
      <c r="AD72" s="151" t="s">
        <v>734</v>
      </c>
      <c r="AE72" s="151" t="s">
        <v>734</v>
      </c>
      <c r="AF72" s="151" t="s">
        <v>734</v>
      </c>
      <c r="AG72" s="151" t="s">
        <v>734</v>
      </c>
      <c r="AH72" s="151" t="s">
        <v>734</v>
      </c>
      <c r="AI72" s="151" t="s">
        <v>734</v>
      </c>
    </row>
    <row r="73" spans="1:35" ht="18.75" x14ac:dyDescent="0.25">
      <c r="A73" s="295"/>
      <c r="B73" s="106" t="s">
        <v>316</v>
      </c>
      <c r="C73" s="106" t="s">
        <v>315</v>
      </c>
      <c r="D73" s="106">
        <v>150</v>
      </c>
      <c r="E73" s="192" t="s">
        <v>317</v>
      </c>
      <c r="F73" s="192" t="s">
        <v>318</v>
      </c>
      <c r="G73" s="192" t="s">
        <v>1136</v>
      </c>
      <c r="H73" s="192"/>
      <c r="I73" s="192">
        <v>102140</v>
      </c>
      <c r="J73" s="192">
        <v>102750</v>
      </c>
      <c r="K73" s="192">
        <v>104290</v>
      </c>
      <c r="L73" s="192">
        <v>105490</v>
      </c>
      <c r="M73" s="192">
        <v>106666</v>
      </c>
      <c r="N73" s="192">
        <v>107810</v>
      </c>
      <c r="O73" s="192">
        <v>109132</v>
      </c>
      <c r="P73" s="192">
        <v>112421</v>
      </c>
      <c r="Q73" s="192">
        <v>115310</v>
      </c>
      <c r="R73" s="110">
        <v>117820</v>
      </c>
      <c r="S73" s="110">
        <v>119600</v>
      </c>
      <c r="T73" s="110">
        <v>120840</v>
      </c>
      <c r="U73" s="110">
        <v>122066</v>
      </c>
      <c r="V73" s="110"/>
      <c r="W73" s="151"/>
      <c r="X73" s="151">
        <v>610</v>
      </c>
      <c r="Y73" s="151">
        <v>1540</v>
      </c>
      <c r="Z73" s="151">
        <v>1200</v>
      </c>
      <c r="AA73" s="151">
        <v>1176</v>
      </c>
      <c r="AB73" s="151">
        <v>1144</v>
      </c>
      <c r="AC73" s="151">
        <v>1322</v>
      </c>
      <c r="AD73" s="151">
        <v>3289</v>
      </c>
      <c r="AE73" s="151">
        <v>2889</v>
      </c>
      <c r="AF73" s="151">
        <v>2510</v>
      </c>
      <c r="AG73" s="151">
        <v>1780</v>
      </c>
      <c r="AH73" s="151">
        <v>1240</v>
      </c>
      <c r="AI73" s="151">
        <v>1226</v>
      </c>
    </row>
    <row r="74" spans="1:35" ht="18.75" x14ac:dyDescent="0.25">
      <c r="A74" s="295"/>
      <c r="B74" s="106">
        <v>5900984</v>
      </c>
      <c r="C74" s="103" t="s">
        <v>323</v>
      </c>
      <c r="D74" s="103">
        <v>1</v>
      </c>
      <c r="E74" s="194" t="s">
        <v>335</v>
      </c>
      <c r="F74" s="108" t="s">
        <v>336</v>
      </c>
      <c r="G74" s="108"/>
      <c r="H74" s="195"/>
      <c r="I74" s="193"/>
      <c r="J74" s="193"/>
      <c r="K74" s="193"/>
      <c r="L74" s="193">
        <v>181251</v>
      </c>
      <c r="M74" s="193">
        <v>181500</v>
      </c>
      <c r="N74" s="193">
        <v>181700</v>
      </c>
      <c r="O74" s="193">
        <v>182049</v>
      </c>
      <c r="P74" s="193"/>
      <c r="Q74" s="193"/>
      <c r="R74" s="235">
        <v>18334</v>
      </c>
      <c r="S74" s="225"/>
      <c r="T74" s="225">
        <v>0</v>
      </c>
      <c r="U74" s="225">
        <v>184363</v>
      </c>
      <c r="V74" s="225"/>
      <c r="W74" s="151"/>
      <c r="X74" s="151" t="s">
        <v>734</v>
      </c>
      <c r="Y74" s="151" t="s">
        <v>734</v>
      </c>
      <c r="Z74" s="151" t="s">
        <v>734</v>
      </c>
      <c r="AA74" s="151">
        <v>249</v>
      </c>
      <c r="AB74" s="151">
        <v>200</v>
      </c>
      <c r="AC74" s="151">
        <v>349</v>
      </c>
      <c r="AD74" s="151" t="s">
        <v>734</v>
      </c>
      <c r="AE74" s="151" t="s">
        <v>734</v>
      </c>
      <c r="AF74" s="151" t="s">
        <v>734</v>
      </c>
      <c r="AG74" s="151" t="s">
        <v>734</v>
      </c>
      <c r="AH74" s="151" t="s">
        <v>734</v>
      </c>
      <c r="AI74" s="151">
        <v>184363</v>
      </c>
    </row>
    <row r="75" spans="1:35" ht="18.75" x14ac:dyDescent="0.25">
      <c r="A75" s="295"/>
      <c r="B75" s="106">
        <v>40564523</v>
      </c>
      <c r="C75" s="103" t="s">
        <v>323</v>
      </c>
      <c r="D75" s="103">
        <v>1</v>
      </c>
      <c r="E75" s="194" t="s">
        <v>338</v>
      </c>
      <c r="F75" s="108" t="s">
        <v>979</v>
      </c>
      <c r="G75" s="108"/>
      <c r="H75" s="108"/>
      <c r="I75" s="193">
        <v>21775</v>
      </c>
      <c r="J75" s="193">
        <v>21776</v>
      </c>
      <c r="K75" s="193">
        <v>21778</v>
      </c>
      <c r="L75" s="193">
        <v>21785</v>
      </c>
      <c r="M75" s="193">
        <v>21785</v>
      </c>
      <c r="N75" s="193">
        <v>21821</v>
      </c>
      <c r="O75" s="193">
        <v>21871</v>
      </c>
      <c r="P75" s="193"/>
      <c r="Q75" s="193"/>
      <c r="R75" s="235">
        <v>22124</v>
      </c>
      <c r="S75" s="225"/>
      <c r="T75" s="225">
        <v>0</v>
      </c>
      <c r="U75" s="225">
        <v>22705</v>
      </c>
      <c r="V75" s="225"/>
      <c r="W75" s="151"/>
      <c r="X75" s="151">
        <v>1</v>
      </c>
      <c r="Y75" s="151">
        <v>2</v>
      </c>
      <c r="Z75" s="151">
        <v>7</v>
      </c>
      <c r="AA75" s="151">
        <v>0</v>
      </c>
      <c r="AB75" s="151">
        <v>36</v>
      </c>
      <c r="AC75" s="151">
        <v>50</v>
      </c>
      <c r="AD75" s="151" t="s">
        <v>734</v>
      </c>
      <c r="AE75" s="151" t="s">
        <v>734</v>
      </c>
      <c r="AF75" s="151" t="s">
        <v>734</v>
      </c>
      <c r="AG75" s="151" t="s">
        <v>734</v>
      </c>
      <c r="AH75" s="151" t="s">
        <v>734</v>
      </c>
      <c r="AI75" s="151">
        <v>22705</v>
      </c>
    </row>
    <row r="76" spans="1:35" ht="18.75" x14ac:dyDescent="0.25">
      <c r="A76" s="295"/>
      <c r="B76" s="106" t="s">
        <v>1323</v>
      </c>
      <c r="C76" s="103" t="s">
        <v>323</v>
      </c>
      <c r="D76" s="103">
        <v>121</v>
      </c>
      <c r="E76" s="194" t="s">
        <v>324</v>
      </c>
      <c r="F76" s="108" t="s">
        <v>325</v>
      </c>
      <c r="G76" s="108" t="s">
        <v>326</v>
      </c>
      <c r="H76" s="195"/>
      <c r="I76" s="193">
        <v>8865938</v>
      </c>
      <c r="J76" s="193">
        <v>8897124</v>
      </c>
      <c r="K76" s="193">
        <v>8977016</v>
      </c>
      <c r="L76" s="193">
        <v>9047397</v>
      </c>
      <c r="M76" s="193">
        <v>9123159</v>
      </c>
      <c r="N76" s="193">
        <v>9159218</v>
      </c>
      <c r="O76" s="193">
        <v>9299948</v>
      </c>
      <c r="P76" s="193">
        <v>9401527</v>
      </c>
      <c r="Q76" s="193">
        <v>9524896</v>
      </c>
      <c r="R76" s="235">
        <v>9636139</v>
      </c>
      <c r="S76" s="225">
        <v>9693409</v>
      </c>
      <c r="T76" s="225">
        <v>9746940</v>
      </c>
      <c r="U76" s="225">
        <v>9800986</v>
      </c>
      <c r="V76" s="225"/>
      <c r="W76" s="151"/>
      <c r="X76" s="151">
        <v>31186</v>
      </c>
      <c r="Y76" s="151">
        <v>79892</v>
      </c>
      <c r="Z76" s="151">
        <v>70381</v>
      </c>
      <c r="AA76" s="151">
        <v>75762</v>
      </c>
      <c r="AB76" s="151">
        <v>36059</v>
      </c>
      <c r="AC76" s="151">
        <v>140730</v>
      </c>
      <c r="AD76" s="151">
        <v>101579</v>
      </c>
      <c r="AE76" s="151">
        <v>123369</v>
      </c>
      <c r="AF76" s="151">
        <v>111243</v>
      </c>
      <c r="AG76" s="151">
        <v>57270</v>
      </c>
      <c r="AH76" s="151">
        <v>53531</v>
      </c>
      <c r="AI76" s="151">
        <v>54046</v>
      </c>
    </row>
    <row r="77" spans="1:35" ht="18.75" x14ac:dyDescent="0.25">
      <c r="A77" s="295"/>
      <c r="B77" s="106" t="s">
        <v>1205</v>
      </c>
      <c r="C77" s="103" t="s">
        <v>323</v>
      </c>
      <c r="D77" s="103">
        <v>0</v>
      </c>
      <c r="E77" s="194" t="s">
        <v>1217</v>
      </c>
      <c r="F77" s="195" t="s">
        <v>327</v>
      </c>
      <c r="G77" s="107"/>
      <c r="H77" s="194"/>
      <c r="I77" s="193"/>
      <c r="J77" s="193"/>
      <c r="K77" s="193"/>
      <c r="L77" s="193">
        <v>25768120</v>
      </c>
      <c r="M77" s="193">
        <v>25864842</v>
      </c>
      <c r="N77" s="193">
        <v>26052200</v>
      </c>
      <c r="O77" s="193">
        <v>26208864</v>
      </c>
      <c r="P77" s="193">
        <v>26373096</v>
      </c>
      <c r="Q77" s="193">
        <v>26540776</v>
      </c>
      <c r="R77" s="235">
        <v>26709272</v>
      </c>
      <c r="S77" s="225">
        <v>26869887</v>
      </c>
      <c r="T77" s="225">
        <v>27041180</v>
      </c>
      <c r="U77" s="225"/>
      <c r="V77" s="225"/>
      <c r="W77" s="151"/>
      <c r="X77" s="151" t="s">
        <v>734</v>
      </c>
      <c r="Y77" s="151" t="s">
        <v>734</v>
      </c>
      <c r="Z77" s="151" t="s">
        <v>734</v>
      </c>
      <c r="AA77" s="151">
        <v>96722</v>
      </c>
      <c r="AB77" s="151">
        <v>187358</v>
      </c>
      <c r="AC77" s="151">
        <v>156664</v>
      </c>
      <c r="AD77" s="151">
        <v>164232</v>
      </c>
      <c r="AE77" s="151">
        <v>167680</v>
      </c>
      <c r="AF77" s="151">
        <v>168496</v>
      </c>
      <c r="AG77" s="151">
        <v>160615</v>
      </c>
      <c r="AH77" s="151">
        <v>171293</v>
      </c>
      <c r="AI77" s="151" t="s">
        <v>734</v>
      </c>
    </row>
    <row r="78" spans="1:35" ht="18.75" x14ac:dyDescent="0.25">
      <c r="A78" s="295"/>
      <c r="B78" s="106" t="s">
        <v>1204</v>
      </c>
      <c r="C78" s="106" t="s">
        <v>323</v>
      </c>
      <c r="D78" s="106">
        <v>140</v>
      </c>
      <c r="E78" s="107" t="s">
        <v>1305</v>
      </c>
      <c r="F78" s="108" t="s">
        <v>327</v>
      </c>
      <c r="G78" s="108"/>
      <c r="H78" s="108"/>
      <c r="I78" s="193"/>
      <c r="J78" s="193"/>
      <c r="K78" s="193"/>
      <c r="L78" s="193">
        <v>220937.42</v>
      </c>
      <c r="M78" s="193">
        <v>221965</v>
      </c>
      <c r="N78" s="193">
        <v>223776</v>
      </c>
      <c r="O78" s="193">
        <v>225388</v>
      </c>
      <c r="P78" s="193">
        <v>227240</v>
      </c>
      <c r="Q78" s="193">
        <v>0</v>
      </c>
      <c r="R78" s="235">
        <v>0</v>
      </c>
      <c r="S78" s="225">
        <v>113</v>
      </c>
      <c r="T78" s="225"/>
      <c r="U78" s="225"/>
      <c r="V78" s="225"/>
      <c r="W78" s="151"/>
      <c r="X78" s="151" t="s">
        <v>734</v>
      </c>
      <c r="Y78" s="151" t="s">
        <v>734</v>
      </c>
      <c r="Z78" s="151" t="s">
        <v>734</v>
      </c>
      <c r="AA78" s="151">
        <v>1027.5799999999872</v>
      </c>
      <c r="AB78" s="151">
        <v>1811</v>
      </c>
      <c r="AC78" s="151">
        <v>1612</v>
      </c>
      <c r="AD78" s="151">
        <v>1852</v>
      </c>
      <c r="AE78" s="151" t="s">
        <v>856</v>
      </c>
      <c r="AF78" s="151">
        <v>0</v>
      </c>
      <c r="AG78" s="151">
        <v>113</v>
      </c>
      <c r="AH78" s="151" t="s">
        <v>734</v>
      </c>
      <c r="AI78" s="151" t="s">
        <v>734</v>
      </c>
    </row>
    <row r="79" spans="1:35" ht="18.75" x14ac:dyDescent="0.25">
      <c r="A79" s="295"/>
      <c r="B79" s="106" t="s">
        <v>1223</v>
      </c>
      <c r="C79" s="106" t="s">
        <v>323</v>
      </c>
      <c r="D79" s="106">
        <v>110</v>
      </c>
      <c r="E79" s="107" t="s">
        <v>1210</v>
      </c>
      <c r="F79" s="108" t="s">
        <v>327</v>
      </c>
      <c r="G79" s="108" t="s">
        <v>331</v>
      </c>
      <c r="H79" s="108"/>
      <c r="I79" s="193">
        <v>2010670</v>
      </c>
      <c r="J79" s="193">
        <v>2020731</v>
      </c>
      <c r="K79" s="193">
        <v>2039860</v>
      </c>
      <c r="L79" s="193">
        <v>2057408</v>
      </c>
      <c r="M79" s="193">
        <v>2076990</v>
      </c>
      <c r="N79" s="193">
        <v>2096948</v>
      </c>
      <c r="O79" s="193">
        <v>2115058</v>
      </c>
      <c r="P79" s="193">
        <v>2132424</v>
      </c>
      <c r="Q79" s="193">
        <v>2149297</v>
      </c>
      <c r="R79" s="235">
        <v>2166061</v>
      </c>
      <c r="S79" s="225">
        <v>2166061</v>
      </c>
      <c r="T79" s="225">
        <v>2199940</v>
      </c>
      <c r="U79" s="225">
        <v>2216819</v>
      </c>
      <c r="V79" s="225"/>
      <c r="W79" s="151"/>
      <c r="X79" s="151">
        <v>10061</v>
      </c>
      <c r="Y79" s="151">
        <v>19129</v>
      </c>
      <c r="Z79" s="151">
        <v>17548</v>
      </c>
      <c r="AA79" s="151">
        <v>19582</v>
      </c>
      <c r="AB79" s="151">
        <v>19958</v>
      </c>
      <c r="AC79" s="151">
        <v>18110</v>
      </c>
      <c r="AD79" s="151">
        <v>17366</v>
      </c>
      <c r="AE79" s="151">
        <v>16873</v>
      </c>
      <c r="AF79" s="151">
        <v>16764</v>
      </c>
      <c r="AG79" s="151">
        <v>0</v>
      </c>
      <c r="AH79" s="151">
        <v>33879</v>
      </c>
      <c r="AI79" s="151">
        <v>16879</v>
      </c>
    </row>
    <row r="80" spans="1:35" ht="18.75" x14ac:dyDescent="0.25">
      <c r="A80" s="295"/>
      <c r="B80" s="106" t="s">
        <v>1326</v>
      </c>
      <c r="C80" s="106" t="s">
        <v>323</v>
      </c>
      <c r="D80" s="106">
        <v>110</v>
      </c>
      <c r="E80" s="107" t="s">
        <v>1215</v>
      </c>
      <c r="F80" s="108" t="s">
        <v>327</v>
      </c>
      <c r="G80" s="107" t="s">
        <v>331</v>
      </c>
      <c r="H80" s="107"/>
      <c r="I80" s="193">
        <v>3458874</v>
      </c>
      <c r="J80" s="193">
        <v>3471592</v>
      </c>
      <c r="K80" s="193">
        <v>3497345</v>
      </c>
      <c r="L80" s="193">
        <v>3520306</v>
      </c>
      <c r="M80" s="193">
        <v>3544786</v>
      </c>
      <c r="N80" s="193">
        <v>3569276</v>
      </c>
      <c r="O80" s="193">
        <v>3588255</v>
      </c>
      <c r="P80" s="193">
        <v>3606700</v>
      </c>
      <c r="Q80" s="193">
        <v>3624470</v>
      </c>
      <c r="R80" s="235">
        <v>3641870</v>
      </c>
      <c r="S80" s="225">
        <v>3657596</v>
      </c>
      <c r="T80" s="225">
        <v>3676535</v>
      </c>
      <c r="U80" s="225">
        <v>3696290</v>
      </c>
      <c r="V80" s="225"/>
      <c r="W80" s="151"/>
      <c r="X80" s="151">
        <v>12718</v>
      </c>
      <c r="Y80" s="151">
        <v>25753</v>
      </c>
      <c r="Z80" s="151">
        <v>22961</v>
      </c>
      <c r="AA80" s="151">
        <v>24480</v>
      </c>
      <c r="AB80" s="151">
        <v>24490</v>
      </c>
      <c r="AC80" s="151">
        <v>18979</v>
      </c>
      <c r="AD80" s="151">
        <v>18445</v>
      </c>
      <c r="AE80" s="151">
        <v>17770</v>
      </c>
      <c r="AF80" s="151">
        <v>17400</v>
      </c>
      <c r="AG80" s="151">
        <v>15726</v>
      </c>
      <c r="AH80" s="151">
        <v>18939</v>
      </c>
      <c r="AI80" s="151">
        <v>19755</v>
      </c>
    </row>
    <row r="81" spans="1:35" ht="18.75" x14ac:dyDescent="0.25">
      <c r="A81" s="295"/>
      <c r="B81" s="106" t="s">
        <v>1203</v>
      </c>
      <c r="C81" s="106" t="s">
        <v>323</v>
      </c>
      <c r="D81" s="106">
        <v>140</v>
      </c>
      <c r="E81" s="107" t="s">
        <v>1201</v>
      </c>
      <c r="F81" s="108" t="s">
        <v>327</v>
      </c>
      <c r="G81" s="108"/>
      <c r="H81" s="108"/>
      <c r="I81" s="193"/>
      <c r="J81" s="193"/>
      <c r="K81" s="193"/>
      <c r="L81" s="193">
        <v>358765</v>
      </c>
      <c r="M81" s="193"/>
      <c r="N81" s="193"/>
      <c r="O81" s="193">
        <v>364510</v>
      </c>
      <c r="P81" s="193">
        <v>368459</v>
      </c>
      <c r="Q81" s="193">
        <v>373493</v>
      </c>
      <c r="R81" s="235">
        <v>378554</v>
      </c>
      <c r="S81" s="225">
        <v>382594</v>
      </c>
      <c r="T81" s="225">
        <v>384147</v>
      </c>
      <c r="U81" s="225">
        <v>385835</v>
      </c>
      <c r="V81" s="225"/>
      <c r="W81" s="151"/>
      <c r="X81" s="151" t="s">
        <v>734</v>
      </c>
      <c r="Y81" s="151" t="s">
        <v>734</v>
      </c>
      <c r="Z81" s="151" t="s">
        <v>734</v>
      </c>
      <c r="AA81" s="151" t="s">
        <v>734</v>
      </c>
      <c r="AB81" s="151" t="s">
        <v>734</v>
      </c>
      <c r="AC81" s="151" t="s">
        <v>734</v>
      </c>
      <c r="AD81" s="151">
        <v>3949</v>
      </c>
      <c r="AE81" s="151">
        <v>5034</v>
      </c>
      <c r="AF81" s="151">
        <v>5061</v>
      </c>
      <c r="AG81" s="151">
        <v>4040</v>
      </c>
      <c r="AH81" s="151">
        <v>1553</v>
      </c>
      <c r="AI81" s="151">
        <v>1688</v>
      </c>
    </row>
    <row r="82" spans="1:35" ht="18.75" customHeight="1" x14ac:dyDescent="0.25">
      <c r="A82" s="295"/>
      <c r="B82" s="106" t="s">
        <v>1325</v>
      </c>
      <c r="C82" s="103" t="s">
        <v>323</v>
      </c>
      <c r="D82" s="103">
        <v>110</v>
      </c>
      <c r="E82" s="105" t="s">
        <v>1214</v>
      </c>
      <c r="F82" s="192" t="s">
        <v>327</v>
      </c>
      <c r="G82" s="192" t="s">
        <v>852</v>
      </c>
      <c r="H82" s="105"/>
      <c r="I82" s="193">
        <v>944448</v>
      </c>
      <c r="J82" s="193">
        <v>947210</v>
      </c>
      <c r="K82" s="193">
        <v>953872</v>
      </c>
      <c r="L82" s="193">
        <v>959333</v>
      </c>
      <c r="M82" s="193">
        <v>964168</v>
      </c>
      <c r="N82" s="193">
        <v>968713</v>
      </c>
      <c r="O82" s="193">
        <v>973962</v>
      </c>
      <c r="P82" s="193">
        <v>981785</v>
      </c>
      <c r="Q82" s="193">
        <v>990301</v>
      </c>
      <c r="R82" s="235">
        <v>998070</v>
      </c>
      <c r="S82" s="225">
        <v>1004321</v>
      </c>
      <c r="T82" s="225">
        <v>1004321</v>
      </c>
      <c r="U82" s="225">
        <v>1014415</v>
      </c>
      <c r="V82" s="225"/>
      <c r="W82" s="151"/>
      <c r="X82" s="151">
        <v>2762</v>
      </c>
      <c r="Y82" s="151">
        <v>6662</v>
      </c>
      <c r="Z82" s="151">
        <v>5461</v>
      </c>
      <c r="AA82" s="151">
        <v>4835</v>
      </c>
      <c r="AB82" s="151">
        <v>4545</v>
      </c>
      <c r="AC82" s="151">
        <v>5249</v>
      </c>
      <c r="AD82" s="151">
        <v>7823</v>
      </c>
      <c r="AE82" s="151">
        <v>8516</v>
      </c>
      <c r="AF82" s="151">
        <v>7769</v>
      </c>
      <c r="AG82" s="151">
        <v>6251</v>
      </c>
      <c r="AH82" s="151">
        <v>0</v>
      </c>
      <c r="AI82" s="151">
        <v>10094</v>
      </c>
    </row>
    <row r="83" spans="1:35" ht="18.75" customHeight="1" x14ac:dyDescent="0.25">
      <c r="A83" s="295"/>
      <c r="B83" s="106" t="s">
        <v>1222</v>
      </c>
      <c r="C83" s="106" t="s">
        <v>323</v>
      </c>
      <c r="D83" s="106">
        <v>110</v>
      </c>
      <c r="E83" s="197" t="s">
        <v>1209</v>
      </c>
      <c r="F83" s="197" t="s">
        <v>327</v>
      </c>
      <c r="G83" s="108" t="s">
        <v>329</v>
      </c>
      <c r="H83" s="198"/>
      <c r="I83" s="193">
        <v>1611039</v>
      </c>
      <c r="J83" s="193">
        <v>1616295</v>
      </c>
      <c r="K83" s="193">
        <v>1626549</v>
      </c>
      <c r="L83" s="193">
        <v>1635683</v>
      </c>
      <c r="M83" s="193">
        <v>1645408</v>
      </c>
      <c r="N83" s="193">
        <v>1654922</v>
      </c>
      <c r="O83" s="193">
        <v>1661699</v>
      </c>
      <c r="P83" s="193">
        <v>1670009</v>
      </c>
      <c r="Q83" s="193">
        <v>1679155</v>
      </c>
      <c r="R83" s="235">
        <v>1687864</v>
      </c>
      <c r="S83" s="225">
        <v>1695334</v>
      </c>
      <c r="T83" s="225">
        <v>1703162</v>
      </c>
      <c r="U83" s="225">
        <v>1711093</v>
      </c>
      <c r="V83" s="225"/>
      <c r="W83" s="151"/>
      <c r="X83" s="151">
        <v>5256</v>
      </c>
      <c r="Y83" s="151">
        <v>10254</v>
      </c>
      <c r="Z83" s="151">
        <v>9134</v>
      </c>
      <c r="AA83" s="151">
        <v>9725</v>
      </c>
      <c r="AB83" s="151">
        <v>9514</v>
      </c>
      <c r="AC83" s="151">
        <v>6777</v>
      </c>
      <c r="AD83" s="151">
        <v>8310</v>
      </c>
      <c r="AE83" s="151">
        <v>9146</v>
      </c>
      <c r="AF83" s="151">
        <v>8709</v>
      </c>
      <c r="AG83" s="151">
        <v>7470</v>
      </c>
      <c r="AH83" s="151">
        <v>7828</v>
      </c>
      <c r="AI83" s="151">
        <v>7931</v>
      </c>
    </row>
    <row r="84" spans="1:35" ht="18.75" customHeight="1" x14ac:dyDescent="0.25">
      <c r="A84" s="295"/>
      <c r="B84" s="106" t="s">
        <v>1220</v>
      </c>
      <c r="C84" s="106" t="s">
        <v>323</v>
      </c>
      <c r="D84" s="106">
        <v>110</v>
      </c>
      <c r="E84" s="192" t="s">
        <v>1212</v>
      </c>
      <c r="F84" s="192" t="s">
        <v>327</v>
      </c>
      <c r="G84" s="192" t="s">
        <v>332</v>
      </c>
      <c r="H84" s="192"/>
      <c r="I84" s="192">
        <v>520520</v>
      </c>
      <c r="J84" s="192">
        <v>522550</v>
      </c>
      <c r="K84" s="192">
        <v>526410</v>
      </c>
      <c r="L84" s="192">
        <v>530051</v>
      </c>
      <c r="M84" s="192">
        <v>534150</v>
      </c>
      <c r="N84" s="192">
        <v>538267</v>
      </c>
      <c r="O84" s="192">
        <v>541700</v>
      </c>
      <c r="P84" s="192">
        <v>545237</v>
      </c>
      <c r="Q84" s="192">
        <v>548532</v>
      </c>
      <c r="R84" s="235">
        <v>551959</v>
      </c>
      <c r="S84" s="225">
        <v>555432</v>
      </c>
      <c r="T84" s="225">
        <v>559039</v>
      </c>
      <c r="U84" s="225">
        <v>562781</v>
      </c>
      <c r="V84" s="225"/>
      <c r="W84" s="151"/>
      <c r="X84" s="151">
        <v>2030</v>
      </c>
      <c r="Y84" s="151">
        <v>3860</v>
      </c>
      <c r="Z84" s="151">
        <v>3641</v>
      </c>
      <c r="AA84" s="151">
        <v>4099</v>
      </c>
      <c r="AB84" s="151">
        <v>4117</v>
      </c>
      <c r="AC84" s="151">
        <v>3433</v>
      </c>
      <c r="AD84" s="151">
        <v>3537</v>
      </c>
      <c r="AE84" s="151">
        <v>3295</v>
      </c>
      <c r="AF84" s="151">
        <v>3427</v>
      </c>
      <c r="AG84" s="151">
        <v>3473</v>
      </c>
      <c r="AH84" s="151">
        <v>3607</v>
      </c>
      <c r="AI84" s="151">
        <v>3742</v>
      </c>
    </row>
    <row r="85" spans="1:35" ht="18.75" x14ac:dyDescent="0.25">
      <c r="A85" s="295"/>
      <c r="B85" s="106" t="s">
        <v>1327</v>
      </c>
      <c r="C85" s="106" t="s">
        <v>323</v>
      </c>
      <c r="D85" s="106">
        <v>110</v>
      </c>
      <c r="E85" s="192" t="s">
        <v>1216</v>
      </c>
      <c r="F85" s="192" t="s">
        <v>327</v>
      </c>
      <c r="G85" s="192" t="s">
        <v>332</v>
      </c>
      <c r="H85" s="192"/>
      <c r="I85" s="192">
        <v>746051</v>
      </c>
      <c r="J85" s="192">
        <v>749653</v>
      </c>
      <c r="K85" s="192">
        <v>756191</v>
      </c>
      <c r="L85" s="192">
        <v>760487</v>
      </c>
      <c r="M85" s="192">
        <v>764858</v>
      </c>
      <c r="N85" s="192">
        <v>769356</v>
      </c>
      <c r="O85" s="192">
        <v>772052</v>
      </c>
      <c r="P85" s="192">
        <v>776199</v>
      </c>
      <c r="Q85" s="192">
        <v>780983</v>
      </c>
      <c r="R85" s="235">
        <v>785896</v>
      </c>
      <c r="S85" s="225">
        <v>790776</v>
      </c>
      <c r="T85" s="225">
        <v>796461</v>
      </c>
      <c r="U85" s="225">
        <v>802130</v>
      </c>
      <c r="V85" s="225"/>
      <c r="W85" s="151"/>
      <c r="X85" s="151">
        <v>3602</v>
      </c>
      <c r="Y85" s="151">
        <v>6538</v>
      </c>
      <c r="Z85" s="151">
        <v>4296</v>
      </c>
      <c r="AA85" s="151">
        <v>4371</v>
      </c>
      <c r="AB85" s="151">
        <v>4498</v>
      </c>
      <c r="AC85" s="151">
        <v>2696</v>
      </c>
      <c r="AD85" s="151">
        <v>4147</v>
      </c>
      <c r="AE85" s="151">
        <v>4784</v>
      </c>
      <c r="AF85" s="151">
        <v>4913</v>
      </c>
      <c r="AG85" s="151">
        <v>4880</v>
      </c>
      <c r="AH85" s="151">
        <v>5685</v>
      </c>
      <c r="AI85" s="151">
        <v>5669</v>
      </c>
    </row>
    <row r="86" spans="1:35" ht="18.75" x14ac:dyDescent="0.25">
      <c r="A86" s="295"/>
      <c r="B86" s="106" t="s">
        <v>1202</v>
      </c>
      <c r="C86" s="106" t="s">
        <v>323</v>
      </c>
      <c r="D86" s="106">
        <v>140</v>
      </c>
      <c r="E86" s="107" t="s">
        <v>1200</v>
      </c>
      <c r="F86" s="108" t="s">
        <v>327</v>
      </c>
      <c r="G86" s="108"/>
      <c r="H86" s="108"/>
      <c r="I86" s="193"/>
      <c r="J86" s="193"/>
      <c r="K86" s="193"/>
      <c r="L86" s="193">
        <v>156572.95000000001</v>
      </c>
      <c r="M86" s="193"/>
      <c r="N86" s="193"/>
      <c r="O86" s="193">
        <v>156572</v>
      </c>
      <c r="P86" s="193">
        <v>156572</v>
      </c>
      <c r="Q86" s="193">
        <v>156572</v>
      </c>
      <c r="R86" s="235">
        <v>156572</v>
      </c>
      <c r="S86" s="225">
        <v>156572</v>
      </c>
      <c r="T86" s="225">
        <v>156572</v>
      </c>
      <c r="U86" s="225">
        <v>156572</v>
      </c>
      <c r="V86" s="225"/>
      <c r="W86" s="151"/>
      <c r="X86" s="151" t="s">
        <v>734</v>
      </c>
      <c r="Y86" s="151" t="s">
        <v>734</v>
      </c>
      <c r="Z86" s="151" t="s">
        <v>734</v>
      </c>
      <c r="AA86" s="151" t="s">
        <v>734</v>
      </c>
      <c r="AB86" s="151" t="s">
        <v>734</v>
      </c>
      <c r="AC86" s="151" t="s">
        <v>734</v>
      </c>
      <c r="AD86" s="151">
        <v>0</v>
      </c>
      <c r="AE86" s="151">
        <v>0</v>
      </c>
      <c r="AF86" s="151">
        <v>0</v>
      </c>
      <c r="AG86" s="151">
        <v>0</v>
      </c>
      <c r="AH86" s="151">
        <v>0</v>
      </c>
      <c r="AI86" s="151">
        <v>0</v>
      </c>
    </row>
    <row r="87" spans="1:35" ht="18.75" x14ac:dyDescent="0.25">
      <c r="A87" s="295"/>
      <c r="B87" s="210" t="s">
        <v>1219</v>
      </c>
      <c r="C87" s="61" t="s">
        <v>323</v>
      </c>
      <c r="D87" s="61">
        <v>110</v>
      </c>
      <c r="E87" s="197" t="s">
        <v>1211</v>
      </c>
      <c r="F87" s="197" t="s">
        <v>327</v>
      </c>
      <c r="G87" s="198" t="s">
        <v>329</v>
      </c>
      <c r="H87" s="199"/>
      <c r="I87" s="199">
        <v>329731</v>
      </c>
      <c r="J87" s="199">
        <v>330872</v>
      </c>
      <c r="K87" s="199">
        <v>333033</v>
      </c>
      <c r="L87" s="199">
        <v>334987</v>
      </c>
      <c r="M87" s="193">
        <v>337018</v>
      </c>
      <c r="N87" s="193">
        <v>339330</v>
      </c>
      <c r="O87" s="193">
        <v>341422</v>
      </c>
      <c r="P87" s="193">
        <v>343587</v>
      </c>
      <c r="Q87" s="193">
        <v>345654</v>
      </c>
      <c r="R87" s="235">
        <v>347676</v>
      </c>
      <c r="S87" s="225">
        <v>394747</v>
      </c>
      <c r="T87" s="225">
        <v>351647</v>
      </c>
      <c r="U87" s="225">
        <v>353630</v>
      </c>
      <c r="V87" s="225"/>
      <c r="W87" s="151"/>
      <c r="X87" s="151">
        <v>1141</v>
      </c>
      <c r="Y87" s="151">
        <v>2161</v>
      </c>
      <c r="Z87" s="151">
        <v>1954</v>
      </c>
      <c r="AA87" s="151">
        <v>2031</v>
      </c>
      <c r="AB87" s="151">
        <v>2312</v>
      </c>
      <c r="AC87" s="151">
        <v>2092</v>
      </c>
      <c r="AD87" s="151">
        <v>2165</v>
      </c>
      <c r="AE87" s="151">
        <v>2067</v>
      </c>
      <c r="AF87" s="151">
        <v>2022</v>
      </c>
      <c r="AG87" s="151">
        <v>47071</v>
      </c>
      <c r="AH87" s="151" t="s">
        <v>856</v>
      </c>
      <c r="AI87" s="151">
        <v>1983</v>
      </c>
    </row>
    <row r="88" spans="1:35" ht="18.75" x14ac:dyDescent="0.25">
      <c r="A88" s="295"/>
      <c r="B88" s="210" t="s">
        <v>1460</v>
      </c>
      <c r="C88" s="61" t="s">
        <v>323</v>
      </c>
      <c r="D88" s="61">
        <v>140</v>
      </c>
      <c r="E88" s="197" t="s">
        <v>1305</v>
      </c>
      <c r="F88" s="197" t="s">
        <v>327</v>
      </c>
      <c r="G88" s="198" t="s">
        <v>1467</v>
      </c>
      <c r="H88" s="199"/>
      <c r="I88" s="199"/>
      <c r="J88" s="199"/>
      <c r="K88" s="199"/>
      <c r="L88" s="199"/>
      <c r="M88" s="193"/>
      <c r="N88" s="193"/>
      <c r="O88" s="193"/>
      <c r="P88" s="193"/>
      <c r="Q88" s="193"/>
      <c r="R88" s="235"/>
      <c r="S88" s="225">
        <v>0</v>
      </c>
      <c r="T88" s="225">
        <v>1854</v>
      </c>
      <c r="U88" s="225">
        <v>3666</v>
      </c>
      <c r="V88" s="225"/>
      <c r="W88" s="151"/>
      <c r="X88" s="151" t="s">
        <v>734</v>
      </c>
      <c r="Y88" s="151" t="s">
        <v>734</v>
      </c>
      <c r="Z88" s="151" t="s">
        <v>734</v>
      </c>
      <c r="AA88" s="151" t="s">
        <v>734</v>
      </c>
      <c r="AB88" s="151" t="s">
        <v>734</v>
      </c>
      <c r="AC88" s="151" t="s">
        <v>734</v>
      </c>
      <c r="AD88" s="151" t="s">
        <v>734</v>
      </c>
      <c r="AE88" s="151" t="s">
        <v>734</v>
      </c>
      <c r="AF88" s="151" t="s">
        <v>734</v>
      </c>
      <c r="AG88" s="151" t="s">
        <v>734</v>
      </c>
      <c r="AH88" s="151">
        <v>1854</v>
      </c>
      <c r="AI88" s="151">
        <v>1812</v>
      </c>
    </row>
    <row r="89" spans="1:35" ht="18.75" customHeight="1" x14ac:dyDescent="0.3">
      <c r="A89" s="295"/>
      <c r="B89" s="291" t="s">
        <v>348</v>
      </c>
      <c r="C89" s="201" t="s">
        <v>323</v>
      </c>
      <c r="D89" s="201">
        <v>1</v>
      </c>
      <c r="E89" s="202" t="s">
        <v>349</v>
      </c>
      <c r="F89" s="195" t="s">
        <v>350</v>
      </c>
      <c r="G89" s="108"/>
      <c r="H89" s="195"/>
      <c r="I89" s="193"/>
      <c r="J89" s="193"/>
      <c r="K89" s="193"/>
      <c r="L89" s="193"/>
      <c r="M89" s="199"/>
      <c r="N89" s="199"/>
      <c r="O89" s="199"/>
      <c r="P89" s="199"/>
      <c r="Q89" s="199"/>
      <c r="R89" s="235"/>
      <c r="S89" s="225"/>
      <c r="T89" s="225"/>
      <c r="U89" s="225"/>
      <c r="V89" s="225"/>
      <c r="W89" s="151"/>
      <c r="X89" s="151" t="s">
        <v>734</v>
      </c>
      <c r="Y89" s="151" t="s">
        <v>734</v>
      </c>
      <c r="Z89" s="151" t="s">
        <v>734</v>
      </c>
      <c r="AA89" s="151" t="s">
        <v>734</v>
      </c>
      <c r="AB89" s="151" t="s">
        <v>734</v>
      </c>
      <c r="AC89" s="151" t="s">
        <v>734</v>
      </c>
      <c r="AD89" s="151" t="s">
        <v>734</v>
      </c>
      <c r="AE89" s="151" t="s">
        <v>734</v>
      </c>
      <c r="AF89" s="151" t="s">
        <v>734</v>
      </c>
      <c r="AG89" s="151" t="s">
        <v>734</v>
      </c>
      <c r="AH89" s="151" t="s">
        <v>734</v>
      </c>
      <c r="AI89" s="151" t="s">
        <v>734</v>
      </c>
    </row>
    <row r="90" spans="1:35" ht="18.75" customHeight="1" x14ac:dyDescent="0.3">
      <c r="A90" s="295"/>
      <c r="B90" s="292" t="s">
        <v>351</v>
      </c>
      <c r="C90" s="97" t="s">
        <v>323</v>
      </c>
      <c r="D90" s="97">
        <v>1</v>
      </c>
      <c r="E90" s="203" t="s">
        <v>349</v>
      </c>
      <c r="F90" s="204" t="s">
        <v>352</v>
      </c>
      <c r="G90" s="205"/>
      <c r="H90" s="204"/>
      <c r="I90" s="193"/>
      <c r="J90" s="193"/>
      <c r="K90" s="193"/>
      <c r="L90" s="193"/>
      <c r="M90" s="153"/>
      <c r="N90" s="153"/>
      <c r="O90" s="153"/>
      <c r="P90" s="153"/>
      <c r="Q90" s="153"/>
      <c r="R90" s="235"/>
      <c r="S90" s="225"/>
      <c r="T90" s="225"/>
      <c r="U90" s="225"/>
      <c r="V90" s="225"/>
      <c r="W90" s="151"/>
      <c r="X90" s="151" t="s">
        <v>734</v>
      </c>
      <c r="Y90" s="151" t="s">
        <v>734</v>
      </c>
      <c r="Z90" s="151" t="s">
        <v>734</v>
      </c>
      <c r="AA90" s="151" t="s">
        <v>734</v>
      </c>
      <c r="AB90" s="151" t="s">
        <v>734</v>
      </c>
      <c r="AC90" s="151" t="s">
        <v>734</v>
      </c>
      <c r="AD90" s="151" t="s">
        <v>734</v>
      </c>
      <c r="AE90" s="151" t="s">
        <v>734</v>
      </c>
      <c r="AF90" s="151" t="s">
        <v>734</v>
      </c>
      <c r="AG90" s="151" t="s">
        <v>734</v>
      </c>
      <c r="AH90" s="151" t="s">
        <v>734</v>
      </c>
      <c r="AI90" s="151" t="s">
        <v>734</v>
      </c>
    </row>
    <row r="91" spans="1:35" ht="18.75" customHeight="1" x14ac:dyDescent="0.3">
      <c r="A91" s="295"/>
      <c r="B91" s="293" t="s">
        <v>341</v>
      </c>
      <c r="C91" s="207" t="s">
        <v>323</v>
      </c>
      <c r="D91" s="207">
        <v>1</v>
      </c>
      <c r="E91" s="203" t="s">
        <v>342</v>
      </c>
      <c r="F91" s="204" t="s">
        <v>1099</v>
      </c>
      <c r="G91" s="208" t="s">
        <v>343</v>
      </c>
      <c r="H91" s="294"/>
      <c r="I91" s="193">
        <v>2333</v>
      </c>
      <c r="J91" s="193">
        <v>2350</v>
      </c>
      <c r="K91" s="193">
        <v>2373</v>
      </c>
      <c r="L91" s="193">
        <v>2397</v>
      </c>
      <c r="M91" s="193">
        <v>2425</v>
      </c>
      <c r="N91" s="193">
        <v>2469</v>
      </c>
      <c r="O91" s="193">
        <v>2500</v>
      </c>
      <c r="P91" s="193">
        <v>2502</v>
      </c>
      <c r="Q91" s="193">
        <v>2502</v>
      </c>
      <c r="R91" s="235">
        <v>2502</v>
      </c>
      <c r="S91" s="225">
        <v>2507</v>
      </c>
      <c r="T91" s="225">
        <v>2507</v>
      </c>
      <c r="U91" s="225"/>
      <c r="V91" s="225"/>
      <c r="W91" s="151"/>
      <c r="X91" s="151">
        <v>17</v>
      </c>
      <c r="Y91" s="151">
        <v>23</v>
      </c>
      <c r="Z91" s="151">
        <v>24</v>
      </c>
      <c r="AA91" s="151">
        <v>28</v>
      </c>
      <c r="AB91" s="151">
        <v>44</v>
      </c>
      <c r="AC91" s="151">
        <v>31</v>
      </c>
      <c r="AD91" s="151">
        <v>2</v>
      </c>
      <c r="AE91" s="151">
        <v>0</v>
      </c>
      <c r="AF91" s="151">
        <v>0</v>
      </c>
      <c r="AG91" s="151">
        <v>5</v>
      </c>
      <c r="AH91" s="151">
        <v>0</v>
      </c>
      <c r="AI91" s="151" t="s">
        <v>734</v>
      </c>
    </row>
    <row r="92" spans="1:35" ht="18.75" x14ac:dyDescent="0.25">
      <c r="A92" s="295"/>
      <c r="B92" s="106" t="s">
        <v>353</v>
      </c>
      <c r="C92" s="106" t="s">
        <v>323</v>
      </c>
      <c r="D92" s="106">
        <v>1</v>
      </c>
      <c r="E92" s="107" t="s">
        <v>349</v>
      </c>
      <c r="F92" s="108" t="s">
        <v>352</v>
      </c>
      <c r="G92" s="108"/>
      <c r="H92" s="108"/>
      <c r="I92" s="193"/>
      <c r="J92" s="193"/>
      <c r="K92" s="193"/>
      <c r="L92" s="193"/>
      <c r="M92" s="193"/>
      <c r="N92" s="193"/>
      <c r="O92" s="193"/>
      <c r="P92" s="193"/>
      <c r="Q92" s="193"/>
      <c r="R92" s="235"/>
      <c r="S92" s="225"/>
      <c r="T92" s="225"/>
      <c r="U92" s="225"/>
      <c r="V92" s="225"/>
      <c r="W92" s="151"/>
      <c r="X92" s="151" t="s">
        <v>734</v>
      </c>
      <c r="Y92" s="151" t="s">
        <v>734</v>
      </c>
      <c r="Z92" s="151" t="s">
        <v>734</v>
      </c>
      <c r="AA92" s="151" t="s">
        <v>734</v>
      </c>
      <c r="AB92" s="151" t="s">
        <v>734</v>
      </c>
      <c r="AC92" s="151" t="s">
        <v>734</v>
      </c>
      <c r="AD92" s="151" t="s">
        <v>734</v>
      </c>
      <c r="AE92" s="151" t="s">
        <v>734</v>
      </c>
      <c r="AF92" s="151" t="s">
        <v>734</v>
      </c>
      <c r="AG92" s="151" t="s">
        <v>734</v>
      </c>
      <c r="AH92" s="151" t="s">
        <v>734</v>
      </c>
      <c r="AI92" s="151" t="s">
        <v>734</v>
      </c>
    </row>
    <row r="93" spans="1:35" ht="18.75" x14ac:dyDescent="0.25">
      <c r="A93" s="295"/>
      <c r="B93" s="210" t="s">
        <v>720</v>
      </c>
      <c r="C93" s="61" t="s">
        <v>323</v>
      </c>
      <c r="D93" s="61">
        <v>140</v>
      </c>
      <c r="E93" s="197" t="s">
        <v>339</v>
      </c>
      <c r="F93" s="197" t="s">
        <v>1137</v>
      </c>
      <c r="G93" s="198" t="s">
        <v>340</v>
      </c>
      <c r="H93" s="197"/>
      <c r="I93" s="199">
        <v>3774</v>
      </c>
      <c r="J93" s="199">
        <v>3785</v>
      </c>
      <c r="K93" s="199">
        <v>3806</v>
      </c>
      <c r="L93" s="199">
        <v>3826</v>
      </c>
      <c r="M93" s="199">
        <v>3847</v>
      </c>
      <c r="N93" s="199">
        <v>3866</v>
      </c>
      <c r="O93" s="199">
        <v>3880</v>
      </c>
      <c r="P93" s="199">
        <v>3889</v>
      </c>
      <c r="Q93" s="199">
        <v>3890</v>
      </c>
      <c r="R93" s="235">
        <v>3895</v>
      </c>
      <c r="S93" s="225">
        <v>3899</v>
      </c>
      <c r="T93" s="225">
        <v>3904</v>
      </c>
      <c r="U93" s="225">
        <v>3912</v>
      </c>
      <c r="V93" s="225"/>
      <c r="W93" s="151"/>
      <c r="X93" s="151">
        <v>11</v>
      </c>
      <c r="Y93" s="151">
        <v>21</v>
      </c>
      <c r="Z93" s="151">
        <v>20</v>
      </c>
      <c r="AA93" s="151">
        <v>21</v>
      </c>
      <c r="AB93" s="151">
        <v>19</v>
      </c>
      <c r="AC93" s="151">
        <v>14</v>
      </c>
      <c r="AD93" s="151">
        <v>9</v>
      </c>
      <c r="AE93" s="151">
        <v>1</v>
      </c>
      <c r="AF93" s="151">
        <v>5</v>
      </c>
      <c r="AG93" s="151">
        <v>4</v>
      </c>
      <c r="AH93" s="151">
        <v>5</v>
      </c>
      <c r="AI93" s="151">
        <v>8</v>
      </c>
    </row>
    <row r="94" spans="1:35" ht="18.75" x14ac:dyDescent="0.25">
      <c r="A94" s="295"/>
      <c r="B94" s="106" t="s">
        <v>314</v>
      </c>
      <c r="C94" s="106" t="s">
        <v>311</v>
      </c>
      <c r="D94" s="106">
        <v>150</v>
      </c>
      <c r="E94" s="192" t="s">
        <v>21</v>
      </c>
      <c r="F94" s="192" t="s">
        <v>313</v>
      </c>
      <c r="G94" s="192" t="s">
        <v>315</v>
      </c>
      <c r="H94" s="192"/>
      <c r="I94" s="192">
        <v>255497</v>
      </c>
      <c r="J94" s="192">
        <v>256116</v>
      </c>
      <c r="K94" s="192">
        <v>256707</v>
      </c>
      <c r="L94" s="192">
        <v>257205</v>
      </c>
      <c r="M94" s="192">
        <v>257870</v>
      </c>
      <c r="N94" s="192">
        <v>258507</v>
      </c>
      <c r="O94" s="192">
        <v>259084</v>
      </c>
      <c r="P94" s="192">
        <v>259746</v>
      </c>
      <c r="Q94" s="192">
        <v>260262</v>
      </c>
      <c r="R94" s="225">
        <v>260972</v>
      </c>
      <c r="S94" s="225">
        <v>261823</v>
      </c>
      <c r="T94" s="225">
        <v>362433</v>
      </c>
      <c r="U94" s="225">
        <v>263052</v>
      </c>
      <c r="V94" s="225"/>
      <c r="W94" s="151"/>
      <c r="X94" s="151">
        <v>619</v>
      </c>
      <c r="Y94" s="151">
        <v>591</v>
      </c>
      <c r="Z94" s="151">
        <v>498</v>
      </c>
      <c r="AA94" s="151">
        <v>665</v>
      </c>
      <c r="AB94" s="151">
        <v>637</v>
      </c>
      <c r="AC94" s="151">
        <v>577</v>
      </c>
      <c r="AD94" s="151">
        <v>662</v>
      </c>
      <c r="AE94" s="151">
        <v>516</v>
      </c>
      <c r="AF94" s="151">
        <v>710</v>
      </c>
      <c r="AG94" s="151">
        <v>851</v>
      </c>
      <c r="AH94" s="151">
        <v>100610</v>
      </c>
      <c r="AI94" s="151" t="s">
        <v>856</v>
      </c>
    </row>
    <row r="95" spans="1:35" ht="18.75" x14ac:dyDescent="0.25">
      <c r="A95" s="295"/>
      <c r="B95" s="106" t="s">
        <v>1267</v>
      </c>
      <c r="C95" s="103" t="s">
        <v>721</v>
      </c>
      <c r="D95" s="103">
        <v>150</v>
      </c>
      <c r="E95" s="194" t="s">
        <v>21</v>
      </c>
      <c r="F95" s="195" t="s">
        <v>20</v>
      </c>
      <c r="G95" s="108"/>
      <c r="H95" s="195" t="s">
        <v>792</v>
      </c>
      <c r="I95" s="193">
        <v>16411</v>
      </c>
      <c r="J95" s="193">
        <v>16507</v>
      </c>
      <c r="K95" s="193">
        <v>16645</v>
      </c>
      <c r="L95" s="193">
        <v>16750</v>
      </c>
      <c r="M95" s="153">
        <v>16841</v>
      </c>
      <c r="N95" s="153">
        <v>16905</v>
      </c>
      <c r="O95" s="153">
        <v>17036</v>
      </c>
      <c r="P95" s="153">
        <v>17169</v>
      </c>
      <c r="Q95" s="153">
        <v>17325</v>
      </c>
      <c r="R95" s="235">
        <v>17435</v>
      </c>
      <c r="S95" s="225">
        <v>17595</v>
      </c>
      <c r="T95" s="225">
        <v>17715</v>
      </c>
      <c r="U95" s="225">
        <v>17829</v>
      </c>
      <c r="V95" s="225"/>
      <c r="W95" s="151"/>
      <c r="X95" s="151">
        <v>11520</v>
      </c>
      <c r="Y95" s="151">
        <v>16560</v>
      </c>
      <c r="Z95" s="151">
        <v>12600</v>
      </c>
      <c r="AA95" s="151">
        <v>10920</v>
      </c>
      <c r="AB95" s="151">
        <v>7680</v>
      </c>
      <c r="AC95" s="151">
        <v>15720</v>
      </c>
      <c r="AD95" s="151">
        <v>15960</v>
      </c>
      <c r="AE95" s="151">
        <v>18720</v>
      </c>
      <c r="AF95" s="151">
        <v>13200</v>
      </c>
      <c r="AG95" s="151">
        <v>19200</v>
      </c>
      <c r="AH95" s="151">
        <v>14400</v>
      </c>
      <c r="AI95" s="151">
        <v>13680</v>
      </c>
    </row>
    <row r="96" spans="1:35" ht="18.75" x14ac:dyDescent="0.25">
      <c r="A96" s="295"/>
      <c r="B96" s="106" t="s">
        <v>43</v>
      </c>
      <c r="C96" s="106" t="s">
        <v>36</v>
      </c>
      <c r="D96" s="106">
        <v>132</v>
      </c>
      <c r="E96" s="192" t="s">
        <v>878</v>
      </c>
      <c r="F96" s="192" t="s">
        <v>38</v>
      </c>
      <c r="G96" s="192" t="s">
        <v>44</v>
      </c>
      <c r="H96" s="192"/>
      <c r="I96" s="192">
        <v>443022</v>
      </c>
      <c r="J96" s="192">
        <v>445525</v>
      </c>
      <c r="K96" s="192">
        <v>450367</v>
      </c>
      <c r="L96" s="192">
        <v>454247</v>
      </c>
      <c r="M96" s="192">
        <v>458120</v>
      </c>
      <c r="N96" s="192">
        <v>461451</v>
      </c>
      <c r="O96" s="192">
        <v>464505</v>
      </c>
      <c r="P96" s="192">
        <v>467642</v>
      </c>
      <c r="Q96" s="192">
        <v>470730</v>
      </c>
      <c r="R96" s="225">
        <v>474698</v>
      </c>
      <c r="S96" s="225">
        <v>478289</v>
      </c>
      <c r="T96" s="225">
        <v>479485</v>
      </c>
      <c r="U96" s="225">
        <v>481500</v>
      </c>
      <c r="V96" s="225"/>
      <c r="W96" s="151"/>
      <c r="X96" s="151">
        <v>2503</v>
      </c>
      <c r="Y96" s="151">
        <v>4842</v>
      </c>
      <c r="Z96" s="151">
        <v>3880</v>
      </c>
      <c r="AA96" s="151">
        <v>3873</v>
      </c>
      <c r="AB96" s="151">
        <v>3331</v>
      </c>
      <c r="AC96" s="151">
        <v>3054</v>
      </c>
      <c r="AD96" s="151">
        <v>3137</v>
      </c>
      <c r="AE96" s="151">
        <v>3088</v>
      </c>
      <c r="AF96" s="151">
        <v>3968</v>
      </c>
      <c r="AG96" s="151">
        <v>3591</v>
      </c>
      <c r="AH96" s="151">
        <v>1196</v>
      </c>
      <c r="AI96" s="151">
        <v>2015</v>
      </c>
    </row>
    <row r="97" spans="1:35" ht="18.75" x14ac:dyDescent="0.25">
      <c r="A97" s="295"/>
      <c r="B97" s="106">
        <v>5130043</v>
      </c>
      <c r="C97" s="106" t="s">
        <v>46</v>
      </c>
      <c r="D97" s="106">
        <v>150</v>
      </c>
      <c r="E97" s="192" t="s">
        <v>48</v>
      </c>
      <c r="F97" s="192" t="s">
        <v>49</v>
      </c>
      <c r="G97" s="192" t="s">
        <v>50</v>
      </c>
      <c r="H97" s="192" t="s">
        <v>799</v>
      </c>
      <c r="I97" s="192">
        <v>0</v>
      </c>
      <c r="J97" s="192">
        <v>0</v>
      </c>
      <c r="K97" s="192">
        <v>0</v>
      </c>
      <c r="L97" s="192">
        <v>0</v>
      </c>
      <c r="M97" s="192">
        <v>0</v>
      </c>
      <c r="N97" s="192">
        <v>0</v>
      </c>
      <c r="O97" s="192">
        <v>0</v>
      </c>
      <c r="P97" s="192">
        <v>0</v>
      </c>
      <c r="Q97" s="192">
        <v>0</v>
      </c>
      <c r="R97" s="225">
        <v>0</v>
      </c>
      <c r="S97" s="225">
        <v>0</v>
      </c>
      <c r="T97" s="225">
        <v>0</v>
      </c>
      <c r="U97" s="225">
        <v>0</v>
      </c>
      <c r="V97" s="225"/>
      <c r="W97" s="151"/>
      <c r="X97" s="151">
        <v>0</v>
      </c>
      <c r="Y97" s="151">
        <v>0</v>
      </c>
      <c r="Z97" s="151">
        <v>0</v>
      </c>
      <c r="AA97" s="151">
        <v>0</v>
      </c>
      <c r="AB97" s="151">
        <v>0</v>
      </c>
      <c r="AC97" s="151">
        <v>0</v>
      </c>
      <c r="AD97" s="151">
        <v>0</v>
      </c>
      <c r="AE97" s="151">
        <v>0</v>
      </c>
      <c r="AF97" s="151">
        <v>0</v>
      </c>
      <c r="AG97" s="151">
        <v>0</v>
      </c>
      <c r="AH97" s="151">
        <v>0</v>
      </c>
      <c r="AI97" s="151">
        <v>0</v>
      </c>
    </row>
    <row r="98" spans="1:35" ht="18.75" x14ac:dyDescent="0.25">
      <c r="A98" s="295"/>
      <c r="B98" s="106">
        <v>717084013</v>
      </c>
      <c r="C98" s="106" t="s">
        <v>46</v>
      </c>
      <c r="D98" s="106">
        <v>141</v>
      </c>
      <c r="E98" s="192" t="s">
        <v>964</v>
      </c>
      <c r="F98" s="192" t="s">
        <v>47</v>
      </c>
      <c r="G98" s="192"/>
      <c r="H98" s="192">
        <v>42948</v>
      </c>
      <c r="I98" s="192">
        <v>17849</v>
      </c>
      <c r="J98" s="192">
        <v>19001</v>
      </c>
      <c r="K98" s="192">
        <v>25939</v>
      </c>
      <c r="L98" s="192">
        <v>28022</v>
      </c>
      <c r="M98" s="192">
        <v>29323</v>
      </c>
      <c r="N98" s="192">
        <v>30450</v>
      </c>
      <c r="O98" s="192">
        <v>32555</v>
      </c>
      <c r="P98" s="192">
        <v>36361</v>
      </c>
      <c r="Q98" s="192">
        <v>38091</v>
      </c>
      <c r="R98" s="225">
        <v>39854</v>
      </c>
      <c r="S98" s="225">
        <v>41438</v>
      </c>
      <c r="T98" s="225">
        <v>43764</v>
      </c>
      <c r="U98" s="225">
        <v>46223</v>
      </c>
      <c r="V98" s="225"/>
      <c r="W98" s="151"/>
      <c r="X98" s="151">
        <v>1152</v>
      </c>
      <c r="Y98" s="151">
        <v>6938</v>
      </c>
      <c r="Z98" s="151">
        <v>2083</v>
      </c>
      <c r="AA98" s="151">
        <v>1301</v>
      </c>
      <c r="AB98" s="151">
        <v>1127</v>
      </c>
      <c r="AC98" s="151">
        <v>2105</v>
      </c>
      <c r="AD98" s="151">
        <v>3806</v>
      </c>
      <c r="AE98" s="151">
        <v>1730</v>
      </c>
      <c r="AF98" s="151">
        <v>1763</v>
      </c>
      <c r="AG98" s="151">
        <v>1584</v>
      </c>
      <c r="AH98" s="151">
        <v>2326</v>
      </c>
      <c r="AI98" s="151">
        <v>2459</v>
      </c>
    </row>
    <row r="99" spans="1:35" ht="18.75" x14ac:dyDescent="0.25">
      <c r="A99" s="295"/>
      <c r="B99" s="106" t="s">
        <v>1322</v>
      </c>
      <c r="C99" s="106" t="s">
        <v>46</v>
      </c>
      <c r="D99" s="106">
        <v>142</v>
      </c>
      <c r="E99" s="192" t="s">
        <v>825</v>
      </c>
      <c r="F99" s="192" t="s">
        <v>819</v>
      </c>
      <c r="G99" s="192" t="s">
        <v>826</v>
      </c>
      <c r="H99" s="192" t="s">
        <v>821</v>
      </c>
      <c r="I99" s="192">
        <v>340332</v>
      </c>
      <c r="J99" s="192">
        <v>366200</v>
      </c>
      <c r="K99" s="192">
        <v>371059</v>
      </c>
      <c r="L99" s="192">
        <v>396059</v>
      </c>
      <c r="M99" s="192">
        <v>420724</v>
      </c>
      <c r="N99" s="192">
        <v>449515</v>
      </c>
      <c r="O99" s="192">
        <v>476223</v>
      </c>
      <c r="P99" s="192">
        <v>484545</v>
      </c>
      <c r="Q99" s="192">
        <v>515874</v>
      </c>
      <c r="R99" s="225">
        <v>538872</v>
      </c>
      <c r="S99" s="225">
        <v>561357</v>
      </c>
      <c r="T99" s="225">
        <v>588140</v>
      </c>
      <c r="U99" s="225">
        <v>616858</v>
      </c>
      <c r="V99" s="225"/>
      <c r="W99" s="151"/>
      <c r="X99" s="151">
        <v>25868</v>
      </c>
      <c r="Y99" s="151">
        <v>4859</v>
      </c>
      <c r="Z99" s="151">
        <v>25000</v>
      </c>
      <c r="AA99" s="151">
        <v>24665</v>
      </c>
      <c r="AB99" s="151">
        <v>28791</v>
      </c>
      <c r="AC99" s="151">
        <v>26708</v>
      </c>
      <c r="AD99" s="151">
        <v>8322</v>
      </c>
      <c r="AE99" s="151">
        <v>31329</v>
      </c>
      <c r="AF99" s="151">
        <v>22998</v>
      </c>
      <c r="AG99" s="151">
        <v>22485</v>
      </c>
      <c r="AH99" s="151">
        <v>26783</v>
      </c>
      <c r="AI99" s="151">
        <v>28718</v>
      </c>
    </row>
    <row r="100" spans="1:35" ht="18.75" x14ac:dyDescent="0.25">
      <c r="A100" s="295"/>
      <c r="B100" s="106" t="s">
        <v>1252</v>
      </c>
      <c r="C100" s="106" t="s">
        <v>46</v>
      </c>
      <c r="D100" s="106">
        <v>131</v>
      </c>
      <c r="E100" s="192" t="s">
        <v>455</v>
      </c>
      <c r="F100" s="192" t="s">
        <v>47</v>
      </c>
      <c r="G100" s="192"/>
      <c r="H100" s="192"/>
      <c r="I100" s="192">
        <v>249625</v>
      </c>
      <c r="J100" s="192">
        <v>251261</v>
      </c>
      <c r="K100" s="192">
        <v>254113</v>
      </c>
      <c r="L100" s="192">
        <v>256556</v>
      </c>
      <c r="M100" s="192">
        <v>258913</v>
      </c>
      <c r="N100" s="192">
        <v>260930</v>
      </c>
      <c r="O100" s="192">
        <v>262780</v>
      </c>
      <c r="P100" s="192">
        <v>264658</v>
      </c>
      <c r="Q100" s="192">
        <v>266468</v>
      </c>
      <c r="R100" s="225">
        <v>268666</v>
      </c>
      <c r="S100" s="225">
        <v>270917</v>
      </c>
      <c r="T100" s="225">
        <v>273780</v>
      </c>
      <c r="U100" s="225">
        <v>276872</v>
      </c>
      <c r="V100" s="225"/>
      <c r="W100" s="151"/>
      <c r="X100" s="151">
        <v>1636</v>
      </c>
      <c r="Y100" s="151">
        <v>2852</v>
      </c>
      <c r="Z100" s="151">
        <v>2443</v>
      </c>
      <c r="AA100" s="151">
        <v>2357</v>
      </c>
      <c r="AB100" s="151">
        <v>2017</v>
      </c>
      <c r="AC100" s="151">
        <v>1850</v>
      </c>
      <c r="AD100" s="151">
        <v>1878</v>
      </c>
      <c r="AE100" s="151">
        <v>1810</v>
      </c>
      <c r="AF100" s="151">
        <v>2198</v>
      </c>
      <c r="AG100" s="151">
        <v>2251</v>
      </c>
      <c r="AH100" s="151">
        <v>2863</v>
      </c>
      <c r="AI100" s="151">
        <v>3092</v>
      </c>
    </row>
    <row r="101" spans="1:35" ht="18.75" x14ac:dyDescent="0.25">
      <c r="A101" s="295"/>
      <c r="B101" s="106" t="s">
        <v>1251</v>
      </c>
      <c r="C101" s="106" t="s">
        <v>434</v>
      </c>
      <c r="D101" s="106">
        <v>140</v>
      </c>
      <c r="E101" s="192" t="s">
        <v>817</v>
      </c>
      <c r="F101" s="192" t="s">
        <v>435</v>
      </c>
      <c r="G101" s="192"/>
      <c r="H101" s="192"/>
      <c r="I101" s="192">
        <v>3790672</v>
      </c>
      <c r="J101" s="192">
        <v>3805110</v>
      </c>
      <c r="K101" s="192">
        <v>3833740</v>
      </c>
      <c r="L101" s="192">
        <v>3859960</v>
      </c>
      <c r="M101" s="192">
        <v>3889757</v>
      </c>
      <c r="N101" s="192">
        <v>3918300</v>
      </c>
      <c r="O101" s="192">
        <v>3946843</v>
      </c>
      <c r="P101" s="192">
        <v>3981634</v>
      </c>
      <c r="Q101" s="192">
        <v>4012303</v>
      </c>
      <c r="R101" s="225">
        <v>4043148</v>
      </c>
      <c r="S101" s="225">
        <v>4070086</v>
      </c>
      <c r="T101" s="225">
        <v>4099762</v>
      </c>
      <c r="U101" s="225">
        <v>4129927</v>
      </c>
      <c r="V101" s="225"/>
      <c r="W101" s="151"/>
      <c r="X101" s="151">
        <v>14438</v>
      </c>
      <c r="Y101" s="151">
        <v>28630</v>
      </c>
      <c r="Z101" s="151">
        <v>26220</v>
      </c>
      <c r="AA101" s="151">
        <v>29797</v>
      </c>
      <c r="AB101" s="151">
        <v>28543</v>
      </c>
      <c r="AC101" s="151">
        <v>28543</v>
      </c>
      <c r="AD101" s="151">
        <v>34791</v>
      </c>
      <c r="AE101" s="151">
        <v>30669</v>
      </c>
      <c r="AF101" s="151">
        <v>30845</v>
      </c>
      <c r="AG101" s="151">
        <v>26938</v>
      </c>
      <c r="AH101" s="151">
        <v>29676</v>
      </c>
      <c r="AI101" s="151">
        <v>30165</v>
      </c>
    </row>
    <row r="102" spans="1:35" ht="18.75" x14ac:dyDescent="0.25">
      <c r="A102" s="295"/>
      <c r="B102" s="106">
        <v>717083052</v>
      </c>
      <c r="C102" s="106" t="s">
        <v>55</v>
      </c>
      <c r="D102" s="106">
        <v>140</v>
      </c>
      <c r="E102" s="192" t="s">
        <v>926</v>
      </c>
      <c r="F102" s="192" t="s">
        <v>1009</v>
      </c>
      <c r="G102" s="192"/>
      <c r="H102" s="192" t="s">
        <v>927</v>
      </c>
      <c r="I102" s="192">
        <v>7497</v>
      </c>
      <c r="J102" s="192">
        <v>8233</v>
      </c>
      <c r="K102" s="192">
        <v>10274</v>
      </c>
      <c r="L102" s="192">
        <v>11667</v>
      </c>
      <c r="M102" s="192">
        <v>12826</v>
      </c>
      <c r="N102" s="192">
        <v>13551</v>
      </c>
      <c r="O102" s="192">
        <v>14319</v>
      </c>
      <c r="P102" s="192">
        <v>15330</v>
      </c>
      <c r="Q102" s="192">
        <v>16396</v>
      </c>
      <c r="R102" s="225">
        <v>17508</v>
      </c>
      <c r="S102" s="225">
        <v>18311</v>
      </c>
      <c r="T102" s="225">
        <v>19086</v>
      </c>
      <c r="U102" s="225">
        <v>20163</v>
      </c>
      <c r="V102" s="225"/>
      <c r="W102" s="151"/>
      <c r="X102" s="151">
        <v>736</v>
      </c>
      <c r="Y102" s="151">
        <v>2041</v>
      </c>
      <c r="Z102" s="151">
        <v>1393</v>
      </c>
      <c r="AA102" s="151">
        <v>1159</v>
      </c>
      <c r="AB102" s="151">
        <v>725</v>
      </c>
      <c r="AC102" s="151">
        <v>768</v>
      </c>
      <c r="AD102" s="151">
        <v>1011</v>
      </c>
      <c r="AE102" s="151">
        <v>1066</v>
      </c>
      <c r="AF102" s="151">
        <v>1112</v>
      </c>
      <c r="AG102" s="151">
        <v>803</v>
      </c>
      <c r="AH102" s="151">
        <v>775</v>
      </c>
      <c r="AI102" s="151">
        <v>1077</v>
      </c>
    </row>
    <row r="103" spans="1:35" ht="18.75" x14ac:dyDescent="0.25">
      <c r="A103" s="295"/>
      <c r="B103" s="106">
        <v>717083063</v>
      </c>
      <c r="C103" s="106" t="s">
        <v>55</v>
      </c>
      <c r="D103" s="106">
        <v>131</v>
      </c>
      <c r="E103" s="192" t="s">
        <v>924</v>
      </c>
      <c r="F103" s="192" t="s">
        <v>1010</v>
      </c>
      <c r="G103" s="192"/>
      <c r="H103" s="192" t="s">
        <v>927</v>
      </c>
      <c r="I103" s="192">
        <v>4395</v>
      </c>
      <c r="J103" s="192">
        <v>4808</v>
      </c>
      <c r="K103" s="192">
        <v>5668</v>
      </c>
      <c r="L103" s="192">
        <v>6369</v>
      </c>
      <c r="M103" s="192">
        <v>7089</v>
      </c>
      <c r="N103" s="192">
        <v>7673</v>
      </c>
      <c r="O103" s="192">
        <v>8237</v>
      </c>
      <c r="P103" s="192">
        <v>8780</v>
      </c>
      <c r="Q103" s="192">
        <v>9305</v>
      </c>
      <c r="R103" s="225">
        <v>9970</v>
      </c>
      <c r="S103" s="225">
        <v>10610</v>
      </c>
      <c r="T103" s="225">
        <v>11415</v>
      </c>
      <c r="U103" s="225">
        <v>12339</v>
      </c>
      <c r="V103" s="225"/>
      <c r="W103" s="151"/>
      <c r="X103" s="151">
        <v>413</v>
      </c>
      <c r="Y103" s="151">
        <v>860</v>
      </c>
      <c r="Z103" s="151">
        <v>701</v>
      </c>
      <c r="AA103" s="151">
        <v>720</v>
      </c>
      <c r="AB103" s="151">
        <v>584</v>
      </c>
      <c r="AC103" s="151">
        <v>564</v>
      </c>
      <c r="AD103" s="151">
        <v>543</v>
      </c>
      <c r="AE103" s="151">
        <v>525</v>
      </c>
      <c r="AF103" s="151">
        <v>665</v>
      </c>
      <c r="AG103" s="151">
        <v>640</v>
      </c>
      <c r="AH103" s="151">
        <v>805</v>
      </c>
      <c r="AI103" s="151">
        <v>924</v>
      </c>
    </row>
    <row r="104" spans="1:35" ht="18.75" x14ac:dyDescent="0.25">
      <c r="A104" s="295"/>
      <c r="B104" s="106">
        <v>717084017</v>
      </c>
      <c r="C104" s="106" t="s">
        <v>55</v>
      </c>
      <c r="D104" s="106">
        <v>140</v>
      </c>
      <c r="E104" s="192" t="s">
        <v>1003</v>
      </c>
      <c r="F104" s="192" t="s">
        <v>1004</v>
      </c>
      <c r="G104" s="192" t="s">
        <v>915</v>
      </c>
      <c r="H104" s="192" t="s">
        <v>1021</v>
      </c>
      <c r="I104" s="192">
        <v>40669</v>
      </c>
      <c r="J104" s="192">
        <v>44293</v>
      </c>
      <c r="K104" s="192">
        <v>54215</v>
      </c>
      <c r="L104" s="192">
        <v>63527</v>
      </c>
      <c r="M104" s="192">
        <v>70098</v>
      </c>
      <c r="N104" s="192">
        <v>72307</v>
      </c>
      <c r="O104" s="192">
        <v>74511</v>
      </c>
      <c r="P104" s="192">
        <v>82267</v>
      </c>
      <c r="Q104" s="192">
        <v>91041</v>
      </c>
      <c r="R104" s="225">
        <v>99881</v>
      </c>
      <c r="S104" s="225">
        <v>104758</v>
      </c>
      <c r="T104" s="225">
        <v>110509</v>
      </c>
      <c r="U104" s="225">
        <v>118514</v>
      </c>
      <c r="V104" s="225"/>
      <c r="W104" s="151"/>
      <c r="X104" s="151">
        <v>3624</v>
      </c>
      <c r="Y104" s="151">
        <v>9922</v>
      </c>
      <c r="Z104" s="151">
        <v>9312</v>
      </c>
      <c r="AA104" s="151">
        <v>6571</v>
      </c>
      <c r="AB104" s="151">
        <v>2209</v>
      </c>
      <c r="AC104" s="151">
        <v>2204</v>
      </c>
      <c r="AD104" s="151">
        <v>7756</v>
      </c>
      <c r="AE104" s="151">
        <v>8774</v>
      </c>
      <c r="AF104" s="151">
        <v>8840</v>
      </c>
      <c r="AG104" s="151">
        <v>4877</v>
      </c>
      <c r="AH104" s="151">
        <v>5751</v>
      </c>
      <c r="AI104" s="151">
        <v>8005</v>
      </c>
    </row>
    <row r="105" spans="1:35" ht="18.75" x14ac:dyDescent="0.25">
      <c r="A105" s="295"/>
      <c r="B105" s="106">
        <v>717084039</v>
      </c>
      <c r="C105" s="106" t="s">
        <v>55</v>
      </c>
      <c r="D105" s="106">
        <v>140</v>
      </c>
      <c r="E105" s="192" t="s">
        <v>925</v>
      </c>
      <c r="F105" s="192" t="s">
        <v>1011</v>
      </c>
      <c r="G105" s="192"/>
      <c r="H105" s="192" t="s">
        <v>928</v>
      </c>
      <c r="I105" s="192">
        <v>8721</v>
      </c>
      <c r="J105" s="192">
        <v>9395</v>
      </c>
      <c r="K105" s="192">
        <v>10811</v>
      </c>
      <c r="L105" s="192">
        <v>12076</v>
      </c>
      <c r="M105" s="192">
        <v>13373</v>
      </c>
      <c r="N105" s="192">
        <v>14586</v>
      </c>
      <c r="O105" s="192">
        <v>16008</v>
      </c>
      <c r="P105" s="192">
        <v>17765</v>
      </c>
      <c r="Q105" s="192">
        <v>19414</v>
      </c>
      <c r="R105" s="225">
        <v>21253</v>
      </c>
      <c r="S105" s="225">
        <v>22670</v>
      </c>
      <c r="T105" s="225">
        <v>24200</v>
      </c>
      <c r="U105" s="225">
        <v>26010</v>
      </c>
      <c r="V105" s="225"/>
      <c r="W105" s="151"/>
      <c r="X105" s="151">
        <v>674</v>
      </c>
      <c r="Y105" s="151">
        <v>1416</v>
      </c>
      <c r="Z105" s="151">
        <v>1265</v>
      </c>
      <c r="AA105" s="151">
        <v>1297</v>
      </c>
      <c r="AB105" s="151">
        <v>1213</v>
      </c>
      <c r="AC105" s="151">
        <v>1422</v>
      </c>
      <c r="AD105" s="151">
        <v>1757</v>
      </c>
      <c r="AE105" s="151">
        <v>1649</v>
      </c>
      <c r="AF105" s="151">
        <v>1839</v>
      </c>
      <c r="AG105" s="151">
        <v>1417</v>
      </c>
      <c r="AH105" s="151">
        <v>1530</v>
      </c>
      <c r="AI105" s="151">
        <v>1810</v>
      </c>
    </row>
    <row r="106" spans="1:35" ht="18.75" x14ac:dyDescent="0.25">
      <c r="A106" s="295"/>
      <c r="B106" s="106">
        <v>717093061</v>
      </c>
      <c r="C106" s="106" t="s">
        <v>55</v>
      </c>
      <c r="D106" s="106">
        <v>140</v>
      </c>
      <c r="E106" s="192" t="s">
        <v>437</v>
      </c>
      <c r="F106" s="192" t="s">
        <v>1005</v>
      </c>
      <c r="G106" s="192" t="s">
        <v>1022</v>
      </c>
      <c r="H106" s="192" t="s">
        <v>1021</v>
      </c>
      <c r="I106" s="192">
        <v>26925</v>
      </c>
      <c r="J106" s="192">
        <v>27907</v>
      </c>
      <c r="K106" s="192">
        <v>29593</v>
      </c>
      <c r="L106" s="192">
        <v>30843</v>
      </c>
      <c r="M106" s="192">
        <v>31449</v>
      </c>
      <c r="N106" s="192">
        <v>31873</v>
      </c>
      <c r="O106" s="192">
        <v>32397</v>
      </c>
      <c r="P106" s="192">
        <v>41106</v>
      </c>
      <c r="Q106" s="192">
        <v>48378</v>
      </c>
      <c r="R106" s="225">
        <v>57560</v>
      </c>
      <c r="S106" s="225">
        <v>59335</v>
      </c>
      <c r="T106" s="225">
        <v>60318</v>
      </c>
      <c r="U106" s="225">
        <v>61526</v>
      </c>
      <c r="V106" s="225"/>
      <c r="W106" s="151"/>
      <c r="X106" s="151">
        <v>982</v>
      </c>
      <c r="Y106" s="151">
        <v>1686</v>
      </c>
      <c r="Z106" s="151">
        <v>1250</v>
      </c>
      <c r="AA106" s="151">
        <v>606</v>
      </c>
      <c r="AB106" s="151">
        <v>424</v>
      </c>
      <c r="AC106" s="151">
        <v>524</v>
      </c>
      <c r="AD106" s="151">
        <v>8709</v>
      </c>
      <c r="AE106" s="151">
        <v>7272</v>
      </c>
      <c r="AF106" s="151">
        <v>9182</v>
      </c>
      <c r="AG106" s="151">
        <v>1775</v>
      </c>
      <c r="AH106" s="151">
        <v>983</v>
      </c>
      <c r="AI106" s="151">
        <v>1208</v>
      </c>
    </row>
    <row r="107" spans="1:35" ht="18.75" x14ac:dyDescent="0.25">
      <c r="A107" s="295"/>
      <c r="B107" s="106" t="s">
        <v>66</v>
      </c>
      <c r="C107" s="106" t="s">
        <v>55</v>
      </c>
      <c r="D107" s="106">
        <v>150</v>
      </c>
      <c r="E107" s="192" t="s">
        <v>816</v>
      </c>
      <c r="F107" s="192" t="s">
        <v>1006</v>
      </c>
      <c r="G107" s="192" t="s">
        <v>67</v>
      </c>
      <c r="H107" s="192"/>
      <c r="I107" s="192">
        <v>455697</v>
      </c>
      <c r="J107" s="192">
        <v>457762</v>
      </c>
      <c r="K107" s="192">
        <v>462459</v>
      </c>
      <c r="L107" s="192">
        <v>466820</v>
      </c>
      <c r="M107" s="192">
        <v>470262</v>
      </c>
      <c r="N107" s="192">
        <v>472813</v>
      </c>
      <c r="O107" s="192">
        <v>476223</v>
      </c>
      <c r="P107" s="192">
        <v>481904</v>
      </c>
      <c r="Q107" s="192">
        <v>488418</v>
      </c>
      <c r="R107" s="225">
        <v>494630</v>
      </c>
      <c r="S107" s="225">
        <v>498459</v>
      </c>
      <c r="T107" s="225">
        <v>502213</v>
      </c>
      <c r="U107" s="225">
        <v>505695</v>
      </c>
      <c r="V107" s="225"/>
      <c r="W107" s="151"/>
      <c r="X107" s="151">
        <v>2065</v>
      </c>
      <c r="Y107" s="151">
        <v>4697</v>
      </c>
      <c r="Z107" s="151">
        <v>4361</v>
      </c>
      <c r="AA107" s="151">
        <v>3442</v>
      </c>
      <c r="AB107" s="151">
        <v>2551</v>
      </c>
      <c r="AC107" s="151">
        <v>3410</v>
      </c>
      <c r="AD107" s="151">
        <v>5681</v>
      </c>
      <c r="AE107" s="151">
        <v>6514</v>
      </c>
      <c r="AF107" s="151">
        <v>6212</v>
      </c>
      <c r="AG107" s="151">
        <v>3829</v>
      </c>
      <c r="AH107" s="151">
        <v>3754</v>
      </c>
      <c r="AI107" s="151">
        <v>3482</v>
      </c>
    </row>
    <row r="108" spans="1:35" ht="18.75" x14ac:dyDescent="0.25">
      <c r="A108" s="295"/>
      <c r="B108" s="106" t="s">
        <v>64</v>
      </c>
      <c r="C108" s="106" t="s">
        <v>55</v>
      </c>
      <c r="D108" s="106">
        <v>140</v>
      </c>
      <c r="E108" s="192" t="s">
        <v>887</v>
      </c>
      <c r="F108" s="192" t="s">
        <v>1008</v>
      </c>
      <c r="G108" s="192" t="s">
        <v>65</v>
      </c>
      <c r="H108" s="192"/>
      <c r="I108" s="192">
        <v>771239</v>
      </c>
      <c r="J108" s="192">
        <v>783672</v>
      </c>
      <c r="K108" s="192">
        <v>801591</v>
      </c>
      <c r="L108" s="192">
        <v>817370</v>
      </c>
      <c r="M108" s="192">
        <v>830141</v>
      </c>
      <c r="N108" s="192">
        <v>840980</v>
      </c>
      <c r="O108" s="192">
        <v>851166</v>
      </c>
      <c r="P108" s="192">
        <v>864355</v>
      </c>
      <c r="Q108" s="192">
        <v>877914</v>
      </c>
      <c r="R108" s="225">
        <v>894510</v>
      </c>
      <c r="S108" s="225">
        <v>904394</v>
      </c>
      <c r="T108" s="225">
        <v>916685</v>
      </c>
      <c r="U108" s="225">
        <v>927553</v>
      </c>
      <c r="V108" s="225"/>
      <c r="W108" s="151"/>
      <c r="X108" s="151">
        <v>12433</v>
      </c>
      <c r="Y108" s="151">
        <v>17919</v>
      </c>
      <c r="Z108" s="151">
        <v>15779</v>
      </c>
      <c r="AA108" s="151">
        <v>12771</v>
      </c>
      <c r="AB108" s="151">
        <v>10839</v>
      </c>
      <c r="AC108" s="151">
        <v>10186</v>
      </c>
      <c r="AD108" s="151">
        <v>13189</v>
      </c>
      <c r="AE108" s="151">
        <v>13559</v>
      </c>
      <c r="AF108" s="151">
        <v>16596</v>
      </c>
      <c r="AG108" s="151">
        <v>9884</v>
      </c>
      <c r="AH108" s="151">
        <v>12291</v>
      </c>
      <c r="AI108" s="151">
        <v>10868</v>
      </c>
    </row>
    <row r="109" spans="1:35" ht="18.75" x14ac:dyDescent="0.25">
      <c r="A109" s="295"/>
      <c r="B109" s="106" t="s">
        <v>722</v>
      </c>
      <c r="C109" s="106" t="s">
        <v>55</v>
      </c>
      <c r="D109" s="106">
        <v>140</v>
      </c>
      <c r="E109" s="192" t="s">
        <v>888</v>
      </c>
      <c r="F109" s="192" t="s">
        <v>70</v>
      </c>
      <c r="G109" s="192" t="s">
        <v>71</v>
      </c>
      <c r="H109" s="192"/>
      <c r="I109" s="192">
        <v>18189</v>
      </c>
      <c r="J109" s="192">
        <v>18250</v>
      </c>
      <c r="K109" s="192">
        <v>18582</v>
      </c>
      <c r="L109" s="192">
        <v>18739</v>
      </c>
      <c r="M109" s="192">
        <v>18868</v>
      </c>
      <c r="N109" s="192">
        <v>18985</v>
      </c>
      <c r="O109" s="192">
        <v>19150</v>
      </c>
      <c r="P109" s="192">
        <v>19200</v>
      </c>
      <c r="Q109" s="192">
        <v>19419</v>
      </c>
      <c r="R109" s="225">
        <v>19577</v>
      </c>
      <c r="S109" s="225">
        <v>19672</v>
      </c>
      <c r="T109" s="225">
        <v>19783</v>
      </c>
      <c r="U109" s="225"/>
      <c r="V109" s="225"/>
      <c r="W109" s="151"/>
      <c r="X109" s="151">
        <v>61</v>
      </c>
      <c r="Y109" s="151">
        <v>332</v>
      </c>
      <c r="Z109" s="151">
        <v>157</v>
      </c>
      <c r="AA109" s="151">
        <v>129</v>
      </c>
      <c r="AB109" s="151">
        <v>117</v>
      </c>
      <c r="AC109" s="151">
        <v>165</v>
      </c>
      <c r="AD109" s="151">
        <v>50</v>
      </c>
      <c r="AE109" s="151">
        <v>219</v>
      </c>
      <c r="AF109" s="151">
        <v>158</v>
      </c>
      <c r="AG109" s="151">
        <v>95</v>
      </c>
      <c r="AH109" s="151">
        <v>111</v>
      </c>
      <c r="AI109" s="151" t="s">
        <v>734</v>
      </c>
    </row>
    <row r="110" spans="1:35" ht="18.75" x14ac:dyDescent="0.25">
      <c r="A110" s="295"/>
      <c r="B110" s="106" t="s">
        <v>78</v>
      </c>
      <c r="C110" s="106" t="s">
        <v>723</v>
      </c>
      <c r="D110" s="106">
        <v>0</v>
      </c>
      <c r="E110" s="192" t="s">
        <v>889</v>
      </c>
      <c r="F110" s="192" t="s">
        <v>819</v>
      </c>
      <c r="G110" s="192"/>
      <c r="H110" s="192"/>
      <c r="I110" s="192">
        <v>5965608</v>
      </c>
      <c r="J110" s="192">
        <v>6004527</v>
      </c>
      <c r="K110" s="192">
        <v>6082785</v>
      </c>
      <c r="L110" s="192">
        <v>6151687</v>
      </c>
      <c r="M110" s="192">
        <v>6211260</v>
      </c>
      <c r="N110" s="192">
        <v>6270812</v>
      </c>
      <c r="O110" s="192">
        <v>6326012</v>
      </c>
      <c r="P110" s="192">
        <v>6414369</v>
      </c>
      <c r="Q110" s="192">
        <v>6504070</v>
      </c>
      <c r="R110" s="225">
        <v>6604074</v>
      </c>
      <c r="S110" s="225">
        <v>6672894</v>
      </c>
      <c r="T110" s="225">
        <v>6722505</v>
      </c>
      <c r="U110" s="225">
        <v>6789104</v>
      </c>
      <c r="V110" s="225"/>
      <c r="W110" s="151"/>
      <c r="X110" s="151">
        <v>38919</v>
      </c>
      <c r="Y110" s="151">
        <v>78258</v>
      </c>
      <c r="Z110" s="151">
        <v>68902</v>
      </c>
      <c r="AA110" s="151">
        <v>59573</v>
      </c>
      <c r="AB110" s="151">
        <v>59552</v>
      </c>
      <c r="AC110" s="151">
        <v>55200</v>
      </c>
      <c r="AD110" s="151">
        <v>88357</v>
      </c>
      <c r="AE110" s="151">
        <v>89701</v>
      </c>
      <c r="AF110" s="151">
        <v>100004</v>
      </c>
      <c r="AG110" s="151">
        <v>68820</v>
      </c>
      <c r="AH110" s="151">
        <v>49611</v>
      </c>
      <c r="AI110" s="151">
        <v>66599</v>
      </c>
    </row>
    <row r="111" spans="1:35" ht="18.75" x14ac:dyDescent="0.25">
      <c r="A111" s="295"/>
      <c r="B111" s="106" t="s">
        <v>79</v>
      </c>
      <c r="C111" s="106" t="s">
        <v>724</v>
      </c>
      <c r="D111" s="106">
        <v>140</v>
      </c>
      <c r="E111" s="192" t="s">
        <v>891</v>
      </c>
      <c r="F111" s="192"/>
      <c r="G111" s="192" t="s">
        <v>687</v>
      </c>
      <c r="H111" s="192" t="s">
        <v>815</v>
      </c>
      <c r="I111" s="192">
        <v>2715318</v>
      </c>
      <c r="J111" s="192">
        <v>2724433</v>
      </c>
      <c r="K111" s="192">
        <v>2746382</v>
      </c>
      <c r="L111" s="192">
        <v>2765194</v>
      </c>
      <c r="M111" s="192">
        <v>2783268</v>
      </c>
      <c r="N111" s="192">
        <v>2811166</v>
      </c>
      <c r="O111" s="192">
        <v>2830973</v>
      </c>
      <c r="P111" s="192">
        <v>2862488</v>
      </c>
      <c r="Q111" s="192">
        <v>2885408</v>
      </c>
      <c r="R111" s="225">
        <v>2918081</v>
      </c>
      <c r="S111" s="225">
        <v>2946992</v>
      </c>
      <c r="T111" s="225">
        <v>2962285</v>
      </c>
      <c r="U111" s="225">
        <v>2996234</v>
      </c>
      <c r="V111" s="225">
        <v>0</v>
      </c>
      <c r="W111" s="151"/>
      <c r="X111" s="151">
        <v>9115</v>
      </c>
      <c r="Y111" s="151">
        <v>21949</v>
      </c>
      <c r="Z111" s="151">
        <v>18812</v>
      </c>
      <c r="AA111" s="151">
        <v>18074</v>
      </c>
      <c r="AB111" s="151">
        <v>27898</v>
      </c>
      <c r="AC111" s="151">
        <v>19807</v>
      </c>
      <c r="AD111" s="151">
        <v>31515</v>
      </c>
      <c r="AE111" s="151">
        <v>22920</v>
      </c>
      <c r="AF111" s="151">
        <v>32673</v>
      </c>
      <c r="AG111" s="151">
        <v>28911</v>
      </c>
      <c r="AH111" s="151">
        <v>15293</v>
      </c>
      <c r="AI111" s="151">
        <v>33949</v>
      </c>
    </row>
    <row r="112" spans="1:35" ht="18.75" x14ac:dyDescent="0.25">
      <c r="A112" s="295"/>
      <c r="B112" s="106">
        <v>52577618</v>
      </c>
      <c r="C112" s="106" t="s">
        <v>86</v>
      </c>
      <c r="D112" s="106">
        <v>1</v>
      </c>
      <c r="E112" s="192" t="s">
        <v>755</v>
      </c>
      <c r="F112" s="192" t="s">
        <v>63</v>
      </c>
      <c r="G112" s="192" t="s">
        <v>1354</v>
      </c>
      <c r="H112" s="192" t="s">
        <v>801</v>
      </c>
      <c r="I112" s="192">
        <v>39802</v>
      </c>
      <c r="J112" s="192">
        <v>39808</v>
      </c>
      <c r="K112" s="192">
        <v>39820</v>
      </c>
      <c r="L112" s="192">
        <v>39832</v>
      </c>
      <c r="M112" s="192">
        <v>39988</v>
      </c>
      <c r="N112" s="192"/>
      <c r="O112" s="192"/>
      <c r="P112" s="192"/>
      <c r="Q112" s="192"/>
      <c r="R112" s="225"/>
      <c r="S112" s="225"/>
      <c r="T112" s="225"/>
      <c r="U112" s="225"/>
      <c r="V112" s="225"/>
      <c r="W112" s="151"/>
      <c r="X112" s="151">
        <v>1200</v>
      </c>
      <c r="Y112" s="151">
        <v>2400</v>
      </c>
      <c r="Z112" s="151">
        <v>2400</v>
      </c>
      <c r="AA112" s="151">
        <v>31200</v>
      </c>
      <c r="AB112" s="151" t="s">
        <v>734</v>
      </c>
      <c r="AC112" s="151" t="s">
        <v>734</v>
      </c>
      <c r="AD112" s="151" t="s">
        <v>734</v>
      </c>
      <c r="AE112" s="151" t="s">
        <v>734</v>
      </c>
      <c r="AF112" s="151" t="s">
        <v>734</v>
      </c>
      <c r="AG112" s="151" t="s">
        <v>734</v>
      </c>
      <c r="AH112" s="151" t="s">
        <v>734</v>
      </c>
      <c r="AI112" s="151" t="s">
        <v>734</v>
      </c>
    </row>
    <row r="113" spans="1:35" ht="18.75" x14ac:dyDescent="0.25">
      <c r="A113" s="295"/>
      <c r="B113" s="106" t="s">
        <v>751</v>
      </c>
      <c r="C113" s="106" t="s">
        <v>86</v>
      </c>
      <c r="D113" s="106">
        <v>132</v>
      </c>
      <c r="E113" s="192" t="s">
        <v>1310</v>
      </c>
      <c r="F113" s="192" t="s">
        <v>885</v>
      </c>
      <c r="G113" s="192"/>
      <c r="H113" s="192"/>
      <c r="I113" s="192">
        <v>82652</v>
      </c>
      <c r="J113" s="192">
        <v>83047</v>
      </c>
      <c r="K113" s="192">
        <v>83800</v>
      </c>
      <c r="L113" s="192">
        <v>84435</v>
      </c>
      <c r="M113" s="192">
        <v>85074</v>
      </c>
      <c r="N113" s="192">
        <v>85543</v>
      </c>
      <c r="O113" s="192">
        <v>86026</v>
      </c>
      <c r="P113" s="192">
        <v>86536</v>
      </c>
      <c r="Q113" s="192">
        <v>87029</v>
      </c>
      <c r="R113" s="225">
        <v>87624</v>
      </c>
      <c r="S113" s="225">
        <v>88197</v>
      </c>
      <c r="T113" s="225">
        <v>88936</v>
      </c>
      <c r="U113" s="225">
        <v>89769</v>
      </c>
      <c r="V113" s="225"/>
      <c r="W113" s="151"/>
      <c r="X113" s="151">
        <v>395</v>
      </c>
      <c r="Y113" s="151">
        <v>753</v>
      </c>
      <c r="Z113" s="151">
        <v>635</v>
      </c>
      <c r="AA113" s="151">
        <v>639</v>
      </c>
      <c r="AB113" s="151">
        <v>469</v>
      </c>
      <c r="AC113" s="151">
        <v>483</v>
      </c>
      <c r="AD113" s="151">
        <v>510</v>
      </c>
      <c r="AE113" s="151">
        <v>493</v>
      </c>
      <c r="AF113" s="151">
        <v>595</v>
      </c>
      <c r="AG113" s="151">
        <v>573</v>
      </c>
      <c r="AH113" s="151">
        <v>739</v>
      </c>
      <c r="AI113" s="151">
        <v>833</v>
      </c>
    </row>
    <row r="114" spans="1:35" ht="18.75" x14ac:dyDescent="0.25">
      <c r="A114" s="295"/>
      <c r="B114" s="210" t="s">
        <v>1231</v>
      </c>
      <c r="C114" s="61" t="s">
        <v>90</v>
      </c>
      <c r="D114" s="61">
        <v>140</v>
      </c>
      <c r="E114" s="197" t="s">
        <v>890</v>
      </c>
      <c r="F114" s="197" t="s">
        <v>986</v>
      </c>
      <c r="G114" s="198" t="s">
        <v>99</v>
      </c>
      <c r="H114" s="197"/>
      <c r="I114" s="199">
        <v>130</v>
      </c>
      <c r="J114" s="199">
        <v>130</v>
      </c>
      <c r="K114" s="199">
        <v>130</v>
      </c>
      <c r="L114" s="199">
        <v>130</v>
      </c>
      <c r="M114" s="199">
        <v>130</v>
      </c>
      <c r="N114" s="199">
        <v>130</v>
      </c>
      <c r="O114" s="199">
        <v>130</v>
      </c>
      <c r="P114" s="199">
        <v>130</v>
      </c>
      <c r="Q114" s="199">
        <v>130</v>
      </c>
      <c r="R114" s="235">
        <v>130</v>
      </c>
      <c r="S114" s="225">
        <v>130</v>
      </c>
      <c r="T114" s="225">
        <v>130</v>
      </c>
      <c r="U114" s="225">
        <v>130</v>
      </c>
      <c r="V114" s="225"/>
      <c r="W114" s="151"/>
      <c r="X114" s="151">
        <v>0</v>
      </c>
      <c r="Y114" s="151">
        <v>0</v>
      </c>
      <c r="Z114" s="151">
        <v>0</v>
      </c>
      <c r="AA114" s="151">
        <v>0</v>
      </c>
      <c r="AB114" s="151">
        <v>0</v>
      </c>
      <c r="AC114" s="151">
        <v>0</v>
      </c>
      <c r="AD114" s="151">
        <v>0</v>
      </c>
      <c r="AE114" s="151">
        <v>0</v>
      </c>
      <c r="AF114" s="151">
        <v>0</v>
      </c>
      <c r="AG114" s="151">
        <v>0</v>
      </c>
      <c r="AH114" s="151">
        <v>0</v>
      </c>
      <c r="AI114" s="151">
        <v>0</v>
      </c>
    </row>
    <row r="115" spans="1:35" ht="18.75" x14ac:dyDescent="0.25">
      <c r="A115" s="295"/>
      <c r="B115" s="106" t="s">
        <v>1238</v>
      </c>
      <c r="C115" s="106" t="s">
        <v>90</v>
      </c>
      <c r="D115" s="106">
        <v>140</v>
      </c>
      <c r="E115" s="192" t="s">
        <v>691</v>
      </c>
      <c r="F115" s="192" t="s">
        <v>992</v>
      </c>
      <c r="G115" s="192"/>
      <c r="H115" s="192"/>
      <c r="I115" s="192">
        <v>3060</v>
      </c>
      <c r="J115" s="192">
        <v>3198</v>
      </c>
      <c r="K115" s="192">
        <v>3457</v>
      </c>
      <c r="L115" s="192">
        <v>3710</v>
      </c>
      <c r="M115" s="192">
        <v>3985</v>
      </c>
      <c r="N115" s="192">
        <v>4221</v>
      </c>
      <c r="O115" s="192">
        <v>4481</v>
      </c>
      <c r="P115" s="192">
        <v>4719</v>
      </c>
      <c r="Q115" s="192">
        <v>4963</v>
      </c>
      <c r="R115" s="225">
        <v>5210</v>
      </c>
      <c r="S115" s="225">
        <v>5446</v>
      </c>
      <c r="T115" s="225">
        <v>5741</v>
      </c>
      <c r="U115" s="225">
        <v>6035</v>
      </c>
      <c r="V115" s="225"/>
      <c r="W115" s="151"/>
      <c r="X115" s="151">
        <v>138</v>
      </c>
      <c r="Y115" s="151">
        <v>259</v>
      </c>
      <c r="Z115" s="151">
        <v>253</v>
      </c>
      <c r="AA115" s="151">
        <v>275</v>
      </c>
      <c r="AB115" s="151">
        <v>236</v>
      </c>
      <c r="AC115" s="151">
        <v>260</v>
      </c>
      <c r="AD115" s="151">
        <v>238</v>
      </c>
      <c r="AE115" s="151">
        <v>244</v>
      </c>
      <c r="AF115" s="151">
        <v>247</v>
      </c>
      <c r="AG115" s="151">
        <v>236</v>
      </c>
      <c r="AH115" s="151">
        <v>295</v>
      </c>
      <c r="AI115" s="151">
        <v>294</v>
      </c>
    </row>
    <row r="116" spans="1:35" ht="18.75" x14ac:dyDescent="0.25">
      <c r="A116" s="295"/>
      <c r="B116" s="106" t="s">
        <v>1234</v>
      </c>
      <c r="C116" s="106" t="s">
        <v>90</v>
      </c>
      <c r="D116" s="106">
        <v>131</v>
      </c>
      <c r="E116" s="192" t="s">
        <v>1045</v>
      </c>
      <c r="F116" s="192" t="s">
        <v>988</v>
      </c>
      <c r="G116" s="192"/>
      <c r="H116" s="192"/>
      <c r="I116" s="192">
        <v>62062</v>
      </c>
      <c r="J116" s="192">
        <v>64905</v>
      </c>
      <c r="K116" s="192">
        <v>70940</v>
      </c>
      <c r="L116" s="192">
        <v>76771</v>
      </c>
      <c r="M116" s="192">
        <v>82086</v>
      </c>
      <c r="N116" s="192">
        <v>87143</v>
      </c>
      <c r="O116" s="192">
        <v>91908</v>
      </c>
      <c r="P116" s="192">
        <v>95959</v>
      </c>
      <c r="Q116" s="192">
        <v>100573</v>
      </c>
      <c r="R116" s="110">
        <v>106170</v>
      </c>
      <c r="S116" s="110">
        <v>111967</v>
      </c>
      <c r="T116" s="110">
        <v>119356</v>
      </c>
      <c r="U116" s="110">
        <v>126767</v>
      </c>
      <c r="V116" s="110"/>
      <c r="W116" s="151"/>
      <c r="X116" s="151">
        <v>2843</v>
      </c>
      <c r="Y116" s="151">
        <v>6035</v>
      </c>
      <c r="Z116" s="151">
        <v>5831</v>
      </c>
      <c r="AA116" s="151">
        <v>5315</v>
      </c>
      <c r="AB116" s="151">
        <v>5057</v>
      </c>
      <c r="AC116" s="151">
        <v>4765</v>
      </c>
      <c r="AD116" s="151">
        <v>4051</v>
      </c>
      <c r="AE116" s="151">
        <v>4614</v>
      </c>
      <c r="AF116" s="151">
        <v>5597</v>
      </c>
      <c r="AG116" s="151">
        <v>5797</v>
      </c>
      <c r="AH116" s="151">
        <v>7389</v>
      </c>
      <c r="AI116" s="151">
        <v>7411</v>
      </c>
    </row>
    <row r="117" spans="1:35" ht="18.75" x14ac:dyDescent="0.25">
      <c r="A117" s="295"/>
      <c r="B117" s="106" t="s">
        <v>116</v>
      </c>
      <c r="C117" s="106" t="s">
        <v>106</v>
      </c>
      <c r="D117" s="106">
        <v>132</v>
      </c>
      <c r="E117" s="192" t="s">
        <v>879</v>
      </c>
      <c r="F117" s="192" t="s">
        <v>984</v>
      </c>
      <c r="G117" s="192" t="s">
        <v>117</v>
      </c>
      <c r="H117" s="192"/>
      <c r="I117" s="192">
        <v>193891</v>
      </c>
      <c r="J117" s="192">
        <v>195118</v>
      </c>
      <c r="K117" s="192">
        <v>197289</v>
      </c>
      <c r="L117" s="192">
        <v>199197</v>
      </c>
      <c r="M117" s="192">
        <v>200869</v>
      </c>
      <c r="N117" s="192">
        <v>202454</v>
      </c>
      <c r="O117" s="192">
        <v>203863</v>
      </c>
      <c r="P117" s="192">
        <v>205261</v>
      </c>
      <c r="Q117" s="192">
        <v>206768</v>
      </c>
      <c r="R117" s="225">
        <v>206992</v>
      </c>
      <c r="S117" s="225">
        <v>207272</v>
      </c>
      <c r="T117" s="225">
        <v>208241</v>
      </c>
      <c r="U117" s="225">
        <v>208322</v>
      </c>
      <c r="V117" s="225"/>
      <c r="W117" s="151"/>
      <c r="X117" s="151">
        <v>1227</v>
      </c>
      <c r="Y117" s="151">
        <v>2171</v>
      </c>
      <c r="Z117" s="151">
        <v>1908</v>
      </c>
      <c r="AA117" s="151">
        <v>1672</v>
      </c>
      <c r="AB117" s="151">
        <v>1585</v>
      </c>
      <c r="AC117" s="151">
        <v>1409</v>
      </c>
      <c r="AD117" s="151">
        <v>1398</v>
      </c>
      <c r="AE117" s="151">
        <v>1507</v>
      </c>
      <c r="AF117" s="151">
        <v>224</v>
      </c>
      <c r="AG117" s="151">
        <v>280</v>
      </c>
      <c r="AH117" s="151">
        <v>969</v>
      </c>
      <c r="AI117" s="151">
        <v>81</v>
      </c>
    </row>
    <row r="118" spans="1:35" ht="18.75" x14ac:dyDescent="0.25">
      <c r="A118" s="295"/>
      <c r="B118" s="106" t="s">
        <v>1311</v>
      </c>
      <c r="C118" s="106" t="s">
        <v>106</v>
      </c>
      <c r="D118" s="106">
        <v>141</v>
      </c>
      <c r="E118" s="192" t="s">
        <v>809</v>
      </c>
      <c r="F118" s="192" t="s">
        <v>810</v>
      </c>
      <c r="G118" s="192"/>
      <c r="H118" s="192"/>
      <c r="I118" s="192">
        <v>8534</v>
      </c>
      <c r="J118" s="192">
        <v>8571</v>
      </c>
      <c r="K118" s="192">
        <v>8603</v>
      </c>
      <c r="L118" s="192">
        <v>8635</v>
      </c>
      <c r="M118" s="192">
        <v>8664</v>
      </c>
      <c r="N118" s="192">
        <v>8700</v>
      </c>
      <c r="O118" s="192">
        <v>8735</v>
      </c>
      <c r="P118" s="192">
        <v>8773</v>
      </c>
      <c r="Q118" s="192">
        <v>8808</v>
      </c>
      <c r="R118" s="225">
        <v>8879</v>
      </c>
      <c r="S118" s="225">
        <v>8924</v>
      </c>
      <c r="T118" s="225">
        <v>8958</v>
      </c>
      <c r="U118" s="225">
        <v>8995</v>
      </c>
      <c r="V118" s="225"/>
      <c r="W118" s="151"/>
      <c r="X118" s="151">
        <v>37</v>
      </c>
      <c r="Y118" s="151">
        <v>32</v>
      </c>
      <c r="Z118" s="151">
        <v>32</v>
      </c>
      <c r="AA118" s="151">
        <v>29</v>
      </c>
      <c r="AB118" s="151">
        <v>36</v>
      </c>
      <c r="AC118" s="151">
        <v>35</v>
      </c>
      <c r="AD118" s="151">
        <v>38</v>
      </c>
      <c r="AE118" s="151">
        <v>35</v>
      </c>
      <c r="AF118" s="151">
        <v>71</v>
      </c>
      <c r="AG118" s="151">
        <v>45</v>
      </c>
      <c r="AH118" s="151">
        <v>34</v>
      </c>
      <c r="AI118" s="151">
        <v>37</v>
      </c>
    </row>
    <row r="119" spans="1:35" ht="18.75" x14ac:dyDescent="0.25">
      <c r="A119" s="295"/>
      <c r="B119" s="106" t="s">
        <v>1303</v>
      </c>
      <c r="C119" s="106" t="s">
        <v>971</v>
      </c>
      <c r="D119" s="106">
        <v>140</v>
      </c>
      <c r="E119" s="192" t="s">
        <v>972</v>
      </c>
      <c r="F119" s="192" t="s">
        <v>63</v>
      </c>
      <c r="G119" s="192"/>
      <c r="H119" s="192">
        <v>504907</v>
      </c>
      <c r="I119" s="192">
        <v>504907</v>
      </c>
      <c r="J119" s="192">
        <v>504907</v>
      </c>
      <c r="K119" s="192">
        <v>504907</v>
      </c>
      <c r="L119" s="192">
        <v>504907</v>
      </c>
      <c r="M119" s="192">
        <v>504907</v>
      </c>
      <c r="N119" s="192">
        <v>504907</v>
      </c>
      <c r="O119" s="192">
        <v>504907</v>
      </c>
      <c r="P119" s="192">
        <v>504907</v>
      </c>
      <c r="Q119" s="192">
        <v>504907</v>
      </c>
      <c r="R119" s="110">
        <v>504907</v>
      </c>
      <c r="S119" s="110">
        <v>504907</v>
      </c>
      <c r="T119" s="110">
        <v>504907</v>
      </c>
      <c r="U119" s="110">
        <v>504907</v>
      </c>
      <c r="V119" s="110"/>
      <c r="W119" s="151"/>
      <c r="X119" s="151">
        <v>0</v>
      </c>
      <c r="Y119" s="151">
        <v>0</v>
      </c>
      <c r="Z119" s="151">
        <v>0</v>
      </c>
      <c r="AA119" s="151">
        <v>0</v>
      </c>
      <c r="AB119" s="151">
        <v>0</v>
      </c>
      <c r="AC119" s="151">
        <v>0</v>
      </c>
      <c r="AD119" s="151">
        <v>0</v>
      </c>
      <c r="AE119" s="151">
        <v>0</v>
      </c>
      <c r="AF119" s="151">
        <v>0</v>
      </c>
      <c r="AG119" s="151">
        <v>0</v>
      </c>
      <c r="AH119" s="151">
        <v>0</v>
      </c>
      <c r="AI119" s="151">
        <v>0</v>
      </c>
    </row>
    <row r="120" spans="1:35" ht="18.75" x14ac:dyDescent="0.25">
      <c r="A120" s="295"/>
      <c r="B120" s="106" t="s">
        <v>125</v>
      </c>
      <c r="C120" s="103" t="s">
        <v>121</v>
      </c>
      <c r="D120" s="103">
        <v>150</v>
      </c>
      <c r="E120" s="194" t="s">
        <v>21</v>
      </c>
      <c r="F120" s="194" t="s">
        <v>994</v>
      </c>
      <c r="G120" s="108" t="s">
        <v>126</v>
      </c>
      <c r="H120" s="195"/>
      <c r="I120" s="193">
        <v>335536</v>
      </c>
      <c r="J120" s="193">
        <v>337338</v>
      </c>
      <c r="K120" s="193">
        <v>341306</v>
      </c>
      <c r="L120" s="193">
        <v>344582</v>
      </c>
      <c r="M120" s="193">
        <v>347130</v>
      </c>
      <c r="N120" s="193">
        <v>349843</v>
      </c>
      <c r="O120" s="193">
        <v>353731</v>
      </c>
      <c r="P120" s="193">
        <v>359367</v>
      </c>
      <c r="Q120" s="193">
        <v>365163</v>
      </c>
      <c r="R120" s="235">
        <v>371195</v>
      </c>
      <c r="S120" s="225">
        <v>375348</v>
      </c>
      <c r="T120" s="225">
        <v>378433</v>
      </c>
      <c r="U120" s="225">
        <v>381626</v>
      </c>
      <c r="V120" s="225"/>
      <c r="W120" s="151"/>
      <c r="X120" s="151">
        <v>1802</v>
      </c>
      <c r="Y120" s="151">
        <v>3968</v>
      </c>
      <c r="Z120" s="151">
        <v>3276</v>
      </c>
      <c r="AA120" s="151">
        <v>2548</v>
      </c>
      <c r="AB120" s="151">
        <v>2713</v>
      </c>
      <c r="AC120" s="151">
        <v>3888</v>
      </c>
      <c r="AD120" s="151">
        <v>5636</v>
      </c>
      <c r="AE120" s="151">
        <v>5796</v>
      </c>
      <c r="AF120" s="151">
        <v>6032</v>
      </c>
      <c r="AG120" s="151">
        <v>4153</v>
      </c>
      <c r="AH120" s="151">
        <v>3085</v>
      </c>
      <c r="AI120" s="151">
        <v>3193</v>
      </c>
    </row>
    <row r="121" spans="1:35" ht="18.75" x14ac:dyDescent="0.25">
      <c r="A121" s="295"/>
      <c r="B121" s="106" t="s">
        <v>129</v>
      </c>
      <c r="C121" s="106" t="s">
        <v>121</v>
      </c>
      <c r="D121" s="106">
        <v>122</v>
      </c>
      <c r="E121" s="192" t="s">
        <v>130</v>
      </c>
      <c r="F121" s="192" t="s">
        <v>38</v>
      </c>
      <c r="G121" s="192" t="s">
        <v>130</v>
      </c>
      <c r="H121" s="192"/>
      <c r="I121" s="192">
        <v>539875</v>
      </c>
      <c r="J121" s="192">
        <v>540882</v>
      </c>
      <c r="K121" s="192">
        <v>543996</v>
      </c>
      <c r="L121" s="192">
        <v>546837</v>
      </c>
      <c r="M121" s="192">
        <v>549224</v>
      </c>
      <c r="N121" s="192">
        <v>553391</v>
      </c>
      <c r="O121" s="192">
        <v>561675</v>
      </c>
      <c r="P121" s="192">
        <v>580889</v>
      </c>
      <c r="Q121" s="192">
        <v>604838</v>
      </c>
      <c r="R121" s="235">
        <v>608826</v>
      </c>
      <c r="S121" s="225">
        <v>608865</v>
      </c>
      <c r="T121" s="225">
        <v>608910</v>
      </c>
      <c r="U121" s="225">
        <v>608954</v>
      </c>
      <c r="V121" s="225"/>
      <c r="W121" s="151"/>
      <c r="X121" s="151">
        <v>1007</v>
      </c>
      <c r="Y121" s="151">
        <v>3114</v>
      </c>
      <c r="Z121" s="151">
        <v>2841</v>
      </c>
      <c r="AA121" s="151">
        <v>2387</v>
      </c>
      <c r="AB121" s="151">
        <v>4167</v>
      </c>
      <c r="AC121" s="151">
        <v>8284</v>
      </c>
      <c r="AD121" s="151">
        <v>19214</v>
      </c>
      <c r="AE121" s="151">
        <v>23949</v>
      </c>
      <c r="AF121" s="151">
        <v>3988</v>
      </c>
      <c r="AG121" s="151">
        <v>39</v>
      </c>
      <c r="AH121" s="151">
        <v>45</v>
      </c>
      <c r="AI121" s="151">
        <v>44</v>
      </c>
    </row>
    <row r="122" spans="1:35" ht="18.75" x14ac:dyDescent="0.25">
      <c r="A122" s="295"/>
      <c r="B122" s="210" t="s">
        <v>752</v>
      </c>
      <c r="C122" s="61" t="s">
        <v>121</v>
      </c>
      <c r="D122" s="61">
        <v>1</v>
      </c>
      <c r="E122" s="197" t="s">
        <v>753</v>
      </c>
      <c r="F122" s="197" t="s">
        <v>63</v>
      </c>
      <c r="G122" s="198"/>
      <c r="H122" s="197"/>
      <c r="I122" s="199">
        <v>1597838</v>
      </c>
      <c r="J122" s="199">
        <v>1607194</v>
      </c>
      <c r="K122" s="199">
        <v>1628464</v>
      </c>
      <c r="L122" s="199">
        <v>1647828</v>
      </c>
      <c r="M122" s="199">
        <v>1665167</v>
      </c>
      <c r="N122" s="199">
        <v>1683017</v>
      </c>
      <c r="O122" s="199">
        <v>1707642</v>
      </c>
      <c r="P122" s="199">
        <v>1747831</v>
      </c>
      <c r="Q122" s="199">
        <v>1794474</v>
      </c>
      <c r="R122" s="235">
        <v>1821253</v>
      </c>
      <c r="S122" s="225">
        <v>1837989</v>
      </c>
      <c r="T122" s="225">
        <v>1853634</v>
      </c>
      <c r="U122" s="225"/>
      <c r="V122" s="225"/>
      <c r="W122" s="151"/>
      <c r="X122" s="151">
        <v>9356</v>
      </c>
      <c r="Y122" s="151">
        <v>21270</v>
      </c>
      <c r="Z122" s="151">
        <v>19364</v>
      </c>
      <c r="AA122" s="151">
        <v>17339</v>
      </c>
      <c r="AB122" s="151">
        <v>17850</v>
      </c>
      <c r="AC122" s="151">
        <v>24625</v>
      </c>
      <c r="AD122" s="151">
        <v>40189</v>
      </c>
      <c r="AE122" s="151">
        <v>46643</v>
      </c>
      <c r="AF122" s="151">
        <v>26779</v>
      </c>
      <c r="AG122" s="151">
        <v>16736</v>
      </c>
      <c r="AH122" s="151">
        <v>15645</v>
      </c>
      <c r="AI122" s="151" t="s">
        <v>734</v>
      </c>
    </row>
    <row r="123" spans="1:35" ht="18.75" x14ac:dyDescent="0.25">
      <c r="A123" s="295"/>
      <c r="B123" s="210" t="s">
        <v>1237</v>
      </c>
      <c r="C123" s="61" t="s">
        <v>136</v>
      </c>
      <c r="D123" s="61">
        <v>132</v>
      </c>
      <c r="E123" s="197" t="s">
        <v>880</v>
      </c>
      <c r="F123" s="197" t="s">
        <v>728</v>
      </c>
      <c r="G123" s="198" t="s">
        <v>729</v>
      </c>
      <c r="H123" s="198" t="s">
        <v>730</v>
      </c>
      <c r="I123" s="199">
        <v>275725</v>
      </c>
      <c r="J123" s="199">
        <v>300100</v>
      </c>
      <c r="K123" s="199">
        <v>325907</v>
      </c>
      <c r="L123" s="199">
        <v>353775</v>
      </c>
      <c r="M123" s="199">
        <v>380699</v>
      </c>
      <c r="N123" s="199">
        <v>403563</v>
      </c>
      <c r="O123" s="199">
        <v>426158</v>
      </c>
      <c r="P123" s="199">
        <v>446339</v>
      </c>
      <c r="Q123" s="199">
        <v>470158</v>
      </c>
      <c r="R123" s="235">
        <v>498946</v>
      </c>
      <c r="S123" s="225">
        <v>528450</v>
      </c>
      <c r="T123" s="225">
        <v>566119</v>
      </c>
      <c r="U123" s="225">
        <v>604552</v>
      </c>
      <c r="V123" s="225"/>
      <c r="W123" s="151"/>
      <c r="X123" s="151">
        <v>24375</v>
      </c>
      <c r="Y123" s="151">
        <v>25807</v>
      </c>
      <c r="Z123" s="151">
        <v>27868</v>
      </c>
      <c r="AA123" s="151">
        <v>26924</v>
      </c>
      <c r="AB123" s="151">
        <v>22864</v>
      </c>
      <c r="AC123" s="151">
        <v>22595</v>
      </c>
      <c r="AD123" s="151">
        <v>20181</v>
      </c>
      <c r="AE123" s="151">
        <v>23819</v>
      </c>
      <c r="AF123" s="151">
        <v>28788</v>
      </c>
      <c r="AG123" s="151">
        <v>29504</v>
      </c>
      <c r="AH123" s="151">
        <v>37669</v>
      </c>
      <c r="AI123" s="151">
        <v>38433</v>
      </c>
    </row>
    <row r="124" spans="1:35" ht="18.75" x14ac:dyDescent="0.25">
      <c r="A124" s="295"/>
      <c r="B124" s="106" t="s">
        <v>142</v>
      </c>
      <c r="C124" s="106" t="s">
        <v>136</v>
      </c>
      <c r="D124" s="106">
        <v>150</v>
      </c>
      <c r="E124" s="192" t="s">
        <v>21</v>
      </c>
      <c r="F124" s="192" t="s">
        <v>725</v>
      </c>
      <c r="G124" s="192" t="s">
        <v>726</v>
      </c>
      <c r="H124" s="192"/>
      <c r="I124" s="192">
        <v>7946</v>
      </c>
      <c r="J124" s="192">
        <v>8109</v>
      </c>
      <c r="K124" s="192">
        <v>8381</v>
      </c>
      <c r="L124" s="192">
        <v>8646</v>
      </c>
      <c r="M124" s="192">
        <v>8942</v>
      </c>
      <c r="N124" s="192">
        <v>9207</v>
      </c>
      <c r="O124" s="192">
        <v>9483</v>
      </c>
      <c r="P124" s="192">
        <v>9772</v>
      </c>
      <c r="Q124" s="192">
        <v>10045</v>
      </c>
      <c r="R124" s="110">
        <v>10338</v>
      </c>
      <c r="S124" s="110">
        <v>10610</v>
      </c>
      <c r="T124" s="110">
        <v>10916</v>
      </c>
      <c r="U124" s="110">
        <v>11218</v>
      </c>
      <c r="V124" s="110"/>
      <c r="W124" s="151"/>
      <c r="X124" s="151">
        <v>163</v>
      </c>
      <c r="Y124" s="151">
        <v>272</v>
      </c>
      <c r="Z124" s="151">
        <v>265</v>
      </c>
      <c r="AA124" s="151">
        <v>296</v>
      </c>
      <c r="AB124" s="151">
        <v>265</v>
      </c>
      <c r="AC124" s="151">
        <v>276</v>
      </c>
      <c r="AD124" s="151">
        <v>289</v>
      </c>
      <c r="AE124" s="151">
        <v>273</v>
      </c>
      <c r="AF124" s="151">
        <v>293</v>
      </c>
      <c r="AG124" s="151">
        <v>272</v>
      </c>
      <c r="AH124" s="151">
        <v>306</v>
      </c>
      <c r="AI124" s="151">
        <v>302</v>
      </c>
    </row>
    <row r="125" spans="1:35" ht="18.75" x14ac:dyDescent="0.25">
      <c r="A125" s="295"/>
      <c r="B125" s="106" t="s">
        <v>754</v>
      </c>
      <c r="C125" s="106" t="s">
        <v>136</v>
      </c>
      <c r="D125" s="106">
        <v>1</v>
      </c>
      <c r="E125" s="192" t="s">
        <v>901</v>
      </c>
      <c r="F125" s="192" t="s">
        <v>63</v>
      </c>
      <c r="G125" s="192"/>
      <c r="H125" s="192"/>
      <c r="I125" s="192">
        <v>1871062</v>
      </c>
      <c r="J125" s="192"/>
      <c r="K125" s="192">
        <v>1948889</v>
      </c>
      <c r="L125" s="192">
        <v>1992992</v>
      </c>
      <c r="M125" s="192">
        <v>2034378</v>
      </c>
      <c r="N125" s="192">
        <v>2070000</v>
      </c>
      <c r="O125" s="192">
        <v>2103852</v>
      </c>
      <c r="P125" s="192">
        <v>2144259</v>
      </c>
      <c r="Q125" s="192">
        <v>2190863</v>
      </c>
      <c r="R125" s="110">
        <v>2241259</v>
      </c>
      <c r="S125" s="110">
        <v>2285614</v>
      </c>
      <c r="T125" s="110">
        <v>2285614</v>
      </c>
      <c r="U125" s="110"/>
      <c r="V125" s="110"/>
      <c r="W125" s="151"/>
      <c r="X125" s="151" t="s">
        <v>734</v>
      </c>
      <c r="Y125" s="151" t="s">
        <v>734</v>
      </c>
      <c r="Z125" s="151">
        <v>44103</v>
      </c>
      <c r="AA125" s="151">
        <v>41386</v>
      </c>
      <c r="AB125" s="151">
        <v>35622</v>
      </c>
      <c r="AC125" s="151">
        <v>33852</v>
      </c>
      <c r="AD125" s="151">
        <v>40407</v>
      </c>
      <c r="AE125" s="151">
        <v>46604</v>
      </c>
      <c r="AF125" s="151">
        <v>50396</v>
      </c>
      <c r="AG125" s="151">
        <v>44355</v>
      </c>
      <c r="AH125" s="151">
        <v>0</v>
      </c>
      <c r="AI125" s="151" t="s">
        <v>734</v>
      </c>
    </row>
    <row r="126" spans="1:35" ht="18.75" x14ac:dyDescent="0.25">
      <c r="A126" s="295"/>
      <c r="B126" s="106" t="s">
        <v>1342</v>
      </c>
      <c r="C126" s="106" t="s">
        <v>143</v>
      </c>
      <c r="D126" s="106">
        <v>132</v>
      </c>
      <c r="E126" s="192" t="s">
        <v>1463</v>
      </c>
      <c r="F126" s="192" t="s">
        <v>1376</v>
      </c>
      <c r="G126" s="192"/>
      <c r="H126" s="192"/>
      <c r="I126" s="192"/>
      <c r="J126" s="192"/>
      <c r="K126" s="192"/>
      <c r="L126" s="192"/>
      <c r="M126" s="192"/>
      <c r="N126" s="192">
        <v>23</v>
      </c>
      <c r="O126" s="192">
        <v>1470</v>
      </c>
      <c r="P126" s="192">
        <v>2755</v>
      </c>
      <c r="Q126" s="192">
        <v>4799</v>
      </c>
      <c r="R126" s="110">
        <v>6998</v>
      </c>
      <c r="S126" s="110">
        <v>9288</v>
      </c>
      <c r="T126" s="110">
        <v>12284</v>
      </c>
      <c r="U126" s="110">
        <v>15580</v>
      </c>
      <c r="V126" s="110"/>
      <c r="W126" s="151"/>
      <c r="X126" s="151" t="s">
        <v>734</v>
      </c>
      <c r="Y126" s="151" t="s">
        <v>734</v>
      </c>
      <c r="Z126" s="151" t="s">
        <v>734</v>
      </c>
      <c r="AA126" s="151" t="s">
        <v>734</v>
      </c>
      <c r="AB126" s="151" t="s">
        <v>734</v>
      </c>
      <c r="AC126" s="151">
        <v>1447</v>
      </c>
      <c r="AD126" s="151">
        <v>1285</v>
      </c>
      <c r="AE126" s="151">
        <v>2044</v>
      </c>
      <c r="AF126" s="151">
        <v>2199</v>
      </c>
      <c r="AG126" s="151">
        <v>2290</v>
      </c>
      <c r="AH126" s="151">
        <v>2996</v>
      </c>
      <c r="AI126" s="151">
        <v>3296</v>
      </c>
    </row>
    <row r="127" spans="1:35" ht="18.75" x14ac:dyDescent="0.25">
      <c r="A127" s="295"/>
      <c r="B127" s="106" t="s">
        <v>145</v>
      </c>
      <c r="C127" s="106" t="s">
        <v>143</v>
      </c>
      <c r="D127" s="106">
        <v>0</v>
      </c>
      <c r="E127" s="192" t="s">
        <v>146</v>
      </c>
      <c r="F127" s="192" t="s">
        <v>38</v>
      </c>
      <c r="G127" s="192" t="s">
        <v>147</v>
      </c>
      <c r="H127" s="192" t="s">
        <v>1184</v>
      </c>
      <c r="I127" s="192">
        <v>274162</v>
      </c>
      <c r="J127" s="192">
        <v>276831</v>
      </c>
      <c r="K127" s="192">
        <v>280625</v>
      </c>
      <c r="L127" s="192">
        <v>280625</v>
      </c>
      <c r="M127" s="192">
        <v>286625</v>
      </c>
      <c r="N127" s="192"/>
      <c r="O127" s="192"/>
      <c r="P127" s="192"/>
      <c r="Q127" s="192"/>
      <c r="R127" s="110"/>
      <c r="S127" s="110"/>
      <c r="T127" s="110"/>
      <c r="U127" s="110"/>
      <c r="V127" s="110"/>
      <c r="W127" s="151"/>
      <c r="X127" s="151">
        <v>2669</v>
      </c>
      <c r="Y127" s="151">
        <v>3794</v>
      </c>
      <c r="Z127" s="151">
        <v>0</v>
      </c>
      <c r="AA127" s="151">
        <v>6000</v>
      </c>
      <c r="AB127" s="151" t="s">
        <v>734</v>
      </c>
      <c r="AC127" s="151" t="s">
        <v>734</v>
      </c>
      <c r="AD127" s="151" t="s">
        <v>734</v>
      </c>
      <c r="AE127" s="151" t="s">
        <v>734</v>
      </c>
      <c r="AF127" s="151" t="s">
        <v>734</v>
      </c>
      <c r="AG127" s="151" t="s">
        <v>734</v>
      </c>
      <c r="AH127" s="151" t="s">
        <v>734</v>
      </c>
      <c r="AI127" s="151" t="s">
        <v>734</v>
      </c>
    </row>
    <row r="128" spans="1:35" ht="18.75" x14ac:dyDescent="0.25">
      <c r="A128" s="295"/>
      <c r="B128" s="106" t="s">
        <v>1253</v>
      </c>
      <c r="C128" s="106" t="s">
        <v>143</v>
      </c>
      <c r="D128" s="106">
        <v>141</v>
      </c>
      <c r="E128" s="192" t="s">
        <v>803</v>
      </c>
      <c r="F128" s="192" t="s">
        <v>804</v>
      </c>
      <c r="G128" s="192"/>
      <c r="H128" s="192"/>
      <c r="I128" s="192">
        <v>9974</v>
      </c>
      <c r="J128" s="192">
        <v>10015</v>
      </c>
      <c r="K128" s="192">
        <v>10056</v>
      </c>
      <c r="L128" s="192">
        <v>10091</v>
      </c>
      <c r="M128" s="192">
        <v>10119</v>
      </c>
      <c r="N128" s="192">
        <v>10150</v>
      </c>
      <c r="O128" s="192">
        <v>10180</v>
      </c>
      <c r="P128" s="192">
        <v>10205</v>
      </c>
      <c r="Q128" s="192">
        <v>10247</v>
      </c>
      <c r="R128" s="110">
        <v>10300</v>
      </c>
      <c r="S128" s="110">
        <v>10342</v>
      </c>
      <c r="T128" s="110">
        <v>10381</v>
      </c>
      <c r="U128" s="110">
        <v>10433</v>
      </c>
      <c r="V128" s="110"/>
      <c r="W128" s="151"/>
      <c r="X128" s="151">
        <v>41</v>
      </c>
      <c r="Y128" s="151">
        <v>41</v>
      </c>
      <c r="Z128" s="151">
        <v>35</v>
      </c>
      <c r="AA128" s="151">
        <v>28</v>
      </c>
      <c r="AB128" s="151">
        <v>31</v>
      </c>
      <c r="AC128" s="151">
        <v>30</v>
      </c>
      <c r="AD128" s="151">
        <v>25</v>
      </c>
      <c r="AE128" s="151">
        <v>42</v>
      </c>
      <c r="AF128" s="151">
        <v>53</v>
      </c>
      <c r="AG128" s="151">
        <v>42</v>
      </c>
      <c r="AH128" s="151">
        <v>39</v>
      </c>
      <c r="AI128" s="151">
        <v>52</v>
      </c>
    </row>
    <row r="129" spans="1:35" ht="18.75" x14ac:dyDescent="0.25">
      <c r="A129" s="295"/>
      <c r="B129" s="106" t="s">
        <v>1343</v>
      </c>
      <c r="C129" s="106" t="s">
        <v>148</v>
      </c>
      <c r="D129" s="106">
        <v>132</v>
      </c>
      <c r="E129" s="192" t="s">
        <v>1463</v>
      </c>
      <c r="F129" s="192" t="s">
        <v>1376</v>
      </c>
      <c r="G129" s="192"/>
      <c r="H129" s="192"/>
      <c r="I129" s="192"/>
      <c r="J129" s="192"/>
      <c r="K129" s="192"/>
      <c r="L129" s="192"/>
      <c r="M129" s="192"/>
      <c r="N129" s="192">
        <v>23</v>
      </c>
      <c r="O129" s="192">
        <v>50</v>
      </c>
      <c r="P129" s="192">
        <v>68</v>
      </c>
      <c r="Q129" s="192">
        <v>4150</v>
      </c>
      <c r="R129" s="225">
        <v>5971</v>
      </c>
      <c r="S129" s="225">
        <v>7786</v>
      </c>
      <c r="T129" s="225">
        <v>10582</v>
      </c>
      <c r="U129" s="225">
        <v>13338</v>
      </c>
      <c r="V129" s="225"/>
      <c r="W129" s="151"/>
      <c r="X129" s="151" t="s">
        <v>734</v>
      </c>
      <c r="Y129" s="151" t="s">
        <v>734</v>
      </c>
      <c r="Z129" s="151" t="s">
        <v>734</v>
      </c>
      <c r="AA129" s="151" t="s">
        <v>734</v>
      </c>
      <c r="AB129" s="151" t="s">
        <v>734</v>
      </c>
      <c r="AC129" s="151">
        <v>27</v>
      </c>
      <c r="AD129" s="151">
        <v>18</v>
      </c>
      <c r="AE129" s="151">
        <v>4082</v>
      </c>
      <c r="AF129" s="151">
        <v>1821</v>
      </c>
      <c r="AG129" s="151">
        <v>1815</v>
      </c>
      <c r="AH129" s="151">
        <v>2796</v>
      </c>
      <c r="AI129" s="151">
        <v>2756</v>
      </c>
    </row>
    <row r="130" spans="1:35" ht="18.75" x14ac:dyDescent="0.25">
      <c r="A130" s="295"/>
      <c r="B130" s="106" t="s">
        <v>154</v>
      </c>
      <c r="C130" s="106" t="s">
        <v>152</v>
      </c>
      <c r="D130" s="106">
        <v>140</v>
      </c>
      <c r="E130" s="192" t="s">
        <v>155</v>
      </c>
      <c r="F130" s="192" t="s">
        <v>1013</v>
      </c>
      <c r="G130" s="192"/>
      <c r="H130" s="192"/>
      <c r="I130" s="192">
        <v>4895</v>
      </c>
      <c r="J130" s="192">
        <v>4993</v>
      </c>
      <c r="K130" s="192">
        <v>5173</v>
      </c>
      <c r="L130" s="192">
        <v>5332</v>
      </c>
      <c r="M130" s="192">
        <v>5506</v>
      </c>
      <c r="N130" s="192">
        <v>5692</v>
      </c>
      <c r="O130" s="192">
        <v>5827</v>
      </c>
      <c r="P130" s="192">
        <v>6128</v>
      </c>
      <c r="Q130" s="192">
        <v>6330</v>
      </c>
      <c r="R130" s="225">
        <v>6555</v>
      </c>
      <c r="S130" s="225">
        <v>6693</v>
      </c>
      <c r="T130" s="225">
        <v>6834</v>
      </c>
      <c r="U130" s="225">
        <v>6977</v>
      </c>
      <c r="V130" s="225"/>
      <c r="W130" s="151"/>
      <c r="X130" s="151">
        <v>98</v>
      </c>
      <c r="Y130" s="151">
        <v>180</v>
      </c>
      <c r="Z130" s="151">
        <v>159</v>
      </c>
      <c r="AA130" s="151">
        <v>174</v>
      </c>
      <c r="AB130" s="151">
        <v>186</v>
      </c>
      <c r="AC130" s="151">
        <v>135</v>
      </c>
      <c r="AD130" s="151">
        <v>301</v>
      </c>
      <c r="AE130" s="151">
        <v>202</v>
      </c>
      <c r="AF130" s="151">
        <v>225</v>
      </c>
      <c r="AG130" s="151">
        <v>138</v>
      </c>
      <c r="AH130" s="151">
        <v>141</v>
      </c>
      <c r="AI130" s="151">
        <v>143</v>
      </c>
    </row>
    <row r="131" spans="1:35" ht="18.75" x14ac:dyDescent="0.25">
      <c r="A131" s="295"/>
      <c r="B131" s="106" t="s">
        <v>158</v>
      </c>
      <c r="C131" s="106" t="s">
        <v>152</v>
      </c>
      <c r="D131" s="106">
        <v>140</v>
      </c>
      <c r="E131" s="192" t="s">
        <v>747</v>
      </c>
      <c r="F131" s="192" t="s">
        <v>1015</v>
      </c>
      <c r="G131" s="192"/>
      <c r="H131" s="192"/>
      <c r="I131" s="192">
        <v>18625</v>
      </c>
      <c r="J131" s="192">
        <v>18905</v>
      </c>
      <c r="K131" s="192">
        <v>19356</v>
      </c>
      <c r="L131" s="192">
        <v>19759</v>
      </c>
      <c r="M131" s="192">
        <v>20256</v>
      </c>
      <c r="N131" s="192">
        <v>20854</v>
      </c>
      <c r="O131" s="192">
        <v>21629</v>
      </c>
      <c r="P131" s="192">
        <v>22013</v>
      </c>
      <c r="Q131" s="192">
        <v>22589</v>
      </c>
      <c r="R131" s="225">
        <v>22967</v>
      </c>
      <c r="S131" s="225">
        <v>23314</v>
      </c>
      <c r="T131" s="225">
        <v>23691</v>
      </c>
      <c r="U131" s="225">
        <v>24067</v>
      </c>
      <c r="V131" s="225"/>
      <c r="W131" s="151"/>
      <c r="X131" s="151">
        <v>280</v>
      </c>
      <c r="Y131" s="151">
        <v>451</v>
      </c>
      <c r="Z131" s="151">
        <v>403</v>
      </c>
      <c r="AA131" s="151">
        <v>497</v>
      </c>
      <c r="AB131" s="151">
        <v>598</v>
      </c>
      <c r="AC131" s="151">
        <v>775</v>
      </c>
      <c r="AD131" s="151">
        <v>384</v>
      </c>
      <c r="AE131" s="151">
        <v>576</v>
      </c>
      <c r="AF131" s="151">
        <v>378</v>
      </c>
      <c r="AG131" s="151">
        <v>347</v>
      </c>
      <c r="AH131" s="151">
        <v>377</v>
      </c>
      <c r="AI131" s="151">
        <v>376</v>
      </c>
    </row>
    <row r="132" spans="1:35" ht="18.75" x14ac:dyDescent="0.25">
      <c r="A132" s="295"/>
      <c r="B132" s="106" t="s">
        <v>156</v>
      </c>
      <c r="C132" s="106" t="s">
        <v>152</v>
      </c>
      <c r="D132" s="106">
        <v>140</v>
      </c>
      <c r="E132" s="192" t="s">
        <v>157</v>
      </c>
      <c r="F132" s="192" t="s">
        <v>1014</v>
      </c>
      <c r="G132" s="192"/>
      <c r="H132" s="192"/>
      <c r="I132" s="192">
        <v>2440</v>
      </c>
      <c r="J132" s="192">
        <v>2488</v>
      </c>
      <c r="K132" s="192">
        <v>2573</v>
      </c>
      <c r="L132" s="192">
        <v>2646</v>
      </c>
      <c r="M132" s="192">
        <v>2727</v>
      </c>
      <c r="N132" s="192">
        <v>2810</v>
      </c>
      <c r="O132" s="192">
        <v>2894</v>
      </c>
      <c r="P132" s="192">
        <v>2973</v>
      </c>
      <c r="Q132" s="192">
        <v>3047</v>
      </c>
      <c r="R132" s="225">
        <v>3120</v>
      </c>
      <c r="S132" s="225">
        <v>3187</v>
      </c>
      <c r="T132" s="225">
        <v>3286</v>
      </c>
      <c r="U132" s="225">
        <v>3368</v>
      </c>
      <c r="V132" s="225"/>
      <c r="W132" s="151"/>
      <c r="X132" s="151">
        <v>48</v>
      </c>
      <c r="Y132" s="151">
        <v>85</v>
      </c>
      <c r="Z132" s="151">
        <v>73</v>
      </c>
      <c r="AA132" s="151">
        <v>81</v>
      </c>
      <c r="AB132" s="151">
        <v>83</v>
      </c>
      <c r="AC132" s="151">
        <v>84</v>
      </c>
      <c r="AD132" s="151">
        <v>79</v>
      </c>
      <c r="AE132" s="151">
        <v>74</v>
      </c>
      <c r="AF132" s="151">
        <v>73</v>
      </c>
      <c r="AG132" s="151">
        <v>67</v>
      </c>
      <c r="AH132" s="151">
        <v>99</v>
      </c>
      <c r="AI132" s="151">
        <v>82</v>
      </c>
    </row>
    <row r="133" spans="1:35" ht="18.75" x14ac:dyDescent="0.25">
      <c r="A133" s="295"/>
      <c r="B133" s="106" t="s">
        <v>161</v>
      </c>
      <c r="C133" s="106" t="s">
        <v>152</v>
      </c>
      <c r="D133" s="106">
        <v>131</v>
      </c>
      <c r="E133" s="192" t="s">
        <v>455</v>
      </c>
      <c r="F133" s="192" t="s">
        <v>1017</v>
      </c>
      <c r="G133" s="192"/>
      <c r="H133" s="192"/>
      <c r="I133" s="192">
        <v>112128</v>
      </c>
      <c r="J133" s="192">
        <v>115042</v>
      </c>
      <c r="K133" s="192">
        <v>120021</v>
      </c>
      <c r="L133" s="192">
        <v>123622</v>
      </c>
      <c r="M133" s="192">
        <v>127524</v>
      </c>
      <c r="N133" s="192">
        <v>131377</v>
      </c>
      <c r="O133" s="192">
        <v>135091</v>
      </c>
      <c r="P133" s="192">
        <v>138617</v>
      </c>
      <c r="Q133" s="192">
        <v>142227</v>
      </c>
      <c r="R133" s="225">
        <v>146717</v>
      </c>
      <c r="S133" s="225">
        <v>150916</v>
      </c>
      <c r="T133" s="225">
        <v>156393</v>
      </c>
      <c r="U133" s="225">
        <v>162315</v>
      </c>
      <c r="V133" s="225"/>
      <c r="W133" s="151"/>
      <c r="X133" s="151">
        <v>2914</v>
      </c>
      <c r="Y133" s="151">
        <v>4979</v>
      </c>
      <c r="Z133" s="151">
        <v>3601</v>
      </c>
      <c r="AA133" s="151">
        <v>3902</v>
      </c>
      <c r="AB133" s="151">
        <v>3853</v>
      </c>
      <c r="AC133" s="151">
        <v>3714</v>
      </c>
      <c r="AD133" s="151">
        <v>3526</v>
      </c>
      <c r="AE133" s="151">
        <v>3610</v>
      </c>
      <c r="AF133" s="151">
        <v>4490</v>
      </c>
      <c r="AG133" s="151">
        <v>4199</v>
      </c>
      <c r="AH133" s="151">
        <v>5477</v>
      </c>
      <c r="AI133" s="151">
        <v>5922</v>
      </c>
    </row>
    <row r="134" spans="1:35" ht="18.75" x14ac:dyDescent="0.25">
      <c r="A134" s="295"/>
      <c r="B134" s="106" t="s">
        <v>159</v>
      </c>
      <c r="C134" s="106" t="s">
        <v>152</v>
      </c>
      <c r="D134" s="106">
        <v>132</v>
      </c>
      <c r="E134" s="192" t="s">
        <v>160</v>
      </c>
      <c r="F134" s="192" t="s">
        <v>1016</v>
      </c>
      <c r="G134" s="192" t="s">
        <v>1120</v>
      </c>
      <c r="H134" s="192"/>
      <c r="I134" s="192">
        <v>65703</v>
      </c>
      <c r="J134" s="192">
        <v>67326</v>
      </c>
      <c r="K134" s="192">
        <v>70194</v>
      </c>
      <c r="L134" s="192">
        <v>72349</v>
      </c>
      <c r="M134" s="192">
        <v>74592</v>
      </c>
      <c r="N134" s="192">
        <v>76595</v>
      </c>
      <c r="O134" s="192">
        <v>78540</v>
      </c>
      <c r="P134" s="192">
        <v>80269</v>
      </c>
      <c r="Q134" s="192">
        <v>82078</v>
      </c>
      <c r="R134" s="225">
        <v>84265</v>
      </c>
      <c r="S134" s="225">
        <v>86396</v>
      </c>
      <c r="T134" s="225">
        <v>89067</v>
      </c>
      <c r="U134" s="225">
        <v>91901</v>
      </c>
      <c r="V134" s="225"/>
      <c r="W134" s="151"/>
      <c r="X134" s="151">
        <v>1623</v>
      </c>
      <c r="Y134" s="151">
        <v>2868</v>
      </c>
      <c r="Z134" s="151">
        <v>2155</v>
      </c>
      <c r="AA134" s="151">
        <v>2243</v>
      </c>
      <c r="AB134" s="151">
        <v>2003</v>
      </c>
      <c r="AC134" s="151">
        <v>1945</v>
      </c>
      <c r="AD134" s="151">
        <v>1729</v>
      </c>
      <c r="AE134" s="151">
        <v>1809</v>
      </c>
      <c r="AF134" s="151">
        <v>2187</v>
      </c>
      <c r="AG134" s="151">
        <v>2131</v>
      </c>
      <c r="AH134" s="151">
        <v>2671</v>
      </c>
      <c r="AI134" s="151">
        <v>2834</v>
      </c>
    </row>
    <row r="135" spans="1:35" ht="18.75" x14ac:dyDescent="0.25">
      <c r="A135" s="295"/>
      <c r="B135" s="106" t="s">
        <v>163</v>
      </c>
      <c r="C135" s="106" t="s">
        <v>152</v>
      </c>
      <c r="D135" s="106">
        <v>142</v>
      </c>
      <c r="E135" s="192" t="s">
        <v>892</v>
      </c>
      <c r="F135" s="192" t="s">
        <v>1018</v>
      </c>
      <c r="G135" s="192"/>
      <c r="H135" s="192"/>
      <c r="I135" s="192">
        <v>26148</v>
      </c>
      <c r="J135" s="192">
        <v>26701</v>
      </c>
      <c r="K135" s="192">
        <v>27773</v>
      </c>
      <c r="L135" s="192">
        <v>28668</v>
      </c>
      <c r="M135" s="192">
        <v>29672</v>
      </c>
      <c r="N135" s="192">
        <v>30554</v>
      </c>
      <c r="O135" s="192">
        <v>31529</v>
      </c>
      <c r="P135" s="192">
        <v>32453</v>
      </c>
      <c r="Q135" s="192">
        <v>33525</v>
      </c>
      <c r="R135" s="225">
        <v>34542</v>
      </c>
      <c r="S135" s="225">
        <v>35377</v>
      </c>
      <c r="T135" s="225">
        <v>36491</v>
      </c>
      <c r="U135" s="225">
        <v>37665</v>
      </c>
      <c r="V135" s="225"/>
      <c r="W135" s="151"/>
      <c r="X135" s="151">
        <v>553</v>
      </c>
      <c r="Y135" s="151">
        <v>1072</v>
      </c>
      <c r="Z135" s="151">
        <v>895</v>
      </c>
      <c r="AA135" s="151">
        <v>1004</v>
      </c>
      <c r="AB135" s="151">
        <v>882</v>
      </c>
      <c r="AC135" s="151">
        <v>975</v>
      </c>
      <c r="AD135" s="151">
        <v>924</v>
      </c>
      <c r="AE135" s="151">
        <v>1072</v>
      </c>
      <c r="AF135" s="151">
        <v>1017</v>
      </c>
      <c r="AG135" s="151">
        <v>835</v>
      </c>
      <c r="AH135" s="151">
        <v>1114</v>
      </c>
      <c r="AI135" s="151">
        <v>1174</v>
      </c>
    </row>
    <row r="136" spans="1:35" ht="18.75" x14ac:dyDescent="0.25">
      <c r="A136" s="295"/>
      <c r="B136" s="106" t="s">
        <v>1254</v>
      </c>
      <c r="C136" s="106" t="s">
        <v>152</v>
      </c>
      <c r="D136" s="106">
        <v>1</v>
      </c>
      <c r="E136" s="192" t="s">
        <v>892</v>
      </c>
      <c r="F136" s="192" t="s">
        <v>819</v>
      </c>
      <c r="G136" s="192"/>
      <c r="H136" s="192"/>
      <c r="I136" s="192"/>
      <c r="J136" s="192"/>
      <c r="K136" s="192"/>
      <c r="L136" s="192"/>
      <c r="M136" s="192"/>
      <c r="N136" s="192"/>
      <c r="O136" s="192">
        <v>40610</v>
      </c>
      <c r="P136" s="192"/>
      <c r="Q136" s="192"/>
      <c r="R136" s="110"/>
      <c r="S136" s="110"/>
      <c r="T136" s="110"/>
      <c r="U136" s="110"/>
      <c r="V136" s="110"/>
      <c r="W136" s="151"/>
      <c r="X136" s="151" t="s">
        <v>734</v>
      </c>
      <c r="Y136" s="151" t="s">
        <v>734</v>
      </c>
      <c r="Z136" s="151" t="s">
        <v>734</v>
      </c>
      <c r="AA136" s="151" t="s">
        <v>734</v>
      </c>
      <c r="AB136" s="151" t="s">
        <v>734</v>
      </c>
      <c r="AC136" s="151" t="s">
        <v>734</v>
      </c>
      <c r="AD136" s="151" t="s">
        <v>734</v>
      </c>
      <c r="AE136" s="151" t="s">
        <v>734</v>
      </c>
      <c r="AF136" s="151" t="s">
        <v>734</v>
      </c>
      <c r="AG136" s="151" t="s">
        <v>734</v>
      </c>
      <c r="AH136" s="151" t="s">
        <v>734</v>
      </c>
      <c r="AI136" s="151" t="s">
        <v>734</v>
      </c>
    </row>
    <row r="137" spans="1:35" ht="18.75" x14ac:dyDescent="0.25">
      <c r="A137" s="295"/>
      <c r="B137" s="106" t="s">
        <v>181</v>
      </c>
      <c r="C137" s="106" t="s">
        <v>176</v>
      </c>
      <c r="D137" s="106">
        <v>140</v>
      </c>
      <c r="E137" s="192" t="s">
        <v>759</v>
      </c>
      <c r="F137" s="192" t="s">
        <v>182</v>
      </c>
      <c r="G137" s="192"/>
      <c r="H137" s="192"/>
      <c r="I137" s="192">
        <v>227864</v>
      </c>
      <c r="J137" s="192">
        <v>228808</v>
      </c>
      <c r="K137" s="192">
        <v>230672</v>
      </c>
      <c r="L137" s="192">
        <v>232273</v>
      </c>
      <c r="M137" s="192">
        <v>233593</v>
      </c>
      <c r="N137" s="192">
        <v>234426</v>
      </c>
      <c r="O137" s="192">
        <v>235301</v>
      </c>
      <c r="P137" s="192">
        <v>236566</v>
      </c>
      <c r="Q137" s="192">
        <v>238419</v>
      </c>
      <c r="R137" s="110">
        <v>240435</v>
      </c>
      <c r="S137" s="110">
        <v>241493</v>
      </c>
      <c r="T137" s="110">
        <v>242226</v>
      </c>
      <c r="U137" s="110">
        <v>243099</v>
      </c>
      <c r="V137" s="110"/>
      <c r="W137" s="151"/>
      <c r="X137" s="151">
        <v>944</v>
      </c>
      <c r="Y137" s="151">
        <v>1864</v>
      </c>
      <c r="Z137" s="151">
        <v>1601</v>
      </c>
      <c r="AA137" s="151">
        <v>1320</v>
      </c>
      <c r="AB137" s="151">
        <v>833</v>
      </c>
      <c r="AC137" s="151">
        <v>875</v>
      </c>
      <c r="AD137" s="151">
        <v>1265</v>
      </c>
      <c r="AE137" s="151">
        <v>1853</v>
      </c>
      <c r="AF137" s="151">
        <v>2016</v>
      </c>
      <c r="AG137" s="151">
        <v>1058</v>
      </c>
      <c r="AH137" s="151">
        <v>733</v>
      </c>
      <c r="AI137" s="151">
        <v>873</v>
      </c>
    </row>
    <row r="138" spans="1:35" ht="18.75" x14ac:dyDescent="0.25">
      <c r="A138" s="295"/>
      <c r="B138" s="106" t="s">
        <v>1239</v>
      </c>
      <c r="C138" s="106" t="s">
        <v>176</v>
      </c>
      <c r="D138" s="106">
        <v>131</v>
      </c>
      <c r="E138" s="192" t="s">
        <v>455</v>
      </c>
      <c r="F138" s="192" t="s">
        <v>447</v>
      </c>
      <c r="G138" s="192"/>
      <c r="H138" s="192"/>
      <c r="I138" s="192">
        <v>235379</v>
      </c>
      <c r="J138" s="192">
        <v>236611</v>
      </c>
      <c r="K138" s="192">
        <v>238631</v>
      </c>
      <c r="L138" s="192">
        <v>240212</v>
      </c>
      <c r="M138" s="192">
        <v>241789</v>
      </c>
      <c r="N138" s="192">
        <v>243162</v>
      </c>
      <c r="O138" s="192">
        <v>244367</v>
      </c>
      <c r="P138" s="192">
        <v>245602</v>
      </c>
      <c r="Q138" s="192">
        <v>246826</v>
      </c>
      <c r="R138" s="110">
        <v>248378</v>
      </c>
      <c r="S138" s="110">
        <v>249860</v>
      </c>
      <c r="T138" s="110">
        <v>251773</v>
      </c>
      <c r="U138" s="110">
        <v>253805</v>
      </c>
      <c r="V138" s="110"/>
      <c r="W138" s="151"/>
      <c r="X138" s="151">
        <v>1232</v>
      </c>
      <c r="Y138" s="151">
        <v>2020</v>
      </c>
      <c r="Z138" s="151">
        <v>1581</v>
      </c>
      <c r="AA138" s="151">
        <v>1577</v>
      </c>
      <c r="AB138" s="151">
        <v>1373</v>
      </c>
      <c r="AC138" s="151">
        <v>1205</v>
      </c>
      <c r="AD138" s="151">
        <v>1235</v>
      </c>
      <c r="AE138" s="151">
        <v>1224</v>
      </c>
      <c r="AF138" s="151">
        <v>1552</v>
      </c>
      <c r="AG138" s="151">
        <v>1482</v>
      </c>
      <c r="AH138" s="151">
        <v>1913</v>
      </c>
      <c r="AI138" s="151">
        <v>2032</v>
      </c>
    </row>
    <row r="139" spans="1:35" ht="18.75" x14ac:dyDescent="0.25">
      <c r="A139" s="295"/>
      <c r="B139" s="106" t="s">
        <v>187</v>
      </c>
      <c r="C139" s="106" t="s">
        <v>183</v>
      </c>
      <c r="D139" s="106">
        <v>150</v>
      </c>
      <c r="E139" s="192" t="s">
        <v>897</v>
      </c>
      <c r="F139" s="192" t="s">
        <v>101</v>
      </c>
      <c r="G139" s="192" t="s">
        <v>735</v>
      </c>
      <c r="H139" s="192"/>
      <c r="I139" s="192">
        <v>4422256</v>
      </c>
      <c r="J139" s="192">
        <v>4449688</v>
      </c>
      <c r="K139" s="192">
        <v>4502763</v>
      </c>
      <c r="L139" s="192">
        <v>4552131</v>
      </c>
      <c r="M139" s="192">
        <v>4604357</v>
      </c>
      <c r="N139" s="192">
        <v>4660695</v>
      </c>
      <c r="O139" s="192">
        <v>4720104</v>
      </c>
      <c r="P139" s="192">
        <v>4793229</v>
      </c>
      <c r="Q139" s="192">
        <v>4868063</v>
      </c>
      <c r="R139" s="225">
        <v>4940165</v>
      </c>
      <c r="S139" s="225">
        <v>5007776</v>
      </c>
      <c r="T139" s="225">
        <v>5060211</v>
      </c>
      <c r="U139" s="225">
        <v>5119348</v>
      </c>
      <c r="V139" s="225"/>
      <c r="W139" s="151"/>
      <c r="X139" s="151">
        <v>27432</v>
      </c>
      <c r="Y139" s="151">
        <v>53075</v>
      </c>
      <c r="Z139" s="151">
        <v>49368</v>
      </c>
      <c r="AA139" s="151">
        <v>52226</v>
      </c>
      <c r="AB139" s="151">
        <v>56338</v>
      </c>
      <c r="AC139" s="151">
        <v>59409</v>
      </c>
      <c r="AD139" s="151">
        <v>73125</v>
      </c>
      <c r="AE139" s="151">
        <v>74834</v>
      </c>
      <c r="AF139" s="151">
        <v>72102</v>
      </c>
      <c r="AG139" s="151">
        <v>67611</v>
      </c>
      <c r="AH139" s="151">
        <v>52435</v>
      </c>
      <c r="AI139" s="151">
        <v>59137</v>
      </c>
    </row>
    <row r="140" spans="1:35" ht="18.75" x14ac:dyDescent="0.25">
      <c r="A140" s="295"/>
      <c r="B140" s="106" t="s">
        <v>1317</v>
      </c>
      <c r="C140" s="106" t="s">
        <v>183</v>
      </c>
      <c r="D140" s="106">
        <v>131</v>
      </c>
      <c r="E140" s="192" t="s">
        <v>455</v>
      </c>
      <c r="F140" s="192" t="s">
        <v>447</v>
      </c>
      <c r="G140" s="192"/>
      <c r="H140" s="192"/>
      <c r="I140" s="192">
        <v>677063</v>
      </c>
      <c r="J140" s="192">
        <v>680958</v>
      </c>
      <c r="K140" s="192">
        <v>688077</v>
      </c>
      <c r="L140" s="192">
        <v>694137</v>
      </c>
      <c r="M140" s="192">
        <v>700096</v>
      </c>
      <c r="N140" s="192">
        <v>705362</v>
      </c>
      <c r="O140" s="192">
        <v>710006</v>
      </c>
      <c r="P140" s="192">
        <v>714856</v>
      </c>
      <c r="Q140" s="192">
        <v>719848</v>
      </c>
      <c r="R140" s="225">
        <v>725567</v>
      </c>
      <c r="S140" s="225">
        <v>731544</v>
      </c>
      <c r="T140" s="225">
        <v>738814</v>
      </c>
      <c r="U140" s="225">
        <v>746636</v>
      </c>
      <c r="V140" s="225"/>
      <c r="W140" s="151"/>
      <c r="X140" s="151">
        <v>3895</v>
      </c>
      <c r="Y140" s="151">
        <v>7119</v>
      </c>
      <c r="Z140" s="151">
        <v>6060</v>
      </c>
      <c r="AA140" s="151">
        <v>5959</v>
      </c>
      <c r="AB140" s="151">
        <v>5266</v>
      </c>
      <c r="AC140" s="151">
        <v>4644</v>
      </c>
      <c r="AD140" s="151">
        <v>4850</v>
      </c>
      <c r="AE140" s="151">
        <v>4992</v>
      </c>
      <c r="AF140" s="151">
        <v>5719</v>
      </c>
      <c r="AG140" s="151">
        <v>5977</v>
      </c>
      <c r="AH140" s="151">
        <v>7270</v>
      </c>
      <c r="AI140" s="151">
        <v>7822</v>
      </c>
    </row>
    <row r="141" spans="1:35" ht="18.75" x14ac:dyDescent="0.25">
      <c r="A141" s="295"/>
      <c r="B141" s="106" t="s">
        <v>1320</v>
      </c>
      <c r="C141" s="106" t="s">
        <v>183</v>
      </c>
      <c r="D141" s="106">
        <v>142</v>
      </c>
      <c r="E141" s="192" t="s">
        <v>823</v>
      </c>
      <c r="F141" s="192" t="s">
        <v>864</v>
      </c>
      <c r="G141" s="192" t="s">
        <v>824</v>
      </c>
      <c r="H141" s="192" t="s">
        <v>821</v>
      </c>
      <c r="I141" s="192">
        <v>37695</v>
      </c>
      <c r="J141" s="192">
        <v>37861</v>
      </c>
      <c r="K141" s="192">
        <v>38291</v>
      </c>
      <c r="L141" s="192">
        <v>38580</v>
      </c>
      <c r="M141" s="192">
        <v>38994</v>
      </c>
      <c r="N141" s="192">
        <v>39314</v>
      </c>
      <c r="O141" s="192">
        <v>39657</v>
      </c>
      <c r="P141" s="192">
        <v>40054</v>
      </c>
      <c r="Q141" s="192">
        <v>40414</v>
      </c>
      <c r="R141" s="225">
        <v>40969</v>
      </c>
      <c r="S141" s="225">
        <v>41504</v>
      </c>
      <c r="T141" s="225">
        <v>42330</v>
      </c>
      <c r="U141" s="225">
        <v>43152</v>
      </c>
      <c r="V141" s="225"/>
      <c r="W141" s="151"/>
      <c r="X141" s="151">
        <v>166</v>
      </c>
      <c r="Y141" s="151">
        <v>430</v>
      </c>
      <c r="Z141" s="151">
        <v>289</v>
      </c>
      <c r="AA141" s="151">
        <v>414</v>
      </c>
      <c r="AB141" s="151">
        <v>320</v>
      </c>
      <c r="AC141" s="151">
        <v>343</v>
      </c>
      <c r="AD141" s="151">
        <v>397</v>
      </c>
      <c r="AE141" s="151">
        <v>360</v>
      </c>
      <c r="AF141" s="151">
        <v>555</v>
      </c>
      <c r="AG141" s="151">
        <v>535</v>
      </c>
      <c r="AH141" s="151">
        <v>826</v>
      </c>
      <c r="AI141" s="151">
        <v>822</v>
      </c>
    </row>
    <row r="142" spans="1:35" ht="18.75" x14ac:dyDescent="0.25">
      <c r="A142" s="295"/>
      <c r="B142" s="106" t="s">
        <v>191</v>
      </c>
      <c r="C142" s="106" t="s">
        <v>190</v>
      </c>
      <c r="D142" s="106">
        <v>140</v>
      </c>
      <c r="E142" s="192" t="s">
        <v>1328</v>
      </c>
      <c r="F142" s="192" t="s">
        <v>982</v>
      </c>
      <c r="G142" s="192" t="s">
        <v>448</v>
      </c>
      <c r="H142" s="192"/>
      <c r="I142" s="192"/>
      <c r="J142" s="192"/>
      <c r="K142" s="192"/>
      <c r="L142" s="192"/>
      <c r="M142" s="192"/>
      <c r="N142" s="192">
        <v>669208</v>
      </c>
      <c r="O142" s="192">
        <v>669208</v>
      </c>
      <c r="P142" s="192">
        <v>669208</v>
      </c>
      <c r="Q142" s="192">
        <v>0</v>
      </c>
      <c r="R142" s="110">
        <v>0</v>
      </c>
      <c r="S142" s="110">
        <v>0</v>
      </c>
      <c r="T142" s="110">
        <v>0</v>
      </c>
      <c r="U142" s="110">
        <v>0</v>
      </c>
      <c r="V142" s="110"/>
      <c r="W142" s="151"/>
      <c r="X142" s="151" t="s">
        <v>734</v>
      </c>
      <c r="Y142" s="151" t="s">
        <v>734</v>
      </c>
      <c r="Z142" s="151" t="s">
        <v>734</v>
      </c>
      <c r="AA142" s="151" t="s">
        <v>734</v>
      </c>
      <c r="AB142" s="151" t="s">
        <v>734</v>
      </c>
      <c r="AC142" s="151">
        <v>0</v>
      </c>
      <c r="AD142" s="151">
        <v>0</v>
      </c>
      <c r="AE142" s="151" t="s">
        <v>856</v>
      </c>
      <c r="AF142" s="151">
        <v>0</v>
      </c>
      <c r="AG142" s="151">
        <v>0</v>
      </c>
      <c r="AH142" s="151">
        <v>0</v>
      </c>
      <c r="AI142" s="151">
        <v>0</v>
      </c>
    </row>
    <row r="143" spans="1:35" ht="18.75" x14ac:dyDescent="0.25">
      <c r="A143" s="295"/>
      <c r="B143" s="106" t="s">
        <v>873</v>
      </c>
      <c r="C143" s="106" t="s">
        <v>190</v>
      </c>
      <c r="D143" s="106">
        <v>140</v>
      </c>
      <c r="E143" s="192" t="s">
        <v>874</v>
      </c>
      <c r="F143" s="192" t="s">
        <v>985</v>
      </c>
      <c r="G143" s="192"/>
      <c r="H143" s="192"/>
      <c r="I143" s="192">
        <v>145420</v>
      </c>
      <c r="J143" s="192">
        <v>145459</v>
      </c>
      <c r="K143" s="192">
        <v>145699</v>
      </c>
      <c r="L143" s="192">
        <v>145937</v>
      </c>
      <c r="M143" s="192">
        <v>146332</v>
      </c>
      <c r="N143" s="192">
        <v>146846</v>
      </c>
      <c r="O143" s="192">
        <v>147406</v>
      </c>
      <c r="P143" s="192">
        <v>148609</v>
      </c>
      <c r="Q143" s="192">
        <v>150256</v>
      </c>
      <c r="R143" s="225">
        <v>151731</v>
      </c>
      <c r="S143" s="225">
        <v>152963</v>
      </c>
      <c r="T143" s="225">
        <v>153561</v>
      </c>
      <c r="U143" s="225">
        <v>153661</v>
      </c>
      <c r="V143" s="225"/>
      <c r="W143" s="151"/>
      <c r="X143" s="151">
        <v>39</v>
      </c>
      <c r="Y143" s="151">
        <v>240</v>
      </c>
      <c r="Z143" s="151">
        <v>238</v>
      </c>
      <c r="AA143" s="151">
        <v>395</v>
      </c>
      <c r="AB143" s="151">
        <v>514</v>
      </c>
      <c r="AC143" s="151">
        <v>560</v>
      </c>
      <c r="AD143" s="151">
        <v>1203</v>
      </c>
      <c r="AE143" s="151">
        <v>1647</v>
      </c>
      <c r="AF143" s="151">
        <v>1475</v>
      </c>
      <c r="AG143" s="151">
        <v>1232</v>
      </c>
      <c r="AH143" s="151">
        <v>598</v>
      </c>
      <c r="AI143" s="151">
        <v>100</v>
      </c>
    </row>
    <row r="144" spans="1:35" ht="18.75" x14ac:dyDescent="0.25">
      <c r="A144" s="295"/>
      <c r="B144" s="106" t="s">
        <v>1350</v>
      </c>
      <c r="C144" s="106" t="s">
        <v>190</v>
      </c>
      <c r="D144" s="106">
        <v>131</v>
      </c>
      <c r="E144" s="192" t="s">
        <v>455</v>
      </c>
      <c r="F144" s="192" t="s">
        <v>47</v>
      </c>
      <c r="G144" s="192"/>
      <c r="H144" s="192"/>
      <c r="I144" s="192">
        <v>604645</v>
      </c>
      <c r="J144" s="192">
        <v>607775</v>
      </c>
      <c r="K144" s="192">
        <v>613523</v>
      </c>
      <c r="L144" s="192">
        <v>618340</v>
      </c>
      <c r="M144" s="192">
        <v>622944</v>
      </c>
      <c r="N144" s="192">
        <v>626837</v>
      </c>
      <c r="O144" s="192">
        <v>630484</v>
      </c>
      <c r="P144" s="192">
        <v>634161</v>
      </c>
      <c r="Q144" s="192">
        <v>637834</v>
      </c>
      <c r="R144" s="110">
        <v>641925</v>
      </c>
      <c r="S144" s="110">
        <v>646067</v>
      </c>
      <c r="T144" s="110">
        <v>651166</v>
      </c>
      <c r="U144" s="110">
        <v>656537</v>
      </c>
      <c r="V144" s="110"/>
      <c r="W144" s="151"/>
      <c r="X144" s="151">
        <v>3130</v>
      </c>
      <c r="Y144" s="151">
        <v>5748</v>
      </c>
      <c r="Z144" s="151">
        <v>4817</v>
      </c>
      <c r="AA144" s="151">
        <v>4604</v>
      </c>
      <c r="AB144" s="151">
        <v>3893</v>
      </c>
      <c r="AC144" s="151">
        <v>3647</v>
      </c>
      <c r="AD144" s="151">
        <v>3677</v>
      </c>
      <c r="AE144" s="151">
        <v>3673</v>
      </c>
      <c r="AF144" s="151">
        <v>4091</v>
      </c>
      <c r="AG144" s="151">
        <v>4142</v>
      </c>
      <c r="AH144" s="151">
        <v>5099</v>
      </c>
      <c r="AI144" s="151">
        <v>5371</v>
      </c>
    </row>
    <row r="145" spans="1:35" ht="18.75" x14ac:dyDescent="0.25">
      <c r="A145" s="295"/>
      <c r="B145" s="106" t="s">
        <v>1255</v>
      </c>
      <c r="C145" s="106" t="s">
        <v>200</v>
      </c>
      <c r="D145" s="106">
        <v>140</v>
      </c>
      <c r="E145" s="192" t="s">
        <v>898</v>
      </c>
      <c r="F145" s="192" t="s">
        <v>450</v>
      </c>
      <c r="G145" s="192" t="s">
        <v>451</v>
      </c>
      <c r="H145" s="192"/>
      <c r="I145" s="192">
        <v>284935</v>
      </c>
      <c r="J145" s="192">
        <v>286133</v>
      </c>
      <c r="K145" s="192">
        <v>289915</v>
      </c>
      <c r="L145" s="192">
        <v>293631</v>
      </c>
      <c r="M145" s="192">
        <v>296904</v>
      </c>
      <c r="N145" s="192">
        <v>300052</v>
      </c>
      <c r="O145" s="192">
        <v>303222</v>
      </c>
      <c r="P145" s="192">
        <v>307564</v>
      </c>
      <c r="Q145" s="192">
        <v>311878</v>
      </c>
      <c r="R145" s="225">
        <v>315549</v>
      </c>
      <c r="S145" s="225">
        <v>318121</v>
      </c>
      <c r="T145" s="225">
        <v>319861</v>
      </c>
      <c r="U145" s="225">
        <v>321253</v>
      </c>
      <c r="V145" s="225"/>
      <c r="W145" s="151"/>
      <c r="X145" s="151">
        <v>1198</v>
      </c>
      <c r="Y145" s="151">
        <v>3782</v>
      </c>
      <c r="Z145" s="151">
        <v>3716</v>
      </c>
      <c r="AA145" s="151">
        <v>3273</v>
      </c>
      <c r="AB145" s="151">
        <v>3148</v>
      </c>
      <c r="AC145" s="151">
        <v>3170</v>
      </c>
      <c r="AD145" s="151">
        <v>4342</v>
      </c>
      <c r="AE145" s="151">
        <v>4314</v>
      </c>
      <c r="AF145" s="151">
        <v>3671</v>
      </c>
      <c r="AG145" s="151">
        <v>2572</v>
      </c>
      <c r="AH145" s="151">
        <v>1740</v>
      </c>
      <c r="AI145" s="151">
        <v>1392</v>
      </c>
    </row>
    <row r="146" spans="1:35" ht="18.75" x14ac:dyDescent="0.25">
      <c r="A146" s="295"/>
      <c r="B146" s="106" t="s">
        <v>1256</v>
      </c>
      <c r="C146" s="106" t="s">
        <v>200</v>
      </c>
      <c r="D146" s="106">
        <v>140</v>
      </c>
      <c r="E146" s="192" t="s">
        <v>899</v>
      </c>
      <c r="F146" s="192" t="s">
        <v>450</v>
      </c>
      <c r="G146" s="192" t="s">
        <v>451</v>
      </c>
      <c r="H146" s="192"/>
      <c r="I146" s="192">
        <v>848395</v>
      </c>
      <c r="J146" s="192">
        <v>853117</v>
      </c>
      <c r="K146" s="192">
        <v>862357</v>
      </c>
      <c r="L146" s="192">
        <v>870864</v>
      </c>
      <c r="M146" s="192">
        <v>879174</v>
      </c>
      <c r="N146" s="192">
        <v>887681</v>
      </c>
      <c r="O146" s="192">
        <v>896250</v>
      </c>
      <c r="P146" s="192">
        <v>905777</v>
      </c>
      <c r="Q146" s="192">
        <v>915478</v>
      </c>
      <c r="R146" s="225">
        <v>925026</v>
      </c>
      <c r="S146" s="225">
        <v>933703</v>
      </c>
      <c r="T146" s="225">
        <v>943205</v>
      </c>
      <c r="U146" s="225">
        <v>952862</v>
      </c>
      <c r="V146" s="225"/>
      <c r="W146" s="151"/>
      <c r="X146" s="151">
        <v>4722</v>
      </c>
      <c r="Y146" s="151">
        <v>9240</v>
      </c>
      <c r="Z146" s="151">
        <v>8507</v>
      </c>
      <c r="AA146" s="151">
        <v>8310</v>
      </c>
      <c r="AB146" s="151">
        <v>8507</v>
      </c>
      <c r="AC146" s="151">
        <v>8569</v>
      </c>
      <c r="AD146" s="151">
        <v>9527</v>
      </c>
      <c r="AE146" s="151">
        <v>9701</v>
      </c>
      <c r="AF146" s="151">
        <v>9548</v>
      </c>
      <c r="AG146" s="151">
        <v>8677</v>
      </c>
      <c r="AH146" s="151">
        <v>9502</v>
      </c>
      <c r="AI146" s="151">
        <v>9657</v>
      </c>
    </row>
    <row r="147" spans="1:35" ht="18.75" x14ac:dyDescent="0.25">
      <c r="A147" s="295"/>
      <c r="B147" s="106" t="s">
        <v>206</v>
      </c>
      <c r="C147" s="106" t="s">
        <v>200</v>
      </c>
      <c r="D147" s="106">
        <v>150</v>
      </c>
      <c r="E147" s="192" t="s">
        <v>894</v>
      </c>
      <c r="F147" s="192" t="s">
        <v>101</v>
      </c>
      <c r="G147" s="192" t="s">
        <v>746</v>
      </c>
      <c r="H147" s="192"/>
      <c r="I147" s="192"/>
      <c r="J147" s="192"/>
      <c r="K147" s="192"/>
      <c r="L147" s="192"/>
      <c r="M147" s="192"/>
      <c r="N147" s="192"/>
      <c r="O147" s="192"/>
      <c r="P147" s="192"/>
      <c r="Q147" s="192"/>
      <c r="R147" s="225"/>
      <c r="S147" s="225"/>
      <c r="T147" s="225"/>
      <c r="U147" s="225"/>
      <c r="V147" s="225"/>
      <c r="W147" s="151"/>
      <c r="X147" s="151" t="s">
        <v>734</v>
      </c>
      <c r="Y147" s="151" t="s">
        <v>734</v>
      </c>
      <c r="Z147" s="151" t="s">
        <v>734</v>
      </c>
      <c r="AA147" s="151" t="s">
        <v>734</v>
      </c>
      <c r="AB147" s="151" t="s">
        <v>734</v>
      </c>
      <c r="AC147" s="151" t="s">
        <v>734</v>
      </c>
      <c r="AD147" s="151" t="s">
        <v>734</v>
      </c>
      <c r="AE147" s="151" t="s">
        <v>734</v>
      </c>
      <c r="AF147" s="151" t="s">
        <v>734</v>
      </c>
      <c r="AG147" s="151" t="s">
        <v>734</v>
      </c>
      <c r="AH147" s="151" t="s">
        <v>734</v>
      </c>
      <c r="AI147" s="151" t="s">
        <v>734</v>
      </c>
    </row>
    <row r="148" spans="1:35" ht="18.75" x14ac:dyDescent="0.25">
      <c r="A148" s="295"/>
      <c r="B148" s="210" t="s">
        <v>1240</v>
      </c>
      <c r="C148" s="61" t="s">
        <v>200</v>
      </c>
      <c r="D148" s="61">
        <v>131</v>
      </c>
      <c r="E148" s="197" t="s">
        <v>455</v>
      </c>
      <c r="F148" s="105" t="s">
        <v>47</v>
      </c>
      <c r="G148" s="198"/>
      <c r="H148" s="197"/>
      <c r="I148" s="199">
        <v>760982</v>
      </c>
      <c r="J148" s="199">
        <v>765081</v>
      </c>
      <c r="K148" s="199">
        <v>772681</v>
      </c>
      <c r="L148" s="199">
        <v>778927</v>
      </c>
      <c r="M148" s="199">
        <v>784917</v>
      </c>
      <c r="N148" s="199">
        <v>790745</v>
      </c>
      <c r="O148" s="199">
        <v>795800</v>
      </c>
      <c r="P148" s="199">
        <v>800813</v>
      </c>
      <c r="Q148" s="199">
        <v>805787</v>
      </c>
      <c r="R148" s="235">
        <v>812601</v>
      </c>
      <c r="S148" s="225">
        <v>819209</v>
      </c>
      <c r="T148" s="225">
        <v>827591</v>
      </c>
      <c r="U148" s="225">
        <v>836385</v>
      </c>
      <c r="V148" s="225"/>
      <c r="W148" s="151"/>
      <c r="X148" s="151">
        <v>4099</v>
      </c>
      <c r="Y148" s="151">
        <v>7600</v>
      </c>
      <c r="Z148" s="151">
        <v>6246</v>
      </c>
      <c r="AA148" s="151">
        <v>5990</v>
      </c>
      <c r="AB148" s="151">
        <v>5828</v>
      </c>
      <c r="AC148" s="151">
        <v>5055</v>
      </c>
      <c r="AD148" s="151">
        <v>5013</v>
      </c>
      <c r="AE148" s="151">
        <v>4974</v>
      </c>
      <c r="AF148" s="151">
        <v>6814</v>
      </c>
      <c r="AG148" s="151">
        <v>6608</v>
      </c>
      <c r="AH148" s="151">
        <v>8382</v>
      </c>
      <c r="AI148" s="151">
        <v>8794</v>
      </c>
    </row>
    <row r="149" spans="1:35" ht="18.75" x14ac:dyDescent="0.25">
      <c r="A149" s="295"/>
      <c r="B149" s="106" t="s">
        <v>218</v>
      </c>
      <c r="C149" s="106" t="s">
        <v>200</v>
      </c>
      <c r="D149" s="106">
        <v>150</v>
      </c>
      <c r="E149" s="192" t="s">
        <v>895</v>
      </c>
      <c r="F149" s="192" t="s">
        <v>219</v>
      </c>
      <c r="G149" s="192" t="s">
        <v>220</v>
      </c>
      <c r="H149" s="192"/>
      <c r="I149" s="192">
        <v>17811</v>
      </c>
      <c r="J149" s="192">
        <v>17929</v>
      </c>
      <c r="K149" s="192">
        <v>18162</v>
      </c>
      <c r="L149" s="192">
        <v>18376</v>
      </c>
      <c r="M149" s="192">
        <v>18569</v>
      </c>
      <c r="N149" s="192">
        <v>18756</v>
      </c>
      <c r="O149" s="192">
        <v>18875</v>
      </c>
      <c r="P149" s="192">
        <v>19206</v>
      </c>
      <c r="Q149" s="192">
        <v>19430</v>
      </c>
      <c r="R149" s="225">
        <v>19684</v>
      </c>
      <c r="S149" s="225">
        <v>19903</v>
      </c>
      <c r="T149" s="225">
        <v>20121</v>
      </c>
      <c r="U149" s="225">
        <v>20247</v>
      </c>
      <c r="V149" s="225"/>
      <c r="W149" s="151"/>
      <c r="X149" s="151">
        <v>118</v>
      </c>
      <c r="Y149" s="151">
        <v>233</v>
      </c>
      <c r="Z149" s="151">
        <v>214</v>
      </c>
      <c r="AA149" s="151">
        <v>193</v>
      </c>
      <c r="AB149" s="151">
        <v>187</v>
      </c>
      <c r="AC149" s="151">
        <v>119</v>
      </c>
      <c r="AD149" s="151">
        <v>331</v>
      </c>
      <c r="AE149" s="151">
        <v>224</v>
      </c>
      <c r="AF149" s="151">
        <v>254</v>
      </c>
      <c r="AG149" s="151">
        <v>219</v>
      </c>
      <c r="AH149" s="151">
        <v>218</v>
      </c>
      <c r="AI149" s="151">
        <v>126</v>
      </c>
    </row>
    <row r="150" spans="1:35" ht="18.75" x14ac:dyDescent="0.25">
      <c r="A150" s="295"/>
      <c r="B150" s="106" t="s">
        <v>1319</v>
      </c>
      <c r="C150" s="106" t="s">
        <v>221</v>
      </c>
      <c r="D150" s="106">
        <v>1</v>
      </c>
      <c r="E150" s="192" t="s">
        <v>896</v>
      </c>
      <c r="F150" s="192" t="s">
        <v>293</v>
      </c>
      <c r="G150" s="192" t="s">
        <v>222</v>
      </c>
      <c r="H150" s="192"/>
      <c r="I150" s="192">
        <v>827928</v>
      </c>
      <c r="J150" s="192">
        <v>835615</v>
      </c>
      <c r="K150" s="192">
        <v>853576</v>
      </c>
      <c r="L150" s="192">
        <v>869972</v>
      </c>
      <c r="M150" s="192">
        <v>886252</v>
      </c>
      <c r="N150" s="192">
        <v>905000</v>
      </c>
      <c r="O150" s="192">
        <v>923283</v>
      </c>
      <c r="P150" s="192">
        <v>934954</v>
      </c>
      <c r="Q150" s="192">
        <v>945684</v>
      </c>
      <c r="R150" s="225">
        <v>956128</v>
      </c>
      <c r="S150" s="225">
        <v>965938</v>
      </c>
      <c r="T150" s="225">
        <v>980156</v>
      </c>
      <c r="U150" s="225"/>
      <c r="V150" s="225"/>
      <c r="W150" s="151"/>
      <c r="X150" s="151">
        <v>7687</v>
      </c>
      <c r="Y150" s="151">
        <v>17961</v>
      </c>
      <c r="Z150" s="151">
        <v>16396</v>
      </c>
      <c r="AA150" s="151">
        <v>16280</v>
      </c>
      <c r="AB150" s="151">
        <v>18748</v>
      </c>
      <c r="AC150" s="151">
        <v>18283</v>
      </c>
      <c r="AD150" s="151">
        <v>11671</v>
      </c>
      <c r="AE150" s="151">
        <v>10730</v>
      </c>
      <c r="AF150" s="151">
        <v>10444</v>
      </c>
      <c r="AG150" s="151">
        <v>9810</v>
      </c>
      <c r="AH150" s="151">
        <v>14218</v>
      </c>
      <c r="AI150" s="151" t="s">
        <v>734</v>
      </c>
    </row>
    <row r="151" spans="1:35" ht="18.75" x14ac:dyDescent="0.25">
      <c r="A151" s="295"/>
      <c r="B151" s="106" t="s">
        <v>1318</v>
      </c>
      <c r="C151" s="106" t="s">
        <v>221</v>
      </c>
      <c r="D151" s="106">
        <v>131</v>
      </c>
      <c r="E151" s="192" t="s">
        <v>455</v>
      </c>
      <c r="F151" s="192" t="s">
        <v>293</v>
      </c>
      <c r="G151" s="192" t="s">
        <v>162</v>
      </c>
      <c r="H151" s="192"/>
      <c r="I151" s="192">
        <v>285911</v>
      </c>
      <c r="J151" s="192">
        <v>287897</v>
      </c>
      <c r="K151" s="192">
        <v>293218</v>
      </c>
      <c r="L151" s="192">
        <v>298532</v>
      </c>
      <c r="M151" s="192">
        <v>303652</v>
      </c>
      <c r="N151" s="192">
        <v>308000</v>
      </c>
      <c r="O151" s="192">
        <v>312796</v>
      </c>
      <c r="P151" s="192">
        <v>316895</v>
      </c>
      <c r="Q151" s="192">
        <v>320988</v>
      </c>
      <c r="R151" s="110">
        <v>325567</v>
      </c>
      <c r="S151" s="110">
        <v>330110</v>
      </c>
      <c r="T151" s="110">
        <v>336276</v>
      </c>
      <c r="U151" s="110">
        <v>343528</v>
      </c>
      <c r="V151" s="110"/>
      <c r="W151" s="151"/>
      <c r="X151" s="151">
        <v>1986</v>
      </c>
      <c r="Y151" s="151">
        <v>5321</v>
      </c>
      <c r="Z151" s="151">
        <v>5314</v>
      </c>
      <c r="AA151" s="151">
        <v>5120</v>
      </c>
      <c r="AB151" s="151">
        <v>4348</v>
      </c>
      <c r="AC151" s="151">
        <v>4796</v>
      </c>
      <c r="AD151" s="151">
        <v>4099</v>
      </c>
      <c r="AE151" s="151">
        <v>4093</v>
      </c>
      <c r="AF151" s="151">
        <v>4579</v>
      </c>
      <c r="AG151" s="151">
        <v>4543</v>
      </c>
      <c r="AH151" s="151">
        <v>6166</v>
      </c>
      <c r="AI151" s="151">
        <v>7252</v>
      </c>
    </row>
    <row r="152" spans="1:35" ht="18.75" x14ac:dyDescent="0.25">
      <c r="A152" s="295"/>
      <c r="B152" s="106" t="s">
        <v>237</v>
      </c>
      <c r="C152" s="106" t="s">
        <v>228</v>
      </c>
      <c r="D152" s="106">
        <v>140</v>
      </c>
      <c r="E152" s="192" t="s">
        <v>893</v>
      </c>
      <c r="F152" s="192" t="s">
        <v>231</v>
      </c>
      <c r="G152" s="192" t="s">
        <v>238</v>
      </c>
      <c r="H152" s="192"/>
      <c r="I152" s="192">
        <v>62979</v>
      </c>
      <c r="J152" s="192">
        <v>63312</v>
      </c>
      <c r="K152" s="192">
        <v>63917</v>
      </c>
      <c r="L152" s="192">
        <v>64492</v>
      </c>
      <c r="M152" s="192">
        <v>65092</v>
      </c>
      <c r="N152" s="192">
        <v>65738</v>
      </c>
      <c r="O152" s="192">
        <v>66543</v>
      </c>
      <c r="P152" s="192">
        <v>67600</v>
      </c>
      <c r="Q152" s="192">
        <v>68550</v>
      </c>
      <c r="R152" s="225">
        <v>69359</v>
      </c>
      <c r="S152" s="225">
        <v>69996</v>
      </c>
      <c r="T152" s="225">
        <v>70559</v>
      </c>
      <c r="U152" s="225">
        <v>71053</v>
      </c>
      <c r="V152" s="225"/>
      <c r="W152" s="151"/>
      <c r="X152" s="151">
        <v>333</v>
      </c>
      <c r="Y152" s="151">
        <v>605</v>
      </c>
      <c r="Z152" s="151">
        <v>575</v>
      </c>
      <c r="AA152" s="151">
        <v>600</v>
      </c>
      <c r="AB152" s="151">
        <v>646</v>
      </c>
      <c r="AC152" s="151">
        <v>805</v>
      </c>
      <c r="AD152" s="151">
        <v>1057</v>
      </c>
      <c r="AE152" s="151">
        <v>950</v>
      </c>
      <c r="AF152" s="151">
        <v>809</v>
      </c>
      <c r="AG152" s="151">
        <v>637</v>
      </c>
      <c r="AH152" s="151">
        <v>563</v>
      </c>
      <c r="AI152" s="151">
        <v>494</v>
      </c>
    </row>
    <row r="153" spans="1:35" ht="18.75" x14ac:dyDescent="0.25">
      <c r="A153" s="295"/>
      <c r="B153" s="106" t="s">
        <v>233</v>
      </c>
      <c r="C153" s="106" t="s">
        <v>228</v>
      </c>
      <c r="D153" s="106">
        <v>140</v>
      </c>
      <c r="E153" s="192" t="s">
        <v>900</v>
      </c>
      <c r="F153" s="192" t="s">
        <v>234</v>
      </c>
      <c r="G153" s="192"/>
      <c r="H153" s="192"/>
      <c r="I153" s="192">
        <v>508040</v>
      </c>
      <c r="J153" s="192">
        <v>511424</v>
      </c>
      <c r="K153" s="192">
        <v>518438</v>
      </c>
      <c r="L153" s="192">
        <v>524371</v>
      </c>
      <c r="M153" s="192">
        <v>528342</v>
      </c>
      <c r="N153" s="192">
        <v>531522</v>
      </c>
      <c r="O153" s="192">
        <v>535426</v>
      </c>
      <c r="P153" s="192">
        <v>541306</v>
      </c>
      <c r="Q153" s="192">
        <v>548319</v>
      </c>
      <c r="R153" s="225">
        <v>554939</v>
      </c>
      <c r="S153" s="225">
        <v>559733</v>
      </c>
      <c r="T153" s="225">
        <v>564357</v>
      </c>
      <c r="U153" s="225">
        <v>569798</v>
      </c>
      <c r="V153" s="225"/>
      <c r="W153" s="151"/>
      <c r="X153" s="151">
        <v>3384</v>
      </c>
      <c r="Y153" s="151">
        <v>7014</v>
      </c>
      <c r="Z153" s="151">
        <v>5933</v>
      </c>
      <c r="AA153" s="151">
        <v>3971</v>
      </c>
      <c r="AB153" s="151">
        <v>3180</v>
      </c>
      <c r="AC153" s="151">
        <v>3904</v>
      </c>
      <c r="AD153" s="151">
        <v>5880</v>
      </c>
      <c r="AE153" s="151">
        <v>7013</v>
      </c>
      <c r="AF153" s="151">
        <v>6620</v>
      </c>
      <c r="AG153" s="151">
        <v>4794</v>
      </c>
      <c r="AH153" s="151">
        <v>4624</v>
      </c>
      <c r="AI153" s="151">
        <v>5441</v>
      </c>
    </row>
    <row r="154" spans="1:35" ht="18.75" x14ac:dyDescent="0.25">
      <c r="A154" s="295"/>
      <c r="B154" s="106" t="s">
        <v>818</v>
      </c>
      <c r="C154" s="106" t="s">
        <v>228</v>
      </c>
      <c r="D154" s="106">
        <v>142</v>
      </c>
      <c r="E154" s="192" t="s">
        <v>822</v>
      </c>
      <c r="F154" s="192" t="s">
        <v>1344</v>
      </c>
      <c r="G154" s="192" t="s">
        <v>820</v>
      </c>
      <c r="H154" s="192" t="s">
        <v>821</v>
      </c>
      <c r="I154" s="192">
        <v>3019</v>
      </c>
      <c r="J154" s="192">
        <v>3069</v>
      </c>
      <c r="K154" s="192">
        <v>3118</v>
      </c>
      <c r="L154" s="192">
        <v>3169</v>
      </c>
      <c r="M154" s="192">
        <v>3217</v>
      </c>
      <c r="N154" s="192">
        <v>3263</v>
      </c>
      <c r="O154" s="192">
        <v>3315</v>
      </c>
      <c r="P154" s="192">
        <v>3361</v>
      </c>
      <c r="Q154" s="192">
        <v>3413</v>
      </c>
      <c r="R154" s="225">
        <v>3467</v>
      </c>
      <c r="S154" s="225">
        <v>3517</v>
      </c>
      <c r="T154" s="225">
        <v>3579</v>
      </c>
      <c r="U154" s="225">
        <v>3639</v>
      </c>
      <c r="V154" s="225"/>
      <c r="W154" s="151"/>
      <c r="X154" s="151">
        <v>50</v>
      </c>
      <c r="Y154" s="151">
        <v>49</v>
      </c>
      <c r="Z154" s="151">
        <v>51</v>
      </c>
      <c r="AA154" s="151">
        <v>48</v>
      </c>
      <c r="AB154" s="151">
        <v>46</v>
      </c>
      <c r="AC154" s="151">
        <v>52</v>
      </c>
      <c r="AD154" s="151">
        <v>46</v>
      </c>
      <c r="AE154" s="151">
        <v>52</v>
      </c>
      <c r="AF154" s="151">
        <v>54</v>
      </c>
      <c r="AG154" s="151">
        <v>50</v>
      </c>
      <c r="AH154" s="151">
        <v>62</v>
      </c>
      <c r="AI154" s="151">
        <v>60</v>
      </c>
    </row>
    <row r="155" spans="1:35" ht="18.75" x14ac:dyDescent="0.25">
      <c r="A155" s="295"/>
      <c r="B155" s="106" t="s">
        <v>1321</v>
      </c>
      <c r="C155" s="106" t="s">
        <v>228</v>
      </c>
      <c r="D155" s="106">
        <v>131</v>
      </c>
      <c r="E155" s="192" t="s">
        <v>455</v>
      </c>
      <c r="F155" s="192" t="s">
        <v>47</v>
      </c>
      <c r="G155" s="192"/>
      <c r="H155" s="192"/>
      <c r="I155" s="192">
        <v>179810</v>
      </c>
      <c r="J155" s="192">
        <v>181116</v>
      </c>
      <c r="K155" s="192">
        <v>183542</v>
      </c>
      <c r="L155" s="192">
        <v>185631</v>
      </c>
      <c r="M155" s="192">
        <v>187634</v>
      </c>
      <c r="N155" s="192">
        <v>189000</v>
      </c>
      <c r="O155" s="192">
        <v>190832</v>
      </c>
      <c r="P155" s="192">
        <v>192414</v>
      </c>
      <c r="Q155" s="192">
        <v>194622</v>
      </c>
      <c r="R155" s="225">
        <v>197219</v>
      </c>
      <c r="S155" s="225">
        <v>199406</v>
      </c>
      <c r="T155" s="225">
        <v>201647</v>
      </c>
      <c r="U155" s="225">
        <v>205063</v>
      </c>
      <c r="V155" s="225"/>
      <c r="W155" s="151"/>
      <c r="X155" s="151">
        <v>1306</v>
      </c>
      <c r="Y155" s="151">
        <v>2426</v>
      </c>
      <c r="Z155" s="151">
        <v>2089</v>
      </c>
      <c r="AA155" s="151">
        <v>2003</v>
      </c>
      <c r="AB155" s="151">
        <v>1366</v>
      </c>
      <c r="AC155" s="151">
        <v>1832</v>
      </c>
      <c r="AD155" s="151">
        <v>1582</v>
      </c>
      <c r="AE155" s="151">
        <v>2208</v>
      </c>
      <c r="AF155" s="151">
        <v>2597</v>
      </c>
      <c r="AG155" s="151">
        <v>2187</v>
      </c>
      <c r="AH155" s="151">
        <v>2241</v>
      </c>
      <c r="AI155" s="151">
        <v>3416</v>
      </c>
    </row>
    <row r="156" spans="1:35" ht="18.75" x14ac:dyDescent="0.25">
      <c r="A156" s="295"/>
      <c r="B156" s="106" t="s">
        <v>1349</v>
      </c>
      <c r="C156" s="106" t="s">
        <v>239</v>
      </c>
      <c r="D156" s="106">
        <v>131</v>
      </c>
      <c r="E156" s="192" t="s">
        <v>455</v>
      </c>
      <c r="F156" s="192" t="s">
        <v>47</v>
      </c>
      <c r="G156" s="192"/>
      <c r="H156" s="192"/>
      <c r="I156" s="192">
        <v>177515</v>
      </c>
      <c r="J156" s="192">
        <v>179926</v>
      </c>
      <c r="K156" s="192">
        <v>183841</v>
      </c>
      <c r="L156" s="192">
        <v>187157</v>
      </c>
      <c r="M156" s="192">
        <v>190743</v>
      </c>
      <c r="N156" s="192">
        <v>193000</v>
      </c>
      <c r="O156" s="192">
        <v>196195</v>
      </c>
      <c r="P156" s="192">
        <v>198451</v>
      </c>
      <c r="Q156" s="192">
        <v>198517</v>
      </c>
      <c r="R156" s="225">
        <v>198592</v>
      </c>
      <c r="S156" s="225">
        <v>198667</v>
      </c>
      <c r="T156" s="225"/>
      <c r="U156" s="225"/>
      <c r="V156" s="225"/>
      <c r="W156" s="151"/>
      <c r="X156" s="151">
        <v>2411</v>
      </c>
      <c r="Y156" s="151">
        <v>3915</v>
      </c>
      <c r="Z156" s="151">
        <v>3316</v>
      </c>
      <c r="AA156" s="151">
        <v>3586</v>
      </c>
      <c r="AB156" s="151">
        <v>2257</v>
      </c>
      <c r="AC156" s="151">
        <v>3195</v>
      </c>
      <c r="AD156" s="151">
        <v>2256</v>
      </c>
      <c r="AE156" s="151">
        <v>66</v>
      </c>
      <c r="AF156" s="151">
        <v>75</v>
      </c>
      <c r="AG156" s="151">
        <v>75</v>
      </c>
      <c r="AH156" s="151" t="s">
        <v>734</v>
      </c>
      <c r="AI156" s="151" t="s">
        <v>734</v>
      </c>
    </row>
    <row r="157" spans="1:35" ht="18.75" x14ac:dyDescent="0.25">
      <c r="A157" s="295"/>
      <c r="B157" s="106" t="s">
        <v>697</v>
      </c>
      <c r="C157" s="106" t="s">
        <v>288</v>
      </c>
      <c r="D157" s="106">
        <v>140</v>
      </c>
      <c r="E157" s="192" t="s">
        <v>21</v>
      </c>
      <c r="F157" s="192" t="s">
        <v>983</v>
      </c>
      <c r="G157" s="192" t="s">
        <v>698</v>
      </c>
      <c r="H157" s="192"/>
      <c r="I157" s="192">
        <v>9367</v>
      </c>
      <c r="J157" s="192">
        <v>9738</v>
      </c>
      <c r="K157" s="192">
        <v>9792</v>
      </c>
      <c r="L157" s="192">
        <v>9799</v>
      </c>
      <c r="M157" s="192">
        <v>9807</v>
      </c>
      <c r="N157" s="192">
        <v>10315</v>
      </c>
      <c r="O157" s="192">
        <v>10315</v>
      </c>
      <c r="P157" s="192">
        <v>10326</v>
      </c>
      <c r="Q157" s="192">
        <v>10584</v>
      </c>
      <c r="R157" s="225">
        <v>12376</v>
      </c>
      <c r="S157" s="225">
        <v>12377</v>
      </c>
      <c r="T157" s="225">
        <v>12383</v>
      </c>
      <c r="U157" s="225">
        <v>13229</v>
      </c>
      <c r="V157" s="225"/>
      <c r="W157" s="151"/>
      <c r="X157" s="151">
        <v>371</v>
      </c>
      <c r="Y157" s="151">
        <v>54</v>
      </c>
      <c r="Z157" s="151">
        <v>7</v>
      </c>
      <c r="AA157" s="151">
        <v>8</v>
      </c>
      <c r="AB157" s="151">
        <v>508</v>
      </c>
      <c r="AC157" s="151">
        <v>0</v>
      </c>
      <c r="AD157" s="151">
        <v>11</v>
      </c>
      <c r="AE157" s="151">
        <v>258</v>
      </c>
      <c r="AF157" s="151">
        <v>1792</v>
      </c>
      <c r="AG157" s="151">
        <v>1</v>
      </c>
      <c r="AH157" s="151">
        <v>6</v>
      </c>
      <c r="AI157" s="151">
        <v>846</v>
      </c>
    </row>
    <row r="158" spans="1:35" ht="18.75" x14ac:dyDescent="0.25">
      <c r="A158" s="295"/>
      <c r="B158" s="106" t="s">
        <v>696</v>
      </c>
      <c r="C158" s="106" t="s">
        <v>288</v>
      </c>
      <c r="D158" s="106">
        <v>140</v>
      </c>
      <c r="E158" s="192" t="s">
        <v>747</v>
      </c>
      <c r="F158" s="192" t="s">
        <v>987</v>
      </c>
      <c r="G158" s="192"/>
      <c r="H158" s="192"/>
      <c r="I158" s="192">
        <v>86923</v>
      </c>
      <c r="J158" s="192">
        <v>87080</v>
      </c>
      <c r="K158" s="192">
        <v>87370</v>
      </c>
      <c r="L158" s="192">
        <v>87620</v>
      </c>
      <c r="M158" s="192">
        <v>87879</v>
      </c>
      <c r="N158" s="192">
        <v>88177</v>
      </c>
      <c r="O158" s="192">
        <v>88512</v>
      </c>
      <c r="P158" s="192">
        <v>88910</v>
      </c>
      <c r="Q158" s="192">
        <v>89318</v>
      </c>
      <c r="R158" s="110">
        <v>89733</v>
      </c>
      <c r="S158" s="110">
        <v>90094</v>
      </c>
      <c r="T158" s="110">
        <v>90447</v>
      </c>
      <c r="U158" s="110">
        <v>90767</v>
      </c>
      <c r="V158" s="110"/>
      <c r="W158" s="151"/>
      <c r="X158" s="151">
        <v>157</v>
      </c>
      <c r="Y158" s="151">
        <v>290</v>
      </c>
      <c r="Z158" s="151">
        <v>250</v>
      </c>
      <c r="AA158" s="151">
        <v>259</v>
      </c>
      <c r="AB158" s="151">
        <v>298</v>
      </c>
      <c r="AC158" s="151">
        <v>335</v>
      </c>
      <c r="AD158" s="151">
        <v>398</v>
      </c>
      <c r="AE158" s="151">
        <v>408</v>
      </c>
      <c r="AF158" s="151">
        <v>415</v>
      </c>
      <c r="AG158" s="151">
        <v>361</v>
      </c>
      <c r="AH158" s="151">
        <v>353</v>
      </c>
      <c r="AI158" s="151">
        <v>320</v>
      </c>
    </row>
    <row r="159" spans="1:35" ht="18.75" x14ac:dyDescent="0.25">
      <c r="A159" s="295"/>
      <c r="B159" s="106" t="s">
        <v>968</v>
      </c>
      <c r="C159" s="106" t="s">
        <v>288</v>
      </c>
      <c r="D159" s="106">
        <v>140</v>
      </c>
      <c r="E159" s="192" t="s">
        <v>969</v>
      </c>
      <c r="F159" s="192" t="s">
        <v>984</v>
      </c>
      <c r="G159" s="192" t="s">
        <v>970</v>
      </c>
      <c r="H159" s="192"/>
      <c r="I159" s="192">
        <v>213744</v>
      </c>
      <c r="J159" s="192">
        <v>214067</v>
      </c>
      <c r="K159" s="192">
        <v>214695</v>
      </c>
      <c r="L159" s="192">
        <v>215414</v>
      </c>
      <c r="M159" s="192">
        <v>215414</v>
      </c>
      <c r="N159" s="192">
        <v>216553</v>
      </c>
      <c r="O159" s="192">
        <v>217237</v>
      </c>
      <c r="P159" s="192">
        <v>217859</v>
      </c>
      <c r="Q159" s="192">
        <v>218514</v>
      </c>
      <c r="R159" s="225">
        <v>219366</v>
      </c>
      <c r="S159" s="225">
        <v>220536</v>
      </c>
      <c r="T159" s="225">
        <v>222552</v>
      </c>
      <c r="U159" s="225">
        <v>223967</v>
      </c>
      <c r="V159" s="225"/>
      <c r="W159" s="151"/>
      <c r="X159" s="151">
        <v>323</v>
      </c>
      <c r="Y159" s="151">
        <v>628</v>
      </c>
      <c r="Z159" s="151">
        <v>719</v>
      </c>
      <c r="AA159" s="151">
        <v>0</v>
      </c>
      <c r="AB159" s="151">
        <v>1139</v>
      </c>
      <c r="AC159" s="151">
        <v>684</v>
      </c>
      <c r="AD159" s="151">
        <v>622</v>
      </c>
      <c r="AE159" s="151">
        <v>655</v>
      </c>
      <c r="AF159" s="151">
        <v>852</v>
      </c>
      <c r="AG159" s="151">
        <v>1170</v>
      </c>
      <c r="AH159" s="151">
        <v>2016</v>
      </c>
      <c r="AI159" s="151">
        <v>1415</v>
      </c>
    </row>
    <row r="160" spans="1:35" ht="18.75" x14ac:dyDescent="0.25">
      <c r="A160" s="295"/>
      <c r="B160" s="106" t="s">
        <v>1258</v>
      </c>
      <c r="C160" s="106" t="s">
        <v>288</v>
      </c>
      <c r="D160" s="106">
        <v>131</v>
      </c>
      <c r="E160" s="192" t="s">
        <v>455</v>
      </c>
      <c r="F160" s="192" t="s">
        <v>47</v>
      </c>
      <c r="G160" s="192"/>
      <c r="H160" s="192" t="s">
        <v>1058</v>
      </c>
      <c r="I160" s="192">
        <v>449304</v>
      </c>
      <c r="J160" s="192">
        <v>453315</v>
      </c>
      <c r="K160" s="192">
        <v>460134</v>
      </c>
      <c r="L160" s="192">
        <v>465155</v>
      </c>
      <c r="M160" s="192">
        <v>470408</v>
      </c>
      <c r="N160" s="192">
        <v>475050</v>
      </c>
      <c r="O160" s="192">
        <v>479121</v>
      </c>
      <c r="P160" s="192">
        <v>483282</v>
      </c>
      <c r="Q160" s="192">
        <v>487406</v>
      </c>
      <c r="R160" s="225">
        <v>492504</v>
      </c>
      <c r="S160" s="225">
        <v>497670</v>
      </c>
      <c r="T160" s="225">
        <v>504098</v>
      </c>
      <c r="U160" s="225">
        <v>510984</v>
      </c>
      <c r="V160" s="225"/>
      <c r="W160" s="151"/>
      <c r="X160" s="151">
        <v>4011</v>
      </c>
      <c r="Y160" s="151">
        <v>6819</v>
      </c>
      <c r="Z160" s="151">
        <v>5021</v>
      </c>
      <c r="AA160" s="151">
        <v>5253</v>
      </c>
      <c r="AB160" s="151">
        <v>4642</v>
      </c>
      <c r="AC160" s="151">
        <v>4071</v>
      </c>
      <c r="AD160" s="151">
        <v>4161</v>
      </c>
      <c r="AE160" s="151">
        <v>4124</v>
      </c>
      <c r="AF160" s="151">
        <v>5098</v>
      </c>
      <c r="AG160" s="151">
        <v>5166</v>
      </c>
      <c r="AH160" s="151">
        <v>6428</v>
      </c>
      <c r="AI160" s="151">
        <v>6886</v>
      </c>
    </row>
    <row r="161" spans="1:35" ht="18.75" x14ac:dyDescent="0.25">
      <c r="A161" s="295"/>
      <c r="B161" s="106" t="s">
        <v>1243</v>
      </c>
      <c r="C161" s="106" t="s">
        <v>296</v>
      </c>
      <c r="D161" s="106">
        <v>131</v>
      </c>
      <c r="E161" s="192" t="s">
        <v>455</v>
      </c>
      <c r="F161" s="192" t="s">
        <v>47</v>
      </c>
      <c r="G161" s="192"/>
      <c r="H161" s="192"/>
      <c r="I161" s="192">
        <v>215628</v>
      </c>
      <c r="J161" s="192">
        <v>219158</v>
      </c>
      <c r="K161" s="192">
        <v>225147</v>
      </c>
      <c r="L161" s="192">
        <v>229352</v>
      </c>
      <c r="M161" s="192">
        <v>234215</v>
      </c>
      <c r="N161" s="192">
        <v>237893</v>
      </c>
      <c r="O161" s="192">
        <v>241528</v>
      </c>
      <c r="P161" s="192">
        <v>245267</v>
      </c>
      <c r="Q161" s="192">
        <v>249007</v>
      </c>
      <c r="R161" s="225">
        <v>253479</v>
      </c>
      <c r="S161" s="225">
        <v>257665</v>
      </c>
      <c r="T161" s="225">
        <v>263526</v>
      </c>
      <c r="U161" s="225">
        <v>269543</v>
      </c>
      <c r="V161" s="225"/>
      <c r="W161" s="151"/>
      <c r="X161" s="151">
        <v>3530</v>
      </c>
      <c r="Y161" s="151">
        <v>5989</v>
      </c>
      <c r="Z161" s="151">
        <v>4205</v>
      </c>
      <c r="AA161" s="151">
        <v>4863</v>
      </c>
      <c r="AB161" s="151">
        <v>3678</v>
      </c>
      <c r="AC161" s="151">
        <v>3635</v>
      </c>
      <c r="AD161" s="151">
        <v>3739</v>
      </c>
      <c r="AE161" s="151">
        <v>3740</v>
      </c>
      <c r="AF161" s="151">
        <v>4472</v>
      </c>
      <c r="AG161" s="151">
        <v>4186</v>
      </c>
      <c r="AH161" s="151">
        <v>5861</v>
      </c>
      <c r="AI161" s="151">
        <v>6017</v>
      </c>
    </row>
    <row r="162" spans="1:35" ht="18.75" x14ac:dyDescent="0.25">
      <c r="A162" s="295"/>
      <c r="B162" s="106" t="s">
        <v>1244</v>
      </c>
      <c r="C162" s="106" t="s">
        <v>296</v>
      </c>
      <c r="D162" s="106">
        <v>132</v>
      </c>
      <c r="E162" s="192" t="s">
        <v>737</v>
      </c>
      <c r="F162" s="192" t="s">
        <v>47</v>
      </c>
      <c r="G162" s="192"/>
      <c r="H162" s="192" t="s">
        <v>738</v>
      </c>
      <c r="I162" s="192">
        <v>12199</v>
      </c>
      <c r="J162" s="192">
        <v>12204</v>
      </c>
      <c r="K162" s="192">
        <v>12213</v>
      </c>
      <c r="L162" s="192">
        <v>12220</v>
      </c>
      <c r="M162" s="192">
        <v>12227</v>
      </c>
      <c r="N162" s="192">
        <v>12233</v>
      </c>
      <c r="O162" s="192">
        <v>12238</v>
      </c>
      <c r="P162" s="192">
        <v>12244</v>
      </c>
      <c r="Q162" s="192">
        <v>12249</v>
      </c>
      <c r="R162" s="225">
        <v>12256</v>
      </c>
      <c r="S162" s="225">
        <v>12262</v>
      </c>
      <c r="T162" s="225">
        <v>12272</v>
      </c>
      <c r="U162" s="225">
        <v>12281</v>
      </c>
      <c r="V162" s="225"/>
      <c r="W162" s="151"/>
      <c r="X162" s="151">
        <v>5</v>
      </c>
      <c r="Y162" s="151">
        <v>9</v>
      </c>
      <c r="Z162" s="151">
        <v>7</v>
      </c>
      <c r="AA162" s="151">
        <v>7</v>
      </c>
      <c r="AB162" s="151">
        <v>6</v>
      </c>
      <c r="AC162" s="151">
        <v>5</v>
      </c>
      <c r="AD162" s="151">
        <v>6</v>
      </c>
      <c r="AE162" s="151">
        <v>5</v>
      </c>
      <c r="AF162" s="151">
        <v>7</v>
      </c>
      <c r="AG162" s="151">
        <v>6</v>
      </c>
      <c r="AH162" s="151">
        <v>10</v>
      </c>
      <c r="AI162" s="151">
        <v>9</v>
      </c>
    </row>
    <row r="163" spans="1:35" ht="18.75" x14ac:dyDescent="0.25">
      <c r="A163" s="295"/>
      <c r="B163" s="106">
        <v>114481072</v>
      </c>
      <c r="C163" s="106" t="s">
        <v>298</v>
      </c>
      <c r="D163" s="106">
        <v>132</v>
      </c>
      <c r="E163" s="192" t="s">
        <v>305</v>
      </c>
      <c r="F163" s="192" t="s">
        <v>47</v>
      </c>
      <c r="G163" s="192" t="s">
        <v>305</v>
      </c>
      <c r="H163" s="192"/>
      <c r="I163" s="192">
        <v>60195</v>
      </c>
      <c r="J163" s="192">
        <v>61544</v>
      </c>
      <c r="K163" s="192">
        <v>64045</v>
      </c>
      <c r="L163" s="192">
        <v>65977</v>
      </c>
      <c r="M163" s="192">
        <v>68136</v>
      </c>
      <c r="N163" s="192">
        <v>69710</v>
      </c>
      <c r="O163" s="192">
        <v>71254</v>
      </c>
      <c r="P163" s="192">
        <v>72850</v>
      </c>
      <c r="Q163" s="192">
        <v>74451</v>
      </c>
      <c r="R163" s="225">
        <v>76352</v>
      </c>
      <c r="S163" s="225">
        <v>78074</v>
      </c>
      <c r="T163" s="225">
        <v>80491</v>
      </c>
      <c r="U163" s="225">
        <v>83174</v>
      </c>
      <c r="V163" s="225"/>
      <c r="W163" s="151"/>
      <c r="X163" s="151">
        <v>1349</v>
      </c>
      <c r="Y163" s="151">
        <v>2501</v>
      </c>
      <c r="Z163" s="151">
        <v>1932</v>
      </c>
      <c r="AA163" s="151">
        <v>2159</v>
      </c>
      <c r="AB163" s="151">
        <v>1574</v>
      </c>
      <c r="AC163" s="151">
        <v>1544</v>
      </c>
      <c r="AD163" s="151">
        <v>1596</v>
      </c>
      <c r="AE163" s="151">
        <v>1601</v>
      </c>
      <c r="AF163" s="151">
        <v>1901</v>
      </c>
      <c r="AG163" s="151">
        <v>1722</v>
      </c>
      <c r="AH163" s="151">
        <v>2417</v>
      </c>
      <c r="AI163" s="151">
        <v>2683</v>
      </c>
    </row>
    <row r="164" spans="1:35" ht="18.75" x14ac:dyDescent="0.25">
      <c r="A164" s="295"/>
      <c r="B164" s="106"/>
      <c r="C164" s="106"/>
      <c r="D164" s="106"/>
      <c r="E164" s="192"/>
      <c r="F164" s="192"/>
      <c r="G164" s="192"/>
      <c r="H164" s="192"/>
      <c r="I164" s="192"/>
      <c r="J164" s="192"/>
      <c r="K164" s="192"/>
      <c r="L164" s="192"/>
      <c r="M164" s="192"/>
      <c r="N164" s="192"/>
      <c r="O164" s="192"/>
      <c r="P164" s="192"/>
      <c r="Q164" s="192"/>
      <c r="R164" s="225"/>
      <c r="S164" s="225"/>
      <c r="T164" s="225"/>
      <c r="U164" s="225"/>
      <c r="V164" s="225"/>
      <c r="W164" s="151"/>
      <c r="X164" s="151"/>
      <c r="Y164" s="151"/>
      <c r="Z164" s="151"/>
      <c r="AA164" s="151"/>
      <c r="AB164" s="151"/>
      <c r="AC164" s="151"/>
      <c r="AD164" s="151"/>
      <c r="AE164" s="151"/>
      <c r="AF164" s="151"/>
      <c r="AG164" s="151"/>
      <c r="AH164" s="151"/>
      <c r="AI164" s="151"/>
    </row>
    <row r="165" spans="1:35" ht="18.75" x14ac:dyDescent="0.25">
      <c r="A165" s="295"/>
      <c r="B165" s="106"/>
      <c r="C165" s="106"/>
      <c r="D165" s="106"/>
      <c r="E165" s="192"/>
      <c r="F165" s="192"/>
      <c r="G165" s="192"/>
      <c r="H165" s="192"/>
      <c r="I165" s="192"/>
      <c r="J165" s="192"/>
      <c r="K165" s="192"/>
      <c r="L165" s="192"/>
      <c r="M165" s="192"/>
      <c r="N165" s="192"/>
      <c r="O165" s="192"/>
      <c r="P165" s="192"/>
      <c r="Q165" s="192"/>
      <c r="R165" s="225"/>
      <c r="S165" s="225"/>
      <c r="T165" s="225"/>
      <c r="U165" s="225"/>
      <c r="V165" s="225"/>
      <c r="W165" s="151"/>
      <c r="X165" s="151"/>
      <c r="Y165" s="151"/>
      <c r="Z165" s="151"/>
      <c r="AA165" s="151"/>
      <c r="AB165" s="151"/>
      <c r="AC165" s="151"/>
      <c r="AD165" s="151"/>
      <c r="AE165" s="151"/>
      <c r="AF165" s="151"/>
      <c r="AG165" s="151"/>
      <c r="AH165" s="151"/>
      <c r="AI165" s="151"/>
    </row>
    <row r="166" spans="1:35" ht="18.75" x14ac:dyDescent="0.25">
      <c r="A166" s="295"/>
      <c r="B166" s="106"/>
      <c r="C166" s="106"/>
      <c r="D166" s="106"/>
      <c r="E166" s="192"/>
      <c r="F166" s="192"/>
      <c r="G166" s="192"/>
      <c r="H166" s="192"/>
      <c r="I166" s="192"/>
      <c r="J166" s="192"/>
      <c r="K166" s="192"/>
      <c r="L166" s="192"/>
      <c r="M166" s="192"/>
      <c r="N166" s="192"/>
      <c r="O166" s="192"/>
      <c r="P166" s="192"/>
      <c r="Q166" s="192"/>
      <c r="R166" s="110"/>
      <c r="S166" s="110"/>
      <c r="T166" s="110"/>
      <c r="U166" s="110"/>
      <c r="V166" s="110"/>
      <c r="W166" s="151"/>
      <c r="X166" s="151"/>
      <c r="Y166" s="151"/>
      <c r="Z166" s="151"/>
      <c r="AA166" s="151"/>
      <c r="AB166" s="151"/>
      <c r="AC166" s="151"/>
      <c r="AD166" s="151"/>
      <c r="AE166" s="151"/>
      <c r="AF166" s="151"/>
      <c r="AG166" s="151"/>
      <c r="AH166" s="151"/>
      <c r="AI166" s="151"/>
    </row>
    <row r="167" spans="1:35" ht="18.75" x14ac:dyDescent="0.25">
      <c r="A167" s="295"/>
      <c r="B167" s="106"/>
      <c r="C167" s="106"/>
      <c r="D167" s="106"/>
      <c r="E167" s="192"/>
      <c r="F167" s="192"/>
      <c r="G167" s="192"/>
      <c r="H167" s="192"/>
      <c r="I167" s="192"/>
      <c r="J167" s="192"/>
      <c r="K167" s="192"/>
      <c r="L167" s="192"/>
      <c r="M167" s="192"/>
      <c r="N167" s="192"/>
      <c r="O167" s="192"/>
      <c r="P167" s="192"/>
      <c r="Q167" s="192"/>
      <c r="R167" s="225"/>
      <c r="S167" s="225"/>
      <c r="T167" s="225"/>
      <c r="U167" s="225"/>
      <c r="V167" s="225"/>
      <c r="W167" s="151"/>
      <c r="X167" s="151"/>
      <c r="Y167" s="151"/>
      <c r="Z167" s="151"/>
      <c r="AA167" s="151"/>
      <c r="AB167" s="151"/>
      <c r="AC167" s="151"/>
      <c r="AD167" s="151"/>
      <c r="AE167" s="151"/>
      <c r="AF167" s="151"/>
      <c r="AG167" s="151"/>
      <c r="AH167" s="151"/>
      <c r="AI167" s="151"/>
    </row>
    <row r="168" spans="1:35" ht="18.75" x14ac:dyDescent="0.25">
      <c r="A168" s="295"/>
      <c r="B168" s="210" t="s">
        <v>1358</v>
      </c>
      <c r="C168" s="61" t="s">
        <v>323</v>
      </c>
      <c r="D168" s="61">
        <v>3000</v>
      </c>
      <c r="E168" s="197"/>
      <c r="F168" s="197"/>
      <c r="G168" s="198"/>
      <c r="H168" s="197"/>
      <c r="I168" s="199"/>
      <c r="J168" s="199"/>
      <c r="K168" s="199"/>
      <c r="L168" s="199"/>
      <c r="M168" s="199"/>
      <c r="N168" s="199">
        <v>23</v>
      </c>
      <c r="O168" s="199">
        <v>1040</v>
      </c>
      <c r="P168" s="199"/>
      <c r="Q168" s="199"/>
      <c r="R168" s="235"/>
      <c r="S168" s="225"/>
      <c r="T168" s="225"/>
      <c r="U168" s="225"/>
      <c r="V168" s="225"/>
      <c r="W168" s="151"/>
      <c r="X168" s="151" t="s">
        <v>734</v>
      </c>
      <c r="Y168" s="151" t="s">
        <v>734</v>
      </c>
      <c r="Z168" s="151" t="s">
        <v>734</v>
      </c>
      <c r="AA168" s="151" t="s">
        <v>734</v>
      </c>
      <c r="AB168" s="151" t="s">
        <v>734</v>
      </c>
      <c r="AC168" s="151">
        <v>0</v>
      </c>
      <c r="AD168" s="151" t="s">
        <v>734</v>
      </c>
      <c r="AE168" s="151" t="s">
        <v>734</v>
      </c>
      <c r="AF168" s="151" t="s">
        <v>734</v>
      </c>
      <c r="AG168" s="151" t="s">
        <v>734</v>
      </c>
      <c r="AH168" s="151" t="s">
        <v>734</v>
      </c>
      <c r="AI168" s="151" t="s">
        <v>734</v>
      </c>
    </row>
    <row r="169" spans="1:35" ht="18.75" x14ac:dyDescent="0.25">
      <c r="A169" s="295"/>
      <c r="B169" s="106"/>
      <c r="C169" s="106"/>
      <c r="D169" s="106"/>
      <c r="E169" s="192"/>
      <c r="F169" s="192"/>
      <c r="G169" s="192"/>
      <c r="H169" s="192"/>
      <c r="I169" s="192"/>
      <c r="J169" s="192"/>
      <c r="K169" s="192"/>
      <c r="L169" s="192"/>
      <c r="M169" s="192"/>
      <c r="N169" s="192"/>
      <c r="O169" s="192"/>
      <c r="P169" s="192"/>
      <c r="Q169" s="192"/>
      <c r="R169" s="110"/>
      <c r="S169" s="110"/>
      <c r="T169" s="110"/>
      <c r="U169" s="110"/>
      <c r="V169" s="110"/>
      <c r="W169" s="151"/>
      <c r="X169" s="151"/>
      <c r="Y169" s="151"/>
      <c r="Z169" s="151"/>
      <c r="AA169" s="151"/>
      <c r="AB169" s="151"/>
      <c r="AC169" s="151"/>
      <c r="AD169" s="151"/>
      <c r="AE169" s="151"/>
      <c r="AF169" s="151"/>
      <c r="AG169" s="151"/>
      <c r="AH169" s="151"/>
      <c r="AI169" s="151"/>
    </row>
    <row r="170" spans="1:35" ht="18.75" x14ac:dyDescent="0.25">
      <c r="A170" s="295"/>
      <c r="B170" s="106"/>
      <c r="C170" s="106"/>
      <c r="D170" s="106"/>
      <c r="E170" s="192"/>
      <c r="F170" s="192"/>
      <c r="G170" s="192"/>
      <c r="H170" s="192"/>
      <c r="I170" s="192"/>
      <c r="J170" s="192"/>
      <c r="K170" s="192"/>
      <c r="L170" s="192"/>
      <c r="M170" s="192"/>
      <c r="N170" s="192"/>
      <c r="O170" s="192"/>
      <c r="P170" s="192"/>
      <c r="Q170" s="192"/>
      <c r="R170" s="225"/>
      <c r="S170" s="225"/>
      <c r="T170" s="225"/>
      <c r="U170" s="225"/>
      <c r="V170" s="225"/>
      <c r="W170" s="151"/>
      <c r="X170" s="151"/>
      <c r="Y170" s="151"/>
      <c r="Z170" s="151"/>
      <c r="AA170" s="151"/>
      <c r="AB170" s="151"/>
      <c r="AC170" s="151"/>
      <c r="AD170" s="151"/>
      <c r="AE170" s="151"/>
      <c r="AF170" s="151"/>
      <c r="AG170" s="151"/>
      <c r="AH170" s="151"/>
      <c r="AI170" s="151"/>
    </row>
    <row r="171" spans="1:35" ht="18.75" x14ac:dyDescent="0.25">
      <c r="A171" s="295"/>
      <c r="B171" s="625"/>
      <c r="C171" s="625"/>
      <c r="D171" s="625"/>
      <c r="E171" s="626"/>
      <c r="F171" s="626"/>
      <c r="G171" s="626"/>
      <c r="H171" s="626"/>
      <c r="I171" s="626"/>
      <c r="J171" s="626"/>
      <c r="K171" s="626"/>
      <c r="L171" s="626"/>
      <c r="M171" s="626"/>
      <c r="N171" s="626"/>
      <c r="O171" s="626"/>
      <c r="P171" s="626"/>
      <c r="Q171" s="626"/>
      <c r="R171" s="470"/>
      <c r="S171" s="470"/>
      <c r="T171" s="470"/>
      <c r="U171" s="470"/>
      <c r="V171" s="470"/>
      <c r="W171" s="467"/>
      <c r="X171" s="467"/>
      <c r="Y171" s="467"/>
      <c r="Z171" s="467"/>
      <c r="AA171" s="467"/>
      <c r="AB171" s="467"/>
      <c r="AC171" s="467"/>
      <c r="AD171" s="467"/>
      <c r="AE171" s="467"/>
      <c r="AF171" s="467"/>
      <c r="AG171" s="467"/>
      <c r="AH171" s="467"/>
      <c r="AI171" s="467"/>
    </row>
    <row r="172" spans="1:35" x14ac:dyDescent="0.25">
      <c r="A172" s="295"/>
    </row>
    <row r="173" spans="1:35" x14ac:dyDescent="0.25">
      <c r="A173" s="295"/>
    </row>
    <row r="174" spans="1:35" x14ac:dyDescent="0.25">
      <c r="A174" s="295"/>
    </row>
    <row r="175" spans="1:35" x14ac:dyDescent="0.25">
      <c r="A175" s="295"/>
    </row>
    <row r="176" spans="1:35" x14ac:dyDescent="0.25">
      <c r="A176" s="295"/>
    </row>
    <row r="177" spans="1:1" x14ac:dyDescent="0.25">
      <c r="A177" s="295"/>
    </row>
    <row r="178" spans="1:1" x14ac:dyDescent="0.25">
      <c r="A178" s="295"/>
    </row>
  </sheetData>
  <conditionalFormatting sqref="B3:AI171">
    <cfRule type="expression" dxfId="122" priority="79">
      <formula>$D3=350</formula>
    </cfRule>
    <cfRule type="expression" dxfId="121" priority="80">
      <formula>$D3=122</formula>
    </cfRule>
    <cfRule type="expression" dxfId="120" priority="81">
      <formula>$D3=132</formula>
    </cfRule>
    <cfRule type="expression" dxfId="119" priority="82">
      <formula>$D3=150</formula>
    </cfRule>
    <cfRule type="expression" dxfId="118" priority="83">
      <formula>$D3=140</formula>
    </cfRule>
    <cfRule type="expression" dxfId="117" priority="84">
      <formula>$D3=131</formula>
    </cfRule>
    <cfRule type="expression" dxfId="116" priority="85">
      <formula>$D3=121</formula>
    </cfRule>
    <cfRule type="expression" dxfId="115" priority="86">
      <formula>$D3=120</formula>
    </cfRule>
    <cfRule type="expression" dxfId="114" priority="87">
      <formula>$D3=110</formula>
    </cfRule>
    <cfRule type="expression" dxfId="113" priority="88">
      <formula>$D3=100</formula>
    </cfRule>
    <cfRule type="expression" dxfId="112" priority="89">
      <formula>$D3=3</formula>
    </cfRule>
    <cfRule type="expression" dxfId="111" priority="90">
      <formula>$D3=2</formula>
    </cfRule>
    <cfRule type="expression" dxfId="110" priority="91">
      <formula>$D3=1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croAutoconsumo">
                <anchor moveWithCells="1" sizeWithCells="1">
                  <from>
                    <xdr:col>35</xdr:col>
                    <xdr:colOff>190500</xdr:colOff>
                    <xdr:row>2</xdr:row>
                    <xdr:rowOff>66675</xdr:rowOff>
                  </from>
                  <to>
                    <xdr:col>37</xdr:col>
                    <xdr:colOff>590550</xdr:colOff>
                    <xdr:row>3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AK247"/>
  <sheetViews>
    <sheetView topLeftCell="F53" zoomScale="70" zoomScaleNormal="70" workbookViewId="0">
      <selection activeCell="AJ110" sqref="X110:AJ110"/>
    </sheetView>
  </sheetViews>
  <sheetFormatPr baseColWidth="10" defaultColWidth="11.42578125" defaultRowHeight="12.75" x14ac:dyDescent="0.2"/>
  <cols>
    <col min="1" max="1" width="41.7109375" style="19" bestFit="1" customWidth="1"/>
    <col min="2" max="2" width="23.5703125" style="34" customWidth="1"/>
    <col min="3" max="3" width="11.7109375" style="34" customWidth="1"/>
    <col min="4" max="4" width="7.42578125" style="34" customWidth="1"/>
    <col min="5" max="5" width="54.42578125" style="34" customWidth="1"/>
    <col min="6" max="6" width="41.28515625" style="34" bestFit="1" customWidth="1"/>
    <col min="7" max="16" width="14" style="34" hidden="1" customWidth="1"/>
    <col min="17" max="22" width="13.7109375" style="34" hidden="1" customWidth="1"/>
    <col min="23" max="23" width="11.140625" style="167" hidden="1" customWidth="1"/>
    <col min="24" max="28" width="12.28515625" style="167" bestFit="1" customWidth="1"/>
    <col min="29" max="29" width="12.42578125" style="167" bestFit="1" customWidth="1"/>
    <col min="30" max="31" width="12.28515625" style="167" bestFit="1" customWidth="1"/>
    <col min="32" max="32" width="14.42578125" style="167" bestFit="1" customWidth="1"/>
    <col min="33" max="33" width="12.85546875" style="167" bestFit="1" customWidth="1"/>
    <col min="34" max="34" width="13.7109375" style="167" bestFit="1" customWidth="1"/>
    <col min="35" max="35" width="16.140625" style="44" bestFit="1" customWidth="1"/>
    <col min="36" max="36" width="14.42578125" style="19" bestFit="1" customWidth="1"/>
    <col min="37" max="37" width="12.5703125" style="19" bestFit="1" customWidth="1"/>
    <col min="38" max="16384" width="11.42578125" style="19"/>
  </cols>
  <sheetData>
    <row r="1" spans="1:37" ht="21" x14ac:dyDescent="0.35">
      <c r="A1" s="239" t="s">
        <v>1334</v>
      </c>
      <c r="B1" s="239"/>
      <c r="C1" s="239"/>
      <c r="D1" s="239"/>
      <c r="F1" s="147"/>
      <c r="G1" s="148"/>
    </row>
    <row r="2" spans="1:37" ht="21" x14ac:dyDescent="0.35">
      <c r="A2" s="26"/>
      <c r="B2" s="89"/>
      <c r="C2" s="89"/>
      <c r="D2" s="89"/>
    </row>
    <row r="3" spans="1:37" s="25" customFormat="1" ht="18.75" customHeight="1" x14ac:dyDescent="0.2">
      <c r="A3" s="238" t="s">
        <v>504</v>
      </c>
      <c r="B3" s="238"/>
      <c r="C3" s="238"/>
      <c r="D3" s="238"/>
      <c r="E3" s="231" t="s">
        <v>706</v>
      </c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168"/>
      <c r="X3" s="168"/>
      <c r="Y3" s="168"/>
      <c r="Z3" s="168"/>
      <c r="AA3" s="168"/>
      <c r="AB3" s="168"/>
      <c r="AC3" s="168"/>
      <c r="AD3" s="168"/>
      <c r="AE3" s="168"/>
      <c r="AF3" s="168"/>
      <c r="AG3" s="168"/>
      <c r="AH3" s="168"/>
      <c r="AI3" s="45"/>
    </row>
    <row r="4" spans="1:37" s="23" customFormat="1" ht="13.5" customHeight="1" x14ac:dyDescent="0.25">
      <c r="A4" s="28" t="s">
        <v>709</v>
      </c>
      <c r="B4" s="183" t="s">
        <v>18</v>
      </c>
      <c r="C4" s="183" t="s">
        <v>0</v>
      </c>
      <c r="D4" s="183" t="s">
        <v>710</v>
      </c>
      <c r="E4" s="232" t="s">
        <v>1</v>
      </c>
      <c r="F4" s="36" t="s">
        <v>2</v>
      </c>
      <c r="G4" s="23" t="s">
        <v>3</v>
      </c>
      <c r="H4" s="23" t="s">
        <v>4</v>
      </c>
      <c r="I4" s="23" t="s">
        <v>1100</v>
      </c>
      <c r="J4" s="23" t="s">
        <v>1050</v>
      </c>
      <c r="K4" s="36" t="s">
        <v>1101</v>
      </c>
      <c r="L4" s="36" t="s">
        <v>1102</v>
      </c>
      <c r="M4" s="36" t="s">
        <v>1103</v>
      </c>
      <c r="N4" s="36" t="s">
        <v>1104</v>
      </c>
      <c r="O4" s="36" t="s">
        <v>1105</v>
      </c>
      <c r="P4" s="36" t="s">
        <v>1106</v>
      </c>
      <c r="Q4" s="23" t="s">
        <v>1107</v>
      </c>
      <c r="R4" s="36" t="s">
        <v>1108</v>
      </c>
      <c r="S4" s="36" t="s">
        <v>1109</v>
      </c>
      <c r="T4" s="36" t="s">
        <v>1110</v>
      </c>
      <c r="U4" s="36" t="s">
        <v>1111</v>
      </c>
      <c r="V4" s="36" t="s">
        <v>1112</v>
      </c>
      <c r="W4" s="169" t="s">
        <v>756</v>
      </c>
      <c r="X4" s="169" t="s">
        <v>488</v>
      </c>
      <c r="Y4" s="169" t="s">
        <v>489</v>
      </c>
      <c r="Z4" s="169" t="s">
        <v>490</v>
      </c>
      <c r="AA4" s="169" t="s">
        <v>491</v>
      </c>
      <c r="AB4" s="169" t="s">
        <v>492</v>
      </c>
      <c r="AC4" s="169" t="s">
        <v>493</v>
      </c>
      <c r="AD4" s="169" t="s">
        <v>494</v>
      </c>
      <c r="AE4" s="169" t="s">
        <v>495</v>
      </c>
      <c r="AF4" s="169" t="s">
        <v>496</v>
      </c>
      <c r="AG4" s="169" t="s">
        <v>497</v>
      </c>
      <c r="AH4" s="169" t="s">
        <v>498</v>
      </c>
      <c r="AI4" s="46" t="s">
        <v>499</v>
      </c>
      <c r="AJ4" s="46" t="s">
        <v>685</v>
      </c>
    </row>
    <row r="5" spans="1:37" x14ac:dyDescent="0.2">
      <c r="A5" s="22"/>
      <c r="B5" s="39" t="s">
        <v>1323</v>
      </c>
      <c r="C5" s="39" t="s">
        <v>323</v>
      </c>
      <c r="D5" s="39">
        <v>121</v>
      </c>
      <c r="E5" s="39" t="s">
        <v>324</v>
      </c>
      <c r="F5" s="39" t="s">
        <v>325</v>
      </c>
      <c r="G5" s="39" t="s">
        <v>326</v>
      </c>
      <c r="H5" s="39"/>
      <c r="I5" s="39">
        <v>8865938</v>
      </c>
      <c r="J5" s="39">
        <v>8897124</v>
      </c>
      <c r="K5" s="39">
        <v>8977016</v>
      </c>
      <c r="L5" s="39">
        <v>9047397</v>
      </c>
      <c r="M5" s="39">
        <v>9123159</v>
      </c>
      <c r="N5" s="39">
        <v>9159218</v>
      </c>
      <c r="O5" s="39">
        <v>9299948</v>
      </c>
      <c r="P5" s="39">
        <v>9401527</v>
      </c>
      <c r="Q5" s="39">
        <v>9524896</v>
      </c>
      <c r="R5" s="39">
        <v>9636139</v>
      </c>
      <c r="S5" s="39">
        <v>9693409</v>
      </c>
      <c r="T5" s="39">
        <v>9746940</v>
      </c>
      <c r="U5" s="39">
        <v>9800986</v>
      </c>
      <c r="V5" s="39"/>
      <c r="W5" s="39"/>
      <c r="X5" s="39">
        <v>31186</v>
      </c>
      <c r="Y5" s="39">
        <v>79892</v>
      </c>
      <c r="Z5" s="39">
        <v>70381</v>
      </c>
      <c r="AA5" s="39">
        <v>75762</v>
      </c>
      <c r="AB5" s="39">
        <v>36059</v>
      </c>
      <c r="AC5" s="39">
        <v>140730</v>
      </c>
      <c r="AD5" s="39">
        <v>101579</v>
      </c>
      <c r="AE5" s="627">
        <v>123369</v>
      </c>
      <c r="AF5" s="39">
        <v>111243</v>
      </c>
      <c r="AG5" s="39">
        <v>57270</v>
      </c>
      <c r="AH5" s="39">
        <v>53531</v>
      </c>
      <c r="AI5" s="39">
        <v>54046</v>
      </c>
      <c r="AJ5" s="48">
        <f>SUMIFS(X5:AI5,X5:AI5,"&gt;0",X5:AI5,"&lt;9999999")</f>
        <v>935048</v>
      </c>
      <c r="AK5" s="296"/>
    </row>
    <row r="6" spans="1:37" x14ac:dyDescent="0.2">
      <c r="A6" s="22"/>
      <c r="B6" s="39" t="s">
        <v>1223</v>
      </c>
      <c r="C6" s="39" t="s">
        <v>323</v>
      </c>
      <c r="D6" s="39">
        <v>110</v>
      </c>
      <c r="E6" s="39" t="s">
        <v>1210</v>
      </c>
      <c r="F6" s="39" t="s">
        <v>327</v>
      </c>
      <c r="G6" s="39" t="s">
        <v>331</v>
      </c>
      <c r="H6" s="39"/>
      <c r="I6" s="39">
        <v>2010670</v>
      </c>
      <c r="J6" s="39">
        <v>2020731</v>
      </c>
      <c r="K6" s="39">
        <v>2039860</v>
      </c>
      <c r="L6" s="39">
        <v>2057408</v>
      </c>
      <c r="M6" s="39">
        <v>2076990</v>
      </c>
      <c r="N6" s="39">
        <v>2096948</v>
      </c>
      <c r="O6" s="39">
        <v>2115058</v>
      </c>
      <c r="P6" s="39">
        <v>2132424</v>
      </c>
      <c r="Q6" s="39">
        <v>2149297</v>
      </c>
      <c r="R6" s="39">
        <v>2166061</v>
      </c>
      <c r="S6" s="39">
        <v>2166061</v>
      </c>
      <c r="T6" s="39">
        <v>2199940</v>
      </c>
      <c r="U6" s="39">
        <v>2216819</v>
      </c>
      <c r="V6" s="39"/>
      <c r="W6" s="39"/>
      <c r="X6" s="39">
        <v>10061</v>
      </c>
      <c r="Y6" s="39">
        <v>19129</v>
      </c>
      <c r="Z6" s="39">
        <v>17548</v>
      </c>
      <c r="AA6" s="39">
        <v>19582</v>
      </c>
      <c r="AB6" s="39">
        <v>19958</v>
      </c>
      <c r="AC6" s="39">
        <v>18110</v>
      </c>
      <c r="AD6" s="39">
        <v>17366</v>
      </c>
      <c r="AE6" s="39">
        <v>16873</v>
      </c>
      <c r="AF6" s="39">
        <v>16764</v>
      </c>
      <c r="AG6" s="39">
        <v>0</v>
      </c>
      <c r="AH6" s="39">
        <v>33879</v>
      </c>
      <c r="AI6" s="39">
        <v>16879</v>
      </c>
      <c r="AJ6" s="48">
        <f t="shared" ref="AJ6:AJ21" si="0">SUMIFS(X6:AI6,X6:AI6,"&gt;0",X6:AI6,"&lt;9999999")</f>
        <v>206149</v>
      </c>
      <c r="AK6" s="296"/>
    </row>
    <row r="7" spans="1:37" s="23" customFormat="1" x14ac:dyDescent="0.2">
      <c r="A7" s="22"/>
      <c r="B7" s="39" t="s">
        <v>1326</v>
      </c>
      <c r="C7" s="39" t="s">
        <v>323</v>
      </c>
      <c r="D7" s="39">
        <v>110</v>
      </c>
      <c r="E7" s="39" t="s">
        <v>1215</v>
      </c>
      <c r="F7" s="39" t="s">
        <v>327</v>
      </c>
      <c r="G7" s="39" t="s">
        <v>331</v>
      </c>
      <c r="H7" s="39"/>
      <c r="I7" s="39">
        <v>3458874</v>
      </c>
      <c r="J7" s="39">
        <v>3471592</v>
      </c>
      <c r="K7" s="39">
        <v>3497345</v>
      </c>
      <c r="L7" s="39">
        <v>3520306</v>
      </c>
      <c r="M7" s="39">
        <v>3544786</v>
      </c>
      <c r="N7" s="39">
        <v>3569276</v>
      </c>
      <c r="O7" s="39">
        <v>3588255</v>
      </c>
      <c r="P7" s="39">
        <v>3606700</v>
      </c>
      <c r="Q7" s="39">
        <v>3624470</v>
      </c>
      <c r="R7" s="39">
        <v>3641870</v>
      </c>
      <c r="S7" s="39">
        <v>3657596</v>
      </c>
      <c r="T7" s="39">
        <v>3676535</v>
      </c>
      <c r="U7" s="39">
        <v>3696290</v>
      </c>
      <c r="V7" s="39"/>
      <c r="W7" s="39"/>
      <c r="X7" s="39">
        <v>12718</v>
      </c>
      <c r="Y7" s="39">
        <v>25753</v>
      </c>
      <c r="Z7" s="39">
        <v>22961</v>
      </c>
      <c r="AA7" s="39">
        <v>24480</v>
      </c>
      <c r="AB7" s="39">
        <v>24490</v>
      </c>
      <c r="AC7" s="39">
        <v>18979</v>
      </c>
      <c r="AD7" s="39">
        <v>18445</v>
      </c>
      <c r="AE7" s="39">
        <v>17770</v>
      </c>
      <c r="AF7" s="39">
        <v>17400</v>
      </c>
      <c r="AG7" s="39">
        <v>15726</v>
      </c>
      <c r="AH7" s="39">
        <v>18939</v>
      </c>
      <c r="AI7" s="39">
        <v>19755</v>
      </c>
      <c r="AJ7" s="48">
        <f t="shared" si="0"/>
        <v>237416</v>
      </c>
      <c r="AK7" s="296"/>
    </row>
    <row r="8" spans="1:37" x14ac:dyDescent="0.2">
      <c r="A8" s="21"/>
      <c r="B8" s="39" t="s">
        <v>1325</v>
      </c>
      <c r="C8" s="39" t="s">
        <v>323</v>
      </c>
      <c r="D8" s="39">
        <v>110</v>
      </c>
      <c r="E8" s="39" t="s">
        <v>1214</v>
      </c>
      <c r="F8" s="39" t="s">
        <v>327</v>
      </c>
      <c r="G8" s="39" t="s">
        <v>852</v>
      </c>
      <c r="H8" s="39"/>
      <c r="I8" s="39">
        <v>944448</v>
      </c>
      <c r="J8" s="39">
        <v>947210</v>
      </c>
      <c r="K8" s="39">
        <v>953872</v>
      </c>
      <c r="L8" s="39">
        <v>959333</v>
      </c>
      <c r="M8" s="39">
        <v>964168</v>
      </c>
      <c r="N8" s="39">
        <v>968713</v>
      </c>
      <c r="O8" s="39">
        <v>973962</v>
      </c>
      <c r="P8" s="39">
        <v>981785</v>
      </c>
      <c r="Q8" s="39">
        <v>990301</v>
      </c>
      <c r="R8" s="39">
        <v>998070</v>
      </c>
      <c r="S8" s="39">
        <v>1004321</v>
      </c>
      <c r="T8" s="39">
        <v>1004321</v>
      </c>
      <c r="U8" s="39">
        <v>1014415</v>
      </c>
      <c r="V8" s="39"/>
      <c r="W8" s="39"/>
      <c r="X8" s="39">
        <v>2762</v>
      </c>
      <c r="Y8" s="39">
        <v>6662</v>
      </c>
      <c r="Z8" s="39">
        <v>5461</v>
      </c>
      <c r="AA8" s="39">
        <v>4835</v>
      </c>
      <c r="AB8" s="39">
        <v>4545</v>
      </c>
      <c r="AC8" s="39">
        <v>5249</v>
      </c>
      <c r="AD8" s="39">
        <v>7823</v>
      </c>
      <c r="AE8" s="39">
        <v>8516</v>
      </c>
      <c r="AF8" s="39">
        <v>7769</v>
      </c>
      <c r="AG8" s="39">
        <v>6251</v>
      </c>
      <c r="AH8" s="39">
        <v>0</v>
      </c>
      <c r="AI8" s="39">
        <v>10094</v>
      </c>
      <c r="AJ8" s="48">
        <f t="shared" si="0"/>
        <v>69967</v>
      </c>
      <c r="AK8" s="296"/>
    </row>
    <row r="9" spans="1:37" x14ac:dyDescent="0.2">
      <c r="A9" s="29"/>
      <c r="B9" s="39" t="s">
        <v>1222</v>
      </c>
      <c r="C9" s="39" t="s">
        <v>323</v>
      </c>
      <c r="D9" s="39">
        <v>110</v>
      </c>
      <c r="E9" s="39" t="s">
        <v>1209</v>
      </c>
      <c r="F9" s="39" t="s">
        <v>327</v>
      </c>
      <c r="G9" s="39" t="s">
        <v>329</v>
      </c>
      <c r="H9" s="39"/>
      <c r="I9" s="39">
        <v>1611039</v>
      </c>
      <c r="J9" s="39">
        <v>1616295</v>
      </c>
      <c r="K9" s="39">
        <v>1626549</v>
      </c>
      <c r="L9" s="39">
        <v>1635683</v>
      </c>
      <c r="M9" s="39">
        <v>1645408</v>
      </c>
      <c r="N9" s="39">
        <v>1654922</v>
      </c>
      <c r="O9" s="39">
        <v>1661699</v>
      </c>
      <c r="P9" s="39">
        <v>1670009</v>
      </c>
      <c r="Q9" s="39">
        <v>1679155</v>
      </c>
      <c r="R9" s="39">
        <v>1687864</v>
      </c>
      <c r="S9" s="39">
        <v>1695334</v>
      </c>
      <c r="T9" s="39">
        <v>1703162</v>
      </c>
      <c r="U9" s="39">
        <v>1711093</v>
      </c>
      <c r="V9" s="39"/>
      <c r="W9" s="39"/>
      <c r="X9" s="39">
        <v>5256</v>
      </c>
      <c r="Y9" s="39">
        <v>10254</v>
      </c>
      <c r="Z9" s="39">
        <v>9134</v>
      </c>
      <c r="AA9" s="39">
        <v>9725</v>
      </c>
      <c r="AB9" s="39">
        <v>9514</v>
      </c>
      <c r="AC9" s="39">
        <v>6777</v>
      </c>
      <c r="AD9" s="39">
        <v>8310</v>
      </c>
      <c r="AE9" s="39">
        <v>9146</v>
      </c>
      <c r="AF9" s="39">
        <v>8709</v>
      </c>
      <c r="AG9" s="39">
        <v>7470</v>
      </c>
      <c r="AH9" s="39">
        <v>7828</v>
      </c>
      <c r="AI9" s="39">
        <v>7931</v>
      </c>
      <c r="AJ9" s="48">
        <f t="shared" si="0"/>
        <v>100054</v>
      </c>
      <c r="AK9" s="296"/>
    </row>
    <row r="10" spans="1:37" x14ac:dyDescent="0.2">
      <c r="A10" s="21"/>
      <c r="B10" s="39" t="s">
        <v>1220</v>
      </c>
      <c r="C10" s="39" t="s">
        <v>323</v>
      </c>
      <c r="D10" s="39">
        <v>110</v>
      </c>
      <c r="E10" s="39" t="s">
        <v>1212</v>
      </c>
      <c r="F10" s="39" t="s">
        <v>327</v>
      </c>
      <c r="G10" s="39" t="s">
        <v>332</v>
      </c>
      <c r="H10" s="39"/>
      <c r="I10" s="39">
        <v>520520</v>
      </c>
      <c r="J10" s="39">
        <v>522550</v>
      </c>
      <c r="K10" s="39">
        <v>526410</v>
      </c>
      <c r="L10" s="39">
        <v>530051</v>
      </c>
      <c r="M10" s="39">
        <v>534150</v>
      </c>
      <c r="N10" s="39">
        <v>538267</v>
      </c>
      <c r="O10" s="39">
        <v>541700</v>
      </c>
      <c r="P10" s="39">
        <v>545237</v>
      </c>
      <c r="Q10" s="39">
        <v>548532</v>
      </c>
      <c r="R10" s="39">
        <v>551959</v>
      </c>
      <c r="S10" s="39">
        <v>555432</v>
      </c>
      <c r="T10" s="39">
        <v>559039</v>
      </c>
      <c r="U10" s="39">
        <v>562781</v>
      </c>
      <c r="V10" s="39"/>
      <c r="W10" s="39"/>
      <c r="X10" s="39">
        <v>2030</v>
      </c>
      <c r="Y10" s="39">
        <v>3860</v>
      </c>
      <c r="Z10" s="39">
        <v>3641</v>
      </c>
      <c r="AA10" s="39">
        <v>4099</v>
      </c>
      <c r="AB10" s="39">
        <v>4117</v>
      </c>
      <c r="AC10" s="39">
        <v>3433</v>
      </c>
      <c r="AD10" s="39">
        <v>3537</v>
      </c>
      <c r="AE10" s="39">
        <v>3295</v>
      </c>
      <c r="AF10" s="39">
        <v>3427</v>
      </c>
      <c r="AG10" s="39">
        <v>3473</v>
      </c>
      <c r="AH10" s="39">
        <v>3607</v>
      </c>
      <c r="AI10" s="39">
        <v>3742</v>
      </c>
      <c r="AJ10" s="48">
        <f t="shared" si="0"/>
        <v>42261</v>
      </c>
      <c r="AK10" s="296"/>
    </row>
    <row r="11" spans="1:37" x14ac:dyDescent="0.2">
      <c r="A11" s="22"/>
      <c r="B11" s="39" t="s">
        <v>1327</v>
      </c>
      <c r="C11" s="39" t="s">
        <v>323</v>
      </c>
      <c r="D11" s="39">
        <v>110</v>
      </c>
      <c r="E11" s="39" t="s">
        <v>1216</v>
      </c>
      <c r="F11" s="39" t="s">
        <v>327</v>
      </c>
      <c r="G11" s="39" t="s">
        <v>332</v>
      </c>
      <c r="H11" s="39"/>
      <c r="I11" s="39">
        <v>746051</v>
      </c>
      <c r="J11" s="39">
        <v>749653</v>
      </c>
      <c r="K11" s="39">
        <v>756191</v>
      </c>
      <c r="L11" s="39">
        <v>760487</v>
      </c>
      <c r="M11" s="39">
        <v>764858</v>
      </c>
      <c r="N11" s="39">
        <v>769356</v>
      </c>
      <c r="O11" s="39">
        <v>772052</v>
      </c>
      <c r="P11" s="39">
        <v>776199</v>
      </c>
      <c r="Q11" s="39">
        <v>780983</v>
      </c>
      <c r="R11" s="39">
        <v>785896</v>
      </c>
      <c r="S11" s="39">
        <v>790776</v>
      </c>
      <c r="T11" s="39">
        <v>796461</v>
      </c>
      <c r="U11" s="39">
        <v>802130</v>
      </c>
      <c r="V11" s="39"/>
      <c r="W11" s="39"/>
      <c r="X11" s="39">
        <v>3602</v>
      </c>
      <c r="Y11" s="39">
        <v>6538</v>
      </c>
      <c r="Z11" s="39">
        <v>4296</v>
      </c>
      <c r="AA11" s="39">
        <v>4371</v>
      </c>
      <c r="AB11" s="39">
        <v>4498</v>
      </c>
      <c r="AC11" s="39">
        <v>2696</v>
      </c>
      <c r="AD11" s="39">
        <v>4147</v>
      </c>
      <c r="AE11" s="39">
        <v>4784</v>
      </c>
      <c r="AF11" s="39">
        <v>4913</v>
      </c>
      <c r="AG11" s="39">
        <v>4880</v>
      </c>
      <c r="AH11" s="39">
        <v>5685</v>
      </c>
      <c r="AI11" s="39">
        <v>5669</v>
      </c>
      <c r="AJ11" s="48">
        <f t="shared" si="0"/>
        <v>56079</v>
      </c>
      <c r="AK11" s="296"/>
    </row>
    <row r="12" spans="1:37" x14ac:dyDescent="0.2">
      <c r="A12" s="21"/>
      <c r="B12" s="39" t="s">
        <v>1219</v>
      </c>
      <c r="C12" s="39" t="s">
        <v>323</v>
      </c>
      <c r="D12" s="39">
        <v>110</v>
      </c>
      <c r="E12" s="39" t="s">
        <v>1211</v>
      </c>
      <c r="F12" s="39" t="s">
        <v>327</v>
      </c>
      <c r="G12" s="39" t="s">
        <v>329</v>
      </c>
      <c r="H12" s="39"/>
      <c r="I12" s="39">
        <v>329731</v>
      </c>
      <c r="J12" s="39">
        <v>330872</v>
      </c>
      <c r="K12" s="39">
        <v>333033</v>
      </c>
      <c r="L12" s="39">
        <v>334987</v>
      </c>
      <c r="M12" s="39">
        <v>337018</v>
      </c>
      <c r="N12" s="39">
        <v>339330</v>
      </c>
      <c r="O12" s="39">
        <v>341422</v>
      </c>
      <c r="P12" s="39">
        <v>343587</v>
      </c>
      <c r="Q12" s="39">
        <v>345654</v>
      </c>
      <c r="R12" s="39">
        <v>347676</v>
      </c>
      <c r="S12" s="39">
        <v>394747</v>
      </c>
      <c r="T12" s="39">
        <v>351647</v>
      </c>
      <c r="U12" s="39">
        <v>353630</v>
      </c>
      <c r="V12" s="39"/>
      <c r="W12" s="39"/>
      <c r="X12" s="39">
        <v>1141</v>
      </c>
      <c r="Y12" s="39">
        <v>2161</v>
      </c>
      <c r="Z12" s="39">
        <v>1954</v>
      </c>
      <c r="AA12" s="39">
        <v>2031</v>
      </c>
      <c r="AB12" s="39">
        <v>2312</v>
      </c>
      <c r="AC12" s="39">
        <v>2092</v>
      </c>
      <c r="AD12" s="39">
        <v>2165</v>
      </c>
      <c r="AE12" s="39">
        <v>2067</v>
      </c>
      <c r="AF12" s="39">
        <v>2022</v>
      </c>
      <c r="AG12" s="39">
        <v>47071</v>
      </c>
      <c r="AH12" s="39" t="s">
        <v>856</v>
      </c>
      <c r="AI12" s="39">
        <v>1983</v>
      </c>
      <c r="AJ12" s="48">
        <f t="shared" si="0"/>
        <v>66999</v>
      </c>
      <c r="AK12" s="296"/>
    </row>
    <row r="13" spans="1:37" x14ac:dyDescent="0.2">
      <c r="A13" s="22"/>
      <c r="B13" s="39" t="s">
        <v>129</v>
      </c>
      <c r="C13" s="39" t="s">
        <v>121</v>
      </c>
      <c r="D13" s="39">
        <v>122</v>
      </c>
      <c r="E13" s="39" t="s">
        <v>130</v>
      </c>
      <c r="F13" s="39" t="s">
        <v>38</v>
      </c>
      <c r="G13" s="39" t="s">
        <v>130</v>
      </c>
      <c r="H13" s="39"/>
      <c r="I13" s="39">
        <v>539875</v>
      </c>
      <c r="J13" s="39">
        <v>540882</v>
      </c>
      <c r="K13" s="39">
        <v>543996</v>
      </c>
      <c r="L13" s="39">
        <v>546837</v>
      </c>
      <c r="M13" s="39">
        <v>549224</v>
      </c>
      <c r="N13" s="39">
        <v>553391</v>
      </c>
      <c r="O13" s="39">
        <v>561675</v>
      </c>
      <c r="P13" s="39">
        <v>580889</v>
      </c>
      <c r="Q13" s="39">
        <v>604838</v>
      </c>
      <c r="R13" s="39">
        <v>608826</v>
      </c>
      <c r="S13" s="39">
        <v>608865</v>
      </c>
      <c r="T13" s="39">
        <v>608910</v>
      </c>
      <c r="U13" s="39">
        <v>608954</v>
      </c>
      <c r="V13" s="39"/>
      <c r="W13" s="39"/>
      <c r="X13" s="39">
        <v>1007</v>
      </c>
      <c r="Y13" s="39">
        <v>3114</v>
      </c>
      <c r="Z13" s="39">
        <v>2841</v>
      </c>
      <c r="AA13" s="39">
        <v>2387</v>
      </c>
      <c r="AB13" s="39">
        <v>4167</v>
      </c>
      <c r="AC13" s="39">
        <v>8284</v>
      </c>
      <c r="AD13" s="39">
        <v>19214</v>
      </c>
      <c r="AE13" s="39">
        <v>23949</v>
      </c>
      <c r="AF13" s="39">
        <v>3988</v>
      </c>
      <c r="AG13" s="39">
        <v>39</v>
      </c>
      <c r="AH13" s="39">
        <v>45</v>
      </c>
      <c r="AI13" s="39">
        <v>44</v>
      </c>
      <c r="AJ13" s="48">
        <f t="shared" si="0"/>
        <v>69079</v>
      </c>
      <c r="AK13" s="296"/>
    </row>
    <row r="14" spans="1:37" x14ac:dyDescent="0.2">
      <c r="A14" s="22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48">
        <f t="shared" si="0"/>
        <v>0</v>
      </c>
      <c r="AK14" s="296"/>
    </row>
    <row r="15" spans="1:37" x14ac:dyDescent="0.2">
      <c r="A15" s="22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48">
        <f t="shared" si="0"/>
        <v>0</v>
      </c>
      <c r="AK15" s="296"/>
    </row>
    <row r="16" spans="1:37" x14ac:dyDescent="0.2">
      <c r="A16" s="22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48">
        <f t="shared" si="0"/>
        <v>0</v>
      </c>
      <c r="AK16" s="296"/>
    </row>
    <row r="17" spans="1:37" x14ac:dyDescent="0.2">
      <c r="A17" s="22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48">
        <f t="shared" si="0"/>
        <v>0</v>
      </c>
      <c r="AK17" s="296"/>
    </row>
    <row r="18" spans="1:37" x14ac:dyDescent="0.2">
      <c r="A18" s="22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48">
        <f t="shared" si="0"/>
        <v>0</v>
      </c>
      <c r="AK18" s="296"/>
    </row>
    <row r="19" spans="1:37" x14ac:dyDescent="0.2"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48">
        <f t="shared" si="0"/>
        <v>0</v>
      </c>
    </row>
    <row r="20" spans="1:37" x14ac:dyDescent="0.2">
      <c r="B20" s="39"/>
      <c r="C20" s="39"/>
      <c r="D20" s="39"/>
      <c r="E20" s="39"/>
      <c r="F20" s="39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170"/>
      <c r="X20" s="173"/>
      <c r="Y20" s="173"/>
      <c r="Z20" s="173"/>
      <c r="AA20" s="173"/>
      <c r="AB20" s="173"/>
      <c r="AC20" s="173"/>
      <c r="AD20" s="173"/>
      <c r="AE20" s="173"/>
      <c r="AF20" s="173"/>
      <c r="AG20" s="173"/>
      <c r="AH20" s="173"/>
      <c r="AI20" s="173"/>
      <c r="AJ20" s="48">
        <f t="shared" si="0"/>
        <v>0</v>
      </c>
    </row>
    <row r="21" spans="1:37" x14ac:dyDescent="0.2">
      <c r="A21" s="22"/>
      <c r="B21" s="39"/>
      <c r="C21" s="39"/>
      <c r="D21" s="39"/>
      <c r="E21" s="39"/>
      <c r="F21" s="39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170"/>
      <c r="X21" s="173"/>
      <c r="Y21" s="173"/>
      <c r="Z21" s="173"/>
      <c r="AA21" s="173"/>
      <c r="AB21" s="173"/>
      <c r="AC21" s="173"/>
      <c r="AD21" s="173"/>
      <c r="AE21" s="173"/>
      <c r="AF21" s="173"/>
      <c r="AG21" s="173"/>
      <c r="AH21" s="173"/>
      <c r="AI21" s="173"/>
      <c r="AJ21" s="48">
        <f t="shared" si="0"/>
        <v>0</v>
      </c>
    </row>
    <row r="22" spans="1:37" s="32" customFormat="1" x14ac:dyDescent="0.2">
      <c r="A22" s="640"/>
      <c r="B22" s="640"/>
      <c r="C22" s="640"/>
      <c r="D22" s="640"/>
      <c r="E22" s="233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  <c r="Q22" s="37"/>
      <c r="R22" s="37"/>
      <c r="S22" s="37"/>
      <c r="T22" s="37"/>
      <c r="U22" s="37"/>
      <c r="V22" s="37"/>
      <c r="W22" s="171">
        <f t="shared" ref="W22:AB22" si="1">SUMIFS(W5:W21,W5:W21,"&gt;0",W5:W21,"&lt;1999999")</f>
        <v>0</v>
      </c>
      <c r="X22" s="171">
        <f t="shared" si="1"/>
        <v>69763</v>
      </c>
      <c r="Y22" s="171">
        <f t="shared" si="1"/>
        <v>157363</v>
      </c>
      <c r="Z22" s="171">
        <f t="shared" si="1"/>
        <v>138217</v>
      </c>
      <c r="AA22" s="171">
        <f t="shared" si="1"/>
        <v>147272</v>
      </c>
      <c r="AB22" s="171">
        <f t="shared" si="1"/>
        <v>109660</v>
      </c>
      <c r="AC22" s="171">
        <f t="shared" ref="AC22:AJ22" si="2">SUMIFS(AC5:AC21,AC5:AC21,"&gt;0",AC5:AC21,"&lt;1999999")</f>
        <v>206350</v>
      </c>
      <c r="AD22" s="171">
        <f t="shared" si="2"/>
        <v>182586</v>
      </c>
      <c r="AE22" s="171">
        <f t="shared" si="2"/>
        <v>209769</v>
      </c>
      <c r="AF22" s="171">
        <f t="shared" si="2"/>
        <v>176235</v>
      </c>
      <c r="AG22" s="171">
        <f t="shared" si="2"/>
        <v>142180</v>
      </c>
      <c r="AH22" s="171">
        <f t="shared" si="2"/>
        <v>123514</v>
      </c>
      <c r="AI22" s="171">
        <f t="shared" si="2"/>
        <v>120143</v>
      </c>
      <c r="AJ22" s="171">
        <f t="shared" si="2"/>
        <v>1783052</v>
      </c>
    </row>
    <row r="23" spans="1:37" s="24" customFormat="1" x14ac:dyDescent="0.2">
      <c r="B23" s="42"/>
      <c r="C23" s="42"/>
      <c r="D23" s="42"/>
      <c r="E23" s="42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172"/>
      <c r="X23" s="172"/>
      <c r="Y23" s="172"/>
      <c r="Z23" s="172"/>
      <c r="AA23" s="172"/>
      <c r="AB23" s="172"/>
      <c r="AC23" s="172"/>
      <c r="AD23" s="172"/>
      <c r="AE23" s="172"/>
      <c r="AF23" s="172"/>
      <c r="AG23" s="172"/>
      <c r="AH23" s="172"/>
      <c r="AI23" s="44"/>
    </row>
    <row r="24" spans="1:37" x14ac:dyDescent="0.2">
      <c r="A24" s="20"/>
      <c r="B24" s="39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173"/>
      <c r="X24" s="173"/>
      <c r="Y24" s="173"/>
      <c r="Z24" s="173"/>
      <c r="AA24" s="173"/>
      <c r="AB24" s="173"/>
      <c r="AC24" s="173"/>
      <c r="AD24" s="173"/>
      <c r="AE24" s="173"/>
      <c r="AF24" s="173"/>
      <c r="AG24" s="173"/>
      <c r="AH24" s="173"/>
    </row>
    <row r="25" spans="1:37" s="25" customFormat="1" ht="18.75" customHeight="1" x14ac:dyDescent="0.2">
      <c r="A25" s="238" t="s">
        <v>162</v>
      </c>
      <c r="B25" s="238"/>
      <c r="C25" s="238"/>
      <c r="D25" s="238"/>
      <c r="E25" s="231">
        <v>131</v>
      </c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168"/>
      <c r="X25" s="168"/>
      <c r="Y25" s="168"/>
      <c r="Z25" s="168"/>
      <c r="AA25" s="168"/>
      <c r="AB25" s="168"/>
      <c r="AC25" s="168"/>
      <c r="AD25" s="168"/>
      <c r="AE25" s="168"/>
      <c r="AF25" s="168"/>
      <c r="AG25" s="168"/>
      <c r="AH25" s="168"/>
      <c r="AI25" s="45"/>
    </row>
    <row r="26" spans="1:37" s="23" customFormat="1" ht="13.5" customHeight="1" x14ac:dyDescent="0.25">
      <c r="A26" s="28" t="s">
        <v>709</v>
      </c>
      <c r="B26" s="183" t="s">
        <v>18</v>
      </c>
      <c r="C26" s="183" t="s">
        <v>0</v>
      </c>
      <c r="D26" s="183" t="s">
        <v>710</v>
      </c>
      <c r="E26" s="232" t="s">
        <v>1</v>
      </c>
      <c r="F26" s="36" t="s">
        <v>2</v>
      </c>
      <c r="G26" s="36" t="s">
        <v>3</v>
      </c>
      <c r="H26" s="36" t="s">
        <v>4</v>
      </c>
      <c r="I26" s="36" t="s">
        <v>1100</v>
      </c>
      <c r="J26" s="36" t="s">
        <v>1050</v>
      </c>
      <c r="K26" s="36" t="s">
        <v>1101</v>
      </c>
      <c r="L26" s="36" t="s">
        <v>1102</v>
      </c>
      <c r="M26" s="36" t="s">
        <v>1103</v>
      </c>
      <c r="N26" s="36" t="s">
        <v>1104</v>
      </c>
      <c r="O26" s="36" t="s">
        <v>1105</v>
      </c>
      <c r="P26" s="36" t="s">
        <v>1106</v>
      </c>
      <c r="Q26" s="36" t="s">
        <v>1107</v>
      </c>
      <c r="R26" s="36" t="s">
        <v>1108</v>
      </c>
      <c r="S26" s="36" t="s">
        <v>1109</v>
      </c>
      <c r="T26" s="36" t="s">
        <v>1110</v>
      </c>
      <c r="U26" s="36" t="s">
        <v>1111</v>
      </c>
      <c r="V26" s="36" t="s">
        <v>1112</v>
      </c>
      <c r="W26" s="169" t="s">
        <v>756</v>
      </c>
      <c r="X26" s="169" t="s">
        <v>488</v>
      </c>
      <c r="Y26" s="169" t="s">
        <v>489</v>
      </c>
      <c r="Z26" s="169" t="s">
        <v>490</v>
      </c>
      <c r="AA26" s="169" t="s">
        <v>491</v>
      </c>
      <c r="AB26" s="169" t="s">
        <v>492</v>
      </c>
      <c r="AC26" s="169" t="s">
        <v>493</v>
      </c>
      <c r="AD26" s="169" t="s">
        <v>494</v>
      </c>
      <c r="AE26" s="169" t="s">
        <v>495</v>
      </c>
      <c r="AF26" s="169" t="s">
        <v>496</v>
      </c>
      <c r="AG26" s="169" t="s">
        <v>497</v>
      </c>
      <c r="AH26" s="169" t="s">
        <v>498</v>
      </c>
      <c r="AI26" s="46" t="s">
        <v>499</v>
      </c>
      <c r="AJ26" s="46" t="s">
        <v>685</v>
      </c>
    </row>
    <row r="27" spans="1:37" x14ac:dyDescent="0.2">
      <c r="A27" s="29" t="s">
        <v>506</v>
      </c>
      <c r="B27" s="39" t="s">
        <v>1252</v>
      </c>
      <c r="C27" s="278" t="s">
        <v>46</v>
      </c>
      <c r="D27" s="39">
        <v>131</v>
      </c>
      <c r="E27" s="39" t="s">
        <v>455</v>
      </c>
      <c r="F27" s="39" t="s">
        <v>47</v>
      </c>
      <c r="G27" s="39"/>
      <c r="H27" s="39"/>
      <c r="I27" s="39">
        <v>249625</v>
      </c>
      <c r="J27" s="39">
        <v>251261</v>
      </c>
      <c r="K27" s="39">
        <v>254113</v>
      </c>
      <c r="L27" s="39">
        <v>256556</v>
      </c>
      <c r="M27" s="39">
        <v>258913</v>
      </c>
      <c r="N27" s="39">
        <v>260930</v>
      </c>
      <c r="O27" s="39">
        <v>262780</v>
      </c>
      <c r="P27" s="39">
        <v>264658</v>
      </c>
      <c r="Q27" s="39">
        <v>266468</v>
      </c>
      <c r="R27" s="39">
        <v>268666</v>
      </c>
      <c r="S27" s="39">
        <v>270917</v>
      </c>
      <c r="T27" s="39">
        <v>273780</v>
      </c>
      <c r="U27" s="39">
        <v>276872</v>
      </c>
      <c r="V27" s="39"/>
      <c r="W27" s="39"/>
      <c r="X27" s="39">
        <v>1636</v>
      </c>
      <c r="Y27" s="39">
        <v>2852</v>
      </c>
      <c r="Z27" s="39">
        <v>2443</v>
      </c>
      <c r="AA27" s="39">
        <v>2357</v>
      </c>
      <c r="AB27" s="39">
        <v>2017</v>
      </c>
      <c r="AC27" s="39">
        <v>1850</v>
      </c>
      <c r="AD27" s="39">
        <v>1878</v>
      </c>
      <c r="AE27" s="39">
        <v>1810</v>
      </c>
      <c r="AF27" s="39">
        <v>2198</v>
      </c>
      <c r="AG27" s="39">
        <v>2251</v>
      </c>
      <c r="AH27" s="39">
        <v>2863</v>
      </c>
      <c r="AI27" s="39">
        <v>3092</v>
      </c>
      <c r="AJ27" s="48">
        <f>SUMIFS(X27:AI27,X27:AI27,"&gt;0",X27:AI27,"&lt;9999999")</f>
        <v>27247</v>
      </c>
    </row>
    <row r="28" spans="1:37" x14ac:dyDescent="0.2">
      <c r="A28" s="29" t="s">
        <v>933</v>
      </c>
      <c r="B28" s="39">
        <v>717083063</v>
      </c>
      <c r="C28" s="278" t="s">
        <v>55</v>
      </c>
      <c r="D28" s="39">
        <v>131</v>
      </c>
      <c r="E28" s="39" t="s">
        <v>924</v>
      </c>
      <c r="F28" s="39" t="s">
        <v>1010</v>
      </c>
      <c r="G28" s="39"/>
      <c r="H28" s="39" t="s">
        <v>927</v>
      </c>
      <c r="I28" s="39">
        <v>4395</v>
      </c>
      <c r="J28" s="39">
        <v>4808</v>
      </c>
      <c r="K28" s="39">
        <v>5668</v>
      </c>
      <c r="L28" s="39">
        <v>6369</v>
      </c>
      <c r="M28" s="39">
        <v>7089</v>
      </c>
      <c r="N28" s="39">
        <v>7673</v>
      </c>
      <c r="O28" s="39">
        <v>8237</v>
      </c>
      <c r="P28" s="39">
        <v>8780</v>
      </c>
      <c r="Q28" s="39">
        <v>9305</v>
      </c>
      <c r="R28" s="39">
        <v>9970</v>
      </c>
      <c r="S28" s="39">
        <v>10610</v>
      </c>
      <c r="T28" s="39">
        <v>11415</v>
      </c>
      <c r="U28" s="39">
        <v>12339</v>
      </c>
      <c r="V28" s="39"/>
      <c r="W28" s="39"/>
      <c r="X28" s="39">
        <v>413</v>
      </c>
      <c r="Y28" s="39">
        <v>860</v>
      </c>
      <c r="Z28" s="39">
        <v>701</v>
      </c>
      <c r="AA28" s="39">
        <v>720</v>
      </c>
      <c r="AB28" s="39">
        <v>584</v>
      </c>
      <c r="AC28" s="39">
        <v>564</v>
      </c>
      <c r="AD28" s="39">
        <v>543</v>
      </c>
      <c r="AE28" s="39">
        <v>525</v>
      </c>
      <c r="AF28" s="39">
        <v>665</v>
      </c>
      <c r="AG28" s="39">
        <v>640</v>
      </c>
      <c r="AH28" s="39">
        <v>805</v>
      </c>
      <c r="AI28" s="39">
        <v>924</v>
      </c>
      <c r="AJ28" s="48">
        <f t="shared" ref="AJ28:AJ46" si="3">SUMIFS(X28:AI28,X28:AI28,"&gt;0",X28:AI28,"&lt;9999999")</f>
        <v>7944</v>
      </c>
    </row>
    <row r="29" spans="1:37" x14ac:dyDescent="0.2">
      <c r="A29" s="29" t="s">
        <v>507</v>
      </c>
      <c r="B29" s="39" t="s">
        <v>1234</v>
      </c>
      <c r="C29" s="278" t="s">
        <v>90</v>
      </c>
      <c r="D29" s="39">
        <v>131</v>
      </c>
      <c r="E29" s="39" t="s">
        <v>1045</v>
      </c>
      <c r="F29" s="39" t="s">
        <v>988</v>
      </c>
      <c r="G29" s="39"/>
      <c r="H29" s="39"/>
      <c r="I29" s="39">
        <v>62062</v>
      </c>
      <c r="J29" s="39">
        <v>64905</v>
      </c>
      <c r="K29" s="39">
        <v>70940</v>
      </c>
      <c r="L29" s="39">
        <v>76771</v>
      </c>
      <c r="M29" s="39">
        <v>82086</v>
      </c>
      <c r="N29" s="39">
        <v>87143</v>
      </c>
      <c r="O29" s="39">
        <v>91908</v>
      </c>
      <c r="P29" s="39">
        <v>95959</v>
      </c>
      <c r="Q29" s="39">
        <v>100573</v>
      </c>
      <c r="R29" s="39">
        <v>106170</v>
      </c>
      <c r="S29" s="39">
        <v>111967</v>
      </c>
      <c r="T29" s="39">
        <v>119356</v>
      </c>
      <c r="U29" s="39">
        <v>126767</v>
      </c>
      <c r="V29" s="39"/>
      <c r="W29" s="39"/>
      <c r="X29" s="39">
        <v>2843</v>
      </c>
      <c r="Y29" s="39">
        <v>6035</v>
      </c>
      <c r="Z29" s="39">
        <v>5831</v>
      </c>
      <c r="AA29" s="39">
        <v>5315</v>
      </c>
      <c r="AB29" s="39">
        <v>5057</v>
      </c>
      <c r="AC29" s="39">
        <v>4765</v>
      </c>
      <c r="AD29" s="39">
        <v>4051</v>
      </c>
      <c r="AE29" s="39">
        <v>4614</v>
      </c>
      <c r="AF29" s="39">
        <v>5597</v>
      </c>
      <c r="AG29" s="39">
        <v>5797</v>
      </c>
      <c r="AH29" s="39">
        <v>7389</v>
      </c>
      <c r="AI29" s="39">
        <v>7411</v>
      </c>
      <c r="AJ29" s="48">
        <f t="shared" si="3"/>
        <v>64705</v>
      </c>
    </row>
    <row r="30" spans="1:37" x14ac:dyDescent="0.2">
      <c r="A30" s="29" t="s">
        <v>508</v>
      </c>
      <c r="B30" s="39" t="s">
        <v>161</v>
      </c>
      <c r="C30" s="278" t="s">
        <v>152</v>
      </c>
      <c r="D30" s="39">
        <v>131</v>
      </c>
      <c r="E30" s="39" t="s">
        <v>455</v>
      </c>
      <c r="F30" s="39" t="s">
        <v>1017</v>
      </c>
      <c r="G30" s="39"/>
      <c r="H30" s="39"/>
      <c r="I30" s="39">
        <v>112128</v>
      </c>
      <c r="J30" s="39">
        <v>115042</v>
      </c>
      <c r="K30" s="39">
        <v>120021</v>
      </c>
      <c r="L30" s="39">
        <v>123622</v>
      </c>
      <c r="M30" s="39">
        <v>127524</v>
      </c>
      <c r="N30" s="39">
        <v>131377</v>
      </c>
      <c r="O30" s="39">
        <v>135091</v>
      </c>
      <c r="P30" s="39">
        <v>138617</v>
      </c>
      <c r="Q30" s="39">
        <v>142227</v>
      </c>
      <c r="R30" s="39">
        <v>146717</v>
      </c>
      <c r="S30" s="39">
        <v>150916</v>
      </c>
      <c r="T30" s="39">
        <v>156393</v>
      </c>
      <c r="U30" s="39">
        <v>162315</v>
      </c>
      <c r="V30" s="39"/>
      <c r="W30" s="39"/>
      <c r="X30" s="39">
        <v>2914</v>
      </c>
      <c r="Y30" s="39">
        <v>4979</v>
      </c>
      <c r="Z30" s="39">
        <v>3601</v>
      </c>
      <c r="AA30" s="39">
        <v>3902</v>
      </c>
      <c r="AB30" s="39">
        <v>3853</v>
      </c>
      <c r="AC30" s="39">
        <v>3714</v>
      </c>
      <c r="AD30" s="39">
        <v>3526</v>
      </c>
      <c r="AE30" s="39">
        <v>3610</v>
      </c>
      <c r="AF30" s="39">
        <v>4490</v>
      </c>
      <c r="AG30" s="39">
        <v>4199</v>
      </c>
      <c r="AH30" s="39">
        <v>5477</v>
      </c>
      <c r="AI30" s="39">
        <v>5922</v>
      </c>
      <c r="AJ30" s="48">
        <f t="shared" si="3"/>
        <v>50187</v>
      </c>
    </row>
    <row r="31" spans="1:37" x14ac:dyDescent="0.2">
      <c r="A31" s="29" t="s">
        <v>795</v>
      </c>
      <c r="B31" s="39" t="s">
        <v>1239</v>
      </c>
      <c r="C31" s="278" t="s">
        <v>176</v>
      </c>
      <c r="D31" s="39">
        <v>131</v>
      </c>
      <c r="E31" s="39" t="s">
        <v>455</v>
      </c>
      <c r="F31" s="39" t="s">
        <v>447</v>
      </c>
      <c r="G31" s="39"/>
      <c r="H31" s="39"/>
      <c r="I31" s="39">
        <v>235379</v>
      </c>
      <c r="J31" s="39">
        <v>236611</v>
      </c>
      <c r="K31" s="39">
        <v>238631</v>
      </c>
      <c r="L31" s="39">
        <v>240212</v>
      </c>
      <c r="M31" s="39">
        <v>241789</v>
      </c>
      <c r="N31" s="39">
        <v>243162</v>
      </c>
      <c r="O31" s="39">
        <v>244367</v>
      </c>
      <c r="P31" s="39">
        <v>245602</v>
      </c>
      <c r="Q31" s="39">
        <v>246826</v>
      </c>
      <c r="R31" s="39">
        <v>248378</v>
      </c>
      <c r="S31" s="39">
        <v>249860</v>
      </c>
      <c r="T31" s="39">
        <v>251773</v>
      </c>
      <c r="U31" s="39">
        <v>253805</v>
      </c>
      <c r="V31" s="39"/>
      <c r="W31" s="39"/>
      <c r="X31" s="39">
        <v>1232</v>
      </c>
      <c r="Y31" s="39">
        <v>2020</v>
      </c>
      <c r="Z31" s="39">
        <v>1581</v>
      </c>
      <c r="AA31" s="39">
        <v>1577</v>
      </c>
      <c r="AB31" s="39">
        <v>1373</v>
      </c>
      <c r="AC31" s="39">
        <v>1205</v>
      </c>
      <c r="AD31" s="39">
        <v>1235</v>
      </c>
      <c r="AE31" s="39">
        <v>1224</v>
      </c>
      <c r="AF31" s="39">
        <v>1552</v>
      </c>
      <c r="AG31" s="39">
        <v>1482</v>
      </c>
      <c r="AH31" s="39">
        <v>1913</v>
      </c>
      <c r="AI31" s="39">
        <v>2032</v>
      </c>
      <c r="AJ31" s="48">
        <f t="shared" si="3"/>
        <v>18426</v>
      </c>
    </row>
    <row r="32" spans="1:37" s="23" customFormat="1" x14ac:dyDescent="0.2">
      <c r="A32" s="29" t="s">
        <v>480</v>
      </c>
      <c r="B32" s="39" t="s">
        <v>1317</v>
      </c>
      <c r="C32" s="278" t="s">
        <v>183</v>
      </c>
      <c r="D32" s="39">
        <v>131</v>
      </c>
      <c r="E32" s="39" t="s">
        <v>455</v>
      </c>
      <c r="F32" s="39" t="s">
        <v>447</v>
      </c>
      <c r="G32" s="39"/>
      <c r="H32" s="39"/>
      <c r="I32" s="39">
        <v>677063</v>
      </c>
      <c r="J32" s="39">
        <v>680958</v>
      </c>
      <c r="K32" s="39">
        <v>688077</v>
      </c>
      <c r="L32" s="39">
        <v>694137</v>
      </c>
      <c r="M32" s="39">
        <v>700096</v>
      </c>
      <c r="N32" s="39">
        <v>705362</v>
      </c>
      <c r="O32" s="39">
        <v>710006</v>
      </c>
      <c r="P32" s="39">
        <v>714856</v>
      </c>
      <c r="Q32" s="39">
        <v>719848</v>
      </c>
      <c r="R32" s="39">
        <v>725567</v>
      </c>
      <c r="S32" s="39">
        <v>731544</v>
      </c>
      <c r="T32" s="39">
        <v>738814</v>
      </c>
      <c r="U32" s="39">
        <v>746636</v>
      </c>
      <c r="V32" s="39"/>
      <c r="W32" s="39"/>
      <c r="X32" s="39">
        <v>3895</v>
      </c>
      <c r="Y32" s="39">
        <v>7119</v>
      </c>
      <c r="Z32" s="39">
        <v>6060</v>
      </c>
      <c r="AA32" s="39">
        <v>5959</v>
      </c>
      <c r="AB32" s="39">
        <v>5266</v>
      </c>
      <c r="AC32" s="39">
        <v>4644</v>
      </c>
      <c r="AD32" s="39">
        <v>4850</v>
      </c>
      <c r="AE32" s="39">
        <v>4992</v>
      </c>
      <c r="AF32" s="39">
        <v>5719</v>
      </c>
      <c r="AG32" s="39">
        <v>5977</v>
      </c>
      <c r="AH32" s="39">
        <v>7270</v>
      </c>
      <c r="AI32" s="39">
        <v>7822</v>
      </c>
      <c r="AJ32" s="48">
        <f t="shared" si="3"/>
        <v>69573</v>
      </c>
    </row>
    <row r="33" spans="1:36" x14ac:dyDescent="0.2">
      <c r="A33" s="29" t="s">
        <v>481</v>
      </c>
      <c r="B33" s="39" t="s">
        <v>1350</v>
      </c>
      <c r="C33" s="278" t="s">
        <v>190</v>
      </c>
      <c r="D33" s="39">
        <v>131</v>
      </c>
      <c r="E33" s="39" t="s">
        <v>455</v>
      </c>
      <c r="F33" s="39" t="s">
        <v>47</v>
      </c>
      <c r="G33" s="39"/>
      <c r="H33" s="39"/>
      <c r="I33" s="39">
        <v>604645</v>
      </c>
      <c r="J33" s="39">
        <v>607775</v>
      </c>
      <c r="K33" s="39">
        <v>613523</v>
      </c>
      <c r="L33" s="39">
        <v>618340</v>
      </c>
      <c r="M33" s="39">
        <v>622944</v>
      </c>
      <c r="N33" s="39">
        <v>626837</v>
      </c>
      <c r="O33" s="39">
        <v>630484</v>
      </c>
      <c r="P33" s="39">
        <v>634161</v>
      </c>
      <c r="Q33" s="39">
        <v>637834</v>
      </c>
      <c r="R33" s="39">
        <v>641925</v>
      </c>
      <c r="S33" s="39">
        <v>646067</v>
      </c>
      <c r="T33" s="39">
        <v>651166</v>
      </c>
      <c r="U33" s="39">
        <v>656537</v>
      </c>
      <c r="V33" s="39"/>
      <c r="W33" s="39"/>
      <c r="X33" s="39">
        <v>3130</v>
      </c>
      <c r="Y33" s="39">
        <v>5748</v>
      </c>
      <c r="Z33" s="39">
        <v>4817</v>
      </c>
      <c r="AA33" s="39">
        <v>4604</v>
      </c>
      <c r="AB33" s="39">
        <v>3893</v>
      </c>
      <c r="AC33" s="39">
        <v>3647</v>
      </c>
      <c r="AD33" s="39">
        <v>3677</v>
      </c>
      <c r="AE33" s="39">
        <v>3673</v>
      </c>
      <c r="AF33" s="39">
        <v>4091</v>
      </c>
      <c r="AG33" s="39">
        <v>4142</v>
      </c>
      <c r="AH33" s="39">
        <v>5099</v>
      </c>
      <c r="AI33" s="39">
        <v>5371</v>
      </c>
      <c r="AJ33" s="48">
        <f t="shared" si="3"/>
        <v>51892</v>
      </c>
    </row>
    <row r="34" spans="1:36" x14ac:dyDescent="0.2">
      <c r="A34" s="29" t="s">
        <v>482</v>
      </c>
      <c r="B34" s="39" t="s">
        <v>1240</v>
      </c>
      <c r="C34" s="278" t="s">
        <v>200</v>
      </c>
      <c r="D34" s="39">
        <v>131</v>
      </c>
      <c r="E34" s="39" t="s">
        <v>455</v>
      </c>
      <c r="F34" s="39" t="s">
        <v>47</v>
      </c>
      <c r="G34" s="39"/>
      <c r="H34" s="39"/>
      <c r="I34" s="39">
        <v>760982</v>
      </c>
      <c r="J34" s="39">
        <v>765081</v>
      </c>
      <c r="K34" s="39">
        <v>772681</v>
      </c>
      <c r="L34" s="39">
        <v>778927</v>
      </c>
      <c r="M34" s="39">
        <v>784917</v>
      </c>
      <c r="N34" s="39">
        <v>790745</v>
      </c>
      <c r="O34" s="39">
        <v>795800</v>
      </c>
      <c r="P34" s="39">
        <v>800813</v>
      </c>
      <c r="Q34" s="39">
        <v>805787</v>
      </c>
      <c r="R34" s="39">
        <v>812601</v>
      </c>
      <c r="S34" s="39">
        <v>819209</v>
      </c>
      <c r="T34" s="39">
        <v>827591</v>
      </c>
      <c r="U34" s="39">
        <v>836385</v>
      </c>
      <c r="V34" s="39"/>
      <c r="W34" s="39"/>
      <c r="X34" s="39">
        <v>4099</v>
      </c>
      <c r="Y34" s="39">
        <v>7600</v>
      </c>
      <c r="Z34" s="39">
        <v>6246</v>
      </c>
      <c r="AA34" s="39">
        <v>5990</v>
      </c>
      <c r="AB34" s="39">
        <v>5828</v>
      </c>
      <c r="AC34" s="39">
        <v>5055</v>
      </c>
      <c r="AD34" s="39">
        <v>5013</v>
      </c>
      <c r="AE34" s="39">
        <v>4974</v>
      </c>
      <c r="AF34" s="39">
        <v>6814</v>
      </c>
      <c r="AG34" s="39">
        <v>6608</v>
      </c>
      <c r="AH34" s="39">
        <v>8382</v>
      </c>
      <c r="AI34" s="39">
        <v>8794</v>
      </c>
      <c r="AJ34" s="48">
        <f t="shared" si="3"/>
        <v>75403</v>
      </c>
    </row>
    <row r="35" spans="1:36" x14ac:dyDescent="0.2">
      <c r="A35" s="29" t="s">
        <v>483</v>
      </c>
      <c r="B35" s="39" t="s">
        <v>1318</v>
      </c>
      <c r="C35" s="278" t="s">
        <v>221</v>
      </c>
      <c r="D35" s="39">
        <v>131</v>
      </c>
      <c r="E35" s="39" t="s">
        <v>455</v>
      </c>
      <c r="F35" s="39" t="s">
        <v>293</v>
      </c>
      <c r="G35" s="39" t="s">
        <v>162</v>
      </c>
      <c r="H35" s="39"/>
      <c r="I35" s="39">
        <v>285911</v>
      </c>
      <c r="J35" s="39">
        <v>287897</v>
      </c>
      <c r="K35" s="39">
        <v>293218</v>
      </c>
      <c r="L35" s="39">
        <v>298532</v>
      </c>
      <c r="M35" s="39">
        <v>303652</v>
      </c>
      <c r="N35" s="39">
        <v>308000</v>
      </c>
      <c r="O35" s="39">
        <v>312796</v>
      </c>
      <c r="P35" s="39">
        <v>316895</v>
      </c>
      <c r="Q35" s="39">
        <v>320988</v>
      </c>
      <c r="R35" s="39">
        <v>325567</v>
      </c>
      <c r="S35" s="39">
        <v>330110</v>
      </c>
      <c r="T35" s="39">
        <v>336276</v>
      </c>
      <c r="U35" s="39">
        <v>343528</v>
      </c>
      <c r="V35" s="39"/>
      <c r="W35" s="39"/>
      <c r="X35" s="39">
        <v>1986</v>
      </c>
      <c r="Y35" s="39">
        <v>5321</v>
      </c>
      <c r="Z35" s="39">
        <v>5314</v>
      </c>
      <c r="AA35" s="39">
        <v>5120</v>
      </c>
      <c r="AB35" s="39">
        <v>4348</v>
      </c>
      <c r="AC35" s="39">
        <v>4796</v>
      </c>
      <c r="AD35" s="39">
        <v>4099</v>
      </c>
      <c r="AE35" s="39">
        <v>4093</v>
      </c>
      <c r="AF35" s="39">
        <v>4579</v>
      </c>
      <c r="AG35" s="39">
        <v>4543</v>
      </c>
      <c r="AH35" s="39">
        <v>6166</v>
      </c>
      <c r="AI35" s="39">
        <v>7252</v>
      </c>
      <c r="AJ35" s="48">
        <f t="shared" si="3"/>
        <v>57617</v>
      </c>
    </row>
    <row r="36" spans="1:36" x14ac:dyDescent="0.2">
      <c r="A36" s="29" t="s">
        <v>484</v>
      </c>
      <c r="B36" s="39" t="s">
        <v>1321</v>
      </c>
      <c r="C36" s="278" t="s">
        <v>228</v>
      </c>
      <c r="D36" s="39">
        <v>131</v>
      </c>
      <c r="E36" s="39" t="s">
        <v>455</v>
      </c>
      <c r="F36" s="39" t="s">
        <v>47</v>
      </c>
      <c r="G36" s="39"/>
      <c r="H36" s="39"/>
      <c r="I36" s="39">
        <v>179810</v>
      </c>
      <c r="J36" s="39">
        <v>181116</v>
      </c>
      <c r="K36" s="39">
        <v>183542</v>
      </c>
      <c r="L36" s="39">
        <v>185631</v>
      </c>
      <c r="M36" s="39">
        <v>187634</v>
      </c>
      <c r="N36" s="39">
        <v>189000</v>
      </c>
      <c r="O36" s="39">
        <v>190832</v>
      </c>
      <c r="P36" s="39">
        <v>192414</v>
      </c>
      <c r="Q36" s="39">
        <v>194622</v>
      </c>
      <c r="R36" s="39">
        <v>197219</v>
      </c>
      <c r="S36" s="39">
        <v>199406</v>
      </c>
      <c r="T36" s="39">
        <v>201647</v>
      </c>
      <c r="U36" s="39">
        <v>205063</v>
      </c>
      <c r="V36" s="39"/>
      <c r="W36" s="39"/>
      <c r="X36" s="39">
        <v>1306</v>
      </c>
      <c r="Y36" s="39">
        <v>2426</v>
      </c>
      <c r="Z36" s="39">
        <v>2089</v>
      </c>
      <c r="AA36" s="39">
        <v>2003</v>
      </c>
      <c r="AB36" s="39">
        <v>1366</v>
      </c>
      <c r="AC36" s="39">
        <v>1832</v>
      </c>
      <c r="AD36" s="39">
        <v>1582</v>
      </c>
      <c r="AE36" s="39">
        <v>2208</v>
      </c>
      <c r="AF36" s="39">
        <v>2597</v>
      </c>
      <c r="AG36" s="39">
        <v>2187</v>
      </c>
      <c r="AH36" s="39">
        <v>2241</v>
      </c>
      <c r="AI36" s="39">
        <v>3416</v>
      </c>
      <c r="AJ36" s="48">
        <f t="shared" si="3"/>
        <v>25253</v>
      </c>
    </row>
    <row r="37" spans="1:36" x14ac:dyDescent="0.2">
      <c r="A37" s="29" t="s">
        <v>485</v>
      </c>
      <c r="B37" s="39" t="s">
        <v>1349</v>
      </c>
      <c r="C37" s="278" t="s">
        <v>239</v>
      </c>
      <c r="D37" s="39">
        <v>131</v>
      </c>
      <c r="E37" s="39" t="s">
        <v>455</v>
      </c>
      <c r="F37" s="39" t="s">
        <v>47</v>
      </c>
      <c r="G37" s="39"/>
      <c r="H37" s="39"/>
      <c r="I37" s="39">
        <v>177515</v>
      </c>
      <c r="J37" s="39">
        <v>179926</v>
      </c>
      <c r="K37" s="39">
        <v>183841</v>
      </c>
      <c r="L37" s="39">
        <v>187157</v>
      </c>
      <c r="M37" s="39">
        <v>190743</v>
      </c>
      <c r="N37" s="39">
        <v>193000</v>
      </c>
      <c r="O37" s="39">
        <v>196195</v>
      </c>
      <c r="P37" s="39">
        <v>198451</v>
      </c>
      <c r="Q37" s="39">
        <v>198517</v>
      </c>
      <c r="R37" s="39">
        <v>198592</v>
      </c>
      <c r="S37" s="39">
        <v>198667</v>
      </c>
      <c r="T37" s="39"/>
      <c r="U37" s="39"/>
      <c r="V37" s="39"/>
      <c r="W37" s="39"/>
      <c r="X37" s="39">
        <v>2411</v>
      </c>
      <c r="Y37" s="39">
        <v>3915</v>
      </c>
      <c r="Z37" s="39">
        <v>3316</v>
      </c>
      <c r="AA37" s="39">
        <v>3586</v>
      </c>
      <c r="AB37" s="39">
        <v>2257</v>
      </c>
      <c r="AC37" s="39">
        <v>3195</v>
      </c>
      <c r="AD37" s="39">
        <v>2256</v>
      </c>
      <c r="AE37" s="39">
        <v>66</v>
      </c>
      <c r="AF37" s="39">
        <v>75</v>
      </c>
      <c r="AG37" s="39">
        <v>75</v>
      </c>
      <c r="AH37" s="39" t="s">
        <v>734</v>
      </c>
      <c r="AI37" s="39" t="s">
        <v>734</v>
      </c>
      <c r="AJ37" s="48">
        <f t="shared" si="3"/>
        <v>21152</v>
      </c>
    </row>
    <row r="38" spans="1:36" x14ac:dyDescent="0.2">
      <c r="A38" s="29" t="s">
        <v>486</v>
      </c>
      <c r="B38" s="39" t="s">
        <v>1258</v>
      </c>
      <c r="C38" s="278" t="s">
        <v>288</v>
      </c>
      <c r="D38" s="39">
        <v>131</v>
      </c>
      <c r="E38" s="39" t="s">
        <v>455</v>
      </c>
      <c r="F38" s="39" t="s">
        <v>47</v>
      </c>
      <c r="G38" s="39"/>
      <c r="H38" s="39" t="s">
        <v>1058</v>
      </c>
      <c r="I38" s="39">
        <v>449304</v>
      </c>
      <c r="J38" s="39">
        <v>453315</v>
      </c>
      <c r="K38" s="39">
        <v>460134</v>
      </c>
      <c r="L38" s="39">
        <v>465155</v>
      </c>
      <c r="M38" s="39">
        <v>470408</v>
      </c>
      <c r="N38" s="39">
        <v>475050</v>
      </c>
      <c r="O38" s="39">
        <v>479121</v>
      </c>
      <c r="P38" s="39">
        <v>483282</v>
      </c>
      <c r="Q38" s="39">
        <v>487406</v>
      </c>
      <c r="R38" s="39">
        <v>492504</v>
      </c>
      <c r="S38" s="39">
        <v>497670</v>
      </c>
      <c r="T38" s="39">
        <v>504098</v>
      </c>
      <c r="U38" s="39">
        <v>510984</v>
      </c>
      <c r="V38" s="39"/>
      <c r="W38" s="39"/>
      <c r="X38" s="39">
        <v>4011</v>
      </c>
      <c r="Y38" s="39">
        <v>6819</v>
      </c>
      <c r="Z38" s="39">
        <v>5021</v>
      </c>
      <c r="AA38" s="39">
        <v>5253</v>
      </c>
      <c r="AB38" s="39">
        <v>4642</v>
      </c>
      <c r="AC38" s="39">
        <v>4071</v>
      </c>
      <c r="AD38" s="39">
        <v>4161</v>
      </c>
      <c r="AE38" s="39">
        <v>4124</v>
      </c>
      <c r="AF38" s="39">
        <v>5098</v>
      </c>
      <c r="AG38" s="39">
        <v>5166</v>
      </c>
      <c r="AH38" s="39">
        <v>6428</v>
      </c>
      <c r="AI38" s="39">
        <v>6886</v>
      </c>
      <c r="AJ38" s="48">
        <f>SUMIFS(X38:AI38,X38:AI38,"&gt;0",X38:AI38,"&lt;9999999")</f>
        <v>61680</v>
      </c>
    </row>
    <row r="39" spans="1:36" x14ac:dyDescent="0.2">
      <c r="A39" s="29" t="s">
        <v>487</v>
      </c>
      <c r="B39" s="39" t="s">
        <v>1243</v>
      </c>
      <c r="C39" s="278" t="s">
        <v>296</v>
      </c>
      <c r="D39" s="39">
        <v>131</v>
      </c>
      <c r="E39" s="39" t="s">
        <v>455</v>
      </c>
      <c r="F39" s="39" t="s">
        <v>47</v>
      </c>
      <c r="G39" s="39"/>
      <c r="H39" s="39"/>
      <c r="I39" s="39">
        <v>215628</v>
      </c>
      <c r="J39" s="39">
        <v>219158</v>
      </c>
      <c r="K39" s="39">
        <v>225147</v>
      </c>
      <c r="L39" s="39">
        <v>229352</v>
      </c>
      <c r="M39" s="39">
        <v>234215</v>
      </c>
      <c r="N39" s="39">
        <v>237893</v>
      </c>
      <c r="O39" s="39">
        <v>241528</v>
      </c>
      <c r="P39" s="39">
        <v>245267</v>
      </c>
      <c r="Q39" s="39">
        <v>249007</v>
      </c>
      <c r="R39" s="39">
        <v>253479</v>
      </c>
      <c r="S39" s="39">
        <v>257665</v>
      </c>
      <c r="T39" s="39">
        <v>263526</v>
      </c>
      <c r="U39" s="39">
        <v>269543</v>
      </c>
      <c r="V39" s="39"/>
      <c r="W39" s="39"/>
      <c r="X39" s="39">
        <v>3530</v>
      </c>
      <c r="Y39" s="39">
        <v>5989</v>
      </c>
      <c r="Z39" s="39">
        <v>4205</v>
      </c>
      <c r="AA39" s="39">
        <v>4863</v>
      </c>
      <c r="AB39" s="39">
        <v>3678</v>
      </c>
      <c r="AC39" s="39">
        <v>3635</v>
      </c>
      <c r="AD39" s="39">
        <v>3739</v>
      </c>
      <c r="AE39" s="39">
        <v>3740</v>
      </c>
      <c r="AF39" s="39">
        <v>4472</v>
      </c>
      <c r="AG39" s="39">
        <v>4186</v>
      </c>
      <c r="AH39" s="39">
        <v>5861</v>
      </c>
      <c r="AI39" s="39">
        <v>6017</v>
      </c>
      <c r="AJ39" s="48">
        <f t="shared" si="3"/>
        <v>53915</v>
      </c>
    </row>
    <row r="40" spans="1:36" x14ac:dyDescent="0.2">
      <c r="A40" s="29" t="s">
        <v>509</v>
      </c>
      <c r="B40" s="39"/>
      <c r="C40" s="278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48">
        <f t="shared" si="3"/>
        <v>0</v>
      </c>
    </row>
    <row r="41" spans="1:36" x14ac:dyDescent="0.2">
      <c r="A41" s="29" t="s">
        <v>510</v>
      </c>
      <c r="B41" s="39"/>
      <c r="C41" s="278"/>
      <c r="D41" s="39"/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48">
        <f t="shared" si="3"/>
        <v>0</v>
      </c>
    </row>
    <row r="42" spans="1:36" x14ac:dyDescent="0.2">
      <c r="A42" s="29" t="s">
        <v>511</v>
      </c>
      <c r="B42" s="39"/>
      <c r="C42" s="278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48">
        <f t="shared" si="3"/>
        <v>0</v>
      </c>
    </row>
    <row r="43" spans="1:36" x14ac:dyDescent="0.2">
      <c r="A43" s="29" t="s">
        <v>512</v>
      </c>
      <c r="B43" s="39"/>
      <c r="C43" s="278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C43" s="39"/>
      <c r="AD43" s="39"/>
      <c r="AE43" s="39"/>
      <c r="AF43" s="39"/>
      <c r="AG43" s="39"/>
      <c r="AH43" s="39"/>
      <c r="AI43" s="39"/>
      <c r="AJ43" s="48">
        <f t="shared" si="3"/>
        <v>0</v>
      </c>
    </row>
    <row r="44" spans="1:36" x14ac:dyDescent="0.2">
      <c r="A44" s="29" t="s">
        <v>918</v>
      </c>
      <c r="B44" s="39"/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48">
        <f t="shared" si="3"/>
        <v>0</v>
      </c>
    </row>
    <row r="45" spans="1:36" x14ac:dyDescent="0.2">
      <c r="A45" s="29"/>
      <c r="B45" s="39"/>
      <c r="C45" s="39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48">
        <f t="shared" si="3"/>
        <v>0</v>
      </c>
    </row>
    <row r="46" spans="1:36" x14ac:dyDescent="0.2">
      <c r="B46" s="19"/>
      <c r="C46" s="19"/>
      <c r="D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19"/>
      <c r="AD46" s="19"/>
      <c r="AE46" s="19"/>
      <c r="AF46" s="19"/>
      <c r="AG46" s="19"/>
      <c r="AH46" s="19"/>
      <c r="AI46" s="39"/>
      <c r="AJ46" s="48">
        <f t="shared" si="3"/>
        <v>0</v>
      </c>
    </row>
    <row r="47" spans="1:36" s="32" customFormat="1" x14ac:dyDescent="0.2">
      <c r="A47" s="640" t="s">
        <v>515</v>
      </c>
      <c r="B47" s="640"/>
      <c r="C47" s="640"/>
      <c r="D47" s="640"/>
      <c r="E47" s="233"/>
      <c r="F47" s="37"/>
      <c r="G47" s="37">
        <f>SUMIFS(G27:G45,G27:G45,"&gt;0",G27:G45,"&lt;1999999")</f>
        <v>0</v>
      </c>
      <c r="H47" s="37"/>
      <c r="I47" s="37"/>
      <c r="J47" s="37"/>
      <c r="K47" s="37"/>
      <c r="L47" s="37"/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171">
        <f t="shared" ref="W47:AJ47" si="4">SUMIFS(W27:W45,W27:W45,"&gt;0",W27:W45,"&lt;1999999")</f>
        <v>0</v>
      </c>
      <c r="X47" s="171">
        <f>SUMIFS(X27:X45,X27:X45,"&gt;0",X27:X45,"&lt;1999999")</f>
        <v>33406</v>
      </c>
      <c r="Y47" s="171">
        <f t="shared" si="4"/>
        <v>61683</v>
      </c>
      <c r="Z47" s="171">
        <f t="shared" si="4"/>
        <v>51225</v>
      </c>
      <c r="AA47" s="171">
        <f t="shared" si="4"/>
        <v>51249</v>
      </c>
      <c r="AB47" s="171">
        <f t="shared" si="4"/>
        <v>44162</v>
      </c>
      <c r="AC47" s="171">
        <f t="shared" si="4"/>
        <v>42973</v>
      </c>
      <c r="AD47" s="171">
        <f t="shared" si="4"/>
        <v>40610</v>
      </c>
      <c r="AE47" s="171">
        <f t="shared" si="4"/>
        <v>39653</v>
      </c>
      <c r="AF47" s="171">
        <f t="shared" si="4"/>
        <v>47947</v>
      </c>
      <c r="AG47" s="171">
        <f t="shared" si="4"/>
        <v>47253</v>
      </c>
      <c r="AH47" s="171">
        <f t="shared" si="4"/>
        <v>59894</v>
      </c>
      <c r="AI47" s="171">
        <f t="shared" si="4"/>
        <v>64939</v>
      </c>
      <c r="AJ47" s="171">
        <f t="shared" si="4"/>
        <v>584994</v>
      </c>
    </row>
    <row r="48" spans="1:36" x14ac:dyDescent="0.2">
      <c r="A48" s="20"/>
      <c r="B48" s="39"/>
      <c r="C48" s="39"/>
      <c r="D48" s="39"/>
      <c r="E48" s="39"/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175"/>
      <c r="X48" s="175"/>
      <c r="Y48" s="175"/>
      <c r="Z48" s="175"/>
      <c r="AA48" s="175"/>
      <c r="AB48" s="175"/>
      <c r="AC48" s="175"/>
      <c r="AD48" s="175"/>
      <c r="AE48" s="175"/>
      <c r="AF48" s="175"/>
      <c r="AG48" s="175"/>
      <c r="AH48" s="175"/>
    </row>
    <row r="49" spans="1:36" x14ac:dyDescent="0.2">
      <c r="B49" s="39"/>
    </row>
    <row r="50" spans="1:36" s="25" customFormat="1" ht="18.75" customHeight="1" x14ac:dyDescent="0.2">
      <c r="A50" s="238" t="s">
        <v>513</v>
      </c>
      <c r="B50" s="238"/>
      <c r="C50" s="238"/>
      <c r="D50" s="238"/>
      <c r="E50" s="231">
        <v>132</v>
      </c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168"/>
      <c r="X50" s="168"/>
      <c r="Y50" s="168"/>
      <c r="Z50" s="168"/>
      <c r="AA50" s="168"/>
      <c r="AB50" s="168"/>
      <c r="AC50" s="168"/>
      <c r="AD50" s="168"/>
      <c r="AE50" s="168"/>
      <c r="AF50" s="168"/>
      <c r="AG50" s="168"/>
      <c r="AH50" s="168"/>
      <c r="AI50" s="45"/>
    </row>
    <row r="51" spans="1:36" s="23" customFormat="1" ht="13.5" customHeight="1" x14ac:dyDescent="0.25">
      <c r="A51" s="28" t="s">
        <v>709</v>
      </c>
      <c r="B51" s="183" t="s">
        <v>18</v>
      </c>
      <c r="C51" s="183" t="s">
        <v>0</v>
      </c>
      <c r="D51" s="183" t="s">
        <v>710</v>
      </c>
      <c r="E51" s="232" t="s">
        <v>1</v>
      </c>
      <c r="F51" s="41" t="s">
        <v>2</v>
      </c>
      <c r="G51" s="41" t="s">
        <v>3</v>
      </c>
      <c r="H51" s="41" t="s">
        <v>4</v>
      </c>
      <c r="I51" s="41" t="s">
        <v>1100</v>
      </c>
      <c r="J51" s="41" t="s">
        <v>1050</v>
      </c>
      <c r="K51" s="41" t="s">
        <v>1101</v>
      </c>
      <c r="L51" s="41" t="s">
        <v>1102</v>
      </c>
      <c r="M51" s="41" t="s">
        <v>1103</v>
      </c>
      <c r="N51" s="41" t="s">
        <v>1104</v>
      </c>
      <c r="O51" s="41" t="s">
        <v>1105</v>
      </c>
      <c r="P51" s="41" t="s">
        <v>1106</v>
      </c>
      <c r="Q51" s="41" t="s">
        <v>1107</v>
      </c>
      <c r="R51" s="41" t="s">
        <v>1108</v>
      </c>
      <c r="S51" s="41" t="s">
        <v>1109</v>
      </c>
      <c r="T51" s="41" t="s">
        <v>1110</v>
      </c>
      <c r="U51" s="41" t="s">
        <v>1111</v>
      </c>
      <c r="V51" s="41" t="s">
        <v>1112</v>
      </c>
      <c r="W51" s="176" t="s">
        <v>756</v>
      </c>
      <c r="X51" s="169" t="s">
        <v>488</v>
      </c>
      <c r="Y51" s="169" t="s">
        <v>489</v>
      </c>
      <c r="Z51" s="169" t="s">
        <v>490</v>
      </c>
      <c r="AA51" s="169" t="s">
        <v>491</v>
      </c>
      <c r="AB51" s="169" t="s">
        <v>492</v>
      </c>
      <c r="AC51" s="169" t="s">
        <v>493</v>
      </c>
      <c r="AD51" s="169" t="s">
        <v>494</v>
      </c>
      <c r="AE51" s="169" t="s">
        <v>495</v>
      </c>
      <c r="AF51" s="169" t="s">
        <v>496</v>
      </c>
      <c r="AG51" s="169" t="s">
        <v>497</v>
      </c>
      <c r="AH51" s="169" t="s">
        <v>498</v>
      </c>
      <c r="AI51" s="46" t="s">
        <v>499</v>
      </c>
      <c r="AJ51" s="46" t="s">
        <v>685</v>
      </c>
    </row>
    <row r="52" spans="1:36" x14ac:dyDescent="0.2">
      <c r="A52" s="29" t="s">
        <v>905</v>
      </c>
      <c r="B52" s="39" t="s">
        <v>43</v>
      </c>
      <c r="C52" s="39" t="s">
        <v>36</v>
      </c>
      <c r="D52" s="39">
        <v>132</v>
      </c>
      <c r="E52" s="39" t="s">
        <v>878</v>
      </c>
      <c r="F52" s="39" t="s">
        <v>38</v>
      </c>
      <c r="G52" s="39" t="s">
        <v>44</v>
      </c>
      <c r="H52" s="39"/>
      <c r="I52" s="39">
        <v>443022</v>
      </c>
      <c r="J52" s="39">
        <v>445525</v>
      </c>
      <c r="K52" s="39">
        <v>450367</v>
      </c>
      <c r="L52" s="39">
        <v>454247</v>
      </c>
      <c r="M52" s="39">
        <v>458120</v>
      </c>
      <c r="N52" s="39">
        <v>461451</v>
      </c>
      <c r="O52" s="39">
        <v>464505</v>
      </c>
      <c r="P52" s="39">
        <v>467642</v>
      </c>
      <c r="Q52" s="39">
        <v>470730</v>
      </c>
      <c r="R52" s="39">
        <v>474698</v>
      </c>
      <c r="S52" s="39">
        <v>478289</v>
      </c>
      <c r="T52" s="39">
        <v>479485</v>
      </c>
      <c r="U52" s="39">
        <v>481500</v>
      </c>
      <c r="V52" s="39"/>
      <c r="W52" s="39"/>
      <c r="X52" s="39">
        <v>2503</v>
      </c>
      <c r="Y52" s="39">
        <v>4842</v>
      </c>
      <c r="Z52" s="39">
        <v>3880</v>
      </c>
      <c r="AA52" s="39">
        <v>3873</v>
      </c>
      <c r="AB52" s="39">
        <v>3331</v>
      </c>
      <c r="AC52" s="39">
        <v>3054</v>
      </c>
      <c r="AD52" s="39">
        <v>3137</v>
      </c>
      <c r="AE52" s="39">
        <v>3088</v>
      </c>
      <c r="AF52" s="39">
        <v>3968</v>
      </c>
      <c r="AG52" s="39">
        <v>3591</v>
      </c>
      <c r="AH52" s="39">
        <v>1196</v>
      </c>
      <c r="AI52" s="39">
        <v>2015</v>
      </c>
      <c r="AJ52" s="48">
        <f>SUMIFS(X52:AI52,X52:AI52,"&gt;0",X52:AI52,"&lt;9999999")</f>
        <v>38478</v>
      </c>
    </row>
    <row r="53" spans="1:36" x14ac:dyDescent="0.2">
      <c r="A53" s="29" t="s">
        <v>906</v>
      </c>
      <c r="B53" s="39" t="s">
        <v>751</v>
      </c>
      <c r="C53" s="39" t="s">
        <v>86</v>
      </c>
      <c r="D53" s="39">
        <v>132</v>
      </c>
      <c r="E53" s="39" t="s">
        <v>1310</v>
      </c>
      <c r="F53" s="39" t="s">
        <v>885</v>
      </c>
      <c r="G53" s="39"/>
      <c r="H53" s="39"/>
      <c r="I53" s="39">
        <v>82652</v>
      </c>
      <c r="J53" s="39">
        <v>83047</v>
      </c>
      <c r="K53" s="39">
        <v>83800</v>
      </c>
      <c r="L53" s="39">
        <v>84435</v>
      </c>
      <c r="M53" s="39">
        <v>85074</v>
      </c>
      <c r="N53" s="39">
        <v>85543</v>
      </c>
      <c r="O53" s="39">
        <v>86026</v>
      </c>
      <c r="P53" s="39">
        <v>86536</v>
      </c>
      <c r="Q53" s="39">
        <v>87029</v>
      </c>
      <c r="R53" s="39">
        <v>87624</v>
      </c>
      <c r="S53" s="39">
        <v>88197</v>
      </c>
      <c r="T53" s="39">
        <v>88936</v>
      </c>
      <c r="U53" s="39">
        <v>89769</v>
      </c>
      <c r="V53" s="39"/>
      <c r="W53" s="39"/>
      <c r="X53" s="39">
        <v>395</v>
      </c>
      <c r="Y53" s="39">
        <v>753</v>
      </c>
      <c r="Z53" s="39">
        <v>635</v>
      </c>
      <c r="AA53" s="39">
        <v>639</v>
      </c>
      <c r="AB53" s="39">
        <v>469</v>
      </c>
      <c r="AC53" s="39">
        <v>483</v>
      </c>
      <c r="AD53" s="39">
        <v>510</v>
      </c>
      <c r="AE53" s="39">
        <v>493</v>
      </c>
      <c r="AF53" s="39">
        <v>595</v>
      </c>
      <c r="AG53" s="39">
        <v>573</v>
      </c>
      <c r="AH53" s="39">
        <v>739</v>
      </c>
      <c r="AI53" s="39">
        <v>833</v>
      </c>
      <c r="AJ53" s="48">
        <f t="shared" ref="AJ53:AJ66" si="5">SUMIFS(X53:AI53,X53:AI53,"&gt;0",X53:AI53,"&lt;9999999")</f>
        <v>7117</v>
      </c>
    </row>
    <row r="54" spans="1:36" x14ac:dyDescent="0.2">
      <c r="A54" s="29" t="s">
        <v>117</v>
      </c>
      <c r="B54" s="39" t="s">
        <v>116</v>
      </c>
      <c r="C54" s="39" t="s">
        <v>106</v>
      </c>
      <c r="D54" s="39">
        <v>132</v>
      </c>
      <c r="E54" s="39" t="s">
        <v>879</v>
      </c>
      <c r="F54" s="39" t="s">
        <v>984</v>
      </c>
      <c r="G54" s="39" t="s">
        <v>117</v>
      </c>
      <c r="H54" s="39"/>
      <c r="I54" s="39">
        <v>193891</v>
      </c>
      <c r="J54" s="39">
        <v>195118</v>
      </c>
      <c r="K54" s="39">
        <v>197289</v>
      </c>
      <c r="L54" s="39">
        <v>199197</v>
      </c>
      <c r="M54" s="39">
        <v>200869</v>
      </c>
      <c r="N54" s="39">
        <v>202454</v>
      </c>
      <c r="O54" s="39">
        <v>203863</v>
      </c>
      <c r="P54" s="39">
        <v>205261</v>
      </c>
      <c r="Q54" s="39">
        <v>206768</v>
      </c>
      <c r="R54" s="39">
        <v>206992</v>
      </c>
      <c r="S54" s="39">
        <v>207272</v>
      </c>
      <c r="T54" s="39">
        <v>208241</v>
      </c>
      <c r="U54" s="39">
        <v>208322</v>
      </c>
      <c r="V54" s="39"/>
      <c r="W54" s="39"/>
      <c r="X54" s="39">
        <v>1227</v>
      </c>
      <c r="Y54" s="39">
        <v>2171</v>
      </c>
      <c r="Z54" s="39">
        <v>1908</v>
      </c>
      <c r="AA54" s="39">
        <v>1672</v>
      </c>
      <c r="AB54" s="39">
        <v>1585</v>
      </c>
      <c r="AC54" s="39">
        <v>1409</v>
      </c>
      <c r="AD54" s="39">
        <v>1398</v>
      </c>
      <c r="AE54" s="39">
        <v>1507</v>
      </c>
      <c r="AF54" s="39">
        <v>224</v>
      </c>
      <c r="AG54" s="39">
        <v>280</v>
      </c>
      <c r="AH54" s="39">
        <v>969</v>
      </c>
      <c r="AI54" s="39">
        <v>81</v>
      </c>
      <c r="AJ54" s="48">
        <f t="shared" si="5"/>
        <v>14431</v>
      </c>
    </row>
    <row r="55" spans="1:36" x14ac:dyDescent="0.2">
      <c r="A55" s="29" t="s">
        <v>886</v>
      </c>
      <c r="B55" s="39" t="s">
        <v>1237</v>
      </c>
      <c r="C55" s="278" t="s">
        <v>136</v>
      </c>
      <c r="D55" s="39">
        <v>132</v>
      </c>
      <c r="E55" s="39" t="s">
        <v>880</v>
      </c>
      <c r="F55" s="39" t="s">
        <v>728</v>
      </c>
      <c r="G55" s="39" t="s">
        <v>729</v>
      </c>
      <c r="H55" s="39" t="s">
        <v>730</v>
      </c>
      <c r="I55" s="39">
        <v>275725</v>
      </c>
      <c r="J55" s="39">
        <v>300100</v>
      </c>
      <c r="K55" s="39">
        <v>325907</v>
      </c>
      <c r="L55" s="39">
        <v>353775</v>
      </c>
      <c r="M55" s="39">
        <v>380699</v>
      </c>
      <c r="N55" s="39">
        <v>403563</v>
      </c>
      <c r="O55" s="39">
        <v>426158</v>
      </c>
      <c r="P55" s="39">
        <v>446339</v>
      </c>
      <c r="Q55" s="39">
        <v>470158</v>
      </c>
      <c r="R55" s="39">
        <v>498946</v>
      </c>
      <c r="S55" s="39">
        <v>528450</v>
      </c>
      <c r="T55" s="39">
        <v>566119</v>
      </c>
      <c r="U55" s="39">
        <v>604552</v>
      </c>
      <c r="V55" s="39"/>
      <c r="W55" s="39"/>
      <c r="X55" s="39">
        <v>24375</v>
      </c>
      <c r="Y55" s="39">
        <v>25807</v>
      </c>
      <c r="Z55" s="39">
        <v>27868</v>
      </c>
      <c r="AA55" s="39">
        <v>26924</v>
      </c>
      <c r="AB55" s="39">
        <v>22864</v>
      </c>
      <c r="AC55" s="39">
        <v>22595</v>
      </c>
      <c r="AD55" s="39">
        <v>20181</v>
      </c>
      <c r="AE55" s="39">
        <v>23819</v>
      </c>
      <c r="AF55" s="39">
        <v>28788</v>
      </c>
      <c r="AG55" s="39">
        <v>29504</v>
      </c>
      <c r="AH55" s="39">
        <v>37669</v>
      </c>
      <c r="AI55" s="39">
        <v>38433</v>
      </c>
      <c r="AJ55" s="48">
        <f t="shared" si="5"/>
        <v>328827</v>
      </c>
    </row>
    <row r="56" spans="1:36" x14ac:dyDescent="0.2">
      <c r="A56" s="29" t="s">
        <v>881</v>
      </c>
      <c r="B56" s="39" t="s">
        <v>1342</v>
      </c>
      <c r="C56" s="278" t="s">
        <v>143</v>
      </c>
      <c r="D56" s="39">
        <v>132</v>
      </c>
      <c r="E56" s="39" t="s">
        <v>1463</v>
      </c>
      <c r="F56" s="39" t="s">
        <v>1376</v>
      </c>
      <c r="G56" s="39"/>
      <c r="H56" s="39"/>
      <c r="I56" s="39"/>
      <c r="J56" s="39"/>
      <c r="K56" s="39"/>
      <c r="L56" s="39"/>
      <c r="M56" s="39"/>
      <c r="N56" s="39">
        <v>23</v>
      </c>
      <c r="O56" s="39">
        <v>1470</v>
      </c>
      <c r="P56" s="39">
        <v>2755</v>
      </c>
      <c r="Q56" s="39">
        <v>4799</v>
      </c>
      <c r="R56" s="39">
        <v>6998</v>
      </c>
      <c r="S56" s="39">
        <v>9288</v>
      </c>
      <c r="T56" s="39">
        <v>12284</v>
      </c>
      <c r="U56" s="39">
        <v>15580</v>
      </c>
      <c r="V56" s="39"/>
      <c r="W56" s="39"/>
      <c r="X56" s="39" t="s">
        <v>734</v>
      </c>
      <c r="Y56" s="39" t="s">
        <v>734</v>
      </c>
      <c r="Z56" s="39" t="s">
        <v>734</v>
      </c>
      <c r="AA56" s="39" t="s">
        <v>734</v>
      </c>
      <c r="AB56" s="39" t="s">
        <v>734</v>
      </c>
      <c r="AC56" s="39">
        <v>1447</v>
      </c>
      <c r="AD56" s="39">
        <v>1285</v>
      </c>
      <c r="AE56" s="39">
        <v>2044</v>
      </c>
      <c r="AF56" s="39">
        <v>2199</v>
      </c>
      <c r="AG56" s="39">
        <v>2290</v>
      </c>
      <c r="AH56" s="39">
        <v>2996</v>
      </c>
      <c r="AI56" s="39">
        <v>3296</v>
      </c>
      <c r="AJ56" s="48">
        <f t="shared" si="5"/>
        <v>15557</v>
      </c>
    </row>
    <row r="57" spans="1:36" x14ac:dyDescent="0.2">
      <c r="A57" s="29" t="s">
        <v>882</v>
      </c>
      <c r="B57" s="39" t="s">
        <v>1343</v>
      </c>
      <c r="C57" s="278" t="s">
        <v>148</v>
      </c>
      <c r="D57" s="39">
        <v>132</v>
      </c>
      <c r="E57" s="39" t="s">
        <v>1463</v>
      </c>
      <c r="F57" s="39" t="s">
        <v>1376</v>
      </c>
      <c r="G57" s="39"/>
      <c r="H57" s="39"/>
      <c r="I57" s="39"/>
      <c r="J57" s="39"/>
      <c r="K57" s="39"/>
      <c r="L57" s="39"/>
      <c r="M57" s="39"/>
      <c r="N57" s="39">
        <v>23</v>
      </c>
      <c r="O57" s="39">
        <v>50</v>
      </c>
      <c r="P57" s="39">
        <v>68</v>
      </c>
      <c r="Q57" s="39">
        <v>4150</v>
      </c>
      <c r="R57" s="39">
        <v>5971</v>
      </c>
      <c r="S57" s="39">
        <v>7786</v>
      </c>
      <c r="T57" s="39">
        <v>10582</v>
      </c>
      <c r="U57" s="39">
        <v>13338</v>
      </c>
      <c r="V57" s="39"/>
      <c r="W57" s="39"/>
      <c r="X57" s="39" t="s">
        <v>734</v>
      </c>
      <c r="Y57" s="39" t="s">
        <v>734</v>
      </c>
      <c r="Z57" s="39" t="s">
        <v>734</v>
      </c>
      <c r="AA57" s="39" t="s">
        <v>734</v>
      </c>
      <c r="AB57" s="39" t="s">
        <v>734</v>
      </c>
      <c r="AC57" s="39">
        <v>27</v>
      </c>
      <c r="AD57" s="39">
        <v>18</v>
      </c>
      <c r="AE57" s="39">
        <v>4082</v>
      </c>
      <c r="AF57" s="39">
        <v>1821</v>
      </c>
      <c r="AG57" s="39">
        <v>1815</v>
      </c>
      <c r="AH57" s="39">
        <v>2796</v>
      </c>
      <c r="AI57" s="39">
        <v>2756</v>
      </c>
      <c r="AJ57" s="48">
        <f t="shared" si="5"/>
        <v>13315</v>
      </c>
    </row>
    <row r="58" spans="1:36" x14ac:dyDescent="0.2">
      <c r="A58" s="29" t="s">
        <v>883</v>
      </c>
      <c r="B58" s="39" t="s">
        <v>159</v>
      </c>
      <c r="C58" s="278" t="s">
        <v>152</v>
      </c>
      <c r="D58" s="39">
        <v>132</v>
      </c>
      <c r="E58" s="39" t="s">
        <v>160</v>
      </c>
      <c r="F58" s="39" t="s">
        <v>1016</v>
      </c>
      <c r="G58" s="39" t="s">
        <v>1120</v>
      </c>
      <c r="H58" s="39"/>
      <c r="I58" s="39">
        <v>65703</v>
      </c>
      <c r="J58" s="39">
        <v>67326</v>
      </c>
      <c r="K58" s="39">
        <v>70194</v>
      </c>
      <c r="L58" s="39">
        <v>72349</v>
      </c>
      <c r="M58" s="39">
        <v>74592</v>
      </c>
      <c r="N58" s="39">
        <v>76595</v>
      </c>
      <c r="O58" s="39">
        <v>78540</v>
      </c>
      <c r="P58" s="39">
        <v>80269</v>
      </c>
      <c r="Q58" s="39">
        <v>82078</v>
      </c>
      <c r="R58" s="39">
        <v>84265</v>
      </c>
      <c r="S58" s="39">
        <v>86396</v>
      </c>
      <c r="T58" s="39">
        <v>89067</v>
      </c>
      <c r="U58" s="39">
        <v>91901</v>
      </c>
      <c r="V58" s="39"/>
      <c r="W58" s="39"/>
      <c r="X58" s="39">
        <v>1623</v>
      </c>
      <c r="Y58" s="39">
        <v>2868</v>
      </c>
      <c r="Z58" s="39">
        <v>2155</v>
      </c>
      <c r="AA58" s="39">
        <v>2243</v>
      </c>
      <c r="AB58" s="39">
        <v>2003</v>
      </c>
      <c r="AC58" s="39">
        <v>1945</v>
      </c>
      <c r="AD58" s="39">
        <v>1729</v>
      </c>
      <c r="AE58" s="39">
        <v>1809</v>
      </c>
      <c r="AF58" s="39">
        <v>2187</v>
      </c>
      <c r="AG58" s="39">
        <v>2131</v>
      </c>
      <c r="AH58" s="39">
        <v>2671</v>
      </c>
      <c r="AI58" s="39">
        <v>2834</v>
      </c>
      <c r="AJ58" s="48">
        <f t="shared" si="5"/>
        <v>26198</v>
      </c>
    </row>
    <row r="59" spans="1:36" x14ac:dyDescent="0.2">
      <c r="A59" s="29" t="s">
        <v>884</v>
      </c>
      <c r="B59" s="39" t="s">
        <v>1244</v>
      </c>
      <c r="C59" s="278" t="s">
        <v>296</v>
      </c>
      <c r="D59" s="39">
        <v>132</v>
      </c>
      <c r="E59" s="39" t="s">
        <v>737</v>
      </c>
      <c r="F59" s="39" t="s">
        <v>47</v>
      </c>
      <c r="G59" s="27"/>
      <c r="H59" s="27" t="s">
        <v>738</v>
      </c>
      <c r="I59" s="27">
        <v>12199</v>
      </c>
      <c r="J59" s="27">
        <v>12204</v>
      </c>
      <c r="K59" s="27">
        <v>12213</v>
      </c>
      <c r="L59" s="27">
        <v>12220</v>
      </c>
      <c r="M59" s="27">
        <v>12227</v>
      </c>
      <c r="N59" s="27">
        <v>12233</v>
      </c>
      <c r="O59" s="27">
        <v>12238</v>
      </c>
      <c r="P59" s="27">
        <v>12244</v>
      </c>
      <c r="Q59" s="27">
        <v>12249</v>
      </c>
      <c r="R59" s="27">
        <v>12256</v>
      </c>
      <c r="S59" s="27">
        <v>12262</v>
      </c>
      <c r="T59" s="27">
        <v>12272</v>
      </c>
      <c r="U59" s="27">
        <v>12281</v>
      </c>
      <c r="V59" s="27"/>
      <c r="W59" s="39"/>
      <c r="X59" s="173">
        <v>5</v>
      </c>
      <c r="Y59" s="173">
        <v>9</v>
      </c>
      <c r="Z59" s="173">
        <v>7</v>
      </c>
      <c r="AA59" s="173">
        <v>7</v>
      </c>
      <c r="AB59" s="173">
        <v>6</v>
      </c>
      <c r="AC59" s="173">
        <v>5</v>
      </c>
      <c r="AD59" s="173">
        <v>6</v>
      </c>
      <c r="AE59" s="173">
        <v>5</v>
      </c>
      <c r="AF59" s="173">
        <v>7</v>
      </c>
      <c r="AG59" s="173">
        <v>6</v>
      </c>
      <c r="AH59" s="173">
        <v>10</v>
      </c>
      <c r="AI59" s="173">
        <v>9</v>
      </c>
      <c r="AJ59" s="48">
        <f t="shared" si="5"/>
        <v>82</v>
      </c>
    </row>
    <row r="60" spans="1:36" x14ac:dyDescent="0.2">
      <c r="A60" s="29" t="s">
        <v>916</v>
      </c>
      <c r="B60" s="39">
        <v>114481072</v>
      </c>
      <c r="C60" s="39" t="s">
        <v>298</v>
      </c>
      <c r="D60" s="39">
        <v>132</v>
      </c>
      <c r="E60" s="39" t="s">
        <v>305</v>
      </c>
      <c r="F60" s="39" t="s">
        <v>47</v>
      </c>
      <c r="G60" s="27" t="s">
        <v>305</v>
      </c>
      <c r="H60" s="27"/>
      <c r="I60" s="27">
        <v>60195</v>
      </c>
      <c r="J60" s="27">
        <v>61544</v>
      </c>
      <c r="K60" s="27">
        <v>64045</v>
      </c>
      <c r="L60" s="27">
        <v>65977</v>
      </c>
      <c r="M60" s="27">
        <v>68136</v>
      </c>
      <c r="N60" s="27">
        <v>69710</v>
      </c>
      <c r="O60" s="27">
        <v>71254</v>
      </c>
      <c r="P60" s="27">
        <v>72850</v>
      </c>
      <c r="Q60" s="27">
        <v>74451</v>
      </c>
      <c r="R60" s="27">
        <v>76352</v>
      </c>
      <c r="S60" s="27">
        <v>78074</v>
      </c>
      <c r="T60" s="27">
        <v>80491</v>
      </c>
      <c r="U60" s="27">
        <v>83174</v>
      </c>
      <c r="V60" s="27"/>
      <c r="W60" s="27"/>
      <c r="X60" s="173">
        <v>1349</v>
      </c>
      <c r="Y60" s="173">
        <v>2501</v>
      </c>
      <c r="Z60" s="173">
        <v>1932</v>
      </c>
      <c r="AA60" s="173">
        <v>2159</v>
      </c>
      <c r="AB60" s="173">
        <v>1574</v>
      </c>
      <c r="AC60" s="173">
        <v>1544</v>
      </c>
      <c r="AD60" s="173">
        <v>1596</v>
      </c>
      <c r="AE60" s="173">
        <v>1601</v>
      </c>
      <c r="AF60" s="173">
        <v>1901</v>
      </c>
      <c r="AG60" s="173">
        <v>1722</v>
      </c>
      <c r="AH60" s="173">
        <v>2417</v>
      </c>
      <c r="AI60" s="173">
        <v>2683</v>
      </c>
      <c r="AJ60" s="48">
        <f t="shared" si="5"/>
        <v>22979</v>
      </c>
    </row>
    <row r="61" spans="1:36" x14ac:dyDescent="0.2">
      <c r="A61" s="29"/>
      <c r="B61" s="39"/>
      <c r="C61" s="39"/>
      <c r="D61" s="39"/>
      <c r="E61" s="39"/>
      <c r="F61" s="39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173"/>
      <c r="Y61" s="173"/>
      <c r="Z61" s="173"/>
      <c r="AA61" s="173"/>
      <c r="AB61" s="173"/>
      <c r="AC61" s="173"/>
      <c r="AD61" s="173"/>
      <c r="AE61" s="173"/>
      <c r="AF61" s="173"/>
      <c r="AG61" s="173"/>
      <c r="AH61" s="173"/>
      <c r="AI61" s="173"/>
      <c r="AJ61" s="48"/>
    </row>
    <row r="62" spans="1:36" x14ac:dyDescent="0.2">
      <c r="A62" s="29"/>
      <c r="B62" s="39"/>
      <c r="C62" s="39"/>
      <c r="D62" s="39"/>
      <c r="E62" s="39"/>
      <c r="F62" s="39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173"/>
      <c r="Y62" s="173"/>
      <c r="Z62" s="173"/>
      <c r="AA62" s="173"/>
      <c r="AB62" s="173"/>
      <c r="AC62" s="173"/>
      <c r="AD62" s="173"/>
      <c r="AE62" s="173"/>
      <c r="AF62" s="173"/>
      <c r="AG62" s="173"/>
      <c r="AH62" s="173"/>
      <c r="AI62" s="173"/>
      <c r="AJ62" s="48"/>
    </row>
    <row r="63" spans="1:36" x14ac:dyDescent="0.2">
      <c r="A63" s="29"/>
      <c r="B63" s="39" t="s">
        <v>1249</v>
      </c>
      <c r="C63" s="39" t="s">
        <v>456</v>
      </c>
      <c r="D63" s="39">
        <v>132</v>
      </c>
      <c r="E63" s="39" t="s">
        <v>457</v>
      </c>
      <c r="F63" s="39" t="s">
        <v>47</v>
      </c>
      <c r="G63" s="27"/>
      <c r="H63" s="27"/>
      <c r="I63" s="27">
        <v>34389</v>
      </c>
      <c r="J63" s="27">
        <v>35127</v>
      </c>
      <c r="K63" s="27">
        <v>36453</v>
      </c>
      <c r="L63" s="27">
        <v>37478</v>
      </c>
      <c r="M63" s="27">
        <v>38623</v>
      </c>
      <c r="N63" s="27">
        <v>39457</v>
      </c>
      <c r="O63" s="27">
        <v>40273</v>
      </c>
      <c r="P63" s="27"/>
      <c r="Q63" s="27"/>
      <c r="R63" s="27"/>
      <c r="S63" s="27"/>
      <c r="T63" s="27"/>
      <c r="U63" s="27"/>
      <c r="V63" s="27"/>
      <c r="W63" s="27"/>
      <c r="X63" s="173">
        <v>738</v>
      </c>
      <c r="Y63" s="173">
        <v>1326</v>
      </c>
      <c r="Z63" s="173">
        <v>1025</v>
      </c>
      <c r="AA63" s="173">
        <v>1145</v>
      </c>
      <c r="AB63" s="173">
        <v>834</v>
      </c>
      <c r="AC63" s="173">
        <v>816</v>
      </c>
      <c r="AD63" s="173" t="s">
        <v>734</v>
      </c>
      <c r="AE63" s="173" t="s">
        <v>734</v>
      </c>
      <c r="AF63" s="173" t="s">
        <v>734</v>
      </c>
      <c r="AG63" s="173" t="s">
        <v>734</v>
      </c>
      <c r="AH63" s="173" t="s">
        <v>734</v>
      </c>
      <c r="AI63" s="173" t="s">
        <v>734</v>
      </c>
      <c r="AJ63" s="48"/>
    </row>
    <row r="64" spans="1:36" x14ac:dyDescent="0.2">
      <c r="A64" s="29"/>
      <c r="B64" s="39"/>
      <c r="C64" s="39"/>
      <c r="D64" s="39"/>
      <c r="E64" s="39"/>
      <c r="F64" s="39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173"/>
      <c r="Y64" s="173"/>
      <c r="Z64" s="173"/>
      <c r="AA64" s="173"/>
      <c r="AB64" s="173"/>
      <c r="AC64" s="173"/>
      <c r="AD64" s="173"/>
      <c r="AE64" s="173"/>
      <c r="AF64" s="173"/>
      <c r="AG64" s="173"/>
      <c r="AH64" s="173"/>
      <c r="AI64" s="173"/>
      <c r="AJ64" s="48"/>
    </row>
    <row r="65" spans="1:36" x14ac:dyDescent="0.2">
      <c r="A65" s="29"/>
      <c r="B65" s="39"/>
      <c r="C65" s="39"/>
      <c r="D65" s="39"/>
      <c r="E65" s="39"/>
      <c r="F65" s="39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173"/>
      <c r="Y65" s="173"/>
      <c r="Z65" s="173"/>
      <c r="AA65" s="173"/>
      <c r="AB65" s="173"/>
      <c r="AC65" s="173"/>
      <c r="AD65" s="173"/>
      <c r="AE65" s="173"/>
      <c r="AF65" s="173"/>
      <c r="AG65" s="173"/>
      <c r="AH65" s="173"/>
      <c r="AI65" s="173"/>
      <c r="AJ65" s="48">
        <f t="shared" si="5"/>
        <v>0</v>
      </c>
    </row>
    <row r="66" spans="1:36" x14ac:dyDescent="0.2">
      <c r="A66" s="29"/>
      <c r="B66" s="39"/>
      <c r="C66" s="39"/>
      <c r="D66" s="39"/>
      <c r="E66" s="39"/>
      <c r="F66" s="39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173"/>
      <c r="Y66" s="173"/>
      <c r="Z66" s="173"/>
      <c r="AA66" s="173"/>
      <c r="AB66" s="173"/>
      <c r="AC66" s="173"/>
      <c r="AD66" s="173"/>
      <c r="AE66" s="173"/>
      <c r="AF66" s="173"/>
      <c r="AG66" s="173"/>
      <c r="AH66" s="173"/>
      <c r="AI66" s="173"/>
      <c r="AJ66" s="48">
        <f t="shared" si="5"/>
        <v>0</v>
      </c>
    </row>
    <row r="67" spans="1:36" s="32" customFormat="1" x14ac:dyDescent="0.2">
      <c r="A67" s="640" t="s">
        <v>514</v>
      </c>
      <c r="B67" s="640"/>
      <c r="C67" s="640"/>
      <c r="D67" s="640"/>
      <c r="E67" s="233"/>
      <c r="F67" s="37"/>
      <c r="G67" s="37">
        <f>SUMIFS(G52:G66,G52:G66,"&gt;0",G52:G66,"&lt;1999999")</f>
        <v>0</v>
      </c>
      <c r="H67" s="37"/>
      <c r="I67" s="37"/>
      <c r="J67" s="37"/>
      <c r="K67" s="37"/>
      <c r="L67" s="37"/>
      <c r="M67" s="37"/>
      <c r="N67" s="37"/>
      <c r="O67" s="37"/>
      <c r="P67" s="37"/>
      <c r="Q67" s="37"/>
      <c r="R67" s="37"/>
      <c r="S67" s="37"/>
      <c r="T67" s="37"/>
      <c r="U67" s="37"/>
      <c r="V67" s="37"/>
      <c r="W67" s="171">
        <f t="shared" ref="W67:AJ67" si="6">SUMIFS(W52:W66,W52:W66,"&gt;0",W52:W66,"&lt;1999999")</f>
        <v>0</v>
      </c>
      <c r="X67" s="171">
        <f t="shared" si="6"/>
        <v>32215</v>
      </c>
      <c r="Y67" s="171">
        <f t="shared" si="6"/>
        <v>40277</v>
      </c>
      <c r="Z67" s="171">
        <f t="shared" si="6"/>
        <v>39410</v>
      </c>
      <c r="AA67" s="171">
        <f t="shared" si="6"/>
        <v>38662</v>
      </c>
      <c r="AB67" s="171">
        <f t="shared" si="6"/>
        <v>32666</v>
      </c>
      <c r="AC67" s="171">
        <f t="shared" si="6"/>
        <v>33325</v>
      </c>
      <c r="AD67" s="171">
        <f t="shared" si="6"/>
        <v>29860</v>
      </c>
      <c r="AE67" s="171">
        <f t="shared" si="6"/>
        <v>38448</v>
      </c>
      <c r="AF67" s="171">
        <f t="shared" si="6"/>
        <v>41690</v>
      </c>
      <c r="AG67" s="171">
        <f t="shared" si="6"/>
        <v>41912</v>
      </c>
      <c r="AH67" s="171">
        <f t="shared" si="6"/>
        <v>51463</v>
      </c>
      <c r="AI67" s="171">
        <f t="shared" si="6"/>
        <v>52940</v>
      </c>
      <c r="AJ67" s="171">
        <f t="shared" si="6"/>
        <v>466984</v>
      </c>
    </row>
    <row r="68" spans="1:36" s="24" customFormat="1" x14ac:dyDescent="0.2">
      <c r="B68" s="39"/>
      <c r="C68" s="42"/>
      <c r="D68" s="42"/>
      <c r="E68" s="42"/>
      <c r="F68" s="38"/>
      <c r="G68" s="38"/>
      <c r="H68" s="38"/>
      <c r="I68" s="38"/>
      <c r="J68" s="38"/>
      <c r="K68" s="38"/>
      <c r="L68" s="38"/>
      <c r="M68" s="38"/>
      <c r="N68" s="38"/>
      <c r="O68" s="38"/>
      <c r="P68" s="38"/>
      <c r="Q68" s="38"/>
      <c r="R68" s="38"/>
      <c r="S68" s="38"/>
      <c r="T68" s="38"/>
      <c r="U68" s="38"/>
      <c r="V68" s="38"/>
      <c r="W68" s="172"/>
      <c r="X68" s="172"/>
      <c r="Y68" s="172"/>
      <c r="Z68" s="172"/>
      <c r="AA68" s="172"/>
      <c r="AB68" s="172"/>
      <c r="AC68" s="172"/>
      <c r="AD68" s="172"/>
      <c r="AE68" s="172"/>
      <c r="AF68" s="172"/>
      <c r="AG68" s="172"/>
      <c r="AH68" s="172"/>
      <c r="AI68" s="44"/>
    </row>
    <row r="69" spans="1:36" x14ac:dyDescent="0.2">
      <c r="A69" s="30"/>
      <c r="B69" s="39"/>
      <c r="C69" s="39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173"/>
      <c r="X69" s="173"/>
      <c r="Y69" s="173"/>
      <c r="Z69" s="173"/>
      <c r="AA69" s="173"/>
      <c r="AB69" s="173"/>
      <c r="AC69" s="173"/>
      <c r="AD69" s="173"/>
      <c r="AE69" s="173"/>
      <c r="AF69" s="173"/>
      <c r="AG69" s="173"/>
      <c r="AH69" s="173"/>
    </row>
    <row r="70" spans="1:36" s="25" customFormat="1" ht="18.75" customHeight="1" x14ac:dyDescent="0.2">
      <c r="A70" s="238" t="s">
        <v>503</v>
      </c>
      <c r="B70" s="238"/>
      <c r="C70" s="238"/>
      <c r="D70" s="238"/>
      <c r="E70" s="231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168"/>
      <c r="X70" s="168"/>
      <c r="Y70" s="168"/>
      <c r="Z70" s="168"/>
      <c r="AA70" s="168"/>
      <c r="AB70" s="168"/>
      <c r="AC70" s="168"/>
      <c r="AD70" s="168"/>
      <c r="AE70" s="168"/>
      <c r="AF70" s="168"/>
      <c r="AG70" s="168"/>
      <c r="AH70" s="168"/>
      <c r="AI70" s="45"/>
    </row>
    <row r="71" spans="1:36" s="23" customFormat="1" ht="13.5" customHeight="1" x14ac:dyDescent="0.25">
      <c r="A71" s="28" t="s">
        <v>709</v>
      </c>
      <c r="B71" s="183" t="s">
        <v>18</v>
      </c>
      <c r="C71" s="183" t="s">
        <v>0</v>
      </c>
      <c r="D71" s="183" t="s">
        <v>710</v>
      </c>
      <c r="E71" s="232" t="s">
        <v>1</v>
      </c>
      <c r="F71" s="36" t="s">
        <v>2</v>
      </c>
      <c r="G71" s="36" t="s">
        <v>3</v>
      </c>
      <c r="H71" s="36" t="s">
        <v>4</v>
      </c>
      <c r="I71" s="36" t="s">
        <v>1100</v>
      </c>
      <c r="J71" s="36" t="s">
        <v>1050</v>
      </c>
      <c r="K71" s="36" t="s">
        <v>1101</v>
      </c>
      <c r="L71" s="36" t="s">
        <v>1102</v>
      </c>
      <c r="M71" s="36" t="s">
        <v>1103</v>
      </c>
      <c r="N71" s="36" t="s">
        <v>1104</v>
      </c>
      <c r="O71" s="36" t="s">
        <v>1105</v>
      </c>
      <c r="P71" s="36" t="s">
        <v>1106</v>
      </c>
      <c r="Q71" s="36" t="s">
        <v>1107</v>
      </c>
      <c r="R71" s="36" t="s">
        <v>1108</v>
      </c>
      <c r="S71" s="36" t="s">
        <v>1109</v>
      </c>
      <c r="T71" s="36" t="s">
        <v>1110</v>
      </c>
      <c r="U71" s="36" t="s">
        <v>1111</v>
      </c>
      <c r="V71" s="36" t="s">
        <v>1112</v>
      </c>
      <c r="W71" s="169" t="s">
        <v>756</v>
      </c>
      <c r="X71" s="169" t="s">
        <v>488</v>
      </c>
      <c r="Y71" s="169" t="s">
        <v>489</v>
      </c>
      <c r="Z71" s="169" t="s">
        <v>490</v>
      </c>
      <c r="AA71" s="169" t="s">
        <v>491</v>
      </c>
      <c r="AB71" s="169" t="s">
        <v>492</v>
      </c>
      <c r="AC71" s="169" t="s">
        <v>493</v>
      </c>
      <c r="AD71" s="169" t="s">
        <v>494</v>
      </c>
      <c r="AE71" s="169" t="s">
        <v>495</v>
      </c>
      <c r="AF71" s="169" t="s">
        <v>496</v>
      </c>
      <c r="AG71" s="169" t="s">
        <v>497</v>
      </c>
      <c r="AH71" s="169" t="s">
        <v>498</v>
      </c>
      <c r="AI71" s="46" t="s">
        <v>499</v>
      </c>
      <c r="AJ71" s="46" t="s">
        <v>685</v>
      </c>
    </row>
    <row r="72" spans="1:36" x14ac:dyDescent="0.2">
      <c r="A72" s="29"/>
      <c r="B72" s="39" t="s">
        <v>1204</v>
      </c>
      <c r="C72" s="39" t="s">
        <v>323</v>
      </c>
      <c r="D72" s="39">
        <v>140</v>
      </c>
      <c r="E72" s="147" t="s">
        <v>1305</v>
      </c>
      <c r="F72" s="39" t="s">
        <v>327</v>
      </c>
      <c r="G72" s="39"/>
      <c r="H72" s="39"/>
      <c r="I72" s="39"/>
      <c r="J72" s="39"/>
      <c r="K72" s="39"/>
      <c r="L72" s="39">
        <v>220937.42</v>
      </c>
      <c r="M72" s="39">
        <v>221965</v>
      </c>
      <c r="N72" s="39">
        <v>223776</v>
      </c>
      <c r="O72" s="39">
        <v>225388</v>
      </c>
      <c r="P72" s="39">
        <v>227240</v>
      </c>
      <c r="Q72" s="39">
        <v>0</v>
      </c>
      <c r="R72" s="39">
        <v>0</v>
      </c>
      <c r="S72" s="39">
        <v>113</v>
      </c>
      <c r="T72" s="39"/>
      <c r="U72" s="39"/>
      <c r="V72" s="39"/>
      <c r="W72" s="39"/>
      <c r="X72" s="39" t="s">
        <v>734</v>
      </c>
      <c r="Y72" s="39" t="s">
        <v>734</v>
      </c>
      <c r="Z72" s="39" t="s">
        <v>734</v>
      </c>
      <c r="AA72" s="39">
        <v>1027.5799999999872</v>
      </c>
      <c r="AB72" s="39">
        <v>1811</v>
      </c>
      <c r="AC72" s="39">
        <v>1612</v>
      </c>
      <c r="AD72" s="39">
        <v>1852</v>
      </c>
      <c r="AE72" s="39" t="s">
        <v>856</v>
      </c>
      <c r="AF72" s="39">
        <v>0</v>
      </c>
      <c r="AG72" s="39">
        <v>113</v>
      </c>
      <c r="AH72" s="39" t="s">
        <v>734</v>
      </c>
      <c r="AI72" s="39" t="s">
        <v>734</v>
      </c>
      <c r="AJ72" s="48">
        <f t="shared" ref="AJ72:AJ109" si="7">SUMIFS(X72:AI72,X72:AI72,"&gt;0",X72:AI72,"&lt;9999999")</f>
        <v>6415.5799999999872</v>
      </c>
    </row>
    <row r="73" spans="1:36" x14ac:dyDescent="0.2">
      <c r="A73" s="29"/>
      <c r="B73" s="39" t="s">
        <v>1203</v>
      </c>
      <c r="C73" s="39" t="s">
        <v>323</v>
      </c>
      <c r="D73" s="39">
        <v>140</v>
      </c>
      <c r="E73" s="147" t="s">
        <v>1201</v>
      </c>
      <c r="F73" s="39" t="s">
        <v>327</v>
      </c>
      <c r="G73" s="39"/>
      <c r="H73" s="39"/>
      <c r="I73" s="39"/>
      <c r="J73" s="39"/>
      <c r="K73" s="39"/>
      <c r="L73" s="39">
        <v>358765</v>
      </c>
      <c r="M73" s="39"/>
      <c r="N73" s="39"/>
      <c r="O73" s="39">
        <v>364510</v>
      </c>
      <c r="P73" s="39">
        <v>368459</v>
      </c>
      <c r="Q73" s="39">
        <v>373493</v>
      </c>
      <c r="R73" s="39">
        <v>378554</v>
      </c>
      <c r="S73" s="39">
        <v>382594</v>
      </c>
      <c r="T73" s="39">
        <v>384147</v>
      </c>
      <c r="U73" s="39">
        <v>385835</v>
      </c>
      <c r="V73" s="39"/>
      <c r="W73" s="39"/>
      <c r="X73" s="39" t="s">
        <v>734</v>
      </c>
      <c r="Y73" s="39" t="s">
        <v>734</v>
      </c>
      <c r="Z73" s="39" t="s">
        <v>734</v>
      </c>
      <c r="AA73" s="39" t="s">
        <v>734</v>
      </c>
      <c r="AB73" s="39" t="s">
        <v>734</v>
      </c>
      <c r="AC73" s="39" t="s">
        <v>734</v>
      </c>
      <c r="AD73" s="39">
        <v>3949</v>
      </c>
      <c r="AE73" s="39">
        <v>5034</v>
      </c>
      <c r="AF73" s="39">
        <v>5061</v>
      </c>
      <c r="AG73" s="39">
        <v>4040</v>
      </c>
      <c r="AH73" s="39">
        <v>1553</v>
      </c>
      <c r="AI73" s="39">
        <v>1688</v>
      </c>
      <c r="AJ73" s="48">
        <f t="shared" si="7"/>
        <v>21325</v>
      </c>
    </row>
    <row r="74" spans="1:36" x14ac:dyDescent="0.2">
      <c r="A74" s="29"/>
      <c r="B74" s="39" t="s">
        <v>1202</v>
      </c>
      <c r="C74" s="39" t="s">
        <v>323</v>
      </c>
      <c r="D74" s="39">
        <v>140</v>
      </c>
      <c r="E74" s="147" t="s">
        <v>1200</v>
      </c>
      <c r="F74" s="39" t="s">
        <v>327</v>
      </c>
      <c r="G74" s="39"/>
      <c r="H74" s="39"/>
      <c r="I74" s="39"/>
      <c r="J74" s="39"/>
      <c r="K74" s="39"/>
      <c r="L74" s="39">
        <v>156572.95000000001</v>
      </c>
      <c r="M74" s="39"/>
      <c r="N74" s="39"/>
      <c r="O74" s="39">
        <v>156572</v>
      </c>
      <c r="P74" s="39">
        <v>156572</v>
      </c>
      <c r="Q74" s="39">
        <v>156572</v>
      </c>
      <c r="R74" s="39">
        <v>156572</v>
      </c>
      <c r="S74" s="39">
        <v>156572</v>
      </c>
      <c r="T74" s="39">
        <v>156572</v>
      </c>
      <c r="U74" s="39">
        <v>156572</v>
      </c>
      <c r="V74" s="39"/>
      <c r="W74" s="39"/>
      <c r="X74" s="39" t="s">
        <v>734</v>
      </c>
      <c r="Y74" s="39" t="s">
        <v>734</v>
      </c>
      <c r="Z74" s="39" t="s">
        <v>734</v>
      </c>
      <c r="AA74" s="39" t="s">
        <v>734</v>
      </c>
      <c r="AB74" s="39" t="s">
        <v>734</v>
      </c>
      <c r="AC74" s="39" t="s">
        <v>734</v>
      </c>
      <c r="AD74" s="39">
        <v>0</v>
      </c>
      <c r="AE74" s="39">
        <v>0</v>
      </c>
      <c r="AF74" s="39">
        <v>0</v>
      </c>
      <c r="AG74" s="39">
        <v>0</v>
      </c>
      <c r="AH74" s="39">
        <v>0</v>
      </c>
      <c r="AI74" s="39">
        <v>0</v>
      </c>
      <c r="AJ74" s="48">
        <f t="shared" si="7"/>
        <v>0</v>
      </c>
    </row>
    <row r="75" spans="1:36" x14ac:dyDescent="0.2">
      <c r="A75" s="29"/>
      <c r="B75" s="39" t="s">
        <v>1460</v>
      </c>
      <c r="C75" s="39" t="s">
        <v>323</v>
      </c>
      <c r="D75" s="39">
        <v>140</v>
      </c>
      <c r="E75" s="147" t="s">
        <v>1305</v>
      </c>
      <c r="F75" s="39" t="s">
        <v>327</v>
      </c>
      <c r="G75" s="39" t="s">
        <v>1467</v>
      </c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>
        <v>0</v>
      </c>
      <c r="T75" s="39">
        <v>1854</v>
      </c>
      <c r="U75" s="39">
        <v>3666</v>
      </c>
      <c r="V75" s="39"/>
      <c r="W75" s="39"/>
      <c r="X75" s="39" t="s">
        <v>734</v>
      </c>
      <c r="Y75" s="39" t="s">
        <v>734</v>
      </c>
      <c r="Z75" s="39" t="s">
        <v>734</v>
      </c>
      <c r="AA75" s="39" t="s">
        <v>734</v>
      </c>
      <c r="AB75" s="39" t="s">
        <v>734</v>
      </c>
      <c r="AC75" s="39" t="s">
        <v>734</v>
      </c>
      <c r="AD75" s="39" t="s">
        <v>734</v>
      </c>
      <c r="AE75" s="39" t="s">
        <v>734</v>
      </c>
      <c r="AF75" s="39" t="s">
        <v>734</v>
      </c>
      <c r="AG75" s="39" t="s">
        <v>734</v>
      </c>
      <c r="AH75" s="39">
        <v>1854</v>
      </c>
      <c r="AI75" s="39">
        <v>1812</v>
      </c>
      <c r="AJ75" s="48">
        <f t="shared" si="7"/>
        <v>3666</v>
      </c>
    </row>
    <row r="76" spans="1:36" x14ac:dyDescent="0.2">
      <c r="A76" s="29"/>
      <c r="B76" s="39" t="s">
        <v>720</v>
      </c>
      <c r="C76" s="39" t="s">
        <v>323</v>
      </c>
      <c r="D76" s="39">
        <v>140</v>
      </c>
      <c r="E76" s="147" t="s">
        <v>339</v>
      </c>
      <c r="F76" s="39" t="s">
        <v>1137</v>
      </c>
      <c r="G76" s="39" t="s">
        <v>340</v>
      </c>
      <c r="H76" s="39"/>
      <c r="I76" s="39">
        <v>3774</v>
      </c>
      <c r="J76" s="39">
        <v>3785</v>
      </c>
      <c r="K76" s="39">
        <v>3806</v>
      </c>
      <c r="L76" s="39">
        <v>3826</v>
      </c>
      <c r="M76" s="39">
        <v>3847</v>
      </c>
      <c r="N76" s="39">
        <v>3866</v>
      </c>
      <c r="O76" s="39">
        <v>3880</v>
      </c>
      <c r="P76" s="39">
        <v>3889</v>
      </c>
      <c r="Q76" s="39">
        <v>3890</v>
      </c>
      <c r="R76" s="39">
        <v>3895</v>
      </c>
      <c r="S76" s="39">
        <v>3899</v>
      </c>
      <c r="T76" s="39">
        <v>3904</v>
      </c>
      <c r="U76" s="39">
        <v>3912</v>
      </c>
      <c r="V76" s="39"/>
      <c r="W76" s="39"/>
      <c r="X76" s="39">
        <v>11</v>
      </c>
      <c r="Y76" s="39">
        <v>21</v>
      </c>
      <c r="Z76" s="39">
        <v>20</v>
      </c>
      <c r="AA76" s="39">
        <v>21</v>
      </c>
      <c r="AB76" s="39">
        <v>19</v>
      </c>
      <c r="AC76" s="39">
        <v>14</v>
      </c>
      <c r="AD76" s="39">
        <v>9</v>
      </c>
      <c r="AE76" s="39">
        <v>1</v>
      </c>
      <c r="AF76" s="39">
        <v>5</v>
      </c>
      <c r="AG76" s="39">
        <v>4</v>
      </c>
      <c r="AH76" s="39">
        <v>5</v>
      </c>
      <c r="AI76" s="39">
        <v>8</v>
      </c>
      <c r="AJ76" s="48">
        <f t="shared" si="7"/>
        <v>138</v>
      </c>
    </row>
    <row r="77" spans="1:36" s="23" customFormat="1" x14ac:dyDescent="0.2">
      <c r="A77" s="29"/>
      <c r="B77" s="39">
        <v>717084013</v>
      </c>
      <c r="C77" s="39" t="s">
        <v>46</v>
      </c>
      <c r="D77" s="39">
        <v>141</v>
      </c>
      <c r="E77" s="147" t="s">
        <v>964</v>
      </c>
      <c r="F77" s="39" t="s">
        <v>47</v>
      </c>
      <c r="G77" s="39"/>
      <c r="H77" s="39">
        <v>42948</v>
      </c>
      <c r="I77" s="39">
        <v>17849</v>
      </c>
      <c r="J77" s="39">
        <v>19001</v>
      </c>
      <c r="K77" s="39">
        <v>25939</v>
      </c>
      <c r="L77" s="39">
        <v>28022</v>
      </c>
      <c r="M77" s="39">
        <v>29323</v>
      </c>
      <c r="N77" s="39">
        <v>30450</v>
      </c>
      <c r="O77" s="39">
        <v>32555</v>
      </c>
      <c r="P77" s="39">
        <v>36361</v>
      </c>
      <c r="Q77" s="39">
        <v>38091</v>
      </c>
      <c r="R77" s="39">
        <v>39854</v>
      </c>
      <c r="S77" s="39">
        <v>41438</v>
      </c>
      <c r="T77" s="39">
        <v>43764</v>
      </c>
      <c r="U77" s="39">
        <v>46223</v>
      </c>
      <c r="V77" s="39"/>
      <c r="W77" s="39"/>
      <c r="X77" s="39">
        <v>1152</v>
      </c>
      <c r="Y77" s="39">
        <v>6938</v>
      </c>
      <c r="Z77" s="39">
        <v>2083</v>
      </c>
      <c r="AA77" s="39">
        <v>1301</v>
      </c>
      <c r="AB77" s="39">
        <v>1127</v>
      </c>
      <c r="AC77" s="39">
        <v>2105</v>
      </c>
      <c r="AD77" s="39">
        <v>3806</v>
      </c>
      <c r="AE77" s="39">
        <v>1730</v>
      </c>
      <c r="AF77" s="39">
        <v>1763</v>
      </c>
      <c r="AG77" s="39">
        <v>1584</v>
      </c>
      <c r="AH77" s="39">
        <v>2326</v>
      </c>
      <c r="AI77" s="39">
        <v>2459</v>
      </c>
      <c r="AJ77" s="48">
        <f t="shared" si="7"/>
        <v>28374</v>
      </c>
    </row>
    <row r="78" spans="1:36" s="23" customFormat="1" x14ac:dyDescent="0.2">
      <c r="A78" s="29"/>
      <c r="B78" s="39" t="s">
        <v>1322</v>
      </c>
      <c r="C78" s="39" t="s">
        <v>46</v>
      </c>
      <c r="D78" s="39">
        <v>142</v>
      </c>
      <c r="E78" s="147" t="s">
        <v>825</v>
      </c>
      <c r="F78" s="39" t="s">
        <v>819</v>
      </c>
      <c r="G78" s="39" t="s">
        <v>826</v>
      </c>
      <c r="H78" s="39" t="s">
        <v>821</v>
      </c>
      <c r="I78" s="39">
        <v>340332</v>
      </c>
      <c r="J78" s="39">
        <v>366200</v>
      </c>
      <c r="K78" s="39">
        <v>371059</v>
      </c>
      <c r="L78" s="39">
        <v>396059</v>
      </c>
      <c r="M78" s="39">
        <v>420724</v>
      </c>
      <c r="N78" s="39">
        <v>449515</v>
      </c>
      <c r="O78" s="39">
        <v>476223</v>
      </c>
      <c r="P78" s="39">
        <v>484545</v>
      </c>
      <c r="Q78" s="39">
        <v>515874</v>
      </c>
      <c r="R78" s="39">
        <v>538872</v>
      </c>
      <c r="S78" s="39">
        <v>561357</v>
      </c>
      <c r="T78" s="39">
        <v>588140</v>
      </c>
      <c r="U78" s="39">
        <v>616858</v>
      </c>
      <c r="V78" s="39"/>
      <c r="W78" s="39"/>
      <c r="X78" s="39">
        <v>25868</v>
      </c>
      <c r="Y78" s="39">
        <v>4859</v>
      </c>
      <c r="Z78" s="39">
        <v>25000</v>
      </c>
      <c r="AA78" s="39">
        <v>24665</v>
      </c>
      <c r="AB78" s="39">
        <v>28791</v>
      </c>
      <c r="AC78" s="39">
        <v>26708</v>
      </c>
      <c r="AD78" s="39">
        <v>8322</v>
      </c>
      <c r="AE78" s="39">
        <v>31329</v>
      </c>
      <c r="AF78" s="39">
        <v>22998</v>
      </c>
      <c r="AG78" s="39">
        <v>22485</v>
      </c>
      <c r="AH78" s="39">
        <v>26783</v>
      </c>
      <c r="AI78" s="39">
        <v>28718</v>
      </c>
      <c r="AJ78" s="48">
        <f t="shared" si="7"/>
        <v>276526</v>
      </c>
    </row>
    <row r="79" spans="1:36" x14ac:dyDescent="0.2">
      <c r="A79" s="31"/>
      <c r="B79" s="39" t="s">
        <v>1251</v>
      </c>
      <c r="C79" s="39" t="s">
        <v>434</v>
      </c>
      <c r="D79" s="39">
        <v>140</v>
      </c>
      <c r="E79" s="147" t="s">
        <v>817</v>
      </c>
      <c r="F79" s="39" t="s">
        <v>435</v>
      </c>
      <c r="G79" s="39"/>
      <c r="H79" s="39"/>
      <c r="I79" s="39">
        <v>3790672</v>
      </c>
      <c r="J79" s="39">
        <v>3805110</v>
      </c>
      <c r="K79" s="39">
        <v>3833740</v>
      </c>
      <c r="L79" s="39">
        <v>3859960</v>
      </c>
      <c r="M79" s="39">
        <v>3889757</v>
      </c>
      <c r="N79" s="39">
        <v>3918300</v>
      </c>
      <c r="O79" s="39">
        <v>3946843</v>
      </c>
      <c r="P79" s="39">
        <v>3981634</v>
      </c>
      <c r="Q79" s="39">
        <v>4012303</v>
      </c>
      <c r="R79" s="39">
        <v>4043148</v>
      </c>
      <c r="S79" s="39">
        <v>4070086</v>
      </c>
      <c r="T79" s="39">
        <v>4099762</v>
      </c>
      <c r="U79" s="39">
        <v>4129927</v>
      </c>
      <c r="V79" s="39"/>
      <c r="W79" s="39"/>
      <c r="X79" s="39">
        <v>14438</v>
      </c>
      <c r="Y79" s="39">
        <v>28630</v>
      </c>
      <c r="Z79" s="39">
        <v>26220</v>
      </c>
      <c r="AA79" s="39">
        <v>29797</v>
      </c>
      <c r="AB79" s="39">
        <v>28543</v>
      </c>
      <c r="AC79" s="39">
        <v>28543</v>
      </c>
      <c r="AD79" s="39">
        <v>34791</v>
      </c>
      <c r="AE79" s="39">
        <v>30669</v>
      </c>
      <c r="AF79" s="39">
        <v>30845</v>
      </c>
      <c r="AG79" s="39">
        <v>26938</v>
      </c>
      <c r="AH79" s="39">
        <v>29676</v>
      </c>
      <c r="AI79" s="39">
        <v>30165</v>
      </c>
      <c r="AJ79" s="48">
        <f t="shared" si="7"/>
        <v>339255</v>
      </c>
    </row>
    <row r="80" spans="1:36" x14ac:dyDescent="0.2">
      <c r="A80" s="31"/>
      <c r="B80" s="39">
        <v>717083052</v>
      </c>
      <c r="C80" s="39" t="s">
        <v>55</v>
      </c>
      <c r="D80" s="39">
        <v>140</v>
      </c>
      <c r="E80" s="147" t="s">
        <v>926</v>
      </c>
      <c r="F80" s="39" t="s">
        <v>1009</v>
      </c>
      <c r="G80" s="39"/>
      <c r="H80" s="39" t="s">
        <v>927</v>
      </c>
      <c r="I80" s="39">
        <v>7497</v>
      </c>
      <c r="J80" s="39">
        <v>8233</v>
      </c>
      <c r="K80" s="39">
        <v>10274</v>
      </c>
      <c r="L80" s="39">
        <v>11667</v>
      </c>
      <c r="M80" s="39">
        <v>12826</v>
      </c>
      <c r="N80" s="39">
        <v>13551</v>
      </c>
      <c r="O80" s="39">
        <v>14319</v>
      </c>
      <c r="P80" s="39">
        <v>15330</v>
      </c>
      <c r="Q80" s="39">
        <v>16396</v>
      </c>
      <c r="R80" s="39">
        <v>17508</v>
      </c>
      <c r="S80" s="39">
        <v>18311</v>
      </c>
      <c r="T80" s="39">
        <v>19086</v>
      </c>
      <c r="U80" s="39">
        <v>20163</v>
      </c>
      <c r="V80" s="39"/>
      <c r="W80" s="39"/>
      <c r="X80" s="39">
        <v>736</v>
      </c>
      <c r="Y80" s="39">
        <v>2041</v>
      </c>
      <c r="Z80" s="39">
        <v>1393</v>
      </c>
      <c r="AA80" s="39">
        <v>1159</v>
      </c>
      <c r="AB80" s="39">
        <v>725</v>
      </c>
      <c r="AC80" s="39">
        <v>768</v>
      </c>
      <c r="AD80" s="39">
        <v>1011</v>
      </c>
      <c r="AE80" s="39">
        <v>1066</v>
      </c>
      <c r="AF80" s="39">
        <v>1112</v>
      </c>
      <c r="AG80" s="39">
        <v>803</v>
      </c>
      <c r="AH80" s="39">
        <v>775</v>
      </c>
      <c r="AI80" s="39">
        <v>1077</v>
      </c>
      <c r="AJ80" s="48">
        <f t="shared" si="7"/>
        <v>12666</v>
      </c>
    </row>
    <row r="81" spans="1:36" x14ac:dyDescent="0.2">
      <c r="A81" s="31"/>
      <c r="B81" s="39">
        <v>717084017</v>
      </c>
      <c r="C81" s="39" t="s">
        <v>55</v>
      </c>
      <c r="D81" s="39">
        <v>140</v>
      </c>
      <c r="E81" s="147" t="s">
        <v>1003</v>
      </c>
      <c r="F81" s="39" t="s">
        <v>1004</v>
      </c>
      <c r="G81" s="39" t="s">
        <v>915</v>
      </c>
      <c r="H81" s="39" t="s">
        <v>1021</v>
      </c>
      <c r="I81" s="39">
        <v>40669</v>
      </c>
      <c r="J81" s="39">
        <v>44293</v>
      </c>
      <c r="K81" s="39">
        <v>54215</v>
      </c>
      <c r="L81" s="39">
        <v>63527</v>
      </c>
      <c r="M81" s="39">
        <v>70098</v>
      </c>
      <c r="N81" s="39">
        <v>72307</v>
      </c>
      <c r="O81" s="39">
        <v>74511</v>
      </c>
      <c r="P81" s="39">
        <v>82267</v>
      </c>
      <c r="Q81" s="39">
        <v>91041</v>
      </c>
      <c r="R81" s="39">
        <v>99881</v>
      </c>
      <c r="S81" s="39">
        <v>104758</v>
      </c>
      <c r="T81" s="39">
        <v>110509</v>
      </c>
      <c r="U81" s="39">
        <v>118514</v>
      </c>
      <c r="V81" s="39"/>
      <c r="W81" s="39"/>
      <c r="X81" s="39">
        <v>3624</v>
      </c>
      <c r="Y81" s="39">
        <v>9922</v>
      </c>
      <c r="Z81" s="39">
        <v>9312</v>
      </c>
      <c r="AA81" s="39">
        <v>6571</v>
      </c>
      <c r="AB81" s="39">
        <v>2209</v>
      </c>
      <c r="AC81" s="39">
        <v>2204</v>
      </c>
      <c r="AD81" s="39">
        <v>7756</v>
      </c>
      <c r="AE81" s="39">
        <v>8774</v>
      </c>
      <c r="AF81" s="39">
        <v>8840</v>
      </c>
      <c r="AG81" s="39">
        <v>4877</v>
      </c>
      <c r="AH81" s="39">
        <v>5751</v>
      </c>
      <c r="AI81" s="39">
        <v>8005</v>
      </c>
      <c r="AJ81" s="48">
        <f t="shared" si="7"/>
        <v>77845</v>
      </c>
    </row>
    <row r="82" spans="1:36" x14ac:dyDescent="0.2">
      <c r="A82" s="31"/>
      <c r="B82" s="39">
        <v>717084039</v>
      </c>
      <c r="C82" s="39" t="s">
        <v>55</v>
      </c>
      <c r="D82" s="39">
        <v>140</v>
      </c>
      <c r="E82" s="147" t="s">
        <v>925</v>
      </c>
      <c r="F82" s="39" t="s">
        <v>1011</v>
      </c>
      <c r="G82" s="39"/>
      <c r="H82" s="39" t="s">
        <v>928</v>
      </c>
      <c r="I82" s="39">
        <v>8721</v>
      </c>
      <c r="J82" s="39">
        <v>9395</v>
      </c>
      <c r="K82" s="39">
        <v>10811</v>
      </c>
      <c r="L82" s="39">
        <v>12076</v>
      </c>
      <c r="M82" s="39">
        <v>13373</v>
      </c>
      <c r="N82" s="39">
        <v>14586</v>
      </c>
      <c r="O82" s="39">
        <v>16008</v>
      </c>
      <c r="P82" s="39">
        <v>17765</v>
      </c>
      <c r="Q82" s="39">
        <v>19414</v>
      </c>
      <c r="R82" s="39">
        <v>21253</v>
      </c>
      <c r="S82" s="39">
        <v>22670</v>
      </c>
      <c r="T82" s="39">
        <v>24200</v>
      </c>
      <c r="U82" s="39">
        <v>26010</v>
      </c>
      <c r="V82" s="39"/>
      <c r="W82" s="39"/>
      <c r="X82" s="39">
        <v>674</v>
      </c>
      <c r="Y82" s="39">
        <v>1416</v>
      </c>
      <c r="Z82" s="39">
        <v>1265</v>
      </c>
      <c r="AA82" s="39">
        <v>1297</v>
      </c>
      <c r="AB82" s="39">
        <v>1213</v>
      </c>
      <c r="AC82" s="39">
        <v>1422</v>
      </c>
      <c r="AD82" s="39">
        <v>1757</v>
      </c>
      <c r="AE82" s="39">
        <v>1649</v>
      </c>
      <c r="AF82" s="39">
        <v>1839</v>
      </c>
      <c r="AG82" s="39">
        <v>1417</v>
      </c>
      <c r="AH82" s="39">
        <v>1530</v>
      </c>
      <c r="AI82" s="39">
        <v>1810</v>
      </c>
      <c r="AJ82" s="48">
        <f t="shared" si="7"/>
        <v>17289</v>
      </c>
    </row>
    <row r="83" spans="1:36" x14ac:dyDescent="0.2">
      <c r="A83" s="31"/>
      <c r="B83" s="39">
        <v>717093061</v>
      </c>
      <c r="C83" s="39" t="s">
        <v>55</v>
      </c>
      <c r="D83" s="39">
        <v>140</v>
      </c>
      <c r="E83" s="147" t="s">
        <v>437</v>
      </c>
      <c r="F83" s="39" t="s">
        <v>1005</v>
      </c>
      <c r="G83" s="39" t="s">
        <v>1022</v>
      </c>
      <c r="H83" s="39" t="s">
        <v>1021</v>
      </c>
      <c r="I83" s="39">
        <v>26925</v>
      </c>
      <c r="J83" s="39">
        <v>27907</v>
      </c>
      <c r="K83" s="39">
        <v>29593</v>
      </c>
      <c r="L83" s="39">
        <v>30843</v>
      </c>
      <c r="M83" s="39">
        <v>31449</v>
      </c>
      <c r="N83" s="39">
        <v>31873</v>
      </c>
      <c r="O83" s="39">
        <v>32397</v>
      </c>
      <c r="P83" s="39">
        <v>41106</v>
      </c>
      <c r="Q83" s="39">
        <v>48378</v>
      </c>
      <c r="R83" s="39">
        <v>57560</v>
      </c>
      <c r="S83" s="39">
        <v>59335</v>
      </c>
      <c r="T83" s="39">
        <v>60318</v>
      </c>
      <c r="U83" s="39">
        <v>61526</v>
      </c>
      <c r="V83" s="39"/>
      <c r="W83" s="39"/>
      <c r="X83" s="39">
        <v>982</v>
      </c>
      <c r="Y83" s="39">
        <v>1686</v>
      </c>
      <c r="Z83" s="39">
        <v>1250</v>
      </c>
      <c r="AA83" s="39">
        <v>606</v>
      </c>
      <c r="AB83" s="39">
        <v>424</v>
      </c>
      <c r="AC83" s="39">
        <v>524</v>
      </c>
      <c r="AD83" s="39">
        <v>8709</v>
      </c>
      <c r="AE83" s="39">
        <v>7272</v>
      </c>
      <c r="AF83" s="39">
        <v>9182</v>
      </c>
      <c r="AG83" s="39">
        <v>1775</v>
      </c>
      <c r="AH83" s="39">
        <v>983</v>
      </c>
      <c r="AI83" s="39">
        <v>1208</v>
      </c>
      <c r="AJ83" s="48">
        <f t="shared" si="7"/>
        <v>34601</v>
      </c>
    </row>
    <row r="84" spans="1:36" x14ac:dyDescent="0.2">
      <c r="A84" s="29"/>
      <c r="B84" s="39" t="s">
        <v>64</v>
      </c>
      <c r="C84" s="39" t="s">
        <v>55</v>
      </c>
      <c r="D84" s="39">
        <v>140</v>
      </c>
      <c r="E84" s="147" t="s">
        <v>887</v>
      </c>
      <c r="F84" s="39" t="s">
        <v>1008</v>
      </c>
      <c r="G84" s="39" t="s">
        <v>65</v>
      </c>
      <c r="H84" s="39"/>
      <c r="I84" s="39">
        <v>771239</v>
      </c>
      <c r="J84" s="39">
        <v>783672</v>
      </c>
      <c r="K84" s="39">
        <v>801591</v>
      </c>
      <c r="L84" s="39">
        <v>817370</v>
      </c>
      <c r="M84" s="39">
        <v>830141</v>
      </c>
      <c r="N84" s="39">
        <v>840980</v>
      </c>
      <c r="O84" s="39">
        <v>851166</v>
      </c>
      <c r="P84" s="39">
        <v>864355</v>
      </c>
      <c r="Q84" s="39">
        <v>877914</v>
      </c>
      <c r="R84" s="39">
        <v>894510</v>
      </c>
      <c r="S84" s="39">
        <v>904394</v>
      </c>
      <c r="T84" s="39">
        <v>916685</v>
      </c>
      <c r="U84" s="39">
        <v>927553</v>
      </c>
      <c r="V84" s="39"/>
      <c r="W84" s="39"/>
      <c r="X84" s="39">
        <v>12433</v>
      </c>
      <c r="Y84" s="39">
        <v>17919</v>
      </c>
      <c r="Z84" s="39">
        <v>15779</v>
      </c>
      <c r="AA84" s="39">
        <v>12771</v>
      </c>
      <c r="AB84" s="39">
        <v>10839</v>
      </c>
      <c r="AC84" s="39">
        <v>10186</v>
      </c>
      <c r="AD84" s="39">
        <v>13189</v>
      </c>
      <c r="AE84" s="39">
        <v>13559</v>
      </c>
      <c r="AF84" s="39">
        <v>16596</v>
      </c>
      <c r="AG84" s="39">
        <v>9884</v>
      </c>
      <c r="AH84" s="39">
        <v>12291</v>
      </c>
      <c r="AI84" s="39">
        <v>10868</v>
      </c>
      <c r="AJ84" s="48">
        <f t="shared" si="7"/>
        <v>156314</v>
      </c>
    </row>
    <row r="85" spans="1:36" x14ac:dyDescent="0.2">
      <c r="A85" s="29"/>
      <c r="B85" s="39" t="s">
        <v>722</v>
      </c>
      <c r="C85" s="39" t="s">
        <v>55</v>
      </c>
      <c r="D85" s="39">
        <v>140</v>
      </c>
      <c r="E85" s="147" t="s">
        <v>888</v>
      </c>
      <c r="F85" s="39" t="s">
        <v>70</v>
      </c>
      <c r="G85" s="39" t="s">
        <v>71</v>
      </c>
      <c r="H85" s="39"/>
      <c r="I85" s="39">
        <v>18189</v>
      </c>
      <c r="J85" s="39">
        <v>18250</v>
      </c>
      <c r="K85" s="39">
        <v>18582</v>
      </c>
      <c r="L85" s="39">
        <v>18739</v>
      </c>
      <c r="M85" s="39">
        <v>18868</v>
      </c>
      <c r="N85" s="39">
        <v>18985</v>
      </c>
      <c r="O85" s="39">
        <v>19150</v>
      </c>
      <c r="P85" s="39">
        <v>19200</v>
      </c>
      <c r="Q85" s="39">
        <v>19419</v>
      </c>
      <c r="R85" s="39">
        <v>19577</v>
      </c>
      <c r="S85" s="39">
        <v>19672</v>
      </c>
      <c r="T85" s="39">
        <v>19783</v>
      </c>
      <c r="U85" s="39"/>
      <c r="V85" s="39"/>
      <c r="W85" s="39"/>
      <c r="X85" s="39">
        <v>61</v>
      </c>
      <c r="Y85" s="39">
        <v>332</v>
      </c>
      <c r="Z85" s="39">
        <v>157</v>
      </c>
      <c r="AA85" s="39">
        <v>129</v>
      </c>
      <c r="AB85" s="39">
        <v>117</v>
      </c>
      <c r="AC85" s="39">
        <v>165</v>
      </c>
      <c r="AD85" s="39">
        <v>50</v>
      </c>
      <c r="AE85" s="39">
        <v>219</v>
      </c>
      <c r="AF85" s="39">
        <v>158</v>
      </c>
      <c r="AG85" s="39">
        <v>95</v>
      </c>
      <c r="AH85" s="39">
        <v>111</v>
      </c>
      <c r="AI85" s="39" t="s">
        <v>734</v>
      </c>
      <c r="AJ85" s="48">
        <f t="shared" si="7"/>
        <v>1594</v>
      </c>
    </row>
    <row r="86" spans="1:36" x14ac:dyDescent="0.2">
      <c r="A86" s="29"/>
      <c r="B86" s="39" t="s">
        <v>79</v>
      </c>
      <c r="C86" s="39" t="s">
        <v>724</v>
      </c>
      <c r="D86" s="39">
        <v>140</v>
      </c>
      <c r="E86" s="147" t="s">
        <v>891</v>
      </c>
      <c r="F86" s="39"/>
      <c r="G86" s="39" t="s">
        <v>687</v>
      </c>
      <c r="H86" s="39" t="s">
        <v>815</v>
      </c>
      <c r="I86" s="39">
        <v>2715318</v>
      </c>
      <c r="J86" s="39">
        <v>2724433</v>
      </c>
      <c r="K86" s="39">
        <v>2746382</v>
      </c>
      <c r="L86" s="39">
        <v>2765194</v>
      </c>
      <c r="M86" s="39">
        <v>2783268</v>
      </c>
      <c r="N86" s="39">
        <v>2811166</v>
      </c>
      <c r="O86" s="39">
        <v>2830973</v>
      </c>
      <c r="P86" s="39">
        <v>2862488</v>
      </c>
      <c r="Q86" s="39">
        <v>2885408</v>
      </c>
      <c r="R86" s="39">
        <v>2918081</v>
      </c>
      <c r="S86" s="39">
        <v>2946992</v>
      </c>
      <c r="T86" s="39">
        <v>2962285</v>
      </c>
      <c r="U86" s="39">
        <v>2996234</v>
      </c>
      <c r="V86" s="39">
        <v>0</v>
      </c>
      <c r="W86" s="39"/>
      <c r="X86" s="39">
        <v>9115</v>
      </c>
      <c r="Y86" s="39">
        <v>21949</v>
      </c>
      <c r="Z86" s="39">
        <v>18812</v>
      </c>
      <c r="AA86" s="39">
        <v>18074</v>
      </c>
      <c r="AB86" s="39">
        <v>27898</v>
      </c>
      <c r="AC86" s="39">
        <v>19807</v>
      </c>
      <c r="AD86" s="39">
        <v>31515</v>
      </c>
      <c r="AE86" s="39">
        <v>22920</v>
      </c>
      <c r="AF86" s="39">
        <v>32673</v>
      </c>
      <c r="AG86" s="39">
        <v>28911</v>
      </c>
      <c r="AH86" s="39">
        <v>15293</v>
      </c>
      <c r="AI86" s="39">
        <v>33949</v>
      </c>
      <c r="AJ86" s="48">
        <f t="shared" si="7"/>
        <v>280916</v>
      </c>
    </row>
    <row r="87" spans="1:36" x14ac:dyDescent="0.2">
      <c r="A87" s="29"/>
      <c r="B87" s="39" t="s">
        <v>1231</v>
      </c>
      <c r="C87" s="39" t="s">
        <v>90</v>
      </c>
      <c r="D87" s="39">
        <v>140</v>
      </c>
      <c r="E87" s="147" t="s">
        <v>890</v>
      </c>
      <c r="F87" s="39" t="s">
        <v>986</v>
      </c>
      <c r="G87" s="39" t="s">
        <v>99</v>
      </c>
      <c r="H87" s="39"/>
      <c r="I87" s="39">
        <v>130</v>
      </c>
      <c r="J87" s="39">
        <v>130</v>
      </c>
      <c r="K87" s="39">
        <v>130</v>
      </c>
      <c r="L87" s="39">
        <v>130</v>
      </c>
      <c r="M87" s="39">
        <v>130</v>
      </c>
      <c r="N87" s="39">
        <v>130</v>
      </c>
      <c r="O87" s="39">
        <v>130</v>
      </c>
      <c r="P87" s="39">
        <v>130</v>
      </c>
      <c r="Q87" s="39">
        <v>130</v>
      </c>
      <c r="R87" s="39">
        <v>130</v>
      </c>
      <c r="S87" s="39">
        <v>130</v>
      </c>
      <c r="T87" s="39">
        <v>130</v>
      </c>
      <c r="U87" s="39">
        <v>130</v>
      </c>
      <c r="V87" s="39"/>
      <c r="W87" s="39"/>
      <c r="X87" s="39">
        <v>0</v>
      </c>
      <c r="Y87" s="39">
        <v>0</v>
      </c>
      <c r="Z87" s="39">
        <v>0</v>
      </c>
      <c r="AA87" s="39">
        <v>0</v>
      </c>
      <c r="AB87" s="39">
        <v>0</v>
      </c>
      <c r="AC87" s="39">
        <v>0</v>
      </c>
      <c r="AD87" s="39">
        <v>0</v>
      </c>
      <c r="AE87" s="39">
        <v>0</v>
      </c>
      <c r="AF87" s="39">
        <v>0</v>
      </c>
      <c r="AG87" s="39">
        <v>0</v>
      </c>
      <c r="AH87" s="39">
        <v>0</v>
      </c>
      <c r="AI87" s="39">
        <v>0</v>
      </c>
      <c r="AJ87" s="48">
        <f t="shared" si="7"/>
        <v>0</v>
      </c>
    </row>
    <row r="88" spans="1:36" x14ac:dyDescent="0.2">
      <c r="A88" s="29"/>
      <c r="B88" s="39" t="s">
        <v>1238</v>
      </c>
      <c r="C88" s="39" t="s">
        <v>90</v>
      </c>
      <c r="D88" s="39">
        <v>140</v>
      </c>
      <c r="E88" s="147" t="s">
        <v>691</v>
      </c>
      <c r="F88" s="39" t="s">
        <v>992</v>
      </c>
      <c r="G88" s="39"/>
      <c r="H88" s="39"/>
      <c r="I88" s="39">
        <v>3060</v>
      </c>
      <c r="J88" s="39">
        <v>3198</v>
      </c>
      <c r="K88" s="39">
        <v>3457</v>
      </c>
      <c r="L88" s="39">
        <v>3710</v>
      </c>
      <c r="M88" s="39">
        <v>3985</v>
      </c>
      <c r="N88" s="39">
        <v>4221</v>
      </c>
      <c r="O88" s="39">
        <v>4481</v>
      </c>
      <c r="P88" s="39">
        <v>4719</v>
      </c>
      <c r="Q88" s="39">
        <v>4963</v>
      </c>
      <c r="R88" s="39">
        <v>5210</v>
      </c>
      <c r="S88" s="39">
        <v>5446</v>
      </c>
      <c r="T88" s="39">
        <v>5741</v>
      </c>
      <c r="U88" s="39">
        <v>6035</v>
      </c>
      <c r="V88" s="39"/>
      <c r="W88" s="39"/>
      <c r="X88" s="39">
        <v>138</v>
      </c>
      <c r="Y88" s="39">
        <v>259</v>
      </c>
      <c r="Z88" s="39">
        <v>253</v>
      </c>
      <c r="AA88" s="39">
        <v>275</v>
      </c>
      <c r="AB88" s="39">
        <v>236</v>
      </c>
      <c r="AC88" s="39">
        <v>260</v>
      </c>
      <c r="AD88" s="39">
        <v>238</v>
      </c>
      <c r="AE88" s="39">
        <v>244</v>
      </c>
      <c r="AF88" s="39">
        <v>247</v>
      </c>
      <c r="AG88" s="39">
        <v>236</v>
      </c>
      <c r="AH88" s="39">
        <v>295</v>
      </c>
      <c r="AI88" s="39">
        <v>294</v>
      </c>
      <c r="AJ88" s="48">
        <f t="shared" si="7"/>
        <v>2975</v>
      </c>
    </row>
    <row r="89" spans="1:36" x14ac:dyDescent="0.2">
      <c r="A89" s="29"/>
      <c r="B89" s="39" t="s">
        <v>1311</v>
      </c>
      <c r="C89" s="39" t="s">
        <v>106</v>
      </c>
      <c r="D89" s="39">
        <v>141</v>
      </c>
      <c r="E89" s="147" t="s">
        <v>809</v>
      </c>
      <c r="F89" s="39" t="s">
        <v>810</v>
      </c>
      <c r="G89" s="39"/>
      <c r="H89" s="39"/>
      <c r="I89" s="39">
        <v>8534</v>
      </c>
      <c r="J89" s="39">
        <v>8571</v>
      </c>
      <c r="K89" s="39">
        <v>8603</v>
      </c>
      <c r="L89" s="39">
        <v>8635</v>
      </c>
      <c r="M89" s="39">
        <v>8664</v>
      </c>
      <c r="N89" s="39">
        <v>8700</v>
      </c>
      <c r="O89" s="39">
        <v>8735</v>
      </c>
      <c r="P89" s="39">
        <v>8773</v>
      </c>
      <c r="Q89" s="39">
        <v>8808</v>
      </c>
      <c r="R89" s="39">
        <v>8879</v>
      </c>
      <c r="S89" s="39">
        <v>8924</v>
      </c>
      <c r="T89" s="39">
        <v>8958</v>
      </c>
      <c r="U89" s="39">
        <v>8995</v>
      </c>
      <c r="V89" s="39"/>
      <c r="W89" s="39"/>
      <c r="X89" s="39">
        <v>37</v>
      </c>
      <c r="Y89" s="39">
        <v>32</v>
      </c>
      <c r="Z89" s="39">
        <v>32</v>
      </c>
      <c r="AA89" s="39">
        <v>29</v>
      </c>
      <c r="AB89" s="39">
        <v>36</v>
      </c>
      <c r="AC89" s="39">
        <v>35</v>
      </c>
      <c r="AD89" s="39">
        <v>38</v>
      </c>
      <c r="AE89" s="39">
        <v>35</v>
      </c>
      <c r="AF89" s="39">
        <v>71</v>
      </c>
      <c r="AG89" s="39">
        <v>45</v>
      </c>
      <c r="AH89" s="39">
        <v>34</v>
      </c>
      <c r="AI89" s="39">
        <v>37</v>
      </c>
      <c r="AJ89" s="48">
        <f t="shared" si="7"/>
        <v>461</v>
      </c>
    </row>
    <row r="90" spans="1:36" x14ac:dyDescent="0.2">
      <c r="A90" s="29"/>
      <c r="B90" s="39" t="s">
        <v>1303</v>
      </c>
      <c r="C90" s="39" t="s">
        <v>971</v>
      </c>
      <c r="D90" s="39">
        <v>140</v>
      </c>
      <c r="E90" s="147" t="s">
        <v>972</v>
      </c>
      <c r="F90" s="39" t="s">
        <v>63</v>
      </c>
      <c r="G90" s="39"/>
      <c r="H90" s="39">
        <v>504907</v>
      </c>
      <c r="I90" s="39">
        <v>504907</v>
      </c>
      <c r="J90" s="39">
        <v>504907</v>
      </c>
      <c r="K90" s="39">
        <v>504907</v>
      </c>
      <c r="L90" s="39">
        <v>504907</v>
      </c>
      <c r="M90" s="39">
        <v>504907</v>
      </c>
      <c r="N90" s="39">
        <v>504907</v>
      </c>
      <c r="O90" s="39">
        <v>504907</v>
      </c>
      <c r="P90" s="39">
        <v>504907</v>
      </c>
      <c r="Q90" s="39">
        <v>504907</v>
      </c>
      <c r="R90" s="39">
        <v>504907</v>
      </c>
      <c r="S90" s="39">
        <v>504907</v>
      </c>
      <c r="T90" s="39">
        <v>504907</v>
      </c>
      <c r="U90" s="39">
        <v>504907</v>
      </c>
      <c r="V90" s="39"/>
      <c r="W90" s="39"/>
      <c r="X90" s="39">
        <v>0</v>
      </c>
      <c r="Y90" s="39">
        <v>0</v>
      </c>
      <c r="Z90" s="39">
        <v>0</v>
      </c>
      <c r="AA90" s="39">
        <v>0</v>
      </c>
      <c r="AB90" s="39">
        <v>0</v>
      </c>
      <c r="AC90" s="39">
        <v>0</v>
      </c>
      <c r="AD90" s="39">
        <v>0</v>
      </c>
      <c r="AE90" s="39">
        <v>0</v>
      </c>
      <c r="AF90" s="39">
        <v>0</v>
      </c>
      <c r="AG90" s="39">
        <v>0</v>
      </c>
      <c r="AH90" s="39">
        <v>0</v>
      </c>
      <c r="AI90" s="39">
        <v>0</v>
      </c>
      <c r="AJ90" s="48">
        <f t="shared" si="7"/>
        <v>0</v>
      </c>
    </row>
    <row r="91" spans="1:36" x14ac:dyDescent="0.2">
      <c r="A91" s="29"/>
      <c r="B91" s="39" t="s">
        <v>1253</v>
      </c>
      <c r="C91" s="39" t="s">
        <v>143</v>
      </c>
      <c r="D91" s="39">
        <v>141</v>
      </c>
      <c r="E91" s="147" t="s">
        <v>803</v>
      </c>
      <c r="F91" s="39" t="s">
        <v>804</v>
      </c>
      <c r="G91" s="39"/>
      <c r="H91" s="39"/>
      <c r="I91" s="39">
        <v>9974</v>
      </c>
      <c r="J91" s="39">
        <v>10015</v>
      </c>
      <c r="K91" s="39">
        <v>10056</v>
      </c>
      <c r="L91" s="39">
        <v>10091</v>
      </c>
      <c r="M91" s="39">
        <v>10119</v>
      </c>
      <c r="N91" s="39">
        <v>10150</v>
      </c>
      <c r="O91" s="39">
        <v>10180</v>
      </c>
      <c r="P91" s="39">
        <v>10205</v>
      </c>
      <c r="Q91" s="39">
        <v>10247</v>
      </c>
      <c r="R91" s="39">
        <v>10300</v>
      </c>
      <c r="S91" s="39">
        <v>10342</v>
      </c>
      <c r="T91" s="39">
        <v>10381</v>
      </c>
      <c r="U91" s="39">
        <v>10433</v>
      </c>
      <c r="V91" s="39"/>
      <c r="W91" s="39"/>
      <c r="X91" s="39">
        <v>41</v>
      </c>
      <c r="Y91" s="39">
        <v>41</v>
      </c>
      <c r="Z91" s="39">
        <v>35</v>
      </c>
      <c r="AA91" s="39">
        <v>28</v>
      </c>
      <c r="AB91" s="39">
        <v>31</v>
      </c>
      <c r="AC91" s="39">
        <v>30</v>
      </c>
      <c r="AD91" s="39">
        <v>25</v>
      </c>
      <c r="AE91" s="39">
        <v>42</v>
      </c>
      <c r="AF91" s="39">
        <v>53</v>
      </c>
      <c r="AG91" s="39">
        <v>42</v>
      </c>
      <c r="AH91" s="39">
        <v>39</v>
      </c>
      <c r="AI91" s="39">
        <v>52</v>
      </c>
      <c r="AJ91" s="48">
        <f t="shared" si="7"/>
        <v>459</v>
      </c>
    </row>
    <row r="92" spans="1:36" x14ac:dyDescent="0.2">
      <c r="A92" s="29"/>
      <c r="B92" s="39" t="s">
        <v>154</v>
      </c>
      <c r="C92" s="39" t="s">
        <v>152</v>
      </c>
      <c r="D92" s="39">
        <v>140</v>
      </c>
      <c r="E92" s="147" t="s">
        <v>155</v>
      </c>
      <c r="F92" s="39" t="s">
        <v>1013</v>
      </c>
      <c r="G92" s="39"/>
      <c r="H92" s="39"/>
      <c r="I92" s="39">
        <v>4895</v>
      </c>
      <c r="J92" s="39">
        <v>4993</v>
      </c>
      <c r="K92" s="39">
        <v>5173</v>
      </c>
      <c r="L92" s="39">
        <v>5332</v>
      </c>
      <c r="M92" s="39">
        <v>5506</v>
      </c>
      <c r="N92" s="39">
        <v>5692</v>
      </c>
      <c r="O92" s="39">
        <v>5827</v>
      </c>
      <c r="P92" s="39">
        <v>6128</v>
      </c>
      <c r="Q92" s="39">
        <v>6330</v>
      </c>
      <c r="R92" s="39">
        <v>6555</v>
      </c>
      <c r="S92" s="39">
        <v>6693</v>
      </c>
      <c r="T92" s="39">
        <v>6834</v>
      </c>
      <c r="U92" s="39">
        <v>6977</v>
      </c>
      <c r="V92" s="39"/>
      <c r="W92" s="39"/>
      <c r="X92" s="39">
        <v>98</v>
      </c>
      <c r="Y92" s="39">
        <v>180</v>
      </c>
      <c r="Z92" s="39">
        <v>159</v>
      </c>
      <c r="AA92" s="39">
        <v>174</v>
      </c>
      <c r="AB92" s="39">
        <v>186</v>
      </c>
      <c r="AC92" s="39">
        <v>135</v>
      </c>
      <c r="AD92" s="39">
        <v>301</v>
      </c>
      <c r="AE92" s="39">
        <v>202</v>
      </c>
      <c r="AF92" s="39">
        <v>225</v>
      </c>
      <c r="AG92" s="39">
        <v>138</v>
      </c>
      <c r="AH92" s="39">
        <v>141</v>
      </c>
      <c r="AI92" s="39">
        <v>143</v>
      </c>
      <c r="AJ92" s="48">
        <f t="shared" si="7"/>
        <v>2082</v>
      </c>
    </row>
    <row r="93" spans="1:36" x14ac:dyDescent="0.2">
      <c r="A93" s="29"/>
      <c r="B93" s="39" t="s">
        <v>158</v>
      </c>
      <c r="C93" s="39" t="s">
        <v>152</v>
      </c>
      <c r="D93" s="39">
        <v>140</v>
      </c>
      <c r="E93" s="147" t="s">
        <v>747</v>
      </c>
      <c r="F93" s="39" t="s">
        <v>1015</v>
      </c>
      <c r="G93" s="39"/>
      <c r="H93" s="39"/>
      <c r="I93" s="39">
        <v>18625</v>
      </c>
      <c r="J93" s="39">
        <v>18905</v>
      </c>
      <c r="K93" s="39">
        <v>19356</v>
      </c>
      <c r="L93" s="39">
        <v>19759</v>
      </c>
      <c r="M93" s="39">
        <v>20256</v>
      </c>
      <c r="N93" s="39">
        <v>20854</v>
      </c>
      <c r="O93" s="39">
        <v>21629</v>
      </c>
      <c r="P93" s="39">
        <v>22013</v>
      </c>
      <c r="Q93" s="39">
        <v>22589</v>
      </c>
      <c r="R93" s="39">
        <v>22967</v>
      </c>
      <c r="S93" s="39">
        <v>23314</v>
      </c>
      <c r="T93" s="39">
        <v>23691</v>
      </c>
      <c r="U93" s="39">
        <v>24067</v>
      </c>
      <c r="V93" s="39"/>
      <c r="W93" s="39"/>
      <c r="X93" s="39">
        <v>280</v>
      </c>
      <c r="Y93" s="39">
        <v>451</v>
      </c>
      <c r="Z93" s="39">
        <v>403</v>
      </c>
      <c r="AA93" s="39">
        <v>497</v>
      </c>
      <c r="AB93" s="39">
        <v>598</v>
      </c>
      <c r="AC93" s="39">
        <v>775</v>
      </c>
      <c r="AD93" s="39">
        <v>384</v>
      </c>
      <c r="AE93" s="39">
        <v>576</v>
      </c>
      <c r="AF93" s="39">
        <v>378</v>
      </c>
      <c r="AG93" s="39">
        <v>347</v>
      </c>
      <c r="AH93" s="39">
        <v>377</v>
      </c>
      <c r="AI93" s="39">
        <v>376</v>
      </c>
      <c r="AJ93" s="48">
        <f t="shared" si="7"/>
        <v>5442</v>
      </c>
    </row>
    <row r="94" spans="1:36" x14ac:dyDescent="0.2">
      <c r="A94" s="29"/>
      <c r="B94" s="39" t="s">
        <v>156</v>
      </c>
      <c r="C94" s="39" t="s">
        <v>152</v>
      </c>
      <c r="D94" s="39">
        <v>140</v>
      </c>
      <c r="E94" s="147" t="s">
        <v>157</v>
      </c>
      <c r="F94" s="39" t="s">
        <v>1014</v>
      </c>
      <c r="G94" s="39"/>
      <c r="H94" s="39"/>
      <c r="I94" s="39">
        <v>2440</v>
      </c>
      <c r="J94" s="39">
        <v>2488</v>
      </c>
      <c r="K94" s="39">
        <v>2573</v>
      </c>
      <c r="L94" s="39">
        <v>2646</v>
      </c>
      <c r="M94" s="39">
        <v>2727</v>
      </c>
      <c r="N94" s="39">
        <v>2810</v>
      </c>
      <c r="O94" s="39">
        <v>2894</v>
      </c>
      <c r="P94" s="39">
        <v>2973</v>
      </c>
      <c r="Q94" s="39">
        <v>3047</v>
      </c>
      <c r="R94" s="39">
        <v>3120</v>
      </c>
      <c r="S94" s="39">
        <v>3187</v>
      </c>
      <c r="T94" s="39">
        <v>3286</v>
      </c>
      <c r="U94" s="39">
        <v>3368</v>
      </c>
      <c r="V94" s="39"/>
      <c r="W94" s="39"/>
      <c r="X94" s="39">
        <v>48</v>
      </c>
      <c r="Y94" s="39">
        <v>85</v>
      </c>
      <c r="Z94" s="39">
        <v>73</v>
      </c>
      <c r="AA94" s="39">
        <v>81</v>
      </c>
      <c r="AB94" s="39">
        <v>83</v>
      </c>
      <c r="AC94" s="39">
        <v>84</v>
      </c>
      <c r="AD94" s="39">
        <v>79</v>
      </c>
      <c r="AE94" s="39">
        <v>74</v>
      </c>
      <c r="AF94" s="39">
        <v>73</v>
      </c>
      <c r="AG94" s="39">
        <v>67</v>
      </c>
      <c r="AH94" s="39">
        <v>99</v>
      </c>
      <c r="AI94" s="39">
        <v>82</v>
      </c>
      <c r="AJ94" s="48">
        <f t="shared" si="7"/>
        <v>928</v>
      </c>
    </row>
    <row r="95" spans="1:36" x14ac:dyDescent="0.2">
      <c r="A95" s="29"/>
      <c r="B95" s="39" t="s">
        <v>163</v>
      </c>
      <c r="C95" s="39" t="s">
        <v>152</v>
      </c>
      <c r="D95" s="39">
        <v>142</v>
      </c>
      <c r="E95" s="147" t="s">
        <v>892</v>
      </c>
      <c r="F95" s="39" t="s">
        <v>1018</v>
      </c>
      <c r="G95" s="39"/>
      <c r="H95" s="39"/>
      <c r="I95" s="39">
        <v>26148</v>
      </c>
      <c r="J95" s="39">
        <v>26701</v>
      </c>
      <c r="K95" s="39">
        <v>27773</v>
      </c>
      <c r="L95" s="39">
        <v>28668</v>
      </c>
      <c r="M95" s="39">
        <v>29672</v>
      </c>
      <c r="N95" s="39">
        <v>30554</v>
      </c>
      <c r="O95" s="39">
        <v>31529</v>
      </c>
      <c r="P95" s="39">
        <v>32453</v>
      </c>
      <c r="Q95" s="39">
        <v>33525</v>
      </c>
      <c r="R95" s="39">
        <v>34542</v>
      </c>
      <c r="S95" s="39">
        <v>35377</v>
      </c>
      <c r="T95" s="39">
        <v>36491</v>
      </c>
      <c r="U95" s="39">
        <v>37665</v>
      </c>
      <c r="V95" s="39"/>
      <c r="W95" s="39"/>
      <c r="X95" s="39">
        <v>553</v>
      </c>
      <c r="Y95" s="39">
        <v>1072</v>
      </c>
      <c r="Z95" s="39">
        <v>895</v>
      </c>
      <c r="AA95" s="39">
        <v>1004</v>
      </c>
      <c r="AB95" s="39">
        <v>882</v>
      </c>
      <c r="AC95" s="39">
        <v>975</v>
      </c>
      <c r="AD95" s="39">
        <v>924</v>
      </c>
      <c r="AE95" s="39">
        <v>1072</v>
      </c>
      <c r="AF95" s="39">
        <v>1017</v>
      </c>
      <c r="AG95" s="39">
        <v>835</v>
      </c>
      <c r="AH95" s="39">
        <v>1114</v>
      </c>
      <c r="AI95" s="39">
        <v>1174</v>
      </c>
      <c r="AJ95" s="48">
        <f t="shared" si="7"/>
        <v>11517</v>
      </c>
    </row>
    <row r="96" spans="1:36" x14ac:dyDescent="0.2">
      <c r="A96" s="29"/>
      <c r="B96" s="39" t="s">
        <v>181</v>
      </c>
      <c r="C96" s="39" t="s">
        <v>176</v>
      </c>
      <c r="D96" s="39">
        <v>140</v>
      </c>
      <c r="E96" s="147" t="s">
        <v>759</v>
      </c>
      <c r="F96" s="39" t="s">
        <v>182</v>
      </c>
      <c r="G96" s="39"/>
      <c r="H96" s="39"/>
      <c r="I96" s="39">
        <v>227864</v>
      </c>
      <c r="J96" s="39">
        <v>228808</v>
      </c>
      <c r="K96" s="39">
        <v>230672</v>
      </c>
      <c r="L96" s="39">
        <v>232273</v>
      </c>
      <c r="M96" s="39">
        <v>233593</v>
      </c>
      <c r="N96" s="39">
        <v>234426</v>
      </c>
      <c r="O96" s="39">
        <v>235301</v>
      </c>
      <c r="P96" s="39">
        <v>236566</v>
      </c>
      <c r="Q96" s="39">
        <v>238419</v>
      </c>
      <c r="R96" s="39">
        <v>240435</v>
      </c>
      <c r="S96" s="39">
        <v>241493</v>
      </c>
      <c r="T96" s="39">
        <v>242226</v>
      </c>
      <c r="U96" s="39">
        <v>243099</v>
      </c>
      <c r="V96" s="39"/>
      <c r="W96" s="39"/>
      <c r="X96" s="39">
        <v>944</v>
      </c>
      <c r="Y96" s="39">
        <v>1864</v>
      </c>
      <c r="Z96" s="39">
        <v>1601</v>
      </c>
      <c r="AA96" s="39">
        <v>1320</v>
      </c>
      <c r="AB96" s="39">
        <v>833</v>
      </c>
      <c r="AC96" s="39">
        <v>875</v>
      </c>
      <c r="AD96" s="39">
        <v>1265</v>
      </c>
      <c r="AE96" s="39">
        <v>1853</v>
      </c>
      <c r="AF96" s="39">
        <v>2016</v>
      </c>
      <c r="AG96" s="39">
        <v>1058</v>
      </c>
      <c r="AH96" s="39">
        <v>733</v>
      </c>
      <c r="AI96" s="39">
        <v>873</v>
      </c>
      <c r="AJ96" s="48">
        <f t="shared" si="7"/>
        <v>15235</v>
      </c>
    </row>
    <row r="97" spans="1:36" x14ac:dyDescent="0.2">
      <c r="A97" s="29"/>
      <c r="B97" s="39" t="s">
        <v>1320</v>
      </c>
      <c r="C97" s="39" t="s">
        <v>183</v>
      </c>
      <c r="D97" s="39">
        <v>142</v>
      </c>
      <c r="E97" s="147" t="s">
        <v>823</v>
      </c>
      <c r="F97" s="39" t="s">
        <v>864</v>
      </c>
      <c r="G97" s="39" t="s">
        <v>824</v>
      </c>
      <c r="H97" s="39" t="s">
        <v>821</v>
      </c>
      <c r="I97" s="39">
        <v>37695</v>
      </c>
      <c r="J97" s="39">
        <v>37861</v>
      </c>
      <c r="K97" s="39">
        <v>38291</v>
      </c>
      <c r="L97" s="39">
        <v>38580</v>
      </c>
      <c r="M97" s="39">
        <v>38994</v>
      </c>
      <c r="N97" s="39">
        <v>39314</v>
      </c>
      <c r="O97" s="39">
        <v>39657</v>
      </c>
      <c r="P97" s="39">
        <v>40054</v>
      </c>
      <c r="Q97" s="39">
        <v>40414</v>
      </c>
      <c r="R97" s="39">
        <v>40969</v>
      </c>
      <c r="S97" s="39">
        <v>41504</v>
      </c>
      <c r="T97" s="39">
        <v>42330</v>
      </c>
      <c r="U97" s="39">
        <v>43152</v>
      </c>
      <c r="V97" s="39"/>
      <c r="W97" s="39"/>
      <c r="X97" s="39">
        <v>166</v>
      </c>
      <c r="Y97" s="39">
        <v>430</v>
      </c>
      <c r="Z97" s="39">
        <v>289</v>
      </c>
      <c r="AA97" s="39">
        <v>414</v>
      </c>
      <c r="AB97" s="39">
        <v>320</v>
      </c>
      <c r="AC97" s="39">
        <v>343</v>
      </c>
      <c r="AD97" s="39">
        <v>397</v>
      </c>
      <c r="AE97" s="39">
        <v>360</v>
      </c>
      <c r="AF97" s="39">
        <v>555</v>
      </c>
      <c r="AG97" s="39">
        <v>535</v>
      </c>
      <c r="AH97" s="39">
        <v>826</v>
      </c>
      <c r="AI97" s="39">
        <v>822</v>
      </c>
      <c r="AJ97" s="48">
        <f t="shared" si="7"/>
        <v>5457</v>
      </c>
    </row>
    <row r="98" spans="1:36" x14ac:dyDescent="0.2">
      <c r="A98" s="29"/>
      <c r="B98" s="39" t="s">
        <v>191</v>
      </c>
      <c r="C98" s="39" t="s">
        <v>190</v>
      </c>
      <c r="D98" s="39">
        <v>140</v>
      </c>
      <c r="E98" s="147" t="s">
        <v>1328</v>
      </c>
      <c r="F98" s="39" t="s">
        <v>982</v>
      </c>
      <c r="G98" s="39" t="s">
        <v>448</v>
      </c>
      <c r="H98" s="39"/>
      <c r="I98" s="39"/>
      <c r="J98" s="39"/>
      <c r="K98" s="39"/>
      <c r="L98" s="39"/>
      <c r="M98" s="39"/>
      <c r="N98" s="39">
        <v>669208</v>
      </c>
      <c r="O98" s="39">
        <v>669208</v>
      </c>
      <c r="P98" s="39">
        <v>669208</v>
      </c>
      <c r="Q98" s="39">
        <v>0</v>
      </c>
      <c r="R98" s="39">
        <v>0</v>
      </c>
      <c r="S98" s="39">
        <v>0</v>
      </c>
      <c r="T98" s="39">
        <v>0</v>
      </c>
      <c r="U98" s="39">
        <v>0</v>
      </c>
      <c r="V98" s="39"/>
      <c r="W98" s="39"/>
      <c r="X98" s="39" t="s">
        <v>734</v>
      </c>
      <c r="Y98" s="39" t="s">
        <v>734</v>
      </c>
      <c r="Z98" s="39" t="s">
        <v>734</v>
      </c>
      <c r="AA98" s="39" t="s">
        <v>734</v>
      </c>
      <c r="AB98" s="39" t="s">
        <v>734</v>
      </c>
      <c r="AC98" s="39">
        <v>0</v>
      </c>
      <c r="AD98" s="39">
        <v>0</v>
      </c>
      <c r="AE98" s="39" t="s">
        <v>856</v>
      </c>
      <c r="AF98" s="39">
        <v>0</v>
      </c>
      <c r="AG98" s="39">
        <v>0</v>
      </c>
      <c r="AH98" s="39">
        <v>0</v>
      </c>
      <c r="AI98" s="39">
        <v>0</v>
      </c>
      <c r="AJ98" s="48">
        <f t="shared" si="7"/>
        <v>0</v>
      </c>
    </row>
    <row r="99" spans="1:36" x14ac:dyDescent="0.2">
      <c r="A99" s="29"/>
      <c r="B99" s="39" t="s">
        <v>873</v>
      </c>
      <c r="C99" s="39" t="s">
        <v>190</v>
      </c>
      <c r="D99" s="39">
        <v>140</v>
      </c>
      <c r="E99" s="147" t="s">
        <v>874</v>
      </c>
      <c r="F99" s="39" t="s">
        <v>985</v>
      </c>
      <c r="G99" s="39"/>
      <c r="H99" s="39"/>
      <c r="I99" s="39">
        <v>145420</v>
      </c>
      <c r="J99" s="39">
        <v>145459</v>
      </c>
      <c r="K99" s="39">
        <v>145699</v>
      </c>
      <c r="L99" s="39">
        <v>145937</v>
      </c>
      <c r="M99" s="39">
        <v>146332</v>
      </c>
      <c r="N99" s="39">
        <v>146846</v>
      </c>
      <c r="O99" s="39">
        <v>147406</v>
      </c>
      <c r="P99" s="39">
        <v>148609</v>
      </c>
      <c r="Q99" s="39">
        <v>150256</v>
      </c>
      <c r="R99" s="39">
        <v>151731</v>
      </c>
      <c r="S99" s="39">
        <v>152963</v>
      </c>
      <c r="T99" s="39">
        <v>153561</v>
      </c>
      <c r="U99" s="39">
        <v>153661</v>
      </c>
      <c r="V99" s="39"/>
      <c r="W99" s="39"/>
      <c r="X99" s="39">
        <v>39</v>
      </c>
      <c r="Y99" s="39">
        <v>240</v>
      </c>
      <c r="Z99" s="39">
        <v>238</v>
      </c>
      <c r="AA99" s="39">
        <v>395</v>
      </c>
      <c r="AB99" s="39">
        <v>514</v>
      </c>
      <c r="AC99" s="39">
        <v>560</v>
      </c>
      <c r="AD99" s="39">
        <v>1203</v>
      </c>
      <c r="AE99" s="39">
        <v>1647</v>
      </c>
      <c r="AF99" s="39">
        <v>1475</v>
      </c>
      <c r="AG99" s="39">
        <v>1232</v>
      </c>
      <c r="AH99" s="39">
        <v>598</v>
      </c>
      <c r="AI99" s="39">
        <v>100</v>
      </c>
      <c r="AJ99" s="48">
        <f t="shared" si="7"/>
        <v>8241</v>
      </c>
    </row>
    <row r="100" spans="1:36" x14ac:dyDescent="0.2">
      <c r="A100" s="29"/>
      <c r="B100" s="39" t="s">
        <v>1255</v>
      </c>
      <c r="C100" s="39" t="s">
        <v>200</v>
      </c>
      <c r="D100" s="39">
        <v>140</v>
      </c>
      <c r="E100" s="147" t="s">
        <v>898</v>
      </c>
      <c r="F100" s="39" t="s">
        <v>450</v>
      </c>
      <c r="G100" s="39" t="s">
        <v>451</v>
      </c>
      <c r="H100" s="39"/>
      <c r="I100" s="39">
        <v>284935</v>
      </c>
      <c r="J100" s="39">
        <v>286133</v>
      </c>
      <c r="K100" s="39">
        <v>289915</v>
      </c>
      <c r="L100" s="39">
        <v>293631</v>
      </c>
      <c r="M100" s="39">
        <v>296904</v>
      </c>
      <c r="N100" s="39">
        <v>300052</v>
      </c>
      <c r="O100" s="39">
        <v>303222</v>
      </c>
      <c r="P100" s="39">
        <v>307564</v>
      </c>
      <c r="Q100" s="39">
        <v>311878</v>
      </c>
      <c r="R100" s="39">
        <v>315549</v>
      </c>
      <c r="S100" s="39">
        <v>318121</v>
      </c>
      <c r="T100" s="39">
        <v>319861</v>
      </c>
      <c r="U100" s="39">
        <v>321253</v>
      </c>
      <c r="V100" s="39"/>
      <c r="W100" s="39"/>
      <c r="X100" s="39">
        <v>1198</v>
      </c>
      <c r="Y100" s="39">
        <v>3782</v>
      </c>
      <c r="Z100" s="39">
        <v>3716</v>
      </c>
      <c r="AA100" s="39">
        <v>3273</v>
      </c>
      <c r="AB100" s="39">
        <v>3148</v>
      </c>
      <c r="AC100" s="39">
        <v>3170</v>
      </c>
      <c r="AD100" s="39">
        <v>4342</v>
      </c>
      <c r="AE100" s="39">
        <v>4314</v>
      </c>
      <c r="AF100" s="39">
        <v>3671</v>
      </c>
      <c r="AG100" s="39">
        <v>2572</v>
      </c>
      <c r="AH100" s="39">
        <v>1740</v>
      </c>
      <c r="AI100" s="39">
        <v>1392</v>
      </c>
      <c r="AJ100" s="48">
        <f t="shared" si="7"/>
        <v>36318</v>
      </c>
    </row>
    <row r="101" spans="1:36" x14ac:dyDescent="0.2">
      <c r="A101" s="29"/>
      <c r="B101" s="39" t="s">
        <v>1256</v>
      </c>
      <c r="C101" s="39" t="s">
        <v>200</v>
      </c>
      <c r="D101" s="39">
        <v>140</v>
      </c>
      <c r="E101" s="147" t="s">
        <v>899</v>
      </c>
      <c r="F101" s="39" t="s">
        <v>450</v>
      </c>
      <c r="G101" s="39" t="s">
        <v>451</v>
      </c>
      <c r="H101" s="39"/>
      <c r="I101" s="39">
        <v>848395</v>
      </c>
      <c r="J101" s="39">
        <v>853117</v>
      </c>
      <c r="K101" s="39">
        <v>862357</v>
      </c>
      <c r="L101" s="39">
        <v>870864</v>
      </c>
      <c r="M101" s="39">
        <v>879174</v>
      </c>
      <c r="N101" s="39">
        <v>887681</v>
      </c>
      <c r="O101" s="39">
        <v>896250</v>
      </c>
      <c r="P101" s="39">
        <v>905777</v>
      </c>
      <c r="Q101" s="39">
        <v>915478</v>
      </c>
      <c r="R101" s="39">
        <v>925026</v>
      </c>
      <c r="S101" s="39">
        <v>933703</v>
      </c>
      <c r="T101" s="39">
        <v>943205</v>
      </c>
      <c r="U101" s="39">
        <v>952862</v>
      </c>
      <c r="V101" s="39"/>
      <c r="W101" s="39"/>
      <c r="X101" s="39">
        <v>4722</v>
      </c>
      <c r="Y101" s="39">
        <v>9240</v>
      </c>
      <c r="Z101" s="39">
        <v>8507</v>
      </c>
      <c r="AA101" s="39">
        <v>8310</v>
      </c>
      <c r="AB101" s="39">
        <v>8507</v>
      </c>
      <c r="AC101" s="39">
        <v>8569</v>
      </c>
      <c r="AD101" s="39">
        <v>9527</v>
      </c>
      <c r="AE101" s="39">
        <v>9701</v>
      </c>
      <c r="AF101" s="39">
        <v>9548</v>
      </c>
      <c r="AG101" s="39">
        <v>8677</v>
      </c>
      <c r="AH101" s="39">
        <v>9502</v>
      </c>
      <c r="AI101" s="39">
        <v>9657</v>
      </c>
      <c r="AJ101" s="48">
        <f t="shared" si="7"/>
        <v>104467</v>
      </c>
    </row>
    <row r="102" spans="1:36" x14ac:dyDescent="0.2">
      <c r="A102" s="29"/>
      <c r="B102" s="39" t="s">
        <v>237</v>
      </c>
      <c r="C102" s="39" t="s">
        <v>228</v>
      </c>
      <c r="D102" s="39">
        <v>140</v>
      </c>
      <c r="E102" s="147" t="s">
        <v>893</v>
      </c>
      <c r="F102" s="39" t="s">
        <v>231</v>
      </c>
      <c r="G102" s="39" t="s">
        <v>238</v>
      </c>
      <c r="H102" s="39"/>
      <c r="I102" s="39">
        <v>62979</v>
      </c>
      <c r="J102" s="39">
        <v>63312</v>
      </c>
      <c r="K102" s="39">
        <v>63917</v>
      </c>
      <c r="L102" s="39">
        <v>64492</v>
      </c>
      <c r="M102" s="39">
        <v>65092</v>
      </c>
      <c r="N102" s="39">
        <v>65738</v>
      </c>
      <c r="O102" s="39">
        <v>66543</v>
      </c>
      <c r="P102" s="39">
        <v>67600</v>
      </c>
      <c r="Q102" s="39">
        <v>68550</v>
      </c>
      <c r="R102" s="39">
        <v>69359</v>
      </c>
      <c r="S102" s="39">
        <v>69996</v>
      </c>
      <c r="T102" s="39">
        <v>70559</v>
      </c>
      <c r="U102" s="39">
        <v>71053</v>
      </c>
      <c r="V102" s="39"/>
      <c r="W102" s="39"/>
      <c r="X102" s="39">
        <v>333</v>
      </c>
      <c r="Y102" s="39">
        <v>605</v>
      </c>
      <c r="Z102" s="39">
        <v>575</v>
      </c>
      <c r="AA102" s="39">
        <v>600</v>
      </c>
      <c r="AB102" s="39">
        <v>646</v>
      </c>
      <c r="AC102" s="39">
        <v>805</v>
      </c>
      <c r="AD102" s="39">
        <v>1057</v>
      </c>
      <c r="AE102" s="39">
        <v>950</v>
      </c>
      <c r="AF102" s="39">
        <v>809</v>
      </c>
      <c r="AG102" s="39">
        <v>637</v>
      </c>
      <c r="AH102" s="39">
        <v>563</v>
      </c>
      <c r="AI102" s="39">
        <v>494</v>
      </c>
      <c r="AJ102" s="48">
        <f t="shared" si="7"/>
        <v>8074</v>
      </c>
    </row>
    <row r="103" spans="1:36" x14ac:dyDescent="0.2">
      <c r="A103" s="29"/>
      <c r="B103" s="39" t="s">
        <v>233</v>
      </c>
      <c r="C103" s="39" t="s">
        <v>228</v>
      </c>
      <c r="D103" s="39">
        <v>140</v>
      </c>
      <c r="E103" s="147" t="s">
        <v>900</v>
      </c>
      <c r="F103" s="39" t="s">
        <v>234</v>
      </c>
      <c r="G103" s="39"/>
      <c r="H103" s="39"/>
      <c r="I103" s="39">
        <v>508040</v>
      </c>
      <c r="J103" s="39">
        <v>511424</v>
      </c>
      <c r="K103" s="39">
        <v>518438</v>
      </c>
      <c r="L103" s="39">
        <v>524371</v>
      </c>
      <c r="M103" s="39">
        <v>528342</v>
      </c>
      <c r="N103" s="39">
        <v>531522</v>
      </c>
      <c r="O103" s="39">
        <v>535426</v>
      </c>
      <c r="P103" s="39">
        <v>541306</v>
      </c>
      <c r="Q103" s="39">
        <v>548319</v>
      </c>
      <c r="R103" s="39">
        <v>554939</v>
      </c>
      <c r="S103" s="39">
        <v>559733</v>
      </c>
      <c r="T103" s="39">
        <v>564357</v>
      </c>
      <c r="U103" s="39">
        <v>569798</v>
      </c>
      <c r="V103" s="39"/>
      <c r="W103" s="39"/>
      <c r="X103" s="39">
        <v>3384</v>
      </c>
      <c r="Y103" s="39">
        <v>7014</v>
      </c>
      <c r="Z103" s="39">
        <v>5933</v>
      </c>
      <c r="AA103" s="39">
        <v>3971</v>
      </c>
      <c r="AB103" s="39">
        <v>3180</v>
      </c>
      <c r="AC103" s="39">
        <v>3904</v>
      </c>
      <c r="AD103" s="39">
        <v>5880</v>
      </c>
      <c r="AE103" s="39">
        <v>7013</v>
      </c>
      <c r="AF103" s="39">
        <v>6620</v>
      </c>
      <c r="AG103" s="39">
        <v>4794</v>
      </c>
      <c r="AH103" s="39">
        <v>4624</v>
      </c>
      <c r="AI103" s="39">
        <v>5441</v>
      </c>
      <c r="AJ103" s="48">
        <f t="shared" si="7"/>
        <v>61758</v>
      </c>
    </row>
    <row r="104" spans="1:36" x14ac:dyDescent="0.2">
      <c r="A104" s="29"/>
      <c r="B104" s="39" t="s">
        <v>818</v>
      </c>
      <c r="C104" s="39" t="s">
        <v>228</v>
      </c>
      <c r="D104" s="39">
        <v>142</v>
      </c>
      <c r="E104" s="147" t="s">
        <v>822</v>
      </c>
      <c r="F104" s="39" t="s">
        <v>1344</v>
      </c>
      <c r="G104" s="39" t="s">
        <v>820</v>
      </c>
      <c r="H104" s="39" t="s">
        <v>821</v>
      </c>
      <c r="I104" s="39">
        <v>3019</v>
      </c>
      <c r="J104" s="39">
        <v>3069</v>
      </c>
      <c r="K104" s="39">
        <v>3118</v>
      </c>
      <c r="L104" s="39">
        <v>3169</v>
      </c>
      <c r="M104" s="39">
        <v>3217</v>
      </c>
      <c r="N104" s="39">
        <v>3263</v>
      </c>
      <c r="O104" s="39">
        <v>3315</v>
      </c>
      <c r="P104" s="39">
        <v>3361</v>
      </c>
      <c r="Q104" s="39">
        <v>3413</v>
      </c>
      <c r="R104" s="39">
        <v>3467</v>
      </c>
      <c r="S104" s="39">
        <v>3517</v>
      </c>
      <c r="T104" s="39">
        <v>3579</v>
      </c>
      <c r="U104" s="39">
        <v>3639</v>
      </c>
      <c r="V104" s="39"/>
      <c r="W104" s="39"/>
      <c r="X104" s="39">
        <v>50</v>
      </c>
      <c r="Y104" s="39">
        <v>49</v>
      </c>
      <c r="Z104" s="39">
        <v>51</v>
      </c>
      <c r="AA104" s="39">
        <v>48</v>
      </c>
      <c r="AB104" s="39">
        <v>46</v>
      </c>
      <c r="AC104" s="39">
        <v>52</v>
      </c>
      <c r="AD104" s="39">
        <v>46</v>
      </c>
      <c r="AE104" s="39">
        <v>52</v>
      </c>
      <c r="AF104" s="39">
        <v>54</v>
      </c>
      <c r="AG104" s="39">
        <v>50</v>
      </c>
      <c r="AH104" s="39">
        <v>62</v>
      </c>
      <c r="AI104" s="39">
        <v>60</v>
      </c>
      <c r="AJ104" s="48">
        <f t="shared" si="7"/>
        <v>620</v>
      </c>
    </row>
    <row r="105" spans="1:36" x14ac:dyDescent="0.2">
      <c r="A105" s="29"/>
      <c r="B105" s="39" t="s">
        <v>697</v>
      </c>
      <c r="C105" s="39" t="s">
        <v>288</v>
      </c>
      <c r="D105" s="39">
        <v>140</v>
      </c>
      <c r="E105" s="147" t="s">
        <v>21</v>
      </c>
      <c r="F105" s="39" t="s">
        <v>983</v>
      </c>
      <c r="G105" s="39" t="s">
        <v>698</v>
      </c>
      <c r="H105" s="39"/>
      <c r="I105" s="39">
        <v>9367</v>
      </c>
      <c r="J105" s="39">
        <v>9738</v>
      </c>
      <c r="K105" s="39">
        <v>9792</v>
      </c>
      <c r="L105" s="39">
        <v>9799</v>
      </c>
      <c r="M105" s="39">
        <v>9807</v>
      </c>
      <c r="N105" s="39">
        <v>10315</v>
      </c>
      <c r="O105" s="39">
        <v>10315</v>
      </c>
      <c r="P105" s="39">
        <v>10326</v>
      </c>
      <c r="Q105" s="39">
        <v>10584</v>
      </c>
      <c r="R105" s="39">
        <v>12376</v>
      </c>
      <c r="S105" s="39">
        <v>12377</v>
      </c>
      <c r="T105" s="39">
        <v>12383</v>
      </c>
      <c r="U105" s="39">
        <v>13229</v>
      </c>
      <c r="V105" s="39"/>
      <c r="W105" s="39"/>
      <c r="X105" s="39">
        <v>371</v>
      </c>
      <c r="Y105" s="39">
        <v>54</v>
      </c>
      <c r="Z105" s="39">
        <v>7</v>
      </c>
      <c r="AA105" s="39">
        <v>8</v>
      </c>
      <c r="AB105" s="39">
        <v>508</v>
      </c>
      <c r="AC105" s="39">
        <v>0</v>
      </c>
      <c r="AD105" s="39">
        <v>11</v>
      </c>
      <c r="AE105" s="39">
        <v>258</v>
      </c>
      <c r="AF105" s="39">
        <v>1792</v>
      </c>
      <c r="AG105" s="39">
        <v>1</v>
      </c>
      <c r="AH105" s="39">
        <v>6</v>
      </c>
      <c r="AI105" s="39">
        <v>846</v>
      </c>
      <c r="AJ105" s="48">
        <f t="shared" si="7"/>
        <v>3862</v>
      </c>
    </row>
    <row r="106" spans="1:36" x14ac:dyDescent="0.2">
      <c r="A106" s="22"/>
      <c r="B106" s="39" t="s">
        <v>696</v>
      </c>
      <c r="C106" s="39" t="s">
        <v>288</v>
      </c>
      <c r="D106" s="39">
        <v>140</v>
      </c>
      <c r="E106" s="39" t="s">
        <v>747</v>
      </c>
      <c r="F106" s="39" t="s">
        <v>987</v>
      </c>
      <c r="G106" s="39"/>
      <c r="H106" s="39"/>
      <c r="I106" s="39">
        <v>86923</v>
      </c>
      <c r="J106" s="39">
        <v>87080</v>
      </c>
      <c r="K106" s="39">
        <v>87370</v>
      </c>
      <c r="L106" s="39">
        <v>87620</v>
      </c>
      <c r="M106" s="39">
        <v>87879</v>
      </c>
      <c r="N106" s="39">
        <v>88177</v>
      </c>
      <c r="O106" s="39">
        <v>88512</v>
      </c>
      <c r="P106" s="39">
        <v>88910</v>
      </c>
      <c r="Q106" s="39">
        <v>89318</v>
      </c>
      <c r="R106" s="39">
        <v>89733</v>
      </c>
      <c r="S106" s="39">
        <v>90094</v>
      </c>
      <c r="T106" s="39">
        <v>90447</v>
      </c>
      <c r="U106" s="39">
        <v>90767</v>
      </c>
      <c r="V106" s="39"/>
      <c r="W106" s="39"/>
      <c r="X106" s="39">
        <v>157</v>
      </c>
      <c r="Y106" s="39">
        <v>290</v>
      </c>
      <c r="Z106" s="39">
        <v>250</v>
      </c>
      <c r="AA106" s="39">
        <v>259</v>
      </c>
      <c r="AB106" s="39">
        <v>298</v>
      </c>
      <c r="AC106" s="39">
        <v>335</v>
      </c>
      <c r="AD106" s="39">
        <v>398</v>
      </c>
      <c r="AE106" s="39">
        <v>408</v>
      </c>
      <c r="AF106" s="39">
        <v>415</v>
      </c>
      <c r="AG106" s="39">
        <v>361</v>
      </c>
      <c r="AH106" s="39">
        <v>353</v>
      </c>
      <c r="AI106" s="39">
        <v>320</v>
      </c>
      <c r="AJ106" s="48">
        <f t="shared" si="7"/>
        <v>3844</v>
      </c>
    </row>
    <row r="107" spans="1:36" x14ac:dyDescent="0.2">
      <c r="A107" s="22"/>
      <c r="B107" s="39" t="s">
        <v>968</v>
      </c>
      <c r="C107" s="39" t="s">
        <v>288</v>
      </c>
      <c r="D107" s="39">
        <v>140</v>
      </c>
      <c r="E107" s="39" t="s">
        <v>969</v>
      </c>
      <c r="F107" s="39" t="s">
        <v>984</v>
      </c>
      <c r="G107" s="39" t="s">
        <v>970</v>
      </c>
      <c r="H107" s="39"/>
      <c r="I107" s="39">
        <v>213744</v>
      </c>
      <c r="J107" s="39">
        <v>214067</v>
      </c>
      <c r="K107" s="39">
        <v>214695</v>
      </c>
      <c r="L107" s="39">
        <v>215414</v>
      </c>
      <c r="M107" s="39">
        <v>215414</v>
      </c>
      <c r="N107" s="39">
        <v>216553</v>
      </c>
      <c r="O107" s="39">
        <v>217237</v>
      </c>
      <c r="P107" s="39">
        <v>217859</v>
      </c>
      <c r="Q107" s="39">
        <v>218514</v>
      </c>
      <c r="R107" s="39">
        <v>219366</v>
      </c>
      <c r="S107" s="39">
        <v>220536</v>
      </c>
      <c r="T107" s="39">
        <v>222552</v>
      </c>
      <c r="U107" s="39">
        <v>223967</v>
      </c>
      <c r="V107" s="39"/>
      <c r="W107" s="39"/>
      <c r="X107" s="39">
        <v>323</v>
      </c>
      <c r="Y107" s="39">
        <v>628</v>
      </c>
      <c r="Z107" s="39">
        <v>719</v>
      </c>
      <c r="AA107" s="39">
        <v>0</v>
      </c>
      <c r="AB107" s="39">
        <v>1139</v>
      </c>
      <c r="AC107" s="39">
        <v>684</v>
      </c>
      <c r="AD107" s="39">
        <v>622</v>
      </c>
      <c r="AE107" s="39">
        <v>655</v>
      </c>
      <c r="AF107" s="39">
        <v>852</v>
      </c>
      <c r="AG107" s="39">
        <v>1170</v>
      </c>
      <c r="AH107" s="39">
        <v>2016</v>
      </c>
      <c r="AI107" s="39">
        <v>1415</v>
      </c>
      <c r="AJ107" s="48">
        <f t="shared" si="7"/>
        <v>10223</v>
      </c>
    </row>
    <row r="108" spans="1:36" x14ac:dyDescent="0.2">
      <c r="B108" s="39"/>
      <c r="C108" s="39"/>
      <c r="D108" s="39"/>
      <c r="E108" s="39"/>
      <c r="F108" s="39"/>
      <c r="G108" s="27"/>
      <c r="H108" s="27"/>
      <c r="I108" s="27"/>
      <c r="J108" s="27"/>
      <c r="K108" s="27"/>
      <c r="L108" s="27"/>
      <c r="M108" s="27"/>
      <c r="N108" s="27"/>
      <c r="O108" s="27"/>
      <c r="P108" s="27"/>
      <c r="Q108" s="27"/>
      <c r="R108" s="27"/>
      <c r="S108" s="27"/>
      <c r="T108" s="27"/>
      <c r="U108" s="27"/>
      <c r="V108" s="27"/>
      <c r="W108" s="27"/>
      <c r="X108" s="173"/>
      <c r="Y108" s="173"/>
      <c r="Z108" s="173"/>
      <c r="AA108" s="173"/>
      <c r="AB108" s="173"/>
      <c r="AC108" s="173"/>
      <c r="AD108" s="173"/>
      <c r="AE108" s="173"/>
      <c r="AF108" s="173"/>
      <c r="AG108" s="173"/>
      <c r="AH108" s="173"/>
      <c r="AI108" s="173"/>
      <c r="AJ108" s="48">
        <f t="shared" si="7"/>
        <v>0</v>
      </c>
    </row>
    <row r="109" spans="1:36" x14ac:dyDescent="0.2">
      <c r="A109" s="22"/>
      <c r="B109" s="39"/>
      <c r="C109" s="39"/>
      <c r="D109" s="39"/>
      <c r="E109" s="39"/>
      <c r="F109" s="39"/>
      <c r="G109" s="27"/>
      <c r="H109" s="27"/>
      <c r="I109" s="27"/>
      <c r="J109" s="27"/>
      <c r="K109" s="27"/>
      <c r="L109" s="27"/>
      <c r="M109" s="27"/>
      <c r="N109" s="27"/>
      <c r="O109" s="27"/>
      <c r="P109" s="27"/>
      <c r="Q109" s="27"/>
      <c r="R109" s="27"/>
      <c r="S109" s="27"/>
      <c r="T109" s="27"/>
      <c r="U109" s="27"/>
      <c r="V109" s="27"/>
      <c r="W109" s="27"/>
      <c r="X109" s="173"/>
      <c r="Y109" s="173"/>
      <c r="Z109" s="173"/>
      <c r="AA109" s="173"/>
      <c r="AB109" s="173"/>
      <c r="AC109" s="173"/>
      <c r="AD109" s="173"/>
      <c r="AE109" s="173"/>
      <c r="AF109" s="173"/>
      <c r="AG109" s="173"/>
      <c r="AH109" s="173"/>
      <c r="AI109" s="173"/>
      <c r="AJ109" s="48">
        <f t="shared" si="7"/>
        <v>0</v>
      </c>
    </row>
    <row r="110" spans="1:36" s="32" customFormat="1" x14ac:dyDescent="0.2">
      <c r="A110" s="640"/>
      <c r="B110" s="640"/>
      <c r="C110" s="640"/>
      <c r="D110" s="640"/>
      <c r="E110" s="233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47"/>
      <c r="X110" s="171">
        <f t="shared" ref="X110:AI110" si="8">SUM(X72:X109)</f>
        <v>81976</v>
      </c>
      <c r="Y110" s="171">
        <f t="shared" si="8"/>
        <v>122029</v>
      </c>
      <c r="Z110" s="171">
        <f t="shared" si="8"/>
        <v>125027</v>
      </c>
      <c r="AA110" s="171">
        <f t="shared" si="8"/>
        <v>118104.57999999999</v>
      </c>
      <c r="AB110" s="171">
        <f t="shared" si="8"/>
        <v>124907</v>
      </c>
      <c r="AC110" s="171">
        <f t="shared" si="8"/>
        <v>115649</v>
      </c>
      <c r="AD110" s="171">
        <f t="shared" si="8"/>
        <v>143453</v>
      </c>
      <c r="AE110" s="171">
        <f t="shared" si="8"/>
        <v>153678</v>
      </c>
      <c r="AF110" s="171">
        <f t="shared" si="8"/>
        <v>160943</v>
      </c>
      <c r="AG110" s="171">
        <f t="shared" si="8"/>
        <v>125723</v>
      </c>
      <c r="AH110" s="171">
        <f t="shared" si="8"/>
        <v>122053</v>
      </c>
      <c r="AI110" s="171">
        <f t="shared" si="8"/>
        <v>145345</v>
      </c>
      <c r="AJ110" s="171">
        <f t="shared" ref="AJ110" si="9">SUM(AJ72:AJ109)</f>
        <v>1538887.58</v>
      </c>
    </row>
    <row r="111" spans="1:36" x14ac:dyDescent="0.2">
      <c r="A111" s="30"/>
      <c r="B111" s="39"/>
      <c r="C111" s="39"/>
      <c r="D111" s="39"/>
      <c r="E111" s="39"/>
      <c r="F111" s="40"/>
      <c r="G111" s="40"/>
      <c r="H111" s="40"/>
      <c r="I111" s="40"/>
      <c r="J111" s="40"/>
      <c r="K111" s="40"/>
      <c r="L111" s="40"/>
      <c r="M111" s="40"/>
      <c r="N111" s="40"/>
      <c r="O111" s="40"/>
      <c r="P111" s="40"/>
      <c r="Q111" s="40"/>
      <c r="R111" s="40"/>
      <c r="S111" s="40"/>
      <c r="T111" s="40"/>
      <c r="U111" s="40"/>
      <c r="V111" s="40"/>
      <c r="W111" s="175"/>
      <c r="X111" s="175"/>
      <c r="Y111" s="175"/>
      <c r="Z111" s="175"/>
      <c r="AA111" s="175"/>
      <c r="AB111" s="175"/>
      <c r="AC111" s="175"/>
      <c r="AD111" s="175"/>
      <c r="AE111" s="175"/>
      <c r="AF111" s="175"/>
      <c r="AG111" s="175"/>
      <c r="AH111" s="175"/>
    </row>
    <row r="112" spans="1:36" x14ac:dyDescent="0.2">
      <c r="A112" s="20"/>
      <c r="B112" s="39"/>
      <c r="C112" s="39"/>
      <c r="D112" s="39"/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173"/>
      <c r="X112" s="173"/>
      <c r="Y112" s="173"/>
      <c r="Z112" s="173"/>
      <c r="AA112" s="173"/>
      <c r="AB112" s="173"/>
      <c r="AC112" s="173"/>
      <c r="AD112" s="173"/>
      <c r="AE112" s="173"/>
      <c r="AF112" s="173"/>
      <c r="AG112" s="173"/>
      <c r="AH112" s="173"/>
    </row>
    <row r="113" spans="1:36" s="25" customFormat="1" ht="18.75" customHeight="1" x14ac:dyDescent="0.2">
      <c r="A113" s="238"/>
      <c r="B113" s="238"/>
      <c r="C113" s="238"/>
      <c r="D113" s="238"/>
      <c r="E113" s="231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168"/>
      <c r="X113" s="168"/>
      <c r="Y113" s="168"/>
      <c r="Z113" s="168"/>
      <c r="AA113" s="168"/>
      <c r="AB113" s="168"/>
      <c r="AC113" s="168"/>
      <c r="AD113" s="168"/>
      <c r="AE113" s="168"/>
      <c r="AF113" s="168"/>
      <c r="AG113" s="168"/>
      <c r="AH113" s="168"/>
      <c r="AI113" s="45"/>
    </row>
    <row r="114" spans="1:36" s="23" customFormat="1" ht="13.5" customHeight="1" x14ac:dyDescent="0.25">
      <c r="A114" s="28"/>
      <c r="B114" s="183" t="s">
        <v>18</v>
      </c>
      <c r="C114" s="183" t="s">
        <v>0</v>
      </c>
      <c r="D114" s="183" t="s">
        <v>710</v>
      </c>
      <c r="E114" s="232" t="s">
        <v>1</v>
      </c>
      <c r="F114" s="36" t="s">
        <v>2</v>
      </c>
      <c r="G114" s="36" t="s">
        <v>3</v>
      </c>
      <c r="H114" s="36" t="s">
        <v>4</v>
      </c>
      <c r="I114" s="36" t="s">
        <v>1100</v>
      </c>
      <c r="J114" s="36" t="s">
        <v>1050</v>
      </c>
      <c r="K114" s="36" t="s">
        <v>1101</v>
      </c>
      <c r="L114" s="36" t="s">
        <v>1102</v>
      </c>
      <c r="M114" s="36" t="s">
        <v>1103</v>
      </c>
      <c r="N114" s="36" t="s">
        <v>1104</v>
      </c>
      <c r="O114" s="36" t="s">
        <v>1105</v>
      </c>
      <c r="P114" s="36" t="s">
        <v>1106</v>
      </c>
      <c r="Q114" s="36" t="s">
        <v>1107</v>
      </c>
      <c r="R114" s="36" t="s">
        <v>1108</v>
      </c>
      <c r="S114" s="36" t="s">
        <v>1109</v>
      </c>
      <c r="T114" s="36" t="s">
        <v>1110</v>
      </c>
      <c r="U114" s="36" t="s">
        <v>1111</v>
      </c>
      <c r="V114" s="36" t="s">
        <v>1112</v>
      </c>
      <c r="W114" s="169" t="s">
        <v>756</v>
      </c>
      <c r="X114" s="169" t="s">
        <v>488</v>
      </c>
      <c r="Y114" s="169" t="s">
        <v>489</v>
      </c>
      <c r="Z114" s="169" t="s">
        <v>490</v>
      </c>
      <c r="AA114" s="169" t="s">
        <v>491</v>
      </c>
      <c r="AB114" s="169" t="s">
        <v>492</v>
      </c>
      <c r="AC114" s="169" t="s">
        <v>493</v>
      </c>
      <c r="AD114" s="169" t="s">
        <v>494</v>
      </c>
      <c r="AE114" s="169" t="s">
        <v>495</v>
      </c>
      <c r="AF114" s="169" t="s">
        <v>496</v>
      </c>
      <c r="AG114" s="169" t="s">
        <v>497</v>
      </c>
      <c r="AH114" s="169" t="s">
        <v>498</v>
      </c>
      <c r="AI114" s="46" t="s">
        <v>499</v>
      </c>
      <c r="AJ114" s="46" t="s">
        <v>685</v>
      </c>
    </row>
    <row r="115" spans="1:36" x14ac:dyDescent="0.2">
      <c r="A115" s="22"/>
      <c r="B115" s="39" t="s">
        <v>316</v>
      </c>
      <c r="C115" s="39" t="s">
        <v>315</v>
      </c>
      <c r="D115" s="39">
        <v>150</v>
      </c>
      <c r="E115" s="39" t="s">
        <v>317</v>
      </c>
      <c r="F115" s="39" t="s">
        <v>318</v>
      </c>
      <c r="G115" s="39" t="s">
        <v>1136</v>
      </c>
      <c r="H115" s="39"/>
      <c r="I115" s="39">
        <v>102140</v>
      </c>
      <c r="J115" s="39">
        <v>102750</v>
      </c>
      <c r="K115" s="39">
        <v>104290</v>
      </c>
      <c r="L115" s="39">
        <v>105490</v>
      </c>
      <c r="M115" s="39">
        <v>106666</v>
      </c>
      <c r="N115" s="39">
        <v>107810</v>
      </c>
      <c r="O115" s="39">
        <v>109132</v>
      </c>
      <c r="P115" s="39">
        <v>112421</v>
      </c>
      <c r="Q115" s="39">
        <v>115310</v>
      </c>
      <c r="R115" s="39">
        <v>117820</v>
      </c>
      <c r="S115" s="39">
        <v>119600</v>
      </c>
      <c r="T115" s="39">
        <v>120840</v>
      </c>
      <c r="U115" s="39">
        <v>122066</v>
      </c>
      <c r="V115" s="39"/>
      <c r="W115" s="39"/>
      <c r="X115" s="39">
        <v>610</v>
      </c>
      <c r="Y115" s="39">
        <v>1540</v>
      </c>
      <c r="Z115" s="39">
        <v>1200</v>
      </c>
      <c r="AA115" s="39">
        <v>1176</v>
      </c>
      <c r="AB115" s="39">
        <v>1144</v>
      </c>
      <c r="AC115" s="39">
        <v>1322</v>
      </c>
      <c r="AD115" s="39">
        <v>3289</v>
      </c>
      <c r="AE115" s="39">
        <v>2889</v>
      </c>
      <c r="AF115" s="39">
        <v>2510</v>
      </c>
      <c r="AG115" s="39">
        <v>1780</v>
      </c>
      <c r="AH115" s="39">
        <v>1240</v>
      </c>
      <c r="AI115" s="48">
        <v>1226</v>
      </c>
      <c r="AJ115" s="48">
        <f t="shared" ref="AJ115:AJ127" si="10">SUMIFS(X115:AI115,X115:AI115,"&gt;0",X115:AI115,"&lt;9999999")</f>
        <v>19926</v>
      </c>
    </row>
    <row r="116" spans="1:36" x14ac:dyDescent="0.2">
      <c r="A116" s="22"/>
      <c r="B116" s="39" t="s">
        <v>314</v>
      </c>
      <c r="C116" s="39" t="s">
        <v>311</v>
      </c>
      <c r="D116" s="39">
        <v>150</v>
      </c>
      <c r="E116" s="39" t="s">
        <v>21</v>
      </c>
      <c r="F116" s="39" t="s">
        <v>313</v>
      </c>
      <c r="G116" s="39" t="s">
        <v>315</v>
      </c>
      <c r="H116" s="39"/>
      <c r="I116" s="39">
        <v>255497</v>
      </c>
      <c r="J116" s="39">
        <v>256116</v>
      </c>
      <c r="K116" s="39">
        <v>256707</v>
      </c>
      <c r="L116" s="39">
        <v>257205</v>
      </c>
      <c r="M116" s="39">
        <v>257870</v>
      </c>
      <c r="N116" s="39">
        <v>258507</v>
      </c>
      <c r="O116" s="39">
        <v>259084</v>
      </c>
      <c r="P116" s="39">
        <v>259746</v>
      </c>
      <c r="Q116" s="39">
        <v>260262</v>
      </c>
      <c r="R116" s="39">
        <v>260972</v>
      </c>
      <c r="S116" s="39">
        <v>261823</v>
      </c>
      <c r="T116" s="39">
        <v>362433</v>
      </c>
      <c r="U116" s="39">
        <v>263052</v>
      </c>
      <c r="V116" s="39"/>
      <c r="W116" s="39"/>
      <c r="X116" s="39">
        <v>619</v>
      </c>
      <c r="Y116" s="39">
        <v>591</v>
      </c>
      <c r="Z116" s="39">
        <v>498</v>
      </c>
      <c r="AA116" s="39">
        <v>665</v>
      </c>
      <c r="AB116" s="39">
        <v>637</v>
      </c>
      <c r="AC116" s="39">
        <v>577</v>
      </c>
      <c r="AD116" s="39">
        <v>662</v>
      </c>
      <c r="AE116" s="39">
        <v>516</v>
      </c>
      <c r="AF116" s="39">
        <v>710</v>
      </c>
      <c r="AG116" s="39">
        <v>851</v>
      </c>
      <c r="AH116" s="39">
        <v>100610</v>
      </c>
      <c r="AI116" s="48" t="s">
        <v>856</v>
      </c>
      <c r="AJ116" s="48">
        <f t="shared" si="10"/>
        <v>106936</v>
      </c>
    </row>
    <row r="117" spans="1:36" x14ac:dyDescent="0.2">
      <c r="A117" s="21"/>
      <c r="B117" s="39" t="s">
        <v>1267</v>
      </c>
      <c r="C117" s="39" t="s">
        <v>721</v>
      </c>
      <c r="D117" s="39">
        <v>150</v>
      </c>
      <c r="E117" s="39" t="s">
        <v>21</v>
      </c>
      <c r="F117" s="39" t="s">
        <v>20</v>
      </c>
      <c r="G117" s="39"/>
      <c r="H117" s="39" t="s">
        <v>792</v>
      </c>
      <c r="I117" s="39">
        <v>16411</v>
      </c>
      <c r="J117" s="39">
        <v>16507</v>
      </c>
      <c r="K117" s="39">
        <v>16645</v>
      </c>
      <c r="L117" s="39">
        <v>16750</v>
      </c>
      <c r="M117" s="39">
        <v>16841</v>
      </c>
      <c r="N117" s="39">
        <v>16905</v>
      </c>
      <c r="O117" s="39">
        <v>17036</v>
      </c>
      <c r="P117" s="39">
        <v>17169</v>
      </c>
      <c r="Q117" s="39">
        <v>17325</v>
      </c>
      <c r="R117" s="39">
        <v>17435</v>
      </c>
      <c r="S117" s="39">
        <v>17595</v>
      </c>
      <c r="T117" s="39">
        <v>17715</v>
      </c>
      <c r="U117" s="39">
        <v>17829</v>
      </c>
      <c r="V117" s="39"/>
      <c r="W117" s="39"/>
      <c r="X117" s="39">
        <v>11520</v>
      </c>
      <c r="Y117" s="39">
        <v>16560</v>
      </c>
      <c r="Z117" s="39">
        <v>12600</v>
      </c>
      <c r="AA117" s="39">
        <v>10920</v>
      </c>
      <c r="AB117" s="39">
        <v>7680</v>
      </c>
      <c r="AC117" s="39">
        <v>15720</v>
      </c>
      <c r="AD117" s="39">
        <v>15960</v>
      </c>
      <c r="AE117" s="39">
        <v>18720</v>
      </c>
      <c r="AF117" s="39">
        <v>13200</v>
      </c>
      <c r="AG117" s="39">
        <v>19200</v>
      </c>
      <c r="AH117" s="39">
        <v>14400</v>
      </c>
      <c r="AI117" s="48">
        <v>13680</v>
      </c>
      <c r="AJ117" s="48">
        <f t="shared" si="10"/>
        <v>170160</v>
      </c>
    </row>
    <row r="118" spans="1:36" x14ac:dyDescent="0.2">
      <c r="B118" s="39">
        <v>5130043</v>
      </c>
      <c r="C118" s="39" t="s">
        <v>46</v>
      </c>
      <c r="D118" s="39">
        <v>150</v>
      </c>
      <c r="E118" s="39" t="s">
        <v>48</v>
      </c>
      <c r="F118" s="39" t="s">
        <v>49</v>
      </c>
      <c r="G118" s="39" t="s">
        <v>50</v>
      </c>
      <c r="H118" s="39" t="s">
        <v>799</v>
      </c>
      <c r="I118" s="39">
        <v>0</v>
      </c>
      <c r="J118" s="39">
        <v>0</v>
      </c>
      <c r="K118" s="39">
        <v>0</v>
      </c>
      <c r="L118" s="39">
        <v>0</v>
      </c>
      <c r="M118" s="39">
        <v>0</v>
      </c>
      <c r="N118" s="39">
        <v>0</v>
      </c>
      <c r="O118" s="39">
        <v>0</v>
      </c>
      <c r="P118" s="39">
        <v>0</v>
      </c>
      <c r="Q118" s="39">
        <v>0</v>
      </c>
      <c r="R118" s="39">
        <v>0</v>
      </c>
      <c r="S118" s="39">
        <v>0</v>
      </c>
      <c r="T118" s="39">
        <v>0</v>
      </c>
      <c r="U118" s="39">
        <v>0</v>
      </c>
      <c r="V118" s="39"/>
      <c r="W118" s="39"/>
      <c r="X118" s="39">
        <v>0</v>
      </c>
      <c r="Y118" s="39">
        <v>0</v>
      </c>
      <c r="Z118" s="39">
        <v>0</v>
      </c>
      <c r="AA118" s="39">
        <v>0</v>
      </c>
      <c r="AB118" s="39">
        <v>0</v>
      </c>
      <c r="AC118" s="39">
        <v>0</v>
      </c>
      <c r="AD118" s="39">
        <v>0</v>
      </c>
      <c r="AE118" s="39">
        <v>0</v>
      </c>
      <c r="AF118" s="39">
        <v>0</v>
      </c>
      <c r="AG118" s="39">
        <v>0</v>
      </c>
      <c r="AH118" s="39">
        <v>0</v>
      </c>
      <c r="AI118" s="48">
        <v>0</v>
      </c>
      <c r="AJ118" s="48">
        <f t="shared" si="10"/>
        <v>0</v>
      </c>
    </row>
    <row r="119" spans="1:36" x14ac:dyDescent="0.2">
      <c r="A119" s="22"/>
      <c r="B119" s="39" t="s">
        <v>66</v>
      </c>
      <c r="C119" s="39" t="s">
        <v>55</v>
      </c>
      <c r="D119" s="39">
        <v>150</v>
      </c>
      <c r="E119" s="39" t="s">
        <v>816</v>
      </c>
      <c r="F119" s="39" t="s">
        <v>1006</v>
      </c>
      <c r="G119" s="39" t="s">
        <v>67</v>
      </c>
      <c r="H119" s="39"/>
      <c r="I119" s="39">
        <v>455697</v>
      </c>
      <c r="J119" s="39">
        <v>457762</v>
      </c>
      <c r="K119" s="39">
        <v>462459</v>
      </c>
      <c r="L119" s="39">
        <v>466820</v>
      </c>
      <c r="M119" s="39">
        <v>470262</v>
      </c>
      <c r="N119" s="39">
        <v>472813</v>
      </c>
      <c r="O119" s="39">
        <v>476223</v>
      </c>
      <c r="P119" s="39">
        <v>481904</v>
      </c>
      <c r="Q119" s="39">
        <v>488418</v>
      </c>
      <c r="R119" s="39">
        <v>494630</v>
      </c>
      <c r="S119" s="39">
        <v>498459</v>
      </c>
      <c r="T119" s="39">
        <v>502213</v>
      </c>
      <c r="U119" s="39">
        <v>505695</v>
      </c>
      <c r="V119" s="39"/>
      <c r="W119" s="39"/>
      <c r="X119" s="39">
        <v>2065</v>
      </c>
      <c r="Y119" s="39">
        <v>4697</v>
      </c>
      <c r="Z119" s="39">
        <v>4361</v>
      </c>
      <c r="AA119" s="39">
        <v>3442</v>
      </c>
      <c r="AB119" s="39">
        <v>2551</v>
      </c>
      <c r="AC119" s="39">
        <v>3410</v>
      </c>
      <c r="AD119" s="39">
        <v>5681</v>
      </c>
      <c r="AE119" s="39">
        <v>6514</v>
      </c>
      <c r="AF119" s="39">
        <v>6212</v>
      </c>
      <c r="AG119" s="39">
        <v>3829</v>
      </c>
      <c r="AH119" s="39">
        <v>3754</v>
      </c>
      <c r="AI119" s="48">
        <v>3482</v>
      </c>
      <c r="AJ119" s="48">
        <f t="shared" si="10"/>
        <v>49998</v>
      </c>
    </row>
    <row r="120" spans="1:36" x14ac:dyDescent="0.2">
      <c r="A120" s="22" t="s">
        <v>505</v>
      </c>
      <c r="B120" s="39" t="s">
        <v>125</v>
      </c>
      <c r="C120" s="39" t="s">
        <v>121</v>
      </c>
      <c r="D120" s="39">
        <v>150</v>
      </c>
      <c r="E120" s="39" t="s">
        <v>21</v>
      </c>
      <c r="F120" s="39" t="s">
        <v>994</v>
      </c>
      <c r="G120" s="39" t="s">
        <v>126</v>
      </c>
      <c r="H120" s="39"/>
      <c r="I120" s="39">
        <v>335536</v>
      </c>
      <c r="J120" s="39">
        <v>337338</v>
      </c>
      <c r="K120" s="39">
        <v>341306</v>
      </c>
      <c r="L120" s="39">
        <v>344582</v>
      </c>
      <c r="M120" s="39">
        <v>347130</v>
      </c>
      <c r="N120" s="39">
        <v>349843</v>
      </c>
      <c r="O120" s="39">
        <v>353731</v>
      </c>
      <c r="P120" s="39">
        <v>359367</v>
      </c>
      <c r="Q120" s="39">
        <v>365163</v>
      </c>
      <c r="R120" s="39">
        <v>371195</v>
      </c>
      <c r="S120" s="39">
        <v>375348</v>
      </c>
      <c r="T120" s="39">
        <v>378433</v>
      </c>
      <c r="U120" s="39">
        <v>381626</v>
      </c>
      <c r="V120" s="39"/>
      <c r="W120" s="39"/>
      <c r="X120" s="39">
        <v>1802</v>
      </c>
      <c r="Y120" s="39">
        <v>3968</v>
      </c>
      <c r="Z120" s="39">
        <v>3276</v>
      </c>
      <c r="AA120" s="39">
        <v>2548</v>
      </c>
      <c r="AB120" s="39">
        <v>2713</v>
      </c>
      <c r="AC120" s="39">
        <v>3888</v>
      </c>
      <c r="AD120" s="39">
        <v>5636</v>
      </c>
      <c r="AE120" s="39">
        <v>5796</v>
      </c>
      <c r="AF120" s="39">
        <v>6032</v>
      </c>
      <c r="AG120" s="39">
        <v>4153</v>
      </c>
      <c r="AH120" s="39">
        <v>3085</v>
      </c>
      <c r="AI120" s="48">
        <v>3193</v>
      </c>
      <c r="AJ120" s="48">
        <f t="shared" si="10"/>
        <v>46090</v>
      </c>
    </row>
    <row r="121" spans="1:36" x14ac:dyDescent="0.2">
      <c r="B121" s="39" t="s">
        <v>142</v>
      </c>
      <c r="C121" s="39" t="s">
        <v>136</v>
      </c>
      <c r="D121" s="39">
        <v>150</v>
      </c>
      <c r="E121" s="39" t="s">
        <v>21</v>
      </c>
      <c r="F121" s="39" t="s">
        <v>725</v>
      </c>
      <c r="G121" s="39" t="s">
        <v>726</v>
      </c>
      <c r="H121" s="39"/>
      <c r="I121" s="39">
        <v>7946</v>
      </c>
      <c r="J121" s="39">
        <v>8109</v>
      </c>
      <c r="K121" s="39">
        <v>8381</v>
      </c>
      <c r="L121" s="39">
        <v>8646</v>
      </c>
      <c r="M121" s="39">
        <v>8942</v>
      </c>
      <c r="N121" s="39">
        <v>9207</v>
      </c>
      <c r="O121" s="39">
        <v>9483</v>
      </c>
      <c r="P121" s="39">
        <v>9772</v>
      </c>
      <c r="Q121" s="39">
        <v>10045</v>
      </c>
      <c r="R121" s="39">
        <v>10338</v>
      </c>
      <c r="S121" s="39">
        <v>10610</v>
      </c>
      <c r="T121" s="39">
        <v>10916</v>
      </c>
      <c r="U121" s="39">
        <v>11218</v>
      </c>
      <c r="V121" s="39"/>
      <c r="W121" s="39"/>
      <c r="X121" s="39">
        <v>163</v>
      </c>
      <c r="Y121" s="39">
        <v>272</v>
      </c>
      <c r="Z121" s="39">
        <v>265</v>
      </c>
      <c r="AA121" s="39">
        <v>296</v>
      </c>
      <c r="AB121" s="39">
        <v>265</v>
      </c>
      <c r="AC121" s="39">
        <v>276</v>
      </c>
      <c r="AD121" s="39">
        <v>289</v>
      </c>
      <c r="AE121" s="39">
        <v>273</v>
      </c>
      <c r="AF121" s="39">
        <v>293</v>
      </c>
      <c r="AG121" s="39">
        <v>272</v>
      </c>
      <c r="AH121" s="39">
        <v>306</v>
      </c>
      <c r="AI121" s="48">
        <v>302</v>
      </c>
      <c r="AJ121" s="48">
        <f t="shared" si="10"/>
        <v>3272</v>
      </c>
    </row>
    <row r="122" spans="1:36" x14ac:dyDescent="0.2">
      <c r="B122" s="39" t="s">
        <v>187</v>
      </c>
      <c r="C122" s="39" t="s">
        <v>183</v>
      </c>
      <c r="D122" s="39">
        <v>150</v>
      </c>
      <c r="E122" s="39" t="s">
        <v>897</v>
      </c>
      <c r="F122" s="39" t="s">
        <v>101</v>
      </c>
      <c r="G122" s="39" t="s">
        <v>735</v>
      </c>
      <c r="H122" s="39"/>
      <c r="I122" s="39">
        <v>4422256</v>
      </c>
      <c r="J122" s="39">
        <v>4449688</v>
      </c>
      <c r="K122" s="39">
        <v>4502763</v>
      </c>
      <c r="L122" s="39">
        <v>4552131</v>
      </c>
      <c r="M122" s="39">
        <v>4604357</v>
      </c>
      <c r="N122" s="39">
        <v>4660695</v>
      </c>
      <c r="O122" s="39">
        <v>4720104</v>
      </c>
      <c r="P122" s="39">
        <v>4793229</v>
      </c>
      <c r="Q122" s="39">
        <v>4868063</v>
      </c>
      <c r="R122" s="39">
        <v>4940165</v>
      </c>
      <c r="S122" s="39">
        <v>5007776</v>
      </c>
      <c r="T122" s="39">
        <v>5060211</v>
      </c>
      <c r="U122" s="39">
        <v>5119348</v>
      </c>
      <c r="V122" s="39"/>
      <c r="W122" s="39"/>
      <c r="X122" s="39">
        <v>27432</v>
      </c>
      <c r="Y122" s="39">
        <v>53075</v>
      </c>
      <c r="Z122" s="39">
        <v>49368</v>
      </c>
      <c r="AA122" s="39">
        <v>52226</v>
      </c>
      <c r="AB122" s="39">
        <v>56338</v>
      </c>
      <c r="AC122" s="39">
        <v>59409</v>
      </c>
      <c r="AD122" s="39">
        <v>73125</v>
      </c>
      <c r="AE122" s="39">
        <v>74834</v>
      </c>
      <c r="AF122" s="39">
        <v>72102</v>
      </c>
      <c r="AG122" s="39">
        <v>67611</v>
      </c>
      <c r="AH122" s="39">
        <v>52435</v>
      </c>
      <c r="AI122" s="48">
        <v>59137</v>
      </c>
      <c r="AJ122" s="48">
        <f t="shared" si="10"/>
        <v>697092</v>
      </c>
    </row>
    <row r="123" spans="1:36" x14ac:dyDescent="0.2">
      <c r="A123" s="22"/>
      <c r="B123" s="39" t="s">
        <v>206</v>
      </c>
      <c r="C123" s="39" t="s">
        <v>200</v>
      </c>
      <c r="D123" s="39">
        <v>150</v>
      </c>
      <c r="E123" s="39" t="s">
        <v>894</v>
      </c>
      <c r="F123" s="39" t="s">
        <v>101</v>
      </c>
      <c r="G123" s="39" t="s">
        <v>746</v>
      </c>
      <c r="H123" s="39"/>
      <c r="I123" s="39"/>
      <c r="J123" s="39"/>
      <c r="K123" s="39"/>
      <c r="L123" s="39"/>
      <c r="M123" s="39"/>
      <c r="N123" s="39"/>
      <c r="O123" s="39"/>
      <c r="P123" s="39"/>
      <c r="Q123" s="39"/>
      <c r="R123" s="39"/>
      <c r="S123" s="39"/>
      <c r="T123" s="39"/>
      <c r="U123" s="39"/>
      <c r="V123" s="39"/>
      <c r="W123" s="39"/>
      <c r="X123" s="39" t="s">
        <v>734</v>
      </c>
      <c r="Y123" s="39" t="s">
        <v>734</v>
      </c>
      <c r="Z123" s="39" t="s">
        <v>734</v>
      </c>
      <c r="AA123" s="39" t="s">
        <v>734</v>
      </c>
      <c r="AB123" s="39" t="s">
        <v>734</v>
      </c>
      <c r="AC123" s="39" t="s">
        <v>734</v>
      </c>
      <c r="AD123" s="39" t="s">
        <v>734</v>
      </c>
      <c r="AE123" s="39" t="s">
        <v>734</v>
      </c>
      <c r="AF123" s="39" t="s">
        <v>734</v>
      </c>
      <c r="AG123" s="39" t="s">
        <v>734</v>
      </c>
      <c r="AH123" s="39" t="s">
        <v>734</v>
      </c>
      <c r="AI123" s="48" t="s">
        <v>734</v>
      </c>
      <c r="AJ123" s="48">
        <f t="shared" si="10"/>
        <v>0</v>
      </c>
    </row>
    <row r="124" spans="1:36" x14ac:dyDescent="0.2">
      <c r="A124" s="22"/>
      <c r="B124" s="39" t="s">
        <v>218</v>
      </c>
      <c r="C124" s="39" t="s">
        <v>200</v>
      </c>
      <c r="D124" s="39">
        <v>150</v>
      </c>
      <c r="E124" s="39" t="s">
        <v>895</v>
      </c>
      <c r="F124" s="39" t="s">
        <v>219</v>
      </c>
      <c r="G124" s="39" t="s">
        <v>220</v>
      </c>
      <c r="H124" s="39"/>
      <c r="I124" s="39">
        <v>17811</v>
      </c>
      <c r="J124" s="39">
        <v>17929</v>
      </c>
      <c r="K124" s="39">
        <v>18162</v>
      </c>
      <c r="L124" s="39">
        <v>18376</v>
      </c>
      <c r="M124" s="39">
        <v>18569</v>
      </c>
      <c r="N124" s="39">
        <v>18756</v>
      </c>
      <c r="O124" s="39">
        <v>18875</v>
      </c>
      <c r="P124" s="39">
        <v>19206</v>
      </c>
      <c r="Q124" s="39">
        <v>19430</v>
      </c>
      <c r="R124" s="39">
        <v>19684</v>
      </c>
      <c r="S124" s="39">
        <v>19903</v>
      </c>
      <c r="T124" s="39">
        <v>20121</v>
      </c>
      <c r="U124" s="39">
        <v>20247</v>
      </c>
      <c r="V124" s="39"/>
      <c r="W124" s="39"/>
      <c r="X124" s="39">
        <v>118</v>
      </c>
      <c r="Y124" s="39">
        <v>233</v>
      </c>
      <c r="Z124" s="39">
        <v>214</v>
      </c>
      <c r="AA124" s="39">
        <v>193</v>
      </c>
      <c r="AB124" s="39">
        <v>187</v>
      </c>
      <c r="AC124" s="39">
        <v>119</v>
      </c>
      <c r="AD124" s="39">
        <v>331</v>
      </c>
      <c r="AE124" s="39">
        <v>224</v>
      </c>
      <c r="AF124" s="39">
        <v>254</v>
      </c>
      <c r="AG124" s="39">
        <v>219</v>
      </c>
      <c r="AH124" s="39">
        <v>218</v>
      </c>
      <c r="AI124" s="48">
        <v>126</v>
      </c>
      <c r="AJ124" s="48">
        <f t="shared" si="10"/>
        <v>2436</v>
      </c>
    </row>
    <row r="125" spans="1:36" x14ac:dyDescent="0.2">
      <c r="A125" s="22"/>
      <c r="B125" s="39" t="s">
        <v>218</v>
      </c>
      <c r="C125" s="39" t="s">
        <v>200</v>
      </c>
      <c r="D125" s="39">
        <v>150</v>
      </c>
      <c r="E125" s="39" t="s">
        <v>895</v>
      </c>
      <c r="F125" s="39" t="s">
        <v>219</v>
      </c>
      <c r="G125" s="39" t="s">
        <v>220</v>
      </c>
      <c r="H125" s="39"/>
      <c r="I125" s="39">
        <v>17811</v>
      </c>
      <c r="J125" s="39">
        <v>17929</v>
      </c>
      <c r="K125" s="39">
        <v>18162</v>
      </c>
      <c r="L125" s="39">
        <v>18376</v>
      </c>
      <c r="M125" s="39">
        <v>18569</v>
      </c>
      <c r="N125" s="39">
        <v>18756</v>
      </c>
      <c r="O125" s="39">
        <v>18875</v>
      </c>
      <c r="P125" s="39"/>
      <c r="Q125" s="39"/>
      <c r="R125" s="39"/>
      <c r="S125" s="39"/>
      <c r="T125" s="39"/>
      <c r="U125" s="39"/>
      <c r="V125" s="39"/>
      <c r="W125" s="39"/>
      <c r="X125" s="39">
        <v>118</v>
      </c>
      <c r="Y125" s="39">
        <v>233</v>
      </c>
      <c r="Z125" s="39">
        <v>214</v>
      </c>
      <c r="AA125" s="39">
        <v>193</v>
      </c>
      <c r="AB125" s="39">
        <v>187</v>
      </c>
      <c r="AC125" s="39">
        <v>119</v>
      </c>
      <c r="AD125" s="39" t="s">
        <v>734</v>
      </c>
      <c r="AE125" s="39" t="s">
        <v>734</v>
      </c>
      <c r="AF125" s="39" t="s">
        <v>734</v>
      </c>
      <c r="AG125" s="39" t="s">
        <v>734</v>
      </c>
      <c r="AH125" s="39" t="s">
        <v>734</v>
      </c>
      <c r="AI125" s="48" t="s">
        <v>734</v>
      </c>
      <c r="AJ125" s="48">
        <f t="shared" si="10"/>
        <v>1064</v>
      </c>
    </row>
    <row r="126" spans="1:36" x14ac:dyDescent="0.2">
      <c r="A126" s="22"/>
      <c r="B126" s="39"/>
      <c r="C126" s="39"/>
      <c r="D126" s="39"/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39"/>
      <c r="P126" s="39"/>
      <c r="Q126" s="39"/>
      <c r="R126" s="39"/>
      <c r="S126" s="39"/>
      <c r="T126" s="39"/>
      <c r="U126" s="39"/>
      <c r="V126" s="39"/>
      <c r="W126" s="39"/>
      <c r="X126" s="39"/>
      <c r="Y126" s="39"/>
      <c r="Z126" s="39"/>
      <c r="AA126" s="39"/>
      <c r="AB126" s="39"/>
      <c r="AC126" s="39"/>
      <c r="AD126" s="39"/>
      <c r="AE126" s="39"/>
      <c r="AF126" s="39"/>
      <c r="AG126" s="39"/>
      <c r="AH126" s="39"/>
      <c r="AI126" s="48"/>
      <c r="AJ126" s="48">
        <f t="shared" si="10"/>
        <v>0</v>
      </c>
    </row>
    <row r="127" spans="1:36" x14ac:dyDescent="0.2">
      <c r="A127" s="22"/>
      <c r="B127" s="39"/>
      <c r="C127" s="39"/>
      <c r="D127" s="39"/>
      <c r="E127" s="39"/>
      <c r="F127" s="39"/>
      <c r="G127" s="27"/>
      <c r="H127" s="27"/>
      <c r="I127" s="27"/>
      <c r="J127" s="27"/>
      <c r="K127" s="27"/>
      <c r="L127" s="27"/>
      <c r="M127" s="27"/>
      <c r="N127" s="27"/>
      <c r="O127" s="27"/>
      <c r="P127" s="27"/>
      <c r="Q127" s="27"/>
      <c r="R127" s="27"/>
      <c r="S127" s="27"/>
      <c r="T127" s="27"/>
      <c r="U127" s="27"/>
      <c r="V127" s="27"/>
      <c r="W127" s="27"/>
      <c r="X127" s="173"/>
      <c r="Y127" s="173"/>
      <c r="Z127" s="173"/>
      <c r="AA127" s="173"/>
      <c r="AB127" s="173"/>
      <c r="AC127" s="173"/>
      <c r="AD127" s="173"/>
      <c r="AE127" s="173"/>
      <c r="AF127" s="173"/>
      <c r="AG127" s="173"/>
      <c r="AH127" s="173"/>
      <c r="AI127" s="48"/>
      <c r="AJ127" s="48">
        <f t="shared" si="10"/>
        <v>0</v>
      </c>
    </row>
    <row r="128" spans="1:36" s="32" customFormat="1" x14ac:dyDescent="0.2">
      <c r="A128" s="640" t="s">
        <v>516</v>
      </c>
      <c r="B128" s="640"/>
      <c r="C128" s="640"/>
      <c r="D128" s="640"/>
      <c r="E128" s="233"/>
      <c r="F128" s="37"/>
      <c r="G128" s="37">
        <f>SUMIFS(G115:G127,G115:G127,"&gt;0",G115:G127,"&lt;1999999")</f>
        <v>0</v>
      </c>
      <c r="H128" s="37">
        <f>SUMIFS(H115:H127,H115:H127,"&gt;0",H115:H127,"&lt;1999999")</f>
        <v>0</v>
      </c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171"/>
      <c r="X128" s="171">
        <f>SUMIFS(X115:X127,X115:X127,"&gt;0",X115:X127,"&lt;1999999")</f>
        <v>44447</v>
      </c>
      <c r="Y128" s="171">
        <f t="shared" ref="Y128:AH128" si="11">SUMIFS(Y115:Y127,Y115:Y127,"&gt;0",Y115:Y127,"&lt;1999999")</f>
        <v>81169</v>
      </c>
      <c r="Z128" s="171">
        <f t="shared" si="11"/>
        <v>71996</v>
      </c>
      <c r="AA128" s="171">
        <f t="shared" si="11"/>
        <v>71659</v>
      </c>
      <c r="AB128" s="171">
        <f t="shared" si="11"/>
        <v>71702</v>
      </c>
      <c r="AC128" s="171">
        <f t="shared" si="11"/>
        <v>84840</v>
      </c>
      <c r="AD128" s="171">
        <f t="shared" si="11"/>
        <v>104973</v>
      </c>
      <c r="AE128" s="171">
        <f t="shared" si="11"/>
        <v>109766</v>
      </c>
      <c r="AF128" s="171">
        <f t="shared" si="11"/>
        <v>101313</v>
      </c>
      <c r="AG128" s="171">
        <f t="shared" si="11"/>
        <v>97915</v>
      </c>
      <c r="AH128" s="171">
        <f t="shared" si="11"/>
        <v>176048</v>
      </c>
      <c r="AI128" s="47">
        <f>SUM(AI115:AI127)</f>
        <v>81146</v>
      </c>
      <c r="AJ128" s="47">
        <f>SUM(AJ115:AJ127)</f>
        <v>1096974</v>
      </c>
    </row>
    <row r="129" spans="1:36" x14ac:dyDescent="0.2">
      <c r="A129" s="20"/>
      <c r="B129" s="39"/>
      <c r="C129" s="39"/>
      <c r="D129" s="39"/>
      <c r="E129" s="39"/>
      <c r="F129" s="40"/>
      <c r="G129" s="39"/>
      <c r="H129" s="39"/>
      <c r="I129" s="39"/>
      <c r="J129" s="39"/>
      <c r="K129" s="39"/>
      <c r="L129" s="39"/>
      <c r="M129" s="39"/>
      <c r="N129" s="39"/>
      <c r="O129" s="39"/>
      <c r="P129" s="39"/>
      <c r="Q129" s="39"/>
      <c r="R129" s="39"/>
      <c r="S129" s="39"/>
      <c r="T129" s="39"/>
      <c r="U129" s="39"/>
      <c r="V129" s="39"/>
      <c r="W129" s="173"/>
      <c r="X129" s="173"/>
      <c r="Y129" s="173"/>
      <c r="Z129" s="173"/>
      <c r="AA129" s="173"/>
      <c r="AB129" s="173"/>
      <c r="AC129" s="173"/>
      <c r="AD129" s="173"/>
      <c r="AE129" s="173"/>
      <c r="AF129" s="173"/>
      <c r="AG129" s="173"/>
      <c r="AH129" s="173"/>
    </row>
    <row r="130" spans="1:36" s="24" customFormat="1" x14ac:dyDescent="0.2">
      <c r="B130" s="39"/>
      <c r="C130" s="42"/>
      <c r="D130" s="42"/>
      <c r="E130" s="42"/>
      <c r="F130" s="38"/>
      <c r="G130" s="38"/>
      <c r="H130" s="38"/>
      <c r="I130" s="38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172"/>
      <c r="X130" s="172"/>
      <c r="Y130" s="172"/>
      <c r="Z130" s="172"/>
      <c r="AA130" s="172"/>
      <c r="AB130" s="172"/>
      <c r="AC130" s="172"/>
      <c r="AD130" s="172"/>
      <c r="AE130" s="172"/>
      <c r="AF130" s="172"/>
      <c r="AG130" s="172"/>
      <c r="AH130" s="172"/>
      <c r="AI130" s="44"/>
    </row>
    <row r="131" spans="1:36" s="24" customFormat="1" x14ac:dyDescent="0.2">
      <c r="B131" s="39"/>
      <c r="C131" s="42"/>
      <c r="D131" s="42"/>
      <c r="E131" s="42"/>
      <c r="F131" s="38"/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177"/>
      <c r="X131" s="177"/>
      <c r="Y131" s="177"/>
      <c r="Z131" s="177"/>
      <c r="AA131" s="177"/>
      <c r="AB131" s="177"/>
      <c r="AC131" s="177"/>
      <c r="AD131" s="177"/>
      <c r="AE131" s="177"/>
      <c r="AF131" s="177"/>
      <c r="AG131" s="177"/>
      <c r="AH131" s="177"/>
      <c r="AI131" s="44"/>
    </row>
    <row r="132" spans="1:36" s="55" customFormat="1" ht="15.75" x14ac:dyDescent="0.2">
      <c r="A132" s="238" t="s">
        <v>707</v>
      </c>
      <c r="B132" s="238"/>
      <c r="C132" s="238"/>
      <c r="D132" s="238"/>
      <c r="E132" s="59"/>
      <c r="F132" s="58"/>
      <c r="G132" s="59"/>
      <c r="H132" s="59"/>
      <c r="I132" s="59"/>
      <c r="J132" s="59"/>
      <c r="K132" s="59"/>
      <c r="L132" s="59"/>
      <c r="M132" s="59"/>
      <c r="N132" s="59"/>
      <c r="O132" s="59"/>
      <c r="P132" s="59"/>
      <c r="Q132" s="59"/>
      <c r="R132" s="59"/>
      <c r="S132" s="59"/>
      <c r="T132" s="59"/>
      <c r="U132" s="59"/>
      <c r="V132" s="59"/>
      <c r="W132" s="178"/>
      <c r="X132" s="178"/>
      <c r="Y132" s="178"/>
      <c r="Z132" s="178"/>
      <c r="AA132" s="178"/>
      <c r="AB132" s="178"/>
      <c r="AC132" s="178"/>
      <c r="AD132" s="178"/>
      <c r="AE132" s="178"/>
      <c r="AF132" s="178"/>
      <c r="AG132" s="178"/>
      <c r="AH132" s="178"/>
      <c r="AI132" s="45"/>
    </row>
    <row r="133" spans="1:36" s="24" customFormat="1" ht="15" x14ac:dyDescent="0.25">
      <c r="A133" s="28" t="s">
        <v>709</v>
      </c>
      <c r="B133" s="183"/>
      <c r="C133" s="42"/>
      <c r="D133" s="42"/>
      <c r="E133" s="42"/>
      <c r="F133" s="36"/>
      <c r="G133" s="36"/>
      <c r="H133" s="36"/>
      <c r="I133" s="36"/>
      <c r="J133" s="36"/>
      <c r="K133" s="36"/>
      <c r="L133" s="36"/>
      <c r="M133" s="36"/>
      <c r="N133" s="36"/>
      <c r="O133" s="36"/>
      <c r="P133" s="36"/>
      <c r="Q133" s="36" t="s">
        <v>474</v>
      </c>
      <c r="R133" s="36"/>
      <c r="S133" s="36"/>
      <c r="T133" s="36"/>
      <c r="U133" s="36"/>
      <c r="V133" s="36"/>
      <c r="W133" s="169"/>
      <c r="X133" s="169" t="s">
        <v>472</v>
      </c>
      <c r="Y133" s="169" t="s">
        <v>500</v>
      </c>
      <c r="Z133" s="169" t="s">
        <v>501</v>
      </c>
      <c r="AA133" s="169" t="s">
        <v>502</v>
      </c>
      <c r="AB133" s="169" t="s">
        <v>473</v>
      </c>
      <c r="AC133" s="169" t="s">
        <v>474</v>
      </c>
      <c r="AD133" s="169" t="s">
        <v>475</v>
      </c>
      <c r="AE133" s="169" t="s">
        <v>476</v>
      </c>
      <c r="AF133" s="169" t="s">
        <v>477</v>
      </c>
      <c r="AG133" s="169" t="s">
        <v>478</v>
      </c>
      <c r="AH133" s="169" t="s">
        <v>479</v>
      </c>
      <c r="AI133" s="46" t="s">
        <v>499</v>
      </c>
      <c r="AJ133" s="46" t="s">
        <v>685</v>
      </c>
    </row>
    <row r="134" spans="1:36" s="24" customFormat="1" ht="15" x14ac:dyDescent="0.25">
      <c r="A134" s="33" t="s">
        <v>686</v>
      </c>
      <c r="B134" s="184"/>
      <c r="C134" s="42"/>
      <c r="D134" s="42"/>
      <c r="E134" s="42"/>
      <c r="F134" s="42"/>
      <c r="K134" s="43"/>
      <c r="L134" s="43"/>
      <c r="M134" s="43"/>
      <c r="N134" s="43"/>
      <c r="O134" s="43"/>
      <c r="P134" s="43"/>
      <c r="R134" s="43"/>
      <c r="S134" s="43"/>
      <c r="T134" s="43"/>
      <c r="U134" s="43"/>
      <c r="V134" s="43"/>
      <c r="W134" s="174"/>
      <c r="X134" s="50">
        <v>12121</v>
      </c>
      <c r="Y134" s="50">
        <v>11339</v>
      </c>
      <c r="Z134" s="50">
        <v>12121</v>
      </c>
      <c r="AA134" s="50">
        <v>11730</v>
      </c>
      <c r="AB134" s="50">
        <v>12121</v>
      </c>
      <c r="AC134" s="50">
        <v>11730</v>
      </c>
      <c r="AD134" s="50">
        <v>12121</v>
      </c>
      <c r="AE134" s="50">
        <v>12121</v>
      </c>
      <c r="AF134" s="50">
        <v>11730</v>
      </c>
      <c r="AG134" s="50">
        <v>12121</v>
      </c>
      <c r="AH134" s="50">
        <v>11730</v>
      </c>
      <c r="AI134" s="50">
        <v>11730</v>
      </c>
      <c r="AJ134" s="48">
        <f t="shared" ref="AJ134:AJ140" si="12">SUMIFS(X134:AI134,X134:AI134,"&gt;0",X134:AI134,"&lt;9999999")</f>
        <v>142715</v>
      </c>
    </row>
    <row r="135" spans="1:36" s="24" customFormat="1" ht="15" x14ac:dyDescent="0.25">
      <c r="A135" s="56" t="s">
        <v>1360</v>
      </c>
      <c r="B135" s="185">
        <v>36</v>
      </c>
      <c r="C135" s="42"/>
      <c r="D135" s="42"/>
      <c r="E135" s="42"/>
      <c r="F135" s="42"/>
      <c r="K135" s="43"/>
      <c r="L135" s="43"/>
      <c r="M135" s="43"/>
      <c r="N135" s="43"/>
      <c r="O135" s="43"/>
      <c r="P135" s="43"/>
      <c r="R135" s="43"/>
      <c r="S135" s="43"/>
      <c r="T135" s="43"/>
      <c r="U135" s="43"/>
      <c r="V135" s="43"/>
      <c r="W135" s="174"/>
      <c r="X135" s="50">
        <v>0</v>
      </c>
      <c r="Y135" s="50">
        <v>0</v>
      </c>
      <c r="Z135" s="50">
        <v>0</v>
      </c>
      <c r="AA135" s="50">
        <v>0</v>
      </c>
      <c r="AB135" s="50">
        <v>0</v>
      </c>
      <c r="AC135" s="50">
        <v>0</v>
      </c>
      <c r="AD135" s="50">
        <v>0</v>
      </c>
      <c r="AE135" s="50">
        <v>0</v>
      </c>
      <c r="AF135" s="50">
        <v>0</v>
      </c>
      <c r="AG135" s="50">
        <v>0</v>
      </c>
      <c r="AH135" s="50">
        <v>0</v>
      </c>
      <c r="AI135" s="50">
        <v>0</v>
      </c>
      <c r="AJ135" s="48">
        <f t="shared" si="12"/>
        <v>0</v>
      </c>
    </row>
    <row r="136" spans="1:36" s="24" customFormat="1" ht="15" x14ac:dyDescent="0.25">
      <c r="A136" s="33"/>
      <c r="B136" s="184"/>
      <c r="C136" s="42"/>
      <c r="D136" s="42"/>
      <c r="E136" s="42"/>
      <c r="F136" s="42"/>
      <c r="K136" s="43"/>
      <c r="L136" s="43"/>
      <c r="M136" s="43"/>
      <c r="N136" s="43"/>
      <c r="O136" s="43"/>
      <c r="P136" s="43"/>
      <c r="R136" s="43"/>
      <c r="S136" s="43"/>
      <c r="T136" s="43"/>
      <c r="U136" s="43"/>
      <c r="V136" s="43"/>
      <c r="W136" s="174"/>
      <c r="X136" s="50">
        <v>0</v>
      </c>
      <c r="Y136" s="50">
        <v>0</v>
      </c>
      <c r="Z136" s="50">
        <v>0</v>
      </c>
      <c r="AA136" s="50">
        <v>0</v>
      </c>
      <c r="AB136" s="50">
        <v>0</v>
      </c>
      <c r="AC136" s="50">
        <v>0</v>
      </c>
      <c r="AD136" s="50">
        <v>0</v>
      </c>
      <c r="AE136" s="50">
        <v>0</v>
      </c>
      <c r="AF136" s="50">
        <v>0</v>
      </c>
      <c r="AG136" s="50">
        <v>0</v>
      </c>
      <c r="AH136" s="50">
        <v>0</v>
      </c>
      <c r="AI136" s="50">
        <v>0</v>
      </c>
      <c r="AJ136" s="48">
        <f t="shared" si="12"/>
        <v>0</v>
      </c>
    </row>
    <row r="137" spans="1:36" s="24" customFormat="1" ht="15" x14ac:dyDescent="0.25">
      <c r="A137" s="33"/>
      <c r="B137" s="184"/>
      <c r="C137" s="42"/>
      <c r="D137" s="42"/>
      <c r="E137" s="42"/>
      <c r="F137" s="42"/>
      <c r="K137" s="43"/>
      <c r="L137" s="43"/>
      <c r="M137" s="43"/>
      <c r="N137" s="43"/>
      <c r="O137" s="43"/>
      <c r="P137" s="43"/>
      <c r="R137" s="43"/>
      <c r="S137" s="43"/>
      <c r="T137" s="43"/>
      <c r="U137" s="43"/>
      <c r="V137" s="43"/>
      <c r="W137" s="174"/>
      <c r="X137" s="50">
        <v>0</v>
      </c>
      <c r="Y137" s="50">
        <v>0</v>
      </c>
      <c r="Z137" s="50">
        <v>0</v>
      </c>
      <c r="AA137" s="50">
        <v>0</v>
      </c>
      <c r="AB137" s="50">
        <v>0</v>
      </c>
      <c r="AC137" s="50">
        <v>0</v>
      </c>
      <c r="AD137" s="50">
        <v>0</v>
      </c>
      <c r="AE137" s="50">
        <v>0</v>
      </c>
      <c r="AF137" s="50">
        <v>0</v>
      </c>
      <c r="AG137" s="50">
        <v>0</v>
      </c>
      <c r="AH137" s="50">
        <v>0</v>
      </c>
      <c r="AI137" s="50">
        <v>0</v>
      </c>
      <c r="AJ137" s="48">
        <f t="shared" si="12"/>
        <v>0</v>
      </c>
    </row>
    <row r="138" spans="1:36" s="24" customFormat="1" ht="15" x14ac:dyDescent="0.25">
      <c r="A138" s="56"/>
      <c r="B138" s="185"/>
      <c r="C138" s="42"/>
      <c r="D138" s="42"/>
      <c r="E138" s="42"/>
      <c r="F138" s="42"/>
      <c r="K138" s="43"/>
      <c r="L138" s="43"/>
      <c r="M138" s="43"/>
      <c r="N138" s="43"/>
      <c r="O138" s="43"/>
      <c r="P138" s="43"/>
      <c r="R138" s="43"/>
      <c r="S138" s="43"/>
      <c r="T138" s="43"/>
      <c r="U138" s="43"/>
      <c r="V138" s="43"/>
      <c r="W138" s="174"/>
      <c r="X138" s="50">
        <v>0</v>
      </c>
      <c r="Y138" s="50">
        <v>0</v>
      </c>
      <c r="Z138" s="50">
        <v>0</v>
      </c>
      <c r="AA138" s="50">
        <v>0</v>
      </c>
      <c r="AB138" s="50">
        <v>0</v>
      </c>
      <c r="AC138" s="50">
        <v>0</v>
      </c>
      <c r="AD138" s="50">
        <v>0</v>
      </c>
      <c r="AE138" s="50">
        <v>0</v>
      </c>
      <c r="AF138" s="50">
        <v>0</v>
      </c>
      <c r="AG138" s="50">
        <v>0</v>
      </c>
      <c r="AH138" s="50">
        <v>0</v>
      </c>
      <c r="AI138" s="50">
        <v>0</v>
      </c>
      <c r="AJ138" s="48">
        <f t="shared" si="12"/>
        <v>0</v>
      </c>
    </row>
    <row r="139" spans="1:36" s="24" customFormat="1" ht="15" x14ac:dyDescent="0.25">
      <c r="A139" s="33"/>
      <c r="B139" s="184"/>
      <c r="C139" s="42"/>
      <c r="D139" s="42"/>
      <c r="E139" s="42"/>
      <c r="F139" s="42"/>
      <c r="K139" s="43"/>
      <c r="L139" s="43"/>
      <c r="M139" s="43"/>
      <c r="N139" s="43"/>
      <c r="O139" s="43"/>
      <c r="P139" s="43"/>
      <c r="R139" s="43"/>
      <c r="S139" s="43"/>
      <c r="T139" s="43"/>
      <c r="U139" s="43"/>
      <c r="V139" s="43"/>
      <c r="W139" s="174"/>
      <c r="X139" s="50">
        <v>0</v>
      </c>
      <c r="Y139" s="50">
        <v>0</v>
      </c>
      <c r="Z139" s="50">
        <v>0</v>
      </c>
      <c r="AA139" s="50">
        <v>0</v>
      </c>
      <c r="AB139" s="50">
        <v>0</v>
      </c>
      <c r="AC139" s="50">
        <v>0</v>
      </c>
      <c r="AD139" s="50">
        <v>0</v>
      </c>
      <c r="AE139" s="50">
        <v>0</v>
      </c>
      <c r="AF139" s="50">
        <v>0</v>
      </c>
      <c r="AG139" s="50">
        <v>0</v>
      </c>
      <c r="AH139" s="50">
        <v>0</v>
      </c>
      <c r="AI139" s="50">
        <v>0</v>
      </c>
      <c r="AJ139" s="48">
        <f t="shared" si="12"/>
        <v>0</v>
      </c>
    </row>
    <row r="140" spans="1:36" s="24" customFormat="1" ht="15" x14ac:dyDescent="0.25">
      <c r="A140" s="57"/>
      <c r="B140" s="186"/>
      <c r="C140" s="42"/>
      <c r="D140" s="42"/>
      <c r="E140" s="42"/>
      <c r="F140" s="42"/>
      <c r="K140" s="43"/>
      <c r="L140" s="43"/>
      <c r="M140" s="43"/>
      <c r="N140" s="43"/>
      <c r="O140" s="43"/>
      <c r="P140" s="43"/>
      <c r="R140" s="43"/>
      <c r="S140" s="43"/>
      <c r="T140" s="43"/>
      <c r="U140" s="43"/>
      <c r="V140" s="43"/>
      <c r="W140" s="174"/>
      <c r="X140" s="50">
        <v>0</v>
      </c>
      <c r="Y140" s="50">
        <v>0</v>
      </c>
      <c r="Z140" s="50">
        <v>0</v>
      </c>
      <c r="AA140" s="50">
        <v>0</v>
      </c>
      <c r="AB140" s="50">
        <v>0</v>
      </c>
      <c r="AC140" s="50">
        <v>0</v>
      </c>
      <c r="AD140" s="50">
        <v>0</v>
      </c>
      <c r="AE140" s="50">
        <v>0</v>
      </c>
      <c r="AF140" s="50">
        <v>0</v>
      </c>
      <c r="AG140" s="50">
        <v>0</v>
      </c>
      <c r="AH140" s="50">
        <v>0</v>
      </c>
      <c r="AI140" s="50">
        <v>0</v>
      </c>
      <c r="AJ140" s="48">
        <f t="shared" si="12"/>
        <v>0</v>
      </c>
    </row>
    <row r="141" spans="1:36" s="32" customFormat="1" x14ac:dyDescent="0.2">
      <c r="A141" s="640" t="s">
        <v>708</v>
      </c>
      <c r="B141" s="640"/>
      <c r="C141" s="640"/>
      <c r="D141" s="640"/>
      <c r="E141" s="233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171"/>
      <c r="X141" s="171">
        <f>+X128+X110+X67+X47+X22</f>
        <v>261807</v>
      </c>
      <c r="Y141" s="171">
        <f t="shared" ref="Y141:AJ141" si="13">SUMIFS(Y134:Y140,Y134:Y140,"&gt;0",Y134:Y140,"&lt;1999999")</f>
        <v>11339</v>
      </c>
      <c r="Z141" s="171">
        <f t="shared" si="13"/>
        <v>12121</v>
      </c>
      <c r="AA141" s="171">
        <f t="shared" si="13"/>
        <v>11730</v>
      </c>
      <c r="AB141" s="171">
        <f t="shared" si="13"/>
        <v>12121</v>
      </c>
      <c r="AC141" s="171">
        <f t="shared" si="13"/>
        <v>11730</v>
      </c>
      <c r="AD141" s="171">
        <f t="shared" si="13"/>
        <v>12121</v>
      </c>
      <c r="AE141" s="171">
        <f t="shared" si="13"/>
        <v>12121</v>
      </c>
      <c r="AF141" s="171">
        <f t="shared" si="13"/>
        <v>11730</v>
      </c>
      <c r="AG141" s="171">
        <f t="shared" si="13"/>
        <v>12121</v>
      </c>
      <c r="AH141" s="171">
        <f t="shared" si="13"/>
        <v>11730</v>
      </c>
      <c r="AI141" s="37">
        <f t="shared" si="13"/>
        <v>11730</v>
      </c>
      <c r="AJ141" s="37">
        <f t="shared" si="13"/>
        <v>142715</v>
      </c>
    </row>
    <row r="142" spans="1:36" s="24" customFormat="1" ht="15" x14ac:dyDescent="0.25">
      <c r="B142" s="187"/>
      <c r="C142" s="42"/>
      <c r="D142" s="42"/>
      <c r="E142" s="42"/>
      <c r="F142" s="255"/>
      <c r="G142" s="51"/>
      <c r="H142" s="51"/>
      <c r="I142" s="51"/>
      <c r="J142" s="51"/>
      <c r="K142" s="51"/>
      <c r="L142" s="51"/>
      <c r="M142" s="51"/>
      <c r="N142" s="51"/>
      <c r="O142" s="51"/>
      <c r="P142" s="51"/>
      <c r="Q142" s="51"/>
      <c r="R142" s="51"/>
      <c r="S142" s="51"/>
      <c r="T142" s="51"/>
      <c r="U142" s="51"/>
      <c r="V142" s="51"/>
      <c r="W142" s="179"/>
      <c r="X142" s="182"/>
      <c r="Y142" s="182"/>
      <c r="Z142" s="182"/>
      <c r="AA142" s="182"/>
      <c r="AB142" s="182"/>
      <c r="AC142" s="182"/>
      <c r="AD142" s="182"/>
      <c r="AE142" s="182"/>
      <c r="AF142" s="182"/>
      <c r="AG142" s="182"/>
      <c r="AH142" s="182"/>
      <c r="AI142" s="54"/>
    </row>
    <row r="143" spans="1:36" s="78" customFormat="1" x14ac:dyDescent="0.2">
      <c r="A143" s="641"/>
      <c r="B143" s="641"/>
      <c r="C143" s="641"/>
      <c r="D143" s="641"/>
      <c r="E143" s="234"/>
      <c r="F143" s="76"/>
      <c r="G143" s="76"/>
      <c r="H143" s="76"/>
      <c r="I143" s="76"/>
      <c r="J143" s="76"/>
      <c r="K143" s="76"/>
      <c r="L143" s="76"/>
      <c r="M143" s="76"/>
      <c r="N143" s="76"/>
      <c r="O143" s="76"/>
      <c r="P143" s="76"/>
      <c r="Q143" s="76"/>
      <c r="R143" s="76"/>
      <c r="S143" s="76"/>
      <c r="T143" s="76"/>
      <c r="U143" s="76"/>
      <c r="V143" s="76"/>
      <c r="W143" s="180"/>
      <c r="X143" s="180">
        <f t="shared" ref="X143:AI143" si="14">X141+X128+X110+X67+X47+X22</f>
        <v>523614</v>
      </c>
      <c r="Y143" s="180">
        <f t="shared" si="14"/>
        <v>473860</v>
      </c>
      <c r="Z143" s="180">
        <f t="shared" si="14"/>
        <v>437996</v>
      </c>
      <c r="AA143" s="180">
        <f t="shared" si="14"/>
        <v>438676.57999999996</v>
      </c>
      <c r="AB143" s="180">
        <f t="shared" si="14"/>
        <v>395218</v>
      </c>
      <c r="AC143" s="180">
        <f t="shared" si="14"/>
        <v>494867</v>
      </c>
      <c r="AD143" s="180">
        <f t="shared" si="14"/>
        <v>513603</v>
      </c>
      <c r="AE143" s="180">
        <f t="shared" si="14"/>
        <v>563435</v>
      </c>
      <c r="AF143" s="180">
        <f t="shared" si="14"/>
        <v>539858</v>
      </c>
      <c r="AG143" s="180">
        <f t="shared" si="14"/>
        <v>467104</v>
      </c>
      <c r="AH143" s="180">
        <f t="shared" si="14"/>
        <v>544702</v>
      </c>
      <c r="AI143" s="180">
        <f t="shared" si="14"/>
        <v>476243</v>
      </c>
      <c r="AJ143" s="180">
        <f t="shared" ref="AJ143" si="15">AJ141+AJ128+AJ110+AJ67+AJ47+AJ22</f>
        <v>5613606.5800000001</v>
      </c>
    </row>
    <row r="144" spans="1:36" x14ac:dyDescent="0.2">
      <c r="A144" s="24"/>
      <c r="B144" s="42"/>
    </row>
    <row r="145" spans="1:36" s="24" customFormat="1" x14ac:dyDescent="0.2">
      <c r="B145" s="42"/>
      <c r="C145" s="42"/>
      <c r="D145" s="42"/>
      <c r="E145" s="42"/>
      <c r="F145" s="42"/>
      <c r="G145" s="42"/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177"/>
      <c r="X145" s="177"/>
      <c r="Y145" s="177"/>
      <c r="Z145" s="177"/>
      <c r="AA145" s="177"/>
      <c r="AB145" s="177"/>
      <c r="AC145" s="177"/>
      <c r="AD145" s="177"/>
      <c r="AE145" s="177"/>
      <c r="AF145" s="177"/>
      <c r="AG145" s="177"/>
      <c r="AH145" s="177"/>
      <c r="AI145" s="44"/>
    </row>
    <row r="146" spans="1:36" ht="21" x14ac:dyDescent="0.35">
      <c r="A146" s="642"/>
      <c r="B146" s="642"/>
      <c r="C146" s="642"/>
      <c r="D146" s="642"/>
    </row>
    <row r="148" spans="1:36" ht="15.75" x14ac:dyDescent="0.2">
      <c r="A148" s="238"/>
      <c r="B148" s="238"/>
      <c r="C148" s="238"/>
      <c r="D148" s="238"/>
      <c r="E148" s="231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168"/>
      <c r="X148" s="168"/>
      <c r="Y148" s="168"/>
      <c r="Z148" s="168"/>
      <c r="AA148" s="168"/>
      <c r="AB148" s="168"/>
      <c r="AC148" s="168"/>
      <c r="AD148" s="168"/>
      <c r="AE148" s="168"/>
      <c r="AF148" s="168"/>
      <c r="AG148" s="168"/>
      <c r="AH148" s="168"/>
      <c r="AI148" s="45"/>
      <c r="AJ148" s="45"/>
    </row>
    <row r="149" spans="1:36" ht="15" x14ac:dyDescent="0.25">
      <c r="A149" s="28"/>
      <c r="B149" s="183" t="s">
        <v>18</v>
      </c>
      <c r="C149" s="183" t="s">
        <v>0</v>
      </c>
      <c r="D149" s="183" t="s">
        <v>710</v>
      </c>
      <c r="E149" s="232" t="s">
        <v>1</v>
      </c>
      <c r="F149" s="36" t="s">
        <v>2</v>
      </c>
      <c r="G149" s="36" t="s">
        <v>3</v>
      </c>
      <c r="H149" s="36" t="s">
        <v>4</v>
      </c>
      <c r="I149" s="36" t="s">
        <v>1100</v>
      </c>
      <c r="J149" s="36" t="s">
        <v>1050</v>
      </c>
      <c r="K149" s="36" t="s">
        <v>1101</v>
      </c>
      <c r="L149" s="36" t="s">
        <v>1102</v>
      </c>
      <c r="M149" s="36" t="s">
        <v>1103</v>
      </c>
      <c r="N149" s="36" t="s">
        <v>1104</v>
      </c>
      <c r="O149" s="36" t="s">
        <v>1105</v>
      </c>
      <c r="P149" s="36" t="s">
        <v>1106</v>
      </c>
      <c r="Q149" s="36" t="s">
        <v>1107</v>
      </c>
      <c r="R149" s="36" t="s">
        <v>1108</v>
      </c>
      <c r="S149" s="36" t="s">
        <v>1109</v>
      </c>
      <c r="T149" s="36" t="s">
        <v>1110</v>
      </c>
      <c r="U149" s="36" t="s">
        <v>1111</v>
      </c>
      <c r="V149" s="36" t="s">
        <v>1112</v>
      </c>
      <c r="W149" s="169" t="s">
        <v>756</v>
      </c>
      <c r="X149" s="169" t="s">
        <v>488</v>
      </c>
      <c r="Y149" s="169" t="s">
        <v>489</v>
      </c>
      <c r="Z149" s="169" t="s">
        <v>490</v>
      </c>
      <c r="AA149" s="169" t="s">
        <v>491</v>
      </c>
      <c r="AB149" s="169" t="s">
        <v>492</v>
      </c>
      <c r="AC149" s="169" t="s">
        <v>493</v>
      </c>
      <c r="AD149" s="169" t="s">
        <v>494</v>
      </c>
      <c r="AE149" s="169" t="s">
        <v>495</v>
      </c>
      <c r="AF149" s="169" t="s">
        <v>496</v>
      </c>
      <c r="AG149" s="169" t="s">
        <v>497</v>
      </c>
      <c r="AH149" s="169" t="s">
        <v>498</v>
      </c>
      <c r="AI149" s="46" t="s">
        <v>499</v>
      </c>
      <c r="AJ149" s="46" t="s">
        <v>685</v>
      </c>
    </row>
    <row r="150" spans="1:36" x14ac:dyDescent="0.2">
      <c r="A150" s="29"/>
      <c r="B150" s="39">
        <v>5355250</v>
      </c>
      <c r="C150" s="39" t="s">
        <v>535</v>
      </c>
      <c r="D150" s="39">
        <v>2</v>
      </c>
      <c r="E150" s="232" t="s">
        <v>536</v>
      </c>
      <c r="F150" s="39"/>
      <c r="G150" s="39"/>
      <c r="H150" s="39"/>
      <c r="I150" s="39">
        <v>14113</v>
      </c>
      <c r="J150" s="39">
        <v>14113</v>
      </c>
      <c r="K150" s="39">
        <v>14115</v>
      </c>
      <c r="L150" s="39">
        <v>14162</v>
      </c>
      <c r="M150" s="39">
        <v>14209</v>
      </c>
      <c r="N150" s="39">
        <v>14259</v>
      </c>
      <c r="O150" s="39">
        <v>14303</v>
      </c>
      <c r="P150" s="39">
        <v>14339</v>
      </c>
      <c r="Q150" s="39">
        <v>14386</v>
      </c>
      <c r="R150" s="39">
        <v>14398</v>
      </c>
      <c r="S150" s="39">
        <v>14409</v>
      </c>
      <c r="T150" s="39">
        <v>14447</v>
      </c>
      <c r="U150" s="39">
        <v>14518</v>
      </c>
      <c r="V150" s="39"/>
      <c r="W150" s="39"/>
      <c r="X150" s="39">
        <v>0</v>
      </c>
      <c r="Y150" s="39">
        <v>40</v>
      </c>
      <c r="Z150" s="39">
        <v>940</v>
      </c>
      <c r="AA150" s="39">
        <v>940</v>
      </c>
      <c r="AB150" s="39">
        <v>1000</v>
      </c>
      <c r="AC150" s="39">
        <v>880</v>
      </c>
      <c r="AD150" s="39">
        <v>720</v>
      </c>
      <c r="AE150" s="39">
        <v>940</v>
      </c>
      <c r="AF150" s="39">
        <v>240</v>
      </c>
      <c r="AG150" s="39">
        <v>220</v>
      </c>
      <c r="AH150" s="39">
        <v>760</v>
      </c>
      <c r="AI150" s="39">
        <v>1420</v>
      </c>
      <c r="AJ150" s="48">
        <f t="shared" ref="AJ150:AJ195" si="16">SUMIFS(X150:AI150,X150:AI150,"&gt;0",X150:AI150,"&lt;9999999")</f>
        <v>8100</v>
      </c>
    </row>
    <row r="151" spans="1:36" x14ac:dyDescent="0.2">
      <c r="A151" s="29"/>
      <c r="B151" s="39">
        <v>5355251</v>
      </c>
      <c r="C151" s="39" t="s">
        <v>537</v>
      </c>
      <c r="D151" s="39">
        <v>2</v>
      </c>
      <c r="E151" s="232" t="s">
        <v>538</v>
      </c>
      <c r="F151" s="39"/>
      <c r="G151" s="39"/>
      <c r="H151" s="39"/>
      <c r="I151" s="39">
        <v>17089</v>
      </c>
      <c r="J151" s="39">
        <v>17089</v>
      </c>
      <c r="K151" s="39">
        <v>17089</v>
      </c>
      <c r="L151" s="39">
        <v>17089</v>
      </c>
      <c r="M151" s="39">
        <v>17089</v>
      </c>
      <c r="N151" s="39">
        <v>17089</v>
      </c>
      <c r="O151" s="39">
        <v>17089</v>
      </c>
      <c r="P151" s="39">
        <v>17089</v>
      </c>
      <c r="Q151" s="39">
        <v>17089</v>
      </c>
      <c r="R151" s="39">
        <v>17089</v>
      </c>
      <c r="S151" s="39">
        <v>17089</v>
      </c>
      <c r="T151" s="39">
        <v>17089</v>
      </c>
      <c r="U151" s="39">
        <v>17089</v>
      </c>
      <c r="V151" s="39"/>
      <c r="W151" s="39"/>
      <c r="X151" s="39">
        <v>0</v>
      </c>
      <c r="Y151" s="39">
        <v>0</v>
      </c>
      <c r="Z151" s="39">
        <v>0</v>
      </c>
      <c r="AA151" s="39">
        <v>0</v>
      </c>
      <c r="AB151" s="39">
        <v>0</v>
      </c>
      <c r="AC151" s="39">
        <v>0</v>
      </c>
      <c r="AD151" s="39">
        <v>0</v>
      </c>
      <c r="AE151" s="39">
        <v>0</v>
      </c>
      <c r="AF151" s="39">
        <v>0</v>
      </c>
      <c r="AG151" s="39">
        <v>0</v>
      </c>
      <c r="AH151" s="39">
        <v>0</v>
      </c>
      <c r="AI151" s="39">
        <v>0</v>
      </c>
      <c r="AJ151" s="48">
        <f t="shared" si="16"/>
        <v>0</v>
      </c>
    </row>
    <row r="152" spans="1:36" x14ac:dyDescent="0.2">
      <c r="A152" s="29"/>
      <c r="B152" s="39">
        <v>5356223</v>
      </c>
      <c r="C152" s="39" t="s">
        <v>539</v>
      </c>
      <c r="D152" s="39">
        <v>2</v>
      </c>
      <c r="E152" s="232" t="s">
        <v>540</v>
      </c>
      <c r="F152" s="39"/>
      <c r="G152" s="39"/>
      <c r="H152" s="39"/>
      <c r="I152" s="39">
        <v>6411</v>
      </c>
      <c r="J152" s="39">
        <v>6411</v>
      </c>
      <c r="K152" s="39">
        <v>6411</v>
      </c>
      <c r="L152" s="39">
        <v>6411</v>
      </c>
      <c r="M152" s="39">
        <v>6411</v>
      </c>
      <c r="N152" s="39">
        <v>6411</v>
      </c>
      <c r="O152" s="39">
        <v>6411</v>
      </c>
      <c r="P152" s="39">
        <v>6411</v>
      </c>
      <c r="Q152" s="39">
        <v>6411</v>
      </c>
      <c r="R152" s="39">
        <v>6411</v>
      </c>
      <c r="S152" s="39">
        <v>6411</v>
      </c>
      <c r="T152" s="39"/>
      <c r="U152" s="39"/>
      <c r="V152" s="39"/>
      <c r="W152" s="39"/>
      <c r="X152" s="39">
        <v>0</v>
      </c>
      <c r="Y152" s="39">
        <v>0</v>
      </c>
      <c r="Z152" s="39">
        <v>0</v>
      </c>
      <c r="AA152" s="39">
        <v>0</v>
      </c>
      <c r="AB152" s="39">
        <v>0</v>
      </c>
      <c r="AC152" s="39">
        <v>0</v>
      </c>
      <c r="AD152" s="39">
        <v>0</v>
      </c>
      <c r="AE152" s="39">
        <v>0</v>
      </c>
      <c r="AF152" s="39">
        <v>0</v>
      </c>
      <c r="AG152" s="39">
        <v>0</v>
      </c>
      <c r="AH152" s="39" t="s">
        <v>734</v>
      </c>
      <c r="AI152" s="39" t="s">
        <v>734</v>
      </c>
      <c r="AJ152" s="48">
        <f t="shared" si="16"/>
        <v>0</v>
      </c>
    </row>
    <row r="153" spans="1:36" x14ac:dyDescent="0.2">
      <c r="A153" s="29"/>
      <c r="B153" s="39">
        <v>17070</v>
      </c>
      <c r="C153" s="39" t="s">
        <v>541</v>
      </c>
      <c r="D153" s="39">
        <v>2</v>
      </c>
      <c r="E153" s="232" t="s">
        <v>557</v>
      </c>
      <c r="F153" s="39"/>
      <c r="G153" s="39" t="s">
        <v>65</v>
      </c>
      <c r="H153" s="39" t="s">
        <v>869</v>
      </c>
      <c r="I153" s="39"/>
      <c r="J153" s="39"/>
      <c r="K153" s="39"/>
      <c r="L153" s="39"/>
      <c r="M153" s="39"/>
      <c r="N153" s="39"/>
      <c r="O153" s="39"/>
      <c r="P153" s="39">
        <v>0</v>
      </c>
      <c r="Q153" s="39"/>
      <c r="R153" s="39">
        <v>139</v>
      </c>
      <c r="S153" s="39">
        <v>139</v>
      </c>
      <c r="T153" s="39">
        <v>140</v>
      </c>
      <c r="U153" s="39">
        <v>140</v>
      </c>
      <c r="V153" s="39"/>
      <c r="W153" s="39"/>
      <c r="X153" s="39" t="s">
        <v>734</v>
      </c>
      <c r="Y153" s="39" t="s">
        <v>734</v>
      </c>
      <c r="Z153" s="39" t="s">
        <v>734</v>
      </c>
      <c r="AA153" s="39" t="s">
        <v>734</v>
      </c>
      <c r="AB153" s="39" t="s">
        <v>734</v>
      </c>
      <c r="AC153" s="39" t="s">
        <v>734</v>
      </c>
      <c r="AD153" s="39" t="s">
        <v>734</v>
      </c>
      <c r="AE153" s="39" t="s">
        <v>734</v>
      </c>
      <c r="AF153" s="39" t="s">
        <v>734</v>
      </c>
      <c r="AG153" s="39">
        <v>0</v>
      </c>
      <c r="AH153" s="39">
        <v>1</v>
      </c>
      <c r="AI153" s="39">
        <v>0</v>
      </c>
      <c r="AJ153" s="48">
        <f t="shared" si="16"/>
        <v>1</v>
      </c>
    </row>
    <row r="154" spans="1:36" x14ac:dyDescent="0.2">
      <c r="A154" s="29"/>
      <c r="B154" s="39">
        <v>62079903</v>
      </c>
      <c r="C154" s="39" t="s">
        <v>541</v>
      </c>
      <c r="D154" s="39">
        <v>2</v>
      </c>
      <c r="E154" s="232" t="s">
        <v>1174</v>
      </c>
      <c r="F154" s="39" t="s">
        <v>1173</v>
      </c>
      <c r="G154" s="39"/>
      <c r="H154" s="39"/>
      <c r="I154" s="39"/>
      <c r="J154" s="39"/>
      <c r="K154" s="39">
        <v>54</v>
      </c>
      <c r="L154" s="39"/>
      <c r="M154" s="39"/>
      <c r="N154" s="39"/>
      <c r="O154" s="39"/>
      <c r="P154" s="39">
        <v>0</v>
      </c>
      <c r="Q154" s="39"/>
      <c r="R154" s="39"/>
      <c r="S154" s="39">
        <v>0</v>
      </c>
      <c r="T154" s="39">
        <v>0</v>
      </c>
      <c r="U154" s="39">
        <v>0</v>
      </c>
      <c r="V154" s="39"/>
      <c r="W154" s="39"/>
      <c r="X154" s="39" t="s">
        <v>734</v>
      </c>
      <c r="Y154" s="39" t="s">
        <v>734</v>
      </c>
      <c r="Z154" s="39" t="s">
        <v>734</v>
      </c>
      <c r="AA154" s="39" t="s">
        <v>734</v>
      </c>
      <c r="AB154" s="39" t="s">
        <v>734</v>
      </c>
      <c r="AC154" s="39" t="s">
        <v>734</v>
      </c>
      <c r="AD154" s="39" t="s">
        <v>734</v>
      </c>
      <c r="AE154" s="39" t="s">
        <v>734</v>
      </c>
      <c r="AF154" s="39" t="s">
        <v>734</v>
      </c>
      <c r="AG154" s="39" t="s">
        <v>734</v>
      </c>
      <c r="AH154" s="39">
        <v>0</v>
      </c>
      <c r="AI154" s="39">
        <v>0</v>
      </c>
      <c r="AJ154" s="48">
        <f t="shared" si="16"/>
        <v>0</v>
      </c>
    </row>
    <row r="155" spans="1:36" x14ac:dyDescent="0.2">
      <c r="A155" s="29"/>
      <c r="B155" s="39" t="s">
        <v>1141</v>
      </c>
      <c r="C155" s="39" t="s">
        <v>541</v>
      </c>
      <c r="D155" s="39">
        <v>2</v>
      </c>
      <c r="E155" s="232" t="s">
        <v>554</v>
      </c>
      <c r="F155" s="39" t="s">
        <v>555</v>
      </c>
      <c r="G155" s="39" t="s">
        <v>1142</v>
      </c>
      <c r="H155" s="39"/>
      <c r="I155" s="39">
        <v>79</v>
      </c>
      <c r="J155" s="39">
        <v>79</v>
      </c>
      <c r="K155" s="39">
        <v>79</v>
      </c>
      <c r="L155" s="39">
        <v>79</v>
      </c>
      <c r="M155" s="39">
        <v>79</v>
      </c>
      <c r="N155" s="39">
        <v>79</v>
      </c>
      <c r="O155" s="39">
        <v>79</v>
      </c>
      <c r="P155" s="39">
        <v>79</v>
      </c>
      <c r="Q155" s="39">
        <v>79</v>
      </c>
      <c r="R155" s="39">
        <v>79</v>
      </c>
      <c r="S155" s="39">
        <v>79</v>
      </c>
      <c r="T155" s="39"/>
      <c r="U155" s="39"/>
      <c r="V155" s="39"/>
      <c r="W155" s="39"/>
      <c r="X155" s="39">
        <v>0</v>
      </c>
      <c r="Y155" s="39">
        <v>0</v>
      </c>
      <c r="Z155" s="39">
        <v>0</v>
      </c>
      <c r="AA155" s="39">
        <v>0</v>
      </c>
      <c r="AB155" s="39">
        <v>0</v>
      </c>
      <c r="AC155" s="39">
        <v>0</v>
      </c>
      <c r="AD155" s="39">
        <v>0</v>
      </c>
      <c r="AE155" s="39">
        <v>0</v>
      </c>
      <c r="AF155" s="39">
        <v>0</v>
      </c>
      <c r="AG155" s="39">
        <v>0</v>
      </c>
      <c r="AH155" s="39" t="s">
        <v>734</v>
      </c>
      <c r="AI155" s="39" t="s">
        <v>734</v>
      </c>
      <c r="AJ155" s="48">
        <f t="shared" si="16"/>
        <v>0</v>
      </c>
    </row>
    <row r="156" spans="1:36" x14ac:dyDescent="0.2">
      <c r="A156" s="31"/>
      <c r="B156" s="39" t="s">
        <v>1143</v>
      </c>
      <c r="C156" s="39" t="s">
        <v>541</v>
      </c>
      <c r="D156" s="39">
        <v>2</v>
      </c>
      <c r="E156" s="232" t="s">
        <v>558</v>
      </c>
      <c r="F156" s="39" t="s">
        <v>559</v>
      </c>
      <c r="G156" s="39"/>
      <c r="H156" s="39"/>
      <c r="I156" s="39"/>
      <c r="J156" s="39"/>
      <c r="K156" s="39"/>
      <c r="L156" s="39"/>
      <c r="M156" s="39"/>
      <c r="N156" s="39"/>
      <c r="O156" s="39"/>
      <c r="P156" s="39">
        <v>3744</v>
      </c>
      <c r="Q156" s="39">
        <v>3766</v>
      </c>
      <c r="R156" s="39">
        <v>3795</v>
      </c>
      <c r="S156" s="39">
        <v>3816</v>
      </c>
      <c r="T156" s="39">
        <v>3852</v>
      </c>
      <c r="U156" s="39">
        <v>3896</v>
      </c>
      <c r="V156" s="39"/>
      <c r="W156" s="39"/>
      <c r="X156" s="39" t="s">
        <v>734</v>
      </c>
      <c r="Y156" s="39" t="s">
        <v>734</v>
      </c>
      <c r="Z156" s="39" t="s">
        <v>734</v>
      </c>
      <c r="AA156" s="39" t="s">
        <v>734</v>
      </c>
      <c r="AB156" s="39" t="s">
        <v>734</v>
      </c>
      <c r="AC156" s="39" t="s">
        <v>734</v>
      </c>
      <c r="AD156" s="39" t="s">
        <v>734</v>
      </c>
      <c r="AE156" s="39">
        <v>440</v>
      </c>
      <c r="AF156" s="39">
        <v>580</v>
      </c>
      <c r="AG156" s="39">
        <v>420</v>
      </c>
      <c r="AH156" s="39">
        <v>720</v>
      </c>
      <c r="AI156" s="39">
        <v>880</v>
      </c>
      <c r="AJ156" s="48">
        <f t="shared" si="16"/>
        <v>3040</v>
      </c>
    </row>
    <row r="157" spans="1:36" x14ac:dyDescent="0.2">
      <c r="A157" s="29"/>
      <c r="B157" s="39" t="s">
        <v>1171</v>
      </c>
      <c r="C157" s="39" t="s">
        <v>541</v>
      </c>
      <c r="D157" s="39">
        <v>2</v>
      </c>
      <c r="E157" s="232" t="s">
        <v>1172</v>
      </c>
      <c r="F157" s="39"/>
      <c r="G157" s="39"/>
      <c r="H157" s="39"/>
      <c r="I157" s="39"/>
      <c r="J157" s="39"/>
      <c r="K157" s="39">
        <v>21982</v>
      </c>
      <c r="L157" s="39"/>
      <c r="M157" s="39"/>
      <c r="N157" s="39"/>
      <c r="O157" s="39"/>
      <c r="P157" s="39">
        <v>26670</v>
      </c>
      <c r="Q157" s="39"/>
      <c r="R157" s="39"/>
      <c r="S157" s="39"/>
      <c r="T157" s="39">
        <v>28135</v>
      </c>
      <c r="U157" s="39"/>
      <c r="V157" s="39"/>
      <c r="W157" s="39"/>
      <c r="X157" s="39" t="s">
        <v>734</v>
      </c>
      <c r="Y157" s="39" t="s">
        <v>734</v>
      </c>
      <c r="Z157" s="39" t="s">
        <v>734</v>
      </c>
      <c r="AA157" s="39" t="s">
        <v>734</v>
      </c>
      <c r="AB157" s="39" t="s">
        <v>734</v>
      </c>
      <c r="AC157" s="39" t="s">
        <v>734</v>
      </c>
      <c r="AD157" s="39" t="s">
        <v>734</v>
      </c>
      <c r="AE157" s="39" t="s">
        <v>734</v>
      </c>
      <c r="AF157" s="39" t="s">
        <v>734</v>
      </c>
      <c r="AG157" s="39" t="s">
        <v>734</v>
      </c>
      <c r="AH157" s="39" t="s">
        <v>734</v>
      </c>
      <c r="AI157" s="39" t="s">
        <v>734</v>
      </c>
      <c r="AJ157" s="48">
        <f t="shared" si="16"/>
        <v>0</v>
      </c>
    </row>
    <row r="158" spans="1:36" x14ac:dyDescent="0.2">
      <c r="A158" s="29"/>
      <c r="B158" s="39"/>
      <c r="C158" s="39" t="s">
        <v>541</v>
      </c>
      <c r="D158" s="39">
        <v>2</v>
      </c>
      <c r="E158" s="232" t="s">
        <v>556</v>
      </c>
      <c r="F158" s="39"/>
      <c r="G158" s="39"/>
      <c r="H158" s="39"/>
      <c r="I158" s="39">
        <v>135</v>
      </c>
      <c r="J158" s="39">
        <v>135</v>
      </c>
      <c r="K158" s="39">
        <v>136</v>
      </c>
      <c r="L158" s="39">
        <v>137</v>
      </c>
      <c r="M158" s="39">
        <v>137</v>
      </c>
      <c r="N158" s="39">
        <v>138</v>
      </c>
      <c r="O158" s="39">
        <v>138</v>
      </c>
      <c r="P158" s="39">
        <v>139</v>
      </c>
      <c r="Q158" s="39"/>
      <c r="R158" s="39"/>
      <c r="S158" s="39"/>
      <c r="T158" s="39">
        <v>0</v>
      </c>
      <c r="U158" s="39"/>
      <c r="V158" s="39"/>
      <c r="W158" s="39"/>
      <c r="X158" s="39">
        <v>0</v>
      </c>
      <c r="Y158" s="39">
        <v>1</v>
      </c>
      <c r="Z158" s="39">
        <v>1</v>
      </c>
      <c r="AA158" s="39">
        <v>0</v>
      </c>
      <c r="AB158" s="39">
        <v>1</v>
      </c>
      <c r="AC158" s="39">
        <v>0</v>
      </c>
      <c r="AD158" s="39">
        <v>1</v>
      </c>
      <c r="AE158" s="39" t="s">
        <v>734</v>
      </c>
      <c r="AF158" s="39" t="s">
        <v>734</v>
      </c>
      <c r="AG158" s="39" t="s">
        <v>734</v>
      </c>
      <c r="AH158" s="39" t="s">
        <v>734</v>
      </c>
      <c r="AI158" s="39" t="s">
        <v>734</v>
      </c>
      <c r="AJ158" s="48">
        <f t="shared" si="16"/>
        <v>4</v>
      </c>
    </row>
    <row r="159" spans="1:36" x14ac:dyDescent="0.2">
      <c r="A159" s="29"/>
      <c r="B159" s="39"/>
      <c r="C159" s="39" t="s">
        <v>541</v>
      </c>
      <c r="D159" s="39">
        <v>2</v>
      </c>
      <c r="E159" s="232" t="s">
        <v>172</v>
      </c>
      <c r="F159" s="39"/>
      <c r="G159" s="39"/>
      <c r="H159" s="39"/>
      <c r="I159" s="39">
        <v>3531</v>
      </c>
      <c r="J159" s="39">
        <v>3549</v>
      </c>
      <c r="K159" s="39">
        <v>3581</v>
      </c>
      <c r="L159" s="39">
        <v>3612</v>
      </c>
      <c r="M159" s="39">
        <v>3650</v>
      </c>
      <c r="N159" s="39"/>
      <c r="O159" s="39"/>
      <c r="P159" s="39"/>
      <c r="Q159" s="39"/>
      <c r="R159" s="39"/>
      <c r="S159" s="39"/>
      <c r="T159" s="39"/>
      <c r="U159" s="39"/>
      <c r="V159" s="39"/>
      <c r="W159" s="39"/>
      <c r="X159" s="39">
        <v>18</v>
      </c>
      <c r="Y159" s="39">
        <v>32</v>
      </c>
      <c r="Z159" s="39">
        <v>31</v>
      </c>
      <c r="AA159" s="39">
        <v>38</v>
      </c>
      <c r="AB159" s="39" t="s">
        <v>734</v>
      </c>
      <c r="AC159" s="39" t="s">
        <v>734</v>
      </c>
      <c r="AD159" s="39" t="s">
        <v>734</v>
      </c>
      <c r="AE159" s="39" t="s">
        <v>734</v>
      </c>
      <c r="AF159" s="39" t="s">
        <v>734</v>
      </c>
      <c r="AG159" s="39" t="s">
        <v>734</v>
      </c>
      <c r="AH159" s="39" t="s">
        <v>734</v>
      </c>
      <c r="AI159" s="39" t="s">
        <v>734</v>
      </c>
      <c r="AJ159" s="48">
        <f t="shared" si="16"/>
        <v>119</v>
      </c>
    </row>
    <row r="160" spans="1:36" x14ac:dyDescent="0.2">
      <c r="A160" s="29"/>
      <c r="B160" s="39">
        <v>5669713</v>
      </c>
      <c r="C160" s="39" t="s">
        <v>560</v>
      </c>
      <c r="D160" s="39">
        <v>2</v>
      </c>
      <c r="E160" s="232" t="s">
        <v>569</v>
      </c>
      <c r="F160" s="39" t="s">
        <v>124</v>
      </c>
      <c r="G160" s="39"/>
      <c r="H160" s="39"/>
      <c r="I160" s="39">
        <v>14920</v>
      </c>
      <c r="J160" s="39">
        <v>15086</v>
      </c>
      <c r="K160" s="39">
        <v>15339</v>
      </c>
      <c r="L160" s="39">
        <v>15553</v>
      </c>
      <c r="M160" s="39">
        <v>15771</v>
      </c>
      <c r="N160" s="39">
        <v>15966</v>
      </c>
      <c r="O160" s="39">
        <v>16134</v>
      </c>
      <c r="P160" s="39">
        <v>16265</v>
      </c>
      <c r="Q160" s="39">
        <v>16393</v>
      </c>
      <c r="R160" s="39">
        <v>16513</v>
      </c>
      <c r="S160" s="39">
        <v>16660</v>
      </c>
      <c r="T160" s="39">
        <v>16891</v>
      </c>
      <c r="U160" s="39">
        <v>17179</v>
      </c>
      <c r="V160" s="39"/>
      <c r="W160" s="39"/>
      <c r="X160" s="39">
        <v>8300</v>
      </c>
      <c r="Y160" s="39">
        <v>12650</v>
      </c>
      <c r="Z160" s="39">
        <v>10700</v>
      </c>
      <c r="AA160" s="39">
        <v>10900</v>
      </c>
      <c r="AB160" s="39">
        <v>9750</v>
      </c>
      <c r="AC160" s="39">
        <v>8400</v>
      </c>
      <c r="AD160" s="39">
        <v>6550</v>
      </c>
      <c r="AE160" s="39">
        <v>6400</v>
      </c>
      <c r="AF160" s="39">
        <v>6000</v>
      </c>
      <c r="AG160" s="39">
        <v>7350</v>
      </c>
      <c r="AH160" s="39">
        <v>11550</v>
      </c>
      <c r="AI160" s="39">
        <v>14400</v>
      </c>
      <c r="AJ160" s="48">
        <f t="shared" si="16"/>
        <v>112950</v>
      </c>
    </row>
    <row r="161" spans="1:36" x14ac:dyDescent="0.2">
      <c r="A161" s="29"/>
      <c r="B161" s="39">
        <v>20583455</v>
      </c>
      <c r="C161" s="39" t="s">
        <v>560</v>
      </c>
      <c r="D161" s="39">
        <v>2</v>
      </c>
      <c r="E161" s="232" t="s">
        <v>568</v>
      </c>
      <c r="F161" s="39" t="s">
        <v>47</v>
      </c>
      <c r="G161" s="39" t="s">
        <v>1144</v>
      </c>
      <c r="H161" s="39"/>
      <c r="I161" s="39">
        <v>160490</v>
      </c>
      <c r="J161" s="39">
        <v>161093</v>
      </c>
      <c r="K161" s="39">
        <v>162035</v>
      </c>
      <c r="L161" s="39">
        <v>162791</v>
      </c>
      <c r="M161" s="39">
        <v>163510</v>
      </c>
      <c r="N161" s="39">
        <v>164078</v>
      </c>
      <c r="O161" s="39">
        <v>164604</v>
      </c>
      <c r="P161" s="39">
        <v>164938</v>
      </c>
      <c r="Q161" s="39">
        <v>165461</v>
      </c>
      <c r="R161" s="39">
        <v>166136</v>
      </c>
      <c r="S161" s="39">
        <v>166803</v>
      </c>
      <c r="T161" s="39">
        <v>167428</v>
      </c>
      <c r="U161" s="39">
        <v>168420</v>
      </c>
      <c r="V161" s="39"/>
      <c r="W161" s="39"/>
      <c r="X161" s="39">
        <v>603</v>
      </c>
      <c r="Y161" s="39">
        <v>942</v>
      </c>
      <c r="Z161" s="39">
        <v>756</v>
      </c>
      <c r="AA161" s="39">
        <v>719</v>
      </c>
      <c r="AB161" s="39">
        <v>568</v>
      </c>
      <c r="AC161" s="39">
        <v>526</v>
      </c>
      <c r="AD161" s="39">
        <v>334</v>
      </c>
      <c r="AE161" s="39">
        <v>523</v>
      </c>
      <c r="AF161" s="39">
        <v>675</v>
      </c>
      <c r="AG161" s="39">
        <v>667</v>
      </c>
      <c r="AH161" s="39">
        <v>625</v>
      </c>
      <c r="AI161" s="39">
        <v>992</v>
      </c>
      <c r="AJ161" s="48">
        <f t="shared" si="16"/>
        <v>7930</v>
      </c>
    </row>
    <row r="162" spans="1:36" x14ac:dyDescent="0.2">
      <c r="A162" s="29"/>
      <c r="B162" s="39"/>
      <c r="C162" s="39" t="s">
        <v>560</v>
      </c>
      <c r="D162" s="39">
        <v>2</v>
      </c>
      <c r="E162" s="232" t="s">
        <v>842</v>
      </c>
      <c r="F162" s="39" t="s">
        <v>561</v>
      </c>
      <c r="G162" s="39"/>
      <c r="H162" s="39"/>
      <c r="I162" s="39"/>
      <c r="J162" s="39"/>
      <c r="K162" s="39"/>
      <c r="L162" s="39"/>
      <c r="M162" s="39"/>
      <c r="N162" s="39"/>
      <c r="O162" s="39"/>
      <c r="P162" s="39">
        <v>0</v>
      </c>
      <c r="Q162" s="39"/>
      <c r="R162" s="39"/>
      <c r="S162" s="39"/>
      <c r="T162" s="39">
        <v>0</v>
      </c>
      <c r="U162" s="39"/>
      <c r="V162" s="39"/>
      <c r="W162" s="39"/>
      <c r="X162" s="39" t="s">
        <v>734</v>
      </c>
      <c r="Y162" s="39" t="s">
        <v>734</v>
      </c>
      <c r="Z162" s="39" t="s">
        <v>734</v>
      </c>
      <c r="AA162" s="39" t="s">
        <v>734</v>
      </c>
      <c r="AB162" s="39" t="s">
        <v>734</v>
      </c>
      <c r="AC162" s="39" t="s">
        <v>734</v>
      </c>
      <c r="AD162" s="39" t="s">
        <v>734</v>
      </c>
      <c r="AE162" s="39" t="s">
        <v>734</v>
      </c>
      <c r="AF162" s="39" t="s">
        <v>734</v>
      </c>
      <c r="AG162" s="39" t="s">
        <v>734</v>
      </c>
      <c r="AH162" s="39" t="s">
        <v>734</v>
      </c>
      <c r="AI162" s="39" t="s">
        <v>734</v>
      </c>
      <c r="AJ162" s="48">
        <f t="shared" si="16"/>
        <v>0</v>
      </c>
    </row>
    <row r="163" spans="1:36" x14ac:dyDescent="0.2">
      <c r="A163" s="29"/>
      <c r="B163" s="39">
        <v>11313825</v>
      </c>
      <c r="C163" s="39" t="s">
        <v>570</v>
      </c>
      <c r="D163" s="39">
        <v>2</v>
      </c>
      <c r="E163" s="232" t="s">
        <v>576</v>
      </c>
      <c r="F163" s="39"/>
      <c r="G163" s="39"/>
      <c r="H163" s="39"/>
      <c r="I163" s="39">
        <v>92579</v>
      </c>
      <c r="J163" s="39">
        <v>92845</v>
      </c>
      <c r="K163" s="39">
        <v>93274</v>
      </c>
      <c r="L163" s="39">
        <v>93604</v>
      </c>
      <c r="M163" s="39">
        <v>93890</v>
      </c>
      <c r="N163" s="39"/>
      <c r="O163" s="39">
        <v>94438</v>
      </c>
      <c r="P163" s="39">
        <v>94725</v>
      </c>
      <c r="Q163" s="39">
        <v>95097</v>
      </c>
      <c r="R163" s="39">
        <v>95436</v>
      </c>
      <c r="S163" s="39">
        <v>95642</v>
      </c>
      <c r="T163" s="39">
        <v>95766</v>
      </c>
      <c r="U163" s="39">
        <v>95895</v>
      </c>
      <c r="V163" s="39"/>
      <c r="W163" s="39"/>
      <c r="X163" s="39">
        <v>5320</v>
      </c>
      <c r="Y163" s="39">
        <v>8580</v>
      </c>
      <c r="Z163" s="39">
        <v>6600</v>
      </c>
      <c r="AA163" s="39">
        <v>5720</v>
      </c>
      <c r="AB163" s="39" t="s">
        <v>734</v>
      </c>
      <c r="AC163" s="39" t="s">
        <v>734</v>
      </c>
      <c r="AD163" s="39">
        <v>5740</v>
      </c>
      <c r="AE163" s="39">
        <v>7440</v>
      </c>
      <c r="AF163" s="39">
        <v>6780</v>
      </c>
      <c r="AG163" s="39">
        <v>4120</v>
      </c>
      <c r="AH163" s="39">
        <v>2480</v>
      </c>
      <c r="AI163" s="39">
        <v>2580</v>
      </c>
      <c r="AJ163" s="48">
        <f t="shared" si="16"/>
        <v>55360</v>
      </c>
    </row>
    <row r="164" spans="1:36" x14ac:dyDescent="0.2">
      <c r="A164" s="29"/>
      <c r="B164" s="39">
        <v>53035468</v>
      </c>
      <c r="C164" s="39" t="s">
        <v>570</v>
      </c>
      <c r="D164" s="39">
        <v>2</v>
      </c>
      <c r="E164" s="232" t="s">
        <v>577</v>
      </c>
      <c r="F164" s="39"/>
      <c r="G164" s="39"/>
      <c r="H164" s="39"/>
      <c r="I164" s="39">
        <v>570578</v>
      </c>
      <c r="J164" s="39">
        <v>572861</v>
      </c>
      <c r="K164" s="39">
        <v>576748</v>
      </c>
      <c r="L164" s="39">
        <v>580457</v>
      </c>
      <c r="M164" s="39">
        <v>584262</v>
      </c>
      <c r="N164" s="39">
        <v>588410</v>
      </c>
      <c r="O164" s="39">
        <v>592766</v>
      </c>
      <c r="P164" s="39">
        <v>595985</v>
      </c>
      <c r="Q164" s="39">
        <v>600274</v>
      </c>
      <c r="R164" s="39">
        <v>604326</v>
      </c>
      <c r="S164" s="39">
        <v>607926</v>
      </c>
      <c r="T164" s="39">
        <v>612473</v>
      </c>
      <c r="U164" s="39">
        <v>615051</v>
      </c>
      <c r="V164" s="39"/>
      <c r="W164" s="39"/>
      <c r="X164" s="39">
        <v>2283</v>
      </c>
      <c r="Y164" s="39">
        <v>3887</v>
      </c>
      <c r="Z164" s="39">
        <v>3709</v>
      </c>
      <c r="AA164" s="39">
        <v>3805</v>
      </c>
      <c r="AB164" s="39">
        <v>4148</v>
      </c>
      <c r="AC164" s="39">
        <v>4356</v>
      </c>
      <c r="AD164" s="39">
        <v>3219</v>
      </c>
      <c r="AE164" s="39">
        <v>4289</v>
      </c>
      <c r="AF164" s="39">
        <v>4052</v>
      </c>
      <c r="AG164" s="39">
        <v>3600</v>
      </c>
      <c r="AH164" s="39">
        <v>4547</v>
      </c>
      <c r="AI164" s="39">
        <v>2578</v>
      </c>
      <c r="AJ164" s="48">
        <f t="shared" si="16"/>
        <v>44473</v>
      </c>
    </row>
    <row r="165" spans="1:36" x14ac:dyDescent="0.2">
      <c r="A165" s="29"/>
      <c r="B165" s="39"/>
      <c r="C165" s="39" t="s">
        <v>570</v>
      </c>
      <c r="D165" s="39">
        <v>2</v>
      </c>
      <c r="E165" s="232" t="s">
        <v>575</v>
      </c>
      <c r="F165" s="39"/>
      <c r="G165" s="39"/>
      <c r="H165" s="39"/>
      <c r="I165" s="39"/>
      <c r="J165" s="39"/>
      <c r="K165" s="39"/>
      <c r="L165" s="39" t="s">
        <v>1192</v>
      </c>
      <c r="M165" s="39"/>
      <c r="N165" s="39"/>
      <c r="O165" s="39"/>
      <c r="P165" s="39">
        <v>0</v>
      </c>
      <c r="Q165" s="39"/>
      <c r="R165" s="39"/>
      <c r="S165" s="39">
        <v>0</v>
      </c>
      <c r="T165" s="39">
        <v>0</v>
      </c>
      <c r="U165" s="39"/>
      <c r="V165" s="39"/>
      <c r="W165" s="39"/>
      <c r="X165" s="39" t="s">
        <v>734</v>
      </c>
      <c r="Y165" s="39" t="s">
        <v>734</v>
      </c>
      <c r="Z165" s="39" t="s">
        <v>734</v>
      </c>
      <c r="AA165" s="39" t="s">
        <v>734</v>
      </c>
      <c r="AB165" s="39" t="s">
        <v>734</v>
      </c>
      <c r="AC165" s="39" t="s">
        <v>734</v>
      </c>
      <c r="AD165" s="39" t="s">
        <v>734</v>
      </c>
      <c r="AE165" s="39" t="s">
        <v>734</v>
      </c>
      <c r="AF165" s="39" t="s">
        <v>734</v>
      </c>
      <c r="AG165" s="39" t="s">
        <v>734</v>
      </c>
      <c r="AH165" s="39">
        <v>0</v>
      </c>
      <c r="AI165" s="39" t="s">
        <v>734</v>
      </c>
      <c r="AJ165" s="48">
        <f t="shared" si="16"/>
        <v>0</v>
      </c>
    </row>
    <row r="166" spans="1:36" x14ac:dyDescent="0.2">
      <c r="A166" s="29"/>
      <c r="B166" s="39" t="s">
        <v>1148</v>
      </c>
      <c r="C166" s="39" t="s">
        <v>579</v>
      </c>
      <c r="D166" s="39">
        <v>2</v>
      </c>
      <c r="E166" s="232" t="s">
        <v>581</v>
      </c>
      <c r="F166" s="39" t="s">
        <v>47</v>
      </c>
      <c r="G166" s="39"/>
      <c r="H166" s="39"/>
      <c r="I166" s="39">
        <v>19281</v>
      </c>
      <c r="J166" s="39">
        <v>19373</v>
      </c>
      <c r="K166" s="39">
        <v>19515</v>
      </c>
      <c r="L166" s="39">
        <v>19634</v>
      </c>
      <c r="M166" s="39">
        <v>19763</v>
      </c>
      <c r="N166" s="39">
        <v>19872</v>
      </c>
      <c r="O166" s="39">
        <v>19980</v>
      </c>
      <c r="P166" s="39">
        <v>20051</v>
      </c>
      <c r="Q166" s="39">
        <v>20155</v>
      </c>
      <c r="R166" s="39">
        <v>20266</v>
      </c>
      <c r="S166" s="39">
        <v>20389</v>
      </c>
      <c r="T166" s="39">
        <v>20521</v>
      </c>
      <c r="U166" s="39">
        <v>20675</v>
      </c>
      <c r="V166" s="39"/>
      <c r="W166" s="39"/>
      <c r="X166" s="39">
        <v>1840</v>
      </c>
      <c r="Y166" s="39">
        <v>2840</v>
      </c>
      <c r="Z166" s="39">
        <v>2380</v>
      </c>
      <c r="AA166" s="39">
        <v>2580</v>
      </c>
      <c r="AB166" s="39">
        <v>2180</v>
      </c>
      <c r="AC166" s="39">
        <v>2160</v>
      </c>
      <c r="AD166" s="39">
        <v>1420</v>
      </c>
      <c r="AE166" s="39">
        <v>2080</v>
      </c>
      <c r="AF166" s="39">
        <v>2220</v>
      </c>
      <c r="AG166" s="39">
        <v>2460</v>
      </c>
      <c r="AH166" s="39">
        <v>2640</v>
      </c>
      <c r="AI166" s="39">
        <v>3080</v>
      </c>
      <c r="AJ166" s="48">
        <f t="shared" si="16"/>
        <v>27880</v>
      </c>
    </row>
    <row r="167" spans="1:36" x14ac:dyDescent="0.2">
      <c r="A167" s="29"/>
      <c r="B167" s="39" t="s">
        <v>1168</v>
      </c>
      <c r="C167" s="39" t="s">
        <v>579</v>
      </c>
      <c r="D167" s="39">
        <v>2</v>
      </c>
      <c r="E167" s="232" t="s">
        <v>1163</v>
      </c>
      <c r="F167" s="39" t="s">
        <v>47</v>
      </c>
      <c r="G167" s="39"/>
      <c r="H167" s="39"/>
      <c r="I167" s="39"/>
      <c r="J167" s="39"/>
      <c r="K167" s="39">
        <v>447821</v>
      </c>
      <c r="L167" s="39"/>
      <c r="M167" s="39"/>
      <c r="N167" s="39"/>
      <c r="O167" s="39"/>
      <c r="P167" s="39">
        <v>0</v>
      </c>
      <c r="Q167" s="39"/>
      <c r="R167" s="39"/>
      <c r="S167" s="39"/>
      <c r="T167" s="39">
        <v>0</v>
      </c>
      <c r="U167" s="39"/>
      <c r="V167" s="39"/>
      <c r="W167" s="39"/>
      <c r="X167" s="39" t="s">
        <v>734</v>
      </c>
      <c r="Y167" s="39" t="s">
        <v>734</v>
      </c>
      <c r="Z167" s="39" t="s">
        <v>734</v>
      </c>
      <c r="AA167" s="39" t="s">
        <v>734</v>
      </c>
      <c r="AB167" s="39" t="s">
        <v>734</v>
      </c>
      <c r="AC167" s="39" t="s">
        <v>734</v>
      </c>
      <c r="AD167" s="39" t="s">
        <v>734</v>
      </c>
      <c r="AE167" s="39" t="s">
        <v>734</v>
      </c>
      <c r="AF167" s="39" t="s">
        <v>734</v>
      </c>
      <c r="AG167" s="39" t="s">
        <v>734</v>
      </c>
      <c r="AH167" s="39" t="s">
        <v>734</v>
      </c>
      <c r="AI167" s="39" t="s">
        <v>734</v>
      </c>
      <c r="AJ167" s="48">
        <f t="shared" si="16"/>
        <v>0</v>
      </c>
    </row>
    <row r="168" spans="1:36" x14ac:dyDescent="0.2">
      <c r="A168" s="29"/>
      <c r="B168" s="39" t="s">
        <v>1169</v>
      </c>
      <c r="C168" s="39" t="s">
        <v>579</v>
      </c>
      <c r="D168" s="39">
        <v>2</v>
      </c>
      <c r="E168" s="232" t="s">
        <v>1170</v>
      </c>
      <c r="F168" s="39" t="s">
        <v>47</v>
      </c>
      <c r="G168" s="39"/>
      <c r="H168" s="39"/>
      <c r="I168" s="39"/>
      <c r="J168" s="39"/>
      <c r="K168" s="39">
        <v>249153</v>
      </c>
      <c r="L168" s="39"/>
      <c r="M168" s="39"/>
      <c r="N168" s="39"/>
      <c r="O168" s="39"/>
      <c r="P168" s="39">
        <v>0</v>
      </c>
      <c r="Q168" s="39"/>
      <c r="R168" s="39"/>
      <c r="S168" s="39"/>
      <c r="T168" s="39">
        <v>0</v>
      </c>
      <c r="U168" s="39"/>
      <c r="V168" s="39"/>
      <c r="W168" s="39"/>
      <c r="X168" s="39" t="s">
        <v>734</v>
      </c>
      <c r="Y168" s="39" t="s">
        <v>734</v>
      </c>
      <c r="Z168" s="39" t="s">
        <v>734</v>
      </c>
      <c r="AA168" s="39" t="s">
        <v>734</v>
      </c>
      <c r="AB168" s="39" t="s">
        <v>734</v>
      </c>
      <c r="AC168" s="39" t="s">
        <v>734</v>
      </c>
      <c r="AD168" s="39" t="s">
        <v>734</v>
      </c>
      <c r="AE168" s="39" t="s">
        <v>734</v>
      </c>
      <c r="AF168" s="39" t="s">
        <v>734</v>
      </c>
      <c r="AG168" s="39" t="s">
        <v>734</v>
      </c>
      <c r="AH168" s="39" t="s">
        <v>734</v>
      </c>
      <c r="AI168" s="39" t="s">
        <v>734</v>
      </c>
      <c r="AJ168" s="48">
        <f t="shared" si="16"/>
        <v>0</v>
      </c>
    </row>
    <row r="169" spans="1:36" x14ac:dyDescent="0.2">
      <c r="A169" s="29"/>
      <c r="B169" s="39">
        <v>5356221</v>
      </c>
      <c r="C169" s="39" t="s">
        <v>582</v>
      </c>
      <c r="D169" s="39">
        <v>2</v>
      </c>
      <c r="E169" s="232" t="s">
        <v>1089</v>
      </c>
      <c r="F169" s="39" t="s">
        <v>583</v>
      </c>
      <c r="G169" s="39"/>
      <c r="H169" s="39"/>
      <c r="I169" s="39">
        <v>3628</v>
      </c>
      <c r="J169" s="39">
        <v>3770</v>
      </c>
      <c r="K169" s="39">
        <v>4206</v>
      </c>
      <c r="L169" s="39">
        <v>4607</v>
      </c>
      <c r="M169" s="39">
        <v>5047</v>
      </c>
      <c r="N169" s="39">
        <v>5421</v>
      </c>
      <c r="O169" s="39">
        <v>5767</v>
      </c>
      <c r="P169" s="39">
        <v>6088</v>
      </c>
      <c r="Q169" s="39">
        <v>6535</v>
      </c>
      <c r="R169" s="39">
        <v>7009</v>
      </c>
      <c r="S169" s="39">
        <v>7446</v>
      </c>
      <c r="T169" s="39">
        <v>7876</v>
      </c>
      <c r="U169" s="39">
        <v>8405</v>
      </c>
      <c r="V169" s="39"/>
      <c r="W169" s="39"/>
      <c r="X169" s="39">
        <v>142</v>
      </c>
      <c r="Y169" s="39">
        <v>436</v>
      </c>
      <c r="Z169" s="39">
        <v>401</v>
      </c>
      <c r="AA169" s="39">
        <v>440</v>
      </c>
      <c r="AB169" s="39">
        <v>374</v>
      </c>
      <c r="AC169" s="39">
        <v>346</v>
      </c>
      <c r="AD169" s="39">
        <v>321</v>
      </c>
      <c r="AE169" s="39">
        <v>447</v>
      </c>
      <c r="AF169" s="39">
        <v>474</v>
      </c>
      <c r="AG169" s="39">
        <v>437</v>
      </c>
      <c r="AH169" s="39">
        <v>430</v>
      </c>
      <c r="AI169" s="39">
        <v>529</v>
      </c>
      <c r="AJ169" s="48">
        <f t="shared" si="16"/>
        <v>4777</v>
      </c>
    </row>
    <row r="170" spans="1:36" x14ac:dyDescent="0.2">
      <c r="A170" s="29"/>
      <c r="B170" s="39">
        <v>5356224</v>
      </c>
      <c r="C170" s="39" t="s">
        <v>582</v>
      </c>
      <c r="D170" s="39">
        <v>2</v>
      </c>
      <c r="E170" s="232" t="s">
        <v>584</v>
      </c>
      <c r="F170" s="39" t="s">
        <v>47</v>
      </c>
      <c r="G170" s="39"/>
      <c r="H170" s="39"/>
      <c r="I170" s="39">
        <v>5392</v>
      </c>
      <c r="J170" s="39">
        <v>5421</v>
      </c>
      <c r="K170" s="39">
        <v>5462</v>
      </c>
      <c r="L170" s="39">
        <v>5495</v>
      </c>
      <c r="M170" s="39">
        <v>5530</v>
      </c>
      <c r="N170" s="39">
        <v>5558</v>
      </c>
      <c r="O170" s="39">
        <v>5585</v>
      </c>
      <c r="P170" s="39">
        <v>5603</v>
      </c>
      <c r="Q170" s="39">
        <v>5629</v>
      </c>
      <c r="R170" s="39">
        <v>5657</v>
      </c>
      <c r="S170" s="39">
        <v>5685</v>
      </c>
      <c r="T170" s="39">
        <v>5713</v>
      </c>
      <c r="U170" s="39">
        <v>5746</v>
      </c>
      <c r="V170" s="39"/>
      <c r="W170" s="39"/>
      <c r="X170" s="39">
        <v>29</v>
      </c>
      <c r="Y170" s="39">
        <v>41</v>
      </c>
      <c r="Z170" s="39">
        <v>33</v>
      </c>
      <c r="AA170" s="39">
        <v>35</v>
      </c>
      <c r="AB170" s="39">
        <v>28</v>
      </c>
      <c r="AC170" s="39">
        <v>27</v>
      </c>
      <c r="AD170" s="39">
        <v>18</v>
      </c>
      <c r="AE170" s="39">
        <v>26</v>
      </c>
      <c r="AF170" s="39">
        <v>28</v>
      </c>
      <c r="AG170" s="39">
        <v>28</v>
      </c>
      <c r="AH170" s="39">
        <v>28</v>
      </c>
      <c r="AI170" s="39">
        <v>33</v>
      </c>
      <c r="AJ170" s="48">
        <f t="shared" si="16"/>
        <v>354</v>
      </c>
    </row>
    <row r="171" spans="1:36" x14ac:dyDescent="0.2">
      <c r="A171" s="29"/>
      <c r="B171" s="39">
        <v>5355254</v>
      </c>
      <c r="C171" s="39" t="s">
        <v>585</v>
      </c>
      <c r="D171" s="39">
        <v>2</v>
      </c>
      <c r="E171" s="232" t="s">
        <v>588</v>
      </c>
      <c r="F171" s="39" t="s">
        <v>47</v>
      </c>
      <c r="G171" s="39"/>
      <c r="H171" s="39"/>
      <c r="I171" s="39">
        <v>19509</v>
      </c>
      <c r="J171" s="39">
        <v>19582</v>
      </c>
      <c r="K171" s="39">
        <v>19688</v>
      </c>
      <c r="L171" s="39">
        <v>19779</v>
      </c>
      <c r="M171" s="39">
        <v>19875</v>
      </c>
      <c r="N171" s="39">
        <v>19956</v>
      </c>
      <c r="O171" s="39">
        <v>20037</v>
      </c>
      <c r="P171" s="39">
        <v>20094</v>
      </c>
      <c r="Q171" s="39">
        <v>20179</v>
      </c>
      <c r="R171" s="39">
        <v>20265</v>
      </c>
      <c r="S171" s="39">
        <v>20366</v>
      </c>
      <c r="T171" s="39">
        <v>20468</v>
      </c>
      <c r="U171" s="39">
        <v>20588</v>
      </c>
      <c r="V171" s="39"/>
      <c r="W171" s="39"/>
      <c r="X171" s="39">
        <v>1460</v>
      </c>
      <c r="Y171" s="39">
        <v>2120</v>
      </c>
      <c r="Z171" s="39">
        <v>1820</v>
      </c>
      <c r="AA171" s="39">
        <v>1920</v>
      </c>
      <c r="AB171" s="39">
        <v>1620</v>
      </c>
      <c r="AC171" s="39">
        <v>1620</v>
      </c>
      <c r="AD171" s="39">
        <v>1140</v>
      </c>
      <c r="AE171" s="39">
        <v>1700</v>
      </c>
      <c r="AF171" s="39">
        <v>1720</v>
      </c>
      <c r="AG171" s="39">
        <v>2020</v>
      </c>
      <c r="AH171" s="39">
        <v>2040</v>
      </c>
      <c r="AI171" s="39">
        <v>2400</v>
      </c>
      <c r="AJ171" s="48">
        <f t="shared" si="16"/>
        <v>21580</v>
      </c>
    </row>
    <row r="172" spans="1:36" x14ac:dyDescent="0.2">
      <c r="A172" s="29"/>
      <c r="B172" s="39">
        <v>5355253</v>
      </c>
      <c r="C172" s="39" t="s">
        <v>589</v>
      </c>
      <c r="D172" s="39">
        <v>2</v>
      </c>
      <c r="E172" s="232" t="s">
        <v>590</v>
      </c>
      <c r="F172" s="39" t="s">
        <v>1150</v>
      </c>
      <c r="G172" s="39"/>
      <c r="H172" s="39"/>
      <c r="I172" s="39">
        <v>13518</v>
      </c>
      <c r="J172" s="39">
        <v>13562</v>
      </c>
      <c r="K172" s="39">
        <v>13632</v>
      </c>
      <c r="L172" s="39">
        <v>13688</v>
      </c>
      <c r="M172" s="39">
        <v>13748</v>
      </c>
      <c r="N172" s="39">
        <v>13799</v>
      </c>
      <c r="O172" s="39">
        <v>13850</v>
      </c>
      <c r="P172" s="39">
        <v>13883</v>
      </c>
      <c r="Q172" s="39">
        <v>13920</v>
      </c>
      <c r="R172" s="39">
        <v>13920</v>
      </c>
      <c r="S172" s="39">
        <v>13920</v>
      </c>
      <c r="T172" s="39">
        <v>13968</v>
      </c>
      <c r="U172" s="39">
        <v>14040</v>
      </c>
      <c r="V172" s="39"/>
      <c r="W172" s="39"/>
      <c r="X172" s="39">
        <v>880</v>
      </c>
      <c r="Y172" s="39">
        <v>1400</v>
      </c>
      <c r="Z172" s="39">
        <v>1120</v>
      </c>
      <c r="AA172" s="39">
        <v>1200</v>
      </c>
      <c r="AB172" s="39">
        <v>1020</v>
      </c>
      <c r="AC172" s="39">
        <v>1020</v>
      </c>
      <c r="AD172" s="39">
        <v>660</v>
      </c>
      <c r="AE172" s="39">
        <v>740</v>
      </c>
      <c r="AF172" s="39">
        <v>0</v>
      </c>
      <c r="AG172" s="39">
        <v>0</v>
      </c>
      <c r="AH172" s="39">
        <v>960</v>
      </c>
      <c r="AI172" s="39">
        <v>1440</v>
      </c>
      <c r="AJ172" s="48">
        <f t="shared" si="16"/>
        <v>10440</v>
      </c>
    </row>
    <row r="173" spans="1:36" x14ac:dyDescent="0.2">
      <c r="A173" s="29"/>
      <c r="B173" s="39">
        <v>5355248</v>
      </c>
      <c r="C173" s="39" t="s">
        <v>591</v>
      </c>
      <c r="D173" s="39">
        <v>2</v>
      </c>
      <c r="E173" s="232" t="s">
        <v>592</v>
      </c>
      <c r="F173" s="39"/>
      <c r="G173" s="39"/>
      <c r="H173" s="39"/>
      <c r="I173" s="39">
        <v>14158</v>
      </c>
      <c r="J173" s="39">
        <v>14217</v>
      </c>
      <c r="K173" s="39">
        <v>14307</v>
      </c>
      <c r="L173" s="39">
        <v>14381</v>
      </c>
      <c r="M173" s="39">
        <v>14460</v>
      </c>
      <c r="N173" s="39">
        <v>14526</v>
      </c>
      <c r="O173" s="39">
        <v>14590</v>
      </c>
      <c r="P173" s="39">
        <v>14633</v>
      </c>
      <c r="Q173" s="39">
        <v>14691</v>
      </c>
      <c r="R173" s="39">
        <v>14765</v>
      </c>
      <c r="S173" s="39">
        <v>14833</v>
      </c>
      <c r="T173" s="39">
        <v>14913</v>
      </c>
      <c r="U173" s="39">
        <v>15007</v>
      </c>
      <c r="V173" s="39"/>
      <c r="W173" s="39"/>
      <c r="X173" s="39">
        <v>2950</v>
      </c>
      <c r="Y173" s="39">
        <v>4500</v>
      </c>
      <c r="Z173" s="39">
        <v>3700</v>
      </c>
      <c r="AA173" s="39">
        <v>3950</v>
      </c>
      <c r="AB173" s="39">
        <v>3300</v>
      </c>
      <c r="AC173" s="39">
        <v>3200</v>
      </c>
      <c r="AD173" s="39">
        <v>2150</v>
      </c>
      <c r="AE173" s="39">
        <v>2900</v>
      </c>
      <c r="AF173" s="39">
        <v>3700</v>
      </c>
      <c r="AG173" s="39">
        <v>3400</v>
      </c>
      <c r="AH173" s="39">
        <v>4000</v>
      </c>
      <c r="AI173" s="39">
        <v>4700</v>
      </c>
      <c r="AJ173" s="48">
        <f t="shared" si="16"/>
        <v>42450</v>
      </c>
    </row>
    <row r="174" spans="1:36" x14ac:dyDescent="0.2">
      <c r="A174" s="29"/>
      <c r="B174" s="39">
        <v>10121</v>
      </c>
      <c r="C174" s="39" t="s">
        <v>593</v>
      </c>
      <c r="D174" s="39">
        <v>2</v>
      </c>
      <c r="E174" s="232" t="s">
        <v>1089</v>
      </c>
      <c r="F174" s="39" t="s">
        <v>596</v>
      </c>
      <c r="G174" s="39"/>
      <c r="H174" s="39"/>
      <c r="I174" s="39">
        <v>18666</v>
      </c>
      <c r="J174" s="39">
        <v>20744</v>
      </c>
      <c r="K174" s="39">
        <v>24008</v>
      </c>
      <c r="L174" s="39"/>
      <c r="M174" s="39"/>
      <c r="N174" s="39"/>
      <c r="O174" s="39"/>
      <c r="P174" s="39">
        <v>0</v>
      </c>
      <c r="Q174" s="39"/>
      <c r="R174" s="39"/>
      <c r="S174" s="39"/>
      <c r="T174" s="39"/>
      <c r="U174" s="39"/>
      <c r="V174" s="39"/>
      <c r="W174" s="39"/>
      <c r="X174" s="39">
        <v>2078</v>
      </c>
      <c r="Y174" s="39">
        <v>3264</v>
      </c>
      <c r="Z174" s="39" t="s">
        <v>734</v>
      </c>
      <c r="AA174" s="39" t="s">
        <v>734</v>
      </c>
      <c r="AB174" s="39" t="s">
        <v>734</v>
      </c>
      <c r="AC174" s="39" t="s">
        <v>734</v>
      </c>
      <c r="AD174" s="39" t="s">
        <v>734</v>
      </c>
      <c r="AE174" s="39" t="s">
        <v>734</v>
      </c>
      <c r="AF174" s="39" t="s">
        <v>734</v>
      </c>
      <c r="AG174" s="39" t="s">
        <v>734</v>
      </c>
      <c r="AH174" s="39" t="s">
        <v>734</v>
      </c>
      <c r="AI174" s="39" t="s">
        <v>734</v>
      </c>
      <c r="AJ174" s="48">
        <f t="shared" si="16"/>
        <v>5342</v>
      </c>
    </row>
    <row r="175" spans="1:36" x14ac:dyDescent="0.2">
      <c r="A175" s="29"/>
      <c r="B175" s="39">
        <v>10122</v>
      </c>
      <c r="C175" s="39" t="s">
        <v>593</v>
      </c>
      <c r="D175" s="39">
        <v>2</v>
      </c>
      <c r="E175" s="232" t="s">
        <v>1089</v>
      </c>
      <c r="F175" s="39" t="s">
        <v>594</v>
      </c>
      <c r="G175" s="39"/>
      <c r="H175" s="39"/>
      <c r="I175" s="39">
        <v>17119</v>
      </c>
      <c r="J175" s="39">
        <v>18633</v>
      </c>
      <c r="K175" s="39">
        <v>20975</v>
      </c>
      <c r="L175" s="39"/>
      <c r="M175" s="39"/>
      <c r="N175" s="39"/>
      <c r="O175" s="39"/>
      <c r="P175" s="39">
        <v>0</v>
      </c>
      <c r="Q175" s="39"/>
      <c r="R175" s="39"/>
      <c r="S175" s="39"/>
      <c r="T175" s="39"/>
      <c r="U175" s="39"/>
      <c r="V175" s="39"/>
      <c r="W175" s="39"/>
      <c r="X175" s="39">
        <v>1514</v>
      </c>
      <c r="Y175" s="39">
        <v>2342</v>
      </c>
      <c r="Z175" s="39" t="s">
        <v>734</v>
      </c>
      <c r="AA175" s="39" t="s">
        <v>734</v>
      </c>
      <c r="AB175" s="39" t="s">
        <v>734</v>
      </c>
      <c r="AC175" s="39" t="s">
        <v>734</v>
      </c>
      <c r="AD175" s="39" t="s">
        <v>734</v>
      </c>
      <c r="AE175" s="39" t="s">
        <v>734</v>
      </c>
      <c r="AF175" s="39" t="s">
        <v>734</v>
      </c>
      <c r="AG175" s="39" t="s">
        <v>734</v>
      </c>
      <c r="AH175" s="39" t="s">
        <v>734</v>
      </c>
      <c r="AI175" s="39" t="s">
        <v>734</v>
      </c>
      <c r="AJ175" s="48">
        <f t="shared" si="16"/>
        <v>3856</v>
      </c>
    </row>
    <row r="176" spans="1:36" x14ac:dyDescent="0.2">
      <c r="A176" s="29"/>
      <c r="B176" s="39">
        <v>531109</v>
      </c>
      <c r="C176" s="39" t="s">
        <v>593</v>
      </c>
      <c r="D176" s="39">
        <v>2</v>
      </c>
      <c r="E176" s="232" t="s">
        <v>598</v>
      </c>
      <c r="F176" s="39" t="s">
        <v>124</v>
      </c>
      <c r="G176" s="39"/>
      <c r="H176" s="39"/>
      <c r="I176" s="39">
        <v>5391</v>
      </c>
      <c r="J176" s="39">
        <v>5541</v>
      </c>
      <c r="K176" s="39">
        <v>5769</v>
      </c>
      <c r="L176" s="39">
        <v>5962</v>
      </c>
      <c r="M176" s="39">
        <v>6174</v>
      </c>
      <c r="N176" s="39">
        <v>6356</v>
      </c>
      <c r="O176" s="39">
        <v>6544</v>
      </c>
      <c r="P176" s="39">
        <v>6672</v>
      </c>
      <c r="Q176" s="39">
        <v>6858</v>
      </c>
      <c r="R176" s="39">
        <v>7056</v>
      </c>
      <c r="S176" s="39">
        <v>7264</v>
      </c>
      <c r="T176" s="39">
        <v>7493</v>
      </c>
      <c r="U176" s="39">
        <v>7764</v>
      </c>
      <c r="V176" s="39"/>
      <c r="W176" s="39"/>
      <c r="X176" s="39">
        <v>7500</v>
      </c>
      <c r="Y176" s="39">
        <v>11400</v>
      </c>
      <c r="Z176" s="39">
        <v>9650</v>
      </c>
      <c r="AA176" s="39">
        <v>10600</v>
      </c>
      <c r="AB176" s="39">
        <v>9100</v>
      </c>
      <c r="AC176" s="39">
        <v>9400</v>
      </c>
      <c r="AD176" s="39">
        <v>6400</v>
      </c>
      <c r="AE176" s="39">
        <v>9300</v>
      </c>
      <c r="AF176" s="39">
        <v>9900</v>
      </c>
      <c r="AG176" s="39">
        <v>10400</v>
      </c>
      <c r="AH176" s="39">
        <v>11450</v>
      </c>
      <c r="AI176" s="39">
        <v>13550</v>
      </c>
      <c r="AJ176" s="48">
        <f t="shared" si="16"/>
        <v>118650</v>
      </c>
    </row>
    <row r="177" spans="1:36" x14ac:dyDescent="0.2">
      <c r="A177" s="29"/>
      <c r="B177" s="39">
        <v>5356220</v>
      </c>
      <c r="C177" s="39" t="s">
        <v>593</v>
      </c>
      <c r="D177" s="39">
        <v>2</v>
      </c>
      <c r="E177" s="232" t="s">
        <v>599</v>
      </c>
      <c r="F177" s="39" t="s">
        <v>1151</v>
      </c>
      <c r="G177" s="39"/>
      <c r="H177" s="39"/>
      <c r="I177" s="39">
        <v>2866</v>
      </c>
      <c r="J177" s="39">
        <v>2881</v>
      </c>
      <c r="K177" s="39">
        <v>2905</v>
      </c>
      <c r="L177" s="39">
        <v>2936</v>
      </c>
      <c r="M177" s="39">
        <v>2973</v>
      </c>
      <c r="N177" s="39">
        <v>3010</v>
      </c>
      <c r="O177" s="39">
        <v>3042</v>
      </c>
      <c r="P177" s="39">
        <v>3063</v>
      </c>
      <c r="Q177" s="39">
        <v>3094</v>
      </c>
      <c r="R177" s="39">
        <v>3135</v>
      </c>
      <c r="S177" s="39">
        <v>3165</v>
      </c>
      <c r="T177" s="39">
        <v>3193</v>
      </c>
      <c r="U177" s="39">
        <v>3227</v>
      </c>
      <c r="V177" s="39"/>
      <c r="W177" s="39"/>
      <c r="X177" s="39">
        <v>300</v>
      </c>
      <c r="Y177" s="39">
        <v>480</v>
      </c>
      <c r="Z177" s="39">
        <v>620</v>
      </c>
      <c r="AA177" s="39">
        <v>740</v>
      </c>
      <c r="AB177" s="39">
        <v>740</v>
      </c>
      <c r="AC177" s="39">
        <v>640</v>
      </c>
      <c r="AD177" s="39">
        <v>420</v>
      </c>
      <c r="AE177" s="39">
        <v>620</v>
      </c>
      <c r="AF177" s="39">
        <v>820</v>
      </c>
      <c r="AG177" s="39">
        <v>600</v>
      </c>
      <c r="AH177" s="39">
        <v>560</v>
      </c>
      <c r="AI177" s="39">
        <v>680</v>
      </c>
      <c r="AJ177" s="48">
        <f t="shared" si="16"/>
        <v>7220</v>
      </c>
    </row>
    <row r="178" spans="1:36" x14ac:dyDescent="0.2">
      <c r="A178" s="29"/>
      <c r="B178" s="39">
        <v>5356228</v>
      </c>
      <c r="C178" s="39" t="s">
        <v>593</v>
      </c>
      <c r="D178" s="39">
        <v>2</v>
      </c>
      <c r="E178" s="232" t="s">
        <v>1152</v>
      </c>
      <c r="F178" s="39" t="s">
        <v>124</v>
      </c>
      <c r="G178" s="39"/>
      <c r="H178" s="39"/>
      <c r="I178" s="39">
        <v>11512</v>
      </c>
      <c r="J178" s="39">
        <v>11565</v>
      </c>
      <c r="K178" s="39">
        <v>11646</v>
      </c>
      <c r="L178" s="39">
        <v>11706</v>
      </c>
      <c r="M178" s="39">
        <v>11780</v>
      </c>
      <c r="N178" s="39">
        <v>11844</v>
      </c>
      <c r="O178" s="39">
        <v>11910</v>
      </c>
      <c r="P178" s="39">
        <v>11952</v>
      </c>
      <c r="Q178" s="39">
        <v>12011</v>
      </c>
      <c r="R178" s="39">
        <v>12076</v>
      </c>
      <c r="S178" s="39">
        <v>12148</v>
      </c>
      <c r="T178" s="39">
        <v>12224</v>
      </c>
      <c r="U178" s="39">
        <v>12316</v>
      </c>
      <c r="V178" s="39"/>
      <c r="W178" s="39"/>
      <c r="X178" s="39">
        <v>1060</v>
      </c>
      <c r="Y178" s="39">
        <v>1620</v>
      </c>
      <c r="Z178" s="39">
        <v>1200</v>
      </c>
      <c r="AA178" s="39">
        <v>1480</v>
      </c>
      <c r="AB178" s="39">
        <v>1280</v>
      </c>
      <c r="AC178" s="39">
        <v>1320</v>
      </c>
      <c r="AD178" s="39">
        <v>840</v>
      </c>
      <c r="AE178" s="39">
        <v>1180</v>
      </c>
      <c r="AF178" s="39">
        <v>1300</v>
      </c>
      <c r="AG178" s="39">
        <v>1440</v>
      </c>
      <c r="AH178" s="39">
        <v>1520</v>
      </c>
      <c r="AI178" s="39">
        <v>1840</v>
      </c>
      <c r="AJ178" s="48">
        <f t="shared" si="16"/>
        <v>16080</v>
      </c>
    </row>
    <row r="179" spans="1:36" x14ac:dyDescent="0.2">
      <c r="A179" s="29"/>
      <c r="B179" s="39">
        <v>535661921</v>
      </c>
      <c r="C179" s="39" t="s">
        <v>593</v>
      </c>
      <c r="D179" s="39">
        <v>2</v>
      </c>
      <c r="E179" s="232" t="s">
        <v>597</v>
      </c>
      <c r="F179" s="39" t="s">
        <v>124</v>
      </c>
      <c r="G179" s="39"/>
      <c r="H179" s="39"/>
      <c r="I179" s="39">
        <v>9150</v>
      </c>
      <c r="J179" s="39">
        <v>9267</v>
      </c>
      <c r="K179" s="39">
        <v>9504</v>
      </c>
      <c r="L179" s="39">
        <v>9704</v>
      </c>
      <c r="M179" s="39">
        <v>9921</v>
      </c>
      <c r="N179" s="39">
        <v>10108</v>
      </c>
      <c r="O179" s="39">
        <v>10301</v>
      </c>
      <c r="P179" s="39">
        <v>10429</v>
      </c>
      <c r="Q179" s="39">
        <v>10612</v>
      </c>
      <c r="R179" s="39">
        <v>10812</v>
      </c>
      <c r="S179" s="39">
        <v>11017</v>
      </c>
      <c r="T179" s="39">
        <v>11234</v>
      </c>
      <c r="U179" s="39">
        <v>11491</v>
      </c>
      <c r="V179" s="39"/>
      <c r="W179" s="39"/>
      <c r="X179" s="39">
        <v>5850</v>
      </c>
      <c r="Y179" s="39">
        <v>11850</v>
      </c>
      <c r="Z179" s="39">
        <v>10000</v>
      </c>
      <c r="AA179" s="39">
        <v>10850</v>
      </c>
      <c r="AB179" s="39">
        <v>9350</v>
      </c>
      <c r="AC179" s="39">
        <v>9650</v>
      </c>
      <c r="AD179" s="39">
        <v>6400</v>
      </c>
      <c r="AE179" s="39">
        <v>9150</v>
      </c>
      <c r="AF179" s="39">
        <v>10000</v>
      </c>
      <c r="AG179" s="39">
        <v>10250</v>
      </c>
      <c r="AH179" s="39">
        <v>10850</v>
      </c>
      <c r="AI179" s="39">
        <v>12850</v>
      </c>
      <c r="AJ179" s="48">
        <f t="shared" si="16"/>
        <v>117050</v>
      </c>
    </row>
    <row r="180" spans="1:36" x14ac:dyDescent="0.2">
      <c r="A180" s="29"/>
      <c r="B180" s="39"/>
      <c r="C180" s="39" t="s">
        <v>601</v>
      </c>
      <c r="D180" s="39">
        <v>2</v>
      </c>
      <c r="E180" s="232" t="s">
        <v>607</v>
      </c>
      <c r="F180" s="39"/>
      <c r="G180" s="39"/>
      <c r="H180" s="39"/>
      <c r="I180" s="39"/>
      <c r="J180" s="39"/>
      <c r="K180" s="39"/>
      <c r="L180" s="39"/>
      <c r="M180" s="39"/>
      <c r="N180" s="39"/>
      <c r="O180" s="39"/>
      <c r="P180" s="39">
        <v>0</v>
      </c>
      <c r="Q180" s="39"/>
      <c r="R180" s="39"/>
      <c r="S180" s="39"/>
      <c r="T180" s="39">
        <v>0</v>
      </c>
      <c r="U180" s="39"/>
      <c r="V180" s="39"/>
      <c r="W180" s="39"/>
      <c r="X180" s="39" t="s">
        <v>734</v>
      </c>
      <c r="Y180" s="39" t="s">
        <v>734</v>
      </c>
      <c r="Z180" s="39" t="s">
        <v>734</v>
      </c>
      <c r="AA180" s="39" t="s">
        <v>734</v>
      </c>
      <c r="AB180" s="39" t="s">
        <v>734</v>
      </c>
      <c r="AC180" s="39" t="s">
        <v>734</v>
      </c>
      <c r="AD180" s="39" t="s">
        <v>734</v>
      </c>
      <c r="AE180" s="39" t="s">
        <v>734</v>
      </c>
      <c r="AF180" s="39" t="s">
        <v>734</v>
      </c>
      <c r="AG180" s="39" t="s">
        <v>734</v>
      </c>
      <c r="AH180" s="39" t="s">
        <v>734</v>
      </c>
      <c r="AI180" s="39" t="s">
        <v>734</v>
      </c>
      <c r="AJ180" s="48">
        <f t="shared" si="16"/>
        <v>0</v>
      </c>
    </row>
    <row r="181" spans="1:36" x14ac:dyDescent="0.2">
      <c r="A181" s="29"/>
      <c r="B181" s="39">
        <v>114014011</v>
      </c>
      <c r="C181" s="39" t="s">
        <v>610</v>
      </c>
      <c r="D181" s="39">
        <v>2</v>
      </c>
      <c r="E181" s="232" t="s">
        <v>1167</v>
      </c>
      <c r="F181" s="39" t="s">
        <v>1159</v>
      </c>
      <c r="G181" s="39"/>
      <c r="H181" s="39"/>
      <c r="I181" s="39"/>
      <c r="J181" s="39"/>
      <c r="K181" s="39">
        <v>3151</v>
      </c>
      <c r="L181" s="39"/>
      <c r="M181" s="39"/>
      <c r="N181" s="39"/>
      <c r="O181" s="39"/>
      <c r="P181" s="39">
        <v>0</v>
      </c>
      <c r="Q181" s="39"/>
      <c r="R181" s="39"/>
      <c r="S181" s="39"/>
      <c r="T181" s="39">
        <v>0</v>
      </c>
      <c r="U181" s="39"/>
      <c r="V181" s="39"/>
      <c r="W181" s="39"/>
      <c r="X181" s="39" t="s">
        <v>734</v>
      </c>
      <c r="Y181" s="39" t="s">
        <v>734</v>
      </c>
      <c r="Z181" s="39" t="s">
        <v>734</v>
      </c>
      <c r="AA181" s="39" t="s">
        <v>734</v>
      </c>
      <c r="AB181" s="39" t="s">
        <v>734</v>
      </c>
      <c r="AC181" s="39" t="s">
        <v>734</v>
      </c>
      <c r="AD181" s="39" t="s">
        <v>734</v>
      </c>
      <c r="AE181" s="39" t="s">
        <v>734</v>
      </c>
      <c r="AF181" s="39" t="s">
        <v>734</v>
      </c>
      <c r="AG181" s="39" t="s">
        <v>734</v>
      </c>
      <c r="AH181" s="39" t="s">
        <v>734</v>
      </c>
      <c r="AI181" s="39" t="s">
        <v>734</v>
      </c>
      <c r="AJ181" s="48">
        <f t="shared" si="16"/>
        <v>0</v>
      </c>
    </row>
    <row r="182" spans="1:36" x14ac:dyDescent="0.2">
      <c r="A182" s="29"/>
      <c r="B182" s="39" t="s">
        <v>1166</v>
      </c>
      <c r="C182" s="39" t="s">
        <v>610</v>
      </c>
      <c r="D182" s="39">
        <v>2</v>
      </c>
      <c r="E182" s="232" t="s">
        <v>1165</v>
      </c>
      <c r="F182" s="39" t="s">
        <v>1159</v>
      </c>
      <c r="G182" s="39"/>
      <c r="H182" s="39"/>
      <c r="I182" s="39"/>
      <c r="J182" s="39"/>
      <c r="K182" s="39">
        <v>71</v>
      </c>
      <c r="L182" s="39"/>
      <c r="M182" s="39"/>
      <c r="N182" s="39"/>
      <c r="O182" s="39"/>
      <c r="P182" s="39">
        <v>0</v>
      </c>
      <c r="Q182" s="39"/>
      <c r="R182" s="39"/>
      <c r="S182" s="39"/>
      <c r="T182" s="39">
        <v>0</v>
      </c>
      <c r="U182" s="39"/>
      <c r="V182" s="39"/>
      <c r="W182" s="39"/>
      <c r="X182" s="39" t="s">
        <v>734</v>
      </c>
      <c r="Y182" s="39" t="s">
        <v>734</v>
      </c>
      <c r="Z182" s="39" t="s">
        <v>734</v>
      </c>
      <c r="AA182" s="39" t="s">
        <v>734</v>
      </c>
      <c r="AB182" s="39" t="s">
        <v>734</v>
      </c>
      <c r="AC182" s="39" t="s">
        <v>734</v>
      </c>
      <c r="AD182" s="39" t="s">
        <v>734</v>
      </c>
      <c r="AE182" s="39" t="s">
        <v>734</v>
      </c>
      <c r="AF182" s="39" t="s">
        <v>734</v>
      </c>
      <c r="AG182" s="39" t="s">
        <v>734</v>
      </c>
      <c r="AH182" s="39" t="s">
        <v>734</v>
      </c>
      <c r="AI182" s="39" t="s">
        <v>734</v>
      </c>
      <c r="AJ182" s="48">
        <f t="shared" si="16"/>
        <v>0</v>
      </c>
    </row>
    <row r="183" spans="1:36" x14ac:dyDescent="0.2">
      <c r="A183" s="29"/>
      <c r="B183" s="39" t="s">
        <v>1160</v>
      </c>
      <c r="C183" s="39" t="s">
        <v>610</v>
      </c>
      <c r="D183" s="39">
        <v>2</v>
      </c>
      <c r="E183" s="232" t="s">
        <v>1161</v>
      </c>
      <c r="F183" s="39" t="s">
        <v>1159</v>
      </c>
      <c r="G183" s="39"/>
      <c r="H183" s="39"/>
      <c r="I183" s="39"/>
      <c r="J183" s="39"/>
      <c r="K183" s="39">
        <v>6777</v>
      </c>
      <c r="L183" s="39"/>
      <c r="M183" s="39"/>
      <c r="N183" s="39"/>
      <c r="O183" s="39"/>
      <c r="P183" s="39">
        <v>0</v>
      </c>
      <c r="Q183" s="39"/>
      <c r="R183" s="39"/>
      <c r="S183" s="39"/>
      <c r="T183" s="39">
        <v>0</v>
      </c>
      <c r="U183" s="39"/>
      <c r="V183" s="39"/>
      <c r="W183" s="39"/>
      <c r="X183" s="39" t="s">
        <v>734</v>
      </c>
      <c r="Y183" s="39" t="s">
        <v>734</v>
      </c>
      <c r="Z183" s="39" t="s">
        <v>734</v>
      </c>
      <c r="AA183" s="39" t="s">
        <v>734</v>
      </c>
      <c r="AB183" s="39" t="s">
        <v>734</v>
      </c>
      <c r="AC183" s="39" t="s">
        <v>734</v>
      </c>
      <c r="AD183" s="39" t="s">
        <v>734</v>
      </c>
      <c r="AE183" s="39" t="s">
        <v>734</v>
      </c>
      <c r="AF183" s="39" t="s">
        <v>734</v>
      </c>
      <c r="AG183" s="39" t="s">
        <v>734</v>
      </c>
      <c r="AH183" s="39" t="s">
        <v>734</v>
      </c>
      <c r="AI183" s="39" t="s">
        <v>734</v>
      </c>
      <c r="AJ183" s="48">
        <f t="shared" si="16"/>
        <v>0</v>
      </c>
    </row>
    <row r="184" spans="1:36" x14ac:dyDescent="0.2">
      <c r="A184" s="29"/>
      <c r="B184" s="39" t="s">
        <v>1162</v>
      </c>
      <c r="C184" s="39" t="s">
        <v>610</v>
      </c>
      <c r="D184" s="39">
        <v>2</v>
      </c>
      <c r="E184" s="232" t="s">
        <v>1163</v>
      </c>
      <c r="F184" s="39" t="s">
        <v>47</v>
      </c>
      <c r="G184" s="39"/>
      <c r="H184" s="39"/>
      <c r="I184" s="39"/>
      <c r="J184" s="39"/>
      <c r="K184" s="39">
        <v>2985</v>
      </c>
      <c r="L184" s="39"/>
      <c r="M184" s="39"/>
      <c r="N184" s="39"/>
      <c r="O184" s="39"/>
      <c r="P184" s="39">
        <v>0</v>
      </c>
      <c r="Q184" s="39"/>
      <c r="R184" s="39"/>
      <c r="S184" s="39"/>
      <c r="T184" s="39">
        <v>0</v>
      </c>
      <c r="U184" s="39"/>
      <c r="V184" s="39"/>
      <c r="W184" s="39"/>
      <c r="X184" s="39" t="s">
        <v>734</v>
      </c>
      <c r="Y184" s="39" t="s">
        <v>734</v>
      </c>
      <c r="Z184" s="39" t="s">
        <v>734</v>
      </c>
      <c r="AA184" s="39" t="s">
        <v>734</v>
      </c>
      <c r="AB184" s="39" t="s">
        <v>734</v>
      </c>
      <c r="AC184" s="39" t="s">
        <v>734</v>
      </c>
      <c r="AD184" s="39" t="s">
        <v>734</v>
      </c>
      <c r="AE184" s="39" t="s">
        <v>734</v>
      </c>
      <c r="AF184" s="39" t="s">
        <v>734</v>
      </c>
      <c r="AG184" s="39" t="s">
        <v>734</v>
      </c>
      <c r="AH184" s="39" t="s">
        <v>734</v>
      </c>
      <c r="AI184" s="39" t="s">
        <v>734</v>
      </c>
      <c r="AJ184" s="48">
        <f t="shared" si="16"/>
        <v>0</v>
      </c>
    </row>
    <row r="185" spans="1:36" x14ac:dyDescent="0.2">
      <c r="A185" s="29"/>
      <c r="B185" s="39" t="s">
        <v>1164</v>
      </c>
      <c r="C185" s="39" t="s">
        <v>610</v>
      </c>
      <c r="D185" s="39">
        <v>2</v>
      </c>
      <c r="E185" s="232" t="s">
        <v>1163</v>
      </c>
      <c r="F185" s="39" t="s">
        <v>1159</v>
      </c>
      <c r="G185" s="39"/>
      <c r="H185" s="39"/>
      <c r="I185" s="39"/>
      <c r="J185" s="39"/>
      <c r="K185" s="39">
        <v>1387901</v>
      </c>
      <c r="L185" s="39"/>
      <c r="M185" s="39"/>
      <c r="N185" s="39"/>
      <c r="O185" s="39"/>
      <c r="P185" s="39">
        <v>0</v>
      </c>
      <c r="Q185" s="39"/>
      <c r="R185" s="39"/>
      <c r="S185" s="39"/>
      <c r="T185" s="39">
        <v>0</v>
      </c>
      <c r="U185" s="39"/>
      <c r="V185" s="39"/>
      <c r="W185" s="39"/>
      <c r="X185" s="39" t="s">
        <v>734</v>
      </c>
      <c r="Y185" s="39" t="s">
        <v>734</v>
      </c>
      <c r="Z185" s="39" t="s">
        <v>734</v>
      </c>
      <c r="AA185" s="39" t="s">
        <v>734</v>
      </c>
      <c r="AB185" s="39" t="s">
        <v>734</v>
      </c>
      <c r="AC185" s="39" t="s">
        <v>734</v>
      </c>
      <c r="AD185" s="39" t="s">
        <v>734</v>
      </c>
      <c r="AE185" s="39" t="s">
        <v>734</v>
      </c>
      <c r="AF185" s="39" t="s">
        <v>734</v>
      </c>
      <c r="AG185" s="39" t="s">
        <v>734</v>
      </c>
      <c r="AH185" s="39" t="s">
        <v>734</v>
      </c>
      <c r="AI185" s="39" t="s">
        <v>734</v>
      </c>
      <c r="AJ185" s="48">
        <f t="shared" si="16"/>
        <v>0</v>
      </c>
    </row>
    <row r="186" spans="1:36" x14ac:dyDescent="0.2">
      <c r="A186" s="29"/>
      <c r="B186" s="39" t="s">
        <v>1158</v>
      </c>
      <c r="C186" s="39" t="s">
        <v>610</v>
      </c>
      <c r="D186" s="39">
        <v>2</v>
      </c>
      <c r="E186" s="232" t="s">
        <v>613</v>
      </c>
      <c r="F186" s="39" t="s">
        <v>1159</v>
      </c>
      <c r="G186" s="39"/>
      <c r="H186" s="39"/>
      <c r="I186" s="39"/>
      <c r="J186" s="39"/>
      <c r="K186" s="39">
        <v>334905</v>
      </c>
      <c r="L186" s="39"/>
      <c r="M186" s="39"/>
      <c r="N186" s="39"/>
      <c r="O186" s="39"/>
      <c r="P186" s="39"/>
      <c r="Q186" s="39"/>
      <c r="R186" s="39"/>
      <c r="S186" s="39"/>
      <c r="T186" s="39">
        <v>0</v>
      </c>
      <c r="U186" s="39"/>
      <c r="V186" s="39"/>
      <c r="W186" s="39"/>
      <c r="X186" s="39" t="s">
        <v>734</v>
      </c>
      <c r="Y186" s="39" t="s">
        <v>734</v>
      </c>
      <c r="Z186" s="39" t="s">
        <v>734</v>
      </c>
      <c r="AA186" s="39" t="s">
        <v>734</v>
      </c>
      <c r="AB186" s="39" t="s">
        <v>734</v>
      </c>
      <c r="AC186" s="39" t="s">
        <v>734</v>
      </c>
      <c r="AD186" s="39" t="s">
        <v>734</v>
      </c>
      <c r="AE186" s="39" t="s">
        <v>734</v>
      </c>
      <c r="AF186" s="39" t="s">
        <v>734</v>
      </c>
      <c r="AG186" s="39" t="s">
        <v>734</v>
      </c>
      <c r="AH186" s="39" t="s">
        <v>734</v>
      </c>
      <c r="AI186" s="39" t="s">
        <v>734</v>
      </c>
      <c r="AJ186" s="48">
        <f t="shared" si="16"/>
        <v>0</v>
      </c>
    </row>
    <row r="187" spans="1:36" x14ac:dyDescent="0.2">
      <c r="A187" s="29"/>
      <c r="B187" s="39"/>
      <c r="C187" s="39" t="s">
        <v>610</v>
      </c>
      <c r="D187" s="39">
        <v>2</v>
      </c>
      <c r="E187" s="232" t="s">
        <v>611</v>
      </c>
      <c r="F187" s="39" t="s">
        <v>612</v>
      </c>
      <c r="G187" s="39"/>
      <c r="H187" s="39"/>
      <c r="I187" s="39"/>
      <c r="J187" s="39"/>
      <c r="K187" s="39"/>
      <c r="L187" s="39"/>
      <c r="M187" s="39"/>
      <c r="N187" s="39"/>
      <c r="O187" s="39"/>
      <c r="P187" s="39"/>
      <c r="Q187" s="39"/>
      <c r="R187" s="39"/>
      <c r="S187" s="39"/>
      <c r="T187" s="39">
        <v>0</v>
      </c>
      <c r="U187" s="39"/>
      <c r="V187" s="39"/>
      <c r="W187" s="39"/>
      <c r="X187" s="39" t="s">
        <v>734</v>
      </c>
      <c r="Y187" s="39" t="s">
        <v>734</v>
      </c>
      <c r="Z187" s="39" t="s">
        <v>734</v>
      </c>
      <c r="AA187" s="39" t="s">
        <v>734</v>
      </c>
      <c r="AB187" s="39" t="s">
        <v>734</v>
      </c>
      <c r="AC187" s="39" t="s">
        <v>734</v>
      </c>
      <c r="AD187" s="39" t="s">
        <v>734</v>
      </c>
      <c r="AE187" s="39" t="s">
        <v>734</v>
      </c>
      <c r="AF187" s="39" t="s">
        <v>734</v>
      </c>
      <c r="AG187" s="39" t="s">
        <v>734</v>
      </c>
      <c r="AH187" s="39" t="s">
        <v>734</v>
      </c>
      <c r="AI187" s="39" t="s">
        <v>734</v>
      </c>
      <c r="AJ187" s="48">
        <f t="shared" si="16"/>
        <v>0</v>
      </c>
    </row>
    <row r="188" spans="1:36" x14ac:dyDescent="0.2">
      <c r="A188" s="29"/>
      <c r="B188" s="39"/>
      <c r="C188" s="39"/>
      <c r="D188" s="39"/>
      <c r="E188" s="232"/>
      <c r="F188" s="39"/>
      <c r="G188" s="39"/>
      <c r="H188" s="39"/>
      <c r="I188" s="39"/>
      <c r="J188" s="39"/>
      <c r="K188" s="39"/>
      <c r="L188" s="39"/>
      <c r="M188" s="39"/>
      <c r="N188" s="39"/>
      <c r="O188" s="39"/>
      <c r="P188" s="39"/>
      <c r="Q188" s="39"/>
      <c r="R188" s="39"/>
      <c r="S188" s="39"/>
      <c r="T188" s="39"/>
      <c r="U188" s="39"/>
      <c r="V188" s="39"/>
      <c r="W188" s="39"/>
      <c r="X188" s="39"/>
      <c r="Y188" s="39"/>
      <c r="Z188" s="39"/>
      <c r="AA188" s="39"/>
      <c r="AB188" s="39"/>
      <c r="AC188" s="39"/>
      <c r="AD188" s="39"/>
      <c r="AE188" s="39"/>
      <c r="AF188" s="39"/>
      <c r="AG188" s="39"/>
      <c r="AH188" s="39"/>
      <c r="AI188" s="39"/>
      <c r="AJ188" s="48">
        <f t="shared" si="16"/>
        <v>0</v>
      </c>
    </row>
    <row r="189" spans="1:36" x14ac:dyDescent="0.2">
      <c r="A189" s="29"/>
      <c r="B189" s="39"/>
      <c r="C189" s="39"/>
      <c r="D189" s="39"/>
      <c r="E189" s="232"/>
      <c r="F189" s="39"/>
      <c r="G189" s="39"/>
      <c r="H189" s="39"/>
      <c r="I189" s="39"/>
      <c r="J189" s="39"/>
      <c r="K189" s="39"/>
      <c r="L189" s="39"/>
      <c r="M189" s="39"/>
      <c r="N189" s="39"/>
      <c r="O189" s="39"/>
      <c r="P189" s="39"/>
      <c r="Q189" s="39"/>
      <c r="R189" s="39"/>
      <c r="S189" s="39"/>
      <c r="T189" s="39"/>
      <c r="U189" s="39"/>
      <c r="V189" s="39"/>
      <c r="W189" s="39"/>
      <c r="X189" s="39"/>
      <c r="Y189" s="39"/>
      <c r="Z189" s="39"/>
      <c r="AA189" s="39"/>
      <c r="AB189" s="39"/>
      <c r="AC189" s="39"/>
      <c r="AD189" s="39"/>
      <c r="AE189" s="39"/>
      <c r="AF189" s="39"/>
      <c r="AG189" s="39"/>
      <c r="AH189" s="39"/>
      <c r="AI189" s="39"/>
      <c r="AJ189" s="48">
        <f t="shared" si="16"/>
        <v>0</v>
      </c>
    </row>
    <row r="190" spans="1:36" x14ac:dyDescent="0.2">
      <c r="A190" s="29"/>
      <c r="B190" s="39"/>
      <c r="C190" s="39"/>
      <c r="D190" s="39"/>
      <c r="E190" s="232"/>
      <c r="F190" s="39"/>
      <c r="G190" s="39"/>
      <c r="H190" s="39"/>
      <c r="I190" s="39"/>
      <c r="J190" s="39"/>
      <c r="K190" s="39"/>
      <c r="L190" s="39"/>
      <c r="M190" s="39"/>
      <c r="N190" s="39"/>
      <c r="O190" s="39"/>
      <c r="P190" s="39"/>
      <c r="Q190" s="39"/>
      <c r="R190" s="39"/>
      <c r="S190" s="39"/>
      <c r="T190" s="39"/>
      <c r="U190" s="39"/>
      <c r="V190" s="39"/>
      <c r="W190" s="39"/>
      <c r="X190" s="39"/>
      <c r="Y190" s="39"/>
      <c r="Z190" s="39"/>
      <c r="AA190" s="39"/>
      <c r="AB190" s="39"/>
      <c r="AC190" s="39"/>
      <c r="AD190" s="39"/>
      <c r="AE190" s="39"/>
      <c r="AF190" s="39"/>
      <c r="AG190" s="39"/>
      <c r="AH190" s="39"/>
      <c r="AI190" s="39"/>
      <c r="AJ190" s="48">
        <f t="shared" si="16"/>
        <v>0</v>
      </c>
    </row>
    <row r="191" spans="1:36" x14ac:dyDescent="0.2">
      <c r="A191" s="29"/>
      <c r="B191" s="39"/>
      <c r="C191" s="39"/>
      <c r="D191" s="39"/>
      <c r="E191" s="232"/>
      <c r="F191" s="39"/>
      <c r="G191" s="39"/>
      <c r="H191" s="39"/>
      <c r="I191" s="39"/>
      <c r="J191" s="39"/>
      <c r="K191" s="39"/>
      <c r="L191" s="39"/>
      <c r="M191" s="39"/>
      <c r="N191" s="39"/>
      <c r="O191" s="39"/>
      <c r="P191" s="39"/>
      <c r="Q191" s="39"/>
      <c r="R191" s="39"/>
      <c r="S191" s="39"/>
      <c r="T191" s="39"/>
      <c r="U191" s="39"/>
      <c r="V191" s="39"/>
      <c r="W191" s="39"/>
      <c r="X191" s="39"/>
      <c r="Y191" s="39"/>
      <c r="Z191" s="39"/>
      <c r="AA191" s="39"/>
      <c r="AB191" s="39"/>
      <c r="AC191" s="39"/>
      <c r="AD191" s="39"/>
      <c r="AE191" s="39"/>
      <c r="AF191" s="39"/>
      <c r="AG191" s="39"/>
      <c r="AH191" s="39"/>
      <c r="AI191" s="39"/>
      <c r="AJ191" s="48">
        <f t="shared" si="16"/>
        <v>0</v>
      </c>
    </row>
    <row r="192" spans="1:36" x14ac:dyDescent="0.2">
      <c r="A192" s="29"/>
      <c r="B192" s="39"/>
      <c r="C192" s="39"/>
      <c r="D192" s="39"/>
      <c r="E192" s="232"/>
      <c r="F192" s="39"/>
      <c r="G192" s="39"/>
      <c r="H192" s="39"/>
      <c r="I192" s="39"/>
      <c r="J192" s="39"/>
      <c r="K192" s="39"/>
      <c r="L192" s="39"/>
      <c r="M192" s="39"/>
      <c r="N192" s="39"/>
      <c r="O192" s="39"/>
      <c r="P192" s="39"/>
      <c r="Q192" s="39"/>
      <c r="R192" s="39"/>
      <c r="S192" s="39"/>
      <c r="T192" s="39"/>
      <c r="U192" s="39"/>
      <c r="V192" s="39"/>
      <c r="W192" s="39"/>
      <c r="X192" s="39"/>
      <c r="Y192" s="39"/>
      <c r="Z192" s="39"/>
      <c r="AA192" s="39"/>
      <c r="AB192" s="39"/>
      <c r="AC192" s="39"/>
      <c r="AD192" s="39"/>
      <c r="AE192" s="39"/>
      <c r="AF192" s="39"/>
      <c r="AG192" s="39"/>
      <c r="AH192" s="39"/>
      <c r="AI192" s="39"/>
      <c r="AJ192" s="48">
        <f t="shared" si="16"/>
        <v>0</v>
      </c>
    </row>
    <row r="193" spans="1:36" x14ac:dyDescent="0.2">
      <c r="A193" s="29"/>
      <c r="B193" s="39"/>
      <c r="C193" s="39"/>
      <c r="D193" s="39"/>
      <c r="E193" s="232"/>
      <c r="F193" s="39"/>
      <c r="G193" s="27"/>
      <c r="H193" s="27"/>
      <c r="I193" s="27"/>
      <c r="J193" s="27"/>
      <c r="K193" s="27"/>
      <c r="L193" s="27"/>
      <c r="M193" s="27"/>
      <c r="N193" s="27"/>
      <c r="O193" s="27"/>
      <c r="P193" s="27"/>
      <c r="Q193" s="27"/>
      <c r="R193" s="27"/>
      <c r="S193" s="27"/>
      <c r="T193" s="27"/>
      <c r="U193" s="27"/>
      <c r="V193" s="27"/>
      <c r="W193" s="27"/>
      <c r="X193" s="173"/>
      <c r="Y193" s="173"/>
      <c r="Z193" s="173"/>
      <c r="AA193" s="173"/>
      <c r="AB193" s="173"/>
      <c r="AC193" s="173"/>
      <c r="AD193" s="173"/>
      <c r="AE193" s="173"/>
      <c r="AF193" s="173"/>
      <c r="AG193" s="173"/>
      <c r="AH193" s="173"/>
      <c r="AI193" s="39"/>
      <c r="AJ193" s="48">
        <f t="shared" si="16"/>
        <v>0</v>
      </c>
    </row>
    <row r="194" spans="1:36" x14ac:dyDescent="0.2">
      <c r="A194" s="29"/>
      <c r="B194" s="39"/>
      <c r="C194" s="39"/>
      <c r="D194" s="39"/>
      <c r="E194" s="232"/>
      <c r="F194" s="39"/>
      <c r="G194" s="27"/>
      <c r="H194" s="27"/>
      <c r="I194" s="27"/>
      <c r="J194" s="27"/>
      <c r="K194" s="27"/>
      <c r="L194" s="27"/>
      <c r="M194" s="27"/>
      <c r="N194" s="27"/>
      <c r="O194" s="27"/>
      <c r="P194" s="27"/>
      <c r="Q194" s="27"/>
      <c r="R194" s="27"/>
      <c r="S194" s="27"/>
      <c r="T194" s="27"/>
      <c r="U194" s="27"/>
      <c r="V194" s="27"/>
      <c r="W194" s="27"/>
      <c r="X194" s="173"/>
      <c r="Y194" s="173"/>
      <c r="Z194" s="173"/>
      <c r="AA194" s="173"/>
      <c r="AB194" s="173"/>
      <c r="AC194" s="173"/>
      <c r="AD194" s="173"/>
      <c r="AE194" s="173"/>
      <c r="AF194" s="173"/>
      <c r="AG194" s="173"/>
      <c r="AH194" s="173"/>
      <c r="AI194" s="39"/>
      <c r="AJ194" s="48">
        <f t="shared" si="16"/>
        <v>0</v>
      </c>
    </row>
    <row r="195" spans="1:36" x14ac:dyDescent="0.2">
      <c r="A195" s="29"/>
      <c r="B195" s="39"/>
      <c r="C195" s="39"/>
      <c r="D195" s="39"/>
      <c r="E195" s="232"/>
      <c r="F195" s="39"/>
      <c r="G195" s="27"/>
      <c r="H195" s="27"/>
      <c r="I195" s="27"/>
      <c r="J195" s="27"/>
      <c r="K195" s="27"/>
      <c r="L195" s="27"/>
      <c r="M195" s="27"/>
      <c r="N195" s="27"/>
      <c r="O195" s="27"/>
      <c r="P195" s="27"/>
      <c r="Q195" s="27"/>
      <c r="R195" s="27"/>
      <c r="S195" s="27"/>
      <c r="T195" s="27"/>
      <c r="U195" s="27"/>
      <c r="V195" s="27"/>
      <c r="W195" s="27"/>
      <c r="X195" s="173"/>
      <c r="Y195" s="173"/>
      <c r="Z195" s="173"/>
      <c r="AA195" s="173"/>
      <c r="AB195" s="173"/>
      <c r="AC195" s="173"/>
      <c r="AD195" s="173"/>
      <c r="AE195" s="173"/>
      <c r="AF195" s="173"/>
      <c r="AG195" s="173"/>
      <c r="AH195" s="173"/>
      <c r="AI195" s="173"/>
      <c r="AJ195" s="48">
        <f t="shared" si="16"/>
        <v>0</v>
      </c>
    </row>
    <row r="196" spans="1:36" s="23" customFormat="1" x14ac:dyDescent="0.2">
      <c r="A196" s="641"/>
      <c r="B196" s="641"/>
      <c r="C196" s="641"/>
      <c r="D196" s="641"/>
      <c r="E196" s="234"/>
      <c r="F196" s="76"/>
      <c r="G196" s="76"/>
      <c r="H196" s="76"/>
      <c r="I196" s="76"/>
      <c r="J196" s="76"/>
      <c r="K196" s="76"/>
      <c r="L196" s="76"/>
      <c r="M196" s="76"/>
      <c r="N196" s="76"/>
      <c r="O196" s="76"/>
      <c r="P196" s="76"/>
      <c r="Q196" s="76"/>
      <c r="R196" s="76"/>
      <c r="S196" s="76"/>
      <c r="T196" s="76"/>
      <c r="U196" s="76"/>
      <c r="V196" s="76"/>
      <c r="W196" s="180"/>
      <c r="X196" s="77">
        <f t="shared" ref="X196:AI196" si="17">SUM(X150:X195)</f>
        <v>42127</v>
      </c>
      <c r="Y196" s="77">
        <f t="shared" si="17"/>
        <v>68425</v>
      </c>
      <c r="Z196" s="77">
        <f t="shared" si="17"/>
        <v>53661</v>
      </c>
      <c r="AA196" s="77">
        <f t="shared" si="17"/>
        <v>55917</v>
      </c>
      <c r="AB196" s="77">
        <f t="shared" si="17"/>
        <v>44459</v>
      </c>
      <c r="AC196" s="77">
        <f t="shared" si="17"/>
        <v>43545</v>
      </c>
      <c r="AD196" s="77">
        <f t="shared" si="17"/>
        <v>36333</v>
      </c>
      <c r="AE196" s="77">
        <f t="shared" si="17"/>
        <v>48175</v>
      </c>
      <c r="AF196" s="77">
        <f t="shared" si="17"/>
        <v>48489</v>
      </c>
      <c r="AG196" s="77">
        <f t="shared" si="17"/>
        <v>47412</v>
      </c>
      <c r="AH196" s="77">
        <f t="shared" si="17"/>
        <v>55161</v>
      </c>
      <c r="AI196" s="77">
        <f t="shared" si="17"/>
        <v>63952</v>
      </c>
      <c r="AJ196" s="77">
        <f>SUM(AJ150:AJ195)</f>
        <v>607656</v>
      </c>
    </row>
    <row r="201" spans="1:36" ht="21" x14ac:dyDescent="0.35">
      <c r="A201" s="239"/>
      <c r="B201" s="239"/>
      <c r="C201" s="239"/>
      <c r="D201" s="239"/>
    </row>
    <row r="203" spans="1:36" ht="15.75" x14ac:dyDescent="0.2">
      <c r="A203" s="238"/>
      <c r="B203" s="238"/>
      <c r="C203" s="238"/>
      <c r="D203" s="238"/>
      <c r="E203" s="231"/>
      <c r="F203" s="35"/>
      <c r="G203" s="35"/>
      <c r="H203" s="35"/>
      <c r="I203" s="35"/>
      <c r="J203" s="35"/>
      <c r="K203" s="35"/>
      <c r="L203" s="35"/>
      <c r="M203" s="35"/>
      <c r="N203" s="35"/>
      <c r="O203" s="35"/>
      <c r="P203" s="35"/>
      <c r="Q203" s="35"/>
      <c r="R203" s="35"/>
      <c r="S203" s="35"/>
      <c r="T203" s="35"/>
      <c r="U203" s="35"/>
      <c r="V203" s="35"/>
      <c r="W203" s="168"/>
      <c r="X203" s="168"/>
      <c r="Y203" s="168"/>
      <c r="Z203" s="168"/>
      <c r="AA203" s="168"/>
      <c r="AB203" s="168"/>
      <c r="AC203" s="168"/>
      <c r="AD203" s="168"/>
      <c r="AE203" s="168"/>
      <c r="AF203" s="168"/>
      <c r="AG203" s="168"/>
      <c r="AH203" s="168"/>
      <c r="AI203" s="45"/>
      <c r="AJ203" s="45"/>
    </row>
    <row r="204" spans="1:36" ht="15" x14ac:dyDescent="0.25">
      <c r="A204" s="28"/>
      <c r="B204" s="183" t="s">
        <v>18</v>
      </c>
      <c r="C204" s="183" t="s">
        <v>0</v>
      </c>
      <c r="D204" s="183" t="s">
        <v>710</v>
      </c>
      <c r="E204" s="232" t="s">
        <v>1</v>
      </c>
      <c r="F204" s="36" t="s">
        <v>2</v>
      </c>
      <c r="G204" s="36" t="s">
        <v>3</v>
      </c>
      <c r="H204" s="36" t="s">
        <v>4</v>
      </c>
      <c r="I204" s="36" t="s">
        <v>1100</v>
      </c>
      <c r="J204" s="36" t="s">
        <v>1050</v>
      </c>
      <c r="K204" s="36" t="s">
        <v>1101</v>
      </c>
      <c r="L204" s="36" t="s">
        <v>1102</v>
      </c>
      <c r="M204" s="36" t="s">
        <v>1103</v>
      </c>
      <c r="N204" s="36" t="s">
        <v>1104</v>
      </c>
      <c r="O204" s="36" t="s">
        <v>1105</v>
      </c>
      <c r="P204" s="36" t="s">
        <v>1106</v>
      </c>
      <c r="Q204" s="36" t="s">
        <v>1107</v>
      </c>
      <c r="R204" s="36" t="s">
        <v>1108</v>
      </c>
      <c r="S204" s="36" t="s">
        <v>1109</v>
      </c>
      <c r="T204" s="36" t="s">
        <v>1110</v>
      </c>
      <c r="U204" s="36" t="s">
        <v>1111</v>
      </c>
      <c r="V204" s="36" t="s">
        <v>1112</v>
      </c>
      <c r="W204" s="169" t="s">
        <v>756</v>
      </c>
      <c r="X204" s="169" t="s">
        <v>488</v>
      </c>
      <c r="Y204" s="169" t="s">
        <v>489</v>
      </c>
      <c r="Z204" s="169" t="s">
        <v>490</v>
      </c>
      <c r="AA204" s="169" t="s">
        <v>491</v>
      </c>
      <c r="AB204" s="169" t="s">
        <v>492</v>
      </c>
      <c r="AC204" s="169" t="s">
        <v>493</v>
      </c>
      <c r="AD204" s="169" t="s">
        <v>494</v>
      </c>
      <c r="AE204" s="169" t="s">
        <v>495</v>
      </c>
      <c r="AF204" s="169" t="s">
        <v>496</v>
      </c>
      <c r="AG204" s="169" t="s">
        <v>497</v>
      </c>
      <c r="AH204" s="169" t="s">
        <v>498</v>
      </c>
      <c r="AI204" s="46" t="s">
        <v>499</v>
      </c>
      <c r="AJ204" s="46" t="s">
        <v>685</v>
      </c>
    </row>
    <row r="205" spans="1:36" x14ac:dyDescent="0.2">
      <c r="A205" s="29"/>
      <c r="B205" s="39">
        <v>79007</v>
      </c>
      <c r="C205" s="39" t="s">
        <v>617</v>
      </c>
      <c r="D205" s="39">
        <v>3</v>
      </c>
      <c r="E205" s="39" t="s">
        <v>1390</v>
      </c>
      <c r="F205" s="39" t="s">
        <v>619</v>
      </c>
      <c r="G205" s="39" t="s">
        <v>620</v>
      </c>
      <c r="H205" s="39"/>
      <c r="I205" s="39">
        <v>54812.3</v>
      </c>
      <c r="J205" s="39">
        <v>55717.2</v>
      </c>
      <c r="K205" s="39">
        <v>56886</v>
      </c>
      <c r="L205" s="39">
        <v>58209.7</v>
      </c>
      <c r="M205" s="39">
        <v>59014.5</v>
      </c>
      <c r="N205" s="39">
        <v>59713.3</v>
      </c>
      <c r="O205" s="39">
        <v>60502</v>
      </c>
      <c r="P205" s="39">
        <v>60997.8</v>
      </c>
      <c r="Q205" s="39">
        <v>61931.3</v>
      </c>
      <c r="R205" s="39">
        <v>62717.2</v>
      </c>
      <c r="S205" s="39">
        <v>63709.9</v>
      </c>
      <c r="T205" s="39">
        <v>65236.5</v>
      </c>
      <c r="U205" s="39">
        <v>66672.899999999994</v>
      </c>
      <c r="V205" s="39"/>
      <c r="W205" s="39"/>
      <c r="X205" s="39">
        <v>904.89999999999418</v>
      </c>
      <c r="Y205" s="39">
        <v>1168.8000000000029</v>
      </c>
      <c r="Z205" s="39">
        <v>1323.6999999999971</v>
      </c>
      <c r="AA205" s="39">
        <v>804.80000000000291</v>
      </c>
      <c r="AB205" s="39">
        <v>698.80000000000291</v>
      </c>
      <c r="AC205" s="39">
        <v>788.69999999999709</v>
      </c>
      <c r="AD205" s="39">
        <v>495.80000000000291</v>
      </c>
      <c r="AE205" s="39">
        <v>933.5</v>
      </c>
      <c r="AF205" s="39">
        <v>785.89999999999418</v>
      </c>
      <c r="AG205" s="39">
        <v>992.70000000000437</v>
      </c>
      <c r="AH205" s="39">
        <v>1526.5999999999985</v>
      </c>
      <c r="AI205" s="39">
        <v>1436.3999999999942</v>
      </c>
      <c r="AJ205" s="48">
        <f t="shared" ref="AJ205:AJ243" si="18">SUMIFS(X205:AI205,X205:AI205,"&gt;0",X205:AI205,"&lt;9999999")</f>
        <v>11860.599999999991</v>
      </c>
    </row>
    <row r="206" spans="1:36" x14ac:dyDescent="0.2">
      <c r="A206" s="29"/>
      <c r="B206" s="39">
        <v>79062</v>
      </c>
      <c r="C206" s="39" t="s">
        <v>617</v>
      </c>
      <c r="D206" s="39">
        <v>3</v>
      </c>
      <c r="E206" s="39" t="s">
        <v>21</v>
      </c>
      <c r="F206" s="39" t="s">
        <v>619</v>
      </c>
      <c r="G206" s="39" t="s">
        <v>1365</v>
      </c>
      <c r="H206" s="39"/>
      <c r="I206" s="39"/>
      <c r="J206" s="39"/>
      <c r="K206" s="39"/>
      <c r="L206" s="39"/>
      <c r="M206" s="39"/>
      <c r="N206" s="39">
        <v>36975</v>
      </c>
      <c r="O206" s="39">
        <v>37459</v>
      </c>
      <c r="P206" s="39"/>
      <c r="Q206" s="39">
        <v>38966.300000000003</v>
      </c>
      <c r="R206" s="39">
        <v>39664.9</v>
      </c>
      <c r="S206" s="39">
        <v>40111.9</v>
      </c>
      <c r="T206" s="39">
        <v>40488.1</v>
      </c>
      <c r="U206" s="39">
        <v>41204.800000000003</v>
      </c>
      <c r="V206" s="39"/>
      <c r="W206" s="39"/>
      <c r="X206" s="39" t="s">
        <v>734</v>
      </c>
      <c r="Y206" s="39" t="s">
        <v>734</v>
      </c>
      <c r="Z206" s="39" t="s">
        <v>734</v>
      </c>
      <c r="AA206" s="39" t="s">
        <v>734</v>
      </c>
      <c r="AB206" s="39" t="s">
        <v>734</v>
      </c>
      <c r="AC206" s="39">
        <v>484</v>
      </c>
      <c r="AD206" s="39" t="s">
        <v>734</v>
      </c>
      <c r="AE206" s="39" t="s">
        <v>734</v>
      </c>
      <c r="AF206" s="39">
        <v>698.59999999999854</v>
      </c>
      <c r="AG206" s="39">
        <v>447</v>
      </c>
      <c r="AH206" s="39">
        <v>376.19999999999709</v>
      </c>
      <c r="AI206" s="39">
        <v>716.70000000000437</v>
      </c>
      <c r="AJ206" s="48">
        <f t="shared" si="18"/>
        <v>2722.5</v>
      </c>
    </row>
    <row r="207" spans="1:36" x14ac:dyDescent="0.2">
      <c r="A207" s="29"/>
      <c r="B207" s="39">
        <v>32973653</v>
      </c>
      <c r="C207" s="39" t="s">
        <v>617</v>
      </c>
      <c r="D207" s="39">
        <v>3</v>
      </c>
      <c r="E207" s="39" t="s">
        <v>21</v>
      </c>
      <c r="F207" s="39" t="s">
        <v>1423</v>
      </c>
      <c r="G207" s="39" t="s">
        <v>1418</v>
      </c>
      <c r="H207" s="39" t="s">
        <v>703</v>
      </c>
      <c r="I207" s="39">
        <v>2074</v>
      </c>
      <c r="J207" s="39">
        <v>2344</v>
      </c>
      <c r="K207" s="39">
        <v>2808</v>
      </c>
      <c r="L207" s="39">
        <v>3275</v>
      </c>
      <c r="M207" s="39">
        <v>3499</v>
      </c>
      <c r="N207" s="39">
        <v>3680</v>
      </c>
      <c r="O207" s="39">
        <v>3920</v>
      </c>
      <c r="P207" s="39">
        <v>4274</v>
      </c>
      <c r="Q207" s="39">
        <v>4676</v>
      </c>
      <c r="R207" s="39">
        <v>5054</v>
      </c>
      <c r="S207" s="39">
        <v>5280</v>
      </c>
      <c r="T207" s="39">
        <v>5587</v>
      </c>
      <c r="U207" s="39">
        <v>5911</v>
      </c>
      <c r="V207" s="39"/>
      <c r="W207" s="39"/>
      <c r="X207" s="39">
        <v>270</v>
      </c>
      <c r="Y207" s="39">
        <v>464</v>
      </c>
      <c r="Z207" s="39">
        <v>467</v>
      </c>
      <c r="AA207" s="39">
        <v>224</v>
      </c>
      <c r="AB207" s="39">
        <v>181</v>
      </c>
      <c r="AC207" s="39">
        <v>240</v>
      </c>
      <c r="AD207" s="39">
        <v>354</v>
      </c>
      <c r="AE207" s="39">
        <v>402</v>
      </c>
      <c r="AF207" s="39">
        <v>378</v>
      </c>
      <c r="AG207" s="39">
        <v>226</v>
      </c>
      <c r="AH207" s="39">
        <v>307</v>
      </c>
      <c r="AI207" s="39">
        <v>324</v>
      </c>
      <c r="AJ207" s="48">
        <f t="shared" si="18"/>
        <v>3837</v>
      </c>
    </row>
    <row r="208" spans="1:36" x14ac:dyDescent="0.2">
      <c r="A208" s="29"/>
      <c r="B208" s="39" t="s">
        <v>409</v>
      </c>
      <c r="C208" s="39" t="s">
        <v>617</v>
      </c>
      <c r="D208" s="39">
        <v>3</v>
      </c>
      <c r="E208" s="39" t="s">
        <v>21</v>
      </c>
      <c r="F208" s="39" t="s">
        <v>636</v>
      </c>
      <c r="G208" s="39" t="s">
        <v>637</v>
      </c>
      <c r="H208" s="39" t="s">
        <v>1185</v>
      </c>
      <c r="I208" s="39">
        <v>13239</v>
      </c>
      <c r="J208" s="39">
        <v>13239</v>
      </c>
      <c r="K208" s="39">
        <v>13380</v>
      </c>
      <c r="L208" s="39">
        <v>13544.9</v>
      </c>
      <c r="M208" s="39">
        <v>13673.9</v>
      </c>
      <c r="N208" s="39">
        <v>13808.8</v>
      </c>
      <c r="O208" s="39">
        <v>13904.3</v>
      </c>
      <c r="P208" s="39">
        <v>13914.6</v>
      </c>
      <c r="Q208" s="39">
        <v>13937.5</v>
      </c>
      <c r="R208" s="39">
        <v>13937.5</v>
      </c>
      <c r="S208" s="39">
        <v>13940.2</v>
      </c>
      <c r="T208" s="39">
        <v>13960.7</v>
      </c>
      <c r="U208" s="39">
        <v>13972.7</v>
      </c>
      <c r="V208" s="39"/>
      <c r="W208" s="39"/>
      <c r="X208" s="39">
        <v>0</v>
      </c>
      <c r="Y208" s="39">
        <v>141</v>
      </c>
      <c r="Z208" s="39">
        <v>164.89999999999964</v>
      </c>
      <c r="AA208" s="39">
        <v>129</v>
      </c>
      <c r="AB208" s="39">
        <v>134.89999999999964</v>
      </c>
      <c r="AC208" s="39">
        <v>95.5</v>
      </c>
      <c r="AD208" s="39">
        <v>10.300000000001091</v>
      </c>
      <c r="AE208" s="39">
        <v>22.899999999999636</v>
      </c>
      <c r="AF208" s="39">
        <v>0</v>
      </c>
      <c r="AG208" s="39">
        <v>2.7000000000007276</v>
      </c>
      <c r="AH208" s="39">
        <v>20.5</v>
      </c>
      <c r="AI208" s="39">
        <v>12</v>
      </c>
      <c r="AJ208" s="48">
        <f t="shared" si="18"/>
        <v>733.70000000000073</v>
      </c>
    </row>
    <row r="209" spans="1:36" x14ac:dyDescent="0.2">
      <c r="A209" s="29"/>
      <c r="B209" s="39" t="s">
        <v>407</v>
      </c>
      <c r="C209" s="39" t="s">
        <v>617</v>
      </c>
      <c r="D209" s="39">
        <v>3</v>
      </c>
      <c r="E209" s="39" t="s">
        <v>21</v>
      </c>
      <c r="F209" s="39" t="s">
        <v>621</v>
      </c>
      <c r="G209" s="39" t="s">
        <v>626</v>
      </c>
      <c r="H209" s="39"/>
      <c r="I209" s="39">
        <v>1949</v>
      </c>
      <c r="J209" s="39">
        <v>1949</v>
      </c>
      <c r="K209" s="39">
        <v>1949</v>
      </c>
      <c r="L209" s="39">
        <v>1949</v>
      </c>
      <c r="M209" s="39">
        <v>1949</v>
      </c>
      <c r="N209" s="39">
        <v>1949</v>
      </c>
      <c r="O209" s="39">
        <v>1949</v>
      </c>
      <c r="P209" s="39">
        <v>1950</v>
      </c>
      <c r="Q209" s="39">
        <v>1974</v>
      </c>
      <c r="R209" s="39">
        <v>1986</v>
      </c>
      <c r="S209" s="39">
        <v>1986</v>
      </c>
      <c r="T209" s="39">
        <v>1986</v>
      </c>
      <c r="U209" s="39">
        <v>1986</v>
      </c>
      <c r="V209" s="39"/>
      <c r="W209" s="39"/>
      <c r="X209" s="39">
        <v>0</v>
      </c>
      <c r="Y209" s="39">
        <v>0</v>
      </c>
      <c r="Z209" s="39">
        <v>0</v>
      </c>
      <c r="AA209" s="39">
        <v>0</v>
      </c>
      <c r="AB209" s="39">
        <v>0</v>
      </c>
      <c r="AC209" s="39">
        <v>0</v>
      </c>
      <c r="AD209" s="39">
        <v>1</v>
      </c>
      <c r="AE209" s="39">
        <v>24</v>
      </c>
      <c r="AF209" s="39">
        <v>12</v>
      </c>
      <c r="AG209" s="39">
        <v>0</v>
      </c>
      <c r="AH209" s="39">
        <v>0</v>
      </c>
      <c r="AI209" s="39">
        <v>0</v>
      </c>
      <c r="AJ209" s="48">
        <f t="shared" si="18"/>
        <v>37</v>
      </c>
    </row>
    <row r="210" spans="1:36" x14ac:dyDescent="0.2">
      <c r="A210" s="29"/>
      <c r="B210" s="39" t="s">
        <v>405</v>
      </c>
      <c r="C210" s="39" t="s">
        <v>617</v>
      </c>
      <c r="D210" s="39">
        <v>3</v>
      </c>
      <c r="E210" s="39" t="s">
        <v>21</v>
      </c>
      <c r="F210" s="39" t="s">
        <v>621</v>
      </c>
      <c r="G210" s="39" t="s">
        <v>625</v>
      </c>
      <c r="H210" s="39"/>
      <c r="I210" s="39">
        <v>30129</v>
      </c>
      <c r="J210" s="39">
        <v>30129</v>
      </c>
      <c r="K210" s="39">
        <v>30129</v>
      </c>
      <c r="L210" s="39">
        <v>30129</v>
      </c>
      <c r="M210" s="39">
        <v>30129</v>
      </c>
      <c r="N210" s="39">
        <v>30129</v>
      </c>
      <c r="O210" s="39">
        <v>30129</v>
      </c>
      <c r="P210" s="39">
        <v>30130</v>
      </c>
      <c r="Q210" s="39">
        <v>30130</v>
      </c>
      <c r="R210" s="39">
        <v>30131</v>
      </c>
      <c r="S210" s="39">
        <v>30132</v>
      </c>
      <c r="T210" s="39">
        <v>30132</v>
      </c>
      <c r="U210" s="39">
        <v>30132</v>
      </c>
      <c r="V210" s="39"/>
      <c r="W210" s="39"/>
      <c r="X210" s="39">
        <v>0</v>
      </c>
      <c r="Y210" s="39">
        <v>0</v>
      </c>
      <c r="Z210" s="39">
        <v>0</v>
      </c>
      <c r="AA210" s="39">
        <v>0</v>
      </c>
      <c r="AB210" s="39">
        <v>0</v>
      </c>
      <c r="AC210" s="39">
        <v>0</v>
      </c>
      <c r="AD210" s="39">
        <v>1</v>
      </c>
      <c r="AE210" s="39">
        <v>0</v>
      </c>
      <c r="AF210" s="39">
        <v>1</v>
      </c>
      <c r="AG210" s="39">
        <v>1</v>
      </c>
      <c r="AH210" s="39">
        <v>0</v>
      </c>
      <c r="AI210" s="39">
        <v>0</v>
      </c>
      <c r="AJ210" s="48">
        <f t="shared" si="18"/>
        <v>3</v>
      </c>
    </row>
    <row r="211" spans="1:36" x14ac:dyDescent="0.2">
      <c r="A211" s="31"/>
      <c r="B211" s="39" t="s">
        <v>400</v>
      </c>
      <c r="C211" s="39" t="s">
        <v>617</v>
      </c>
      <c r="D211" s="39">
        <v>3</v>
      </c>
      <c r="E211" s="39" t="s">
        <v>21</v>
      </c>
      <c r="F211" s="39" t="s">
        <v>621</v>
      </c>
      <c r="G211" s="39" t="s">
        <v>1392</v>
      </c>
      <c r="H211" s="39"/>
      <c r="I211" s="39">
        <v>596320</v>
      </c>
      <c r="J211" s="39">
        <v>599194</v>
      </c>
      <c r="K211" s="39">
        <v>603289</v>
      </c>
      <c r="L211" s="39">
        <v>607960</v>
      </c>
      <c r="M211" s="39">
        <v>611203</v>
      </c>
      <c r="N211" s="39">
        <v>614912</v>
      </c>
      <c r="O211" s="39">
        <v>619715</v>
      </c>
      <c r="P211" s="39">
        <v>623553</v>
      </c>
      <c r="Q211" s="39">
        <v>630041</v>
      </c>
      <c r="R211" s="39">
        <v>635469</v>
      </c>
      <c r="S211" s="39">
        <v>639652</v>
      </c>
      <c r="T211" s="39">
        <v>644576</v>
      </c>
      <c r="U211" s="39">
        <v>648612</v>
      </c>
      <c r="V211" s="39"/>
      <c r="W211" s="39"/>
      <c r="X211" s="39">
        <v>2874</v>
      </c>
      <c r="Y211" s="39">
        <v>4095</v>
      </c>
      <c r="Z211" s="39">
        <v>4671</v>
      </c>
      <c r="AA211" s="39">
        <v>3243</v>
      </c>
      <c r="AB211" s="39">
        <v>3709</v>
      </c>
      <c r="AC211" s="39">
        <v>4803</v>
      </c>
      <c r="AD211" s="39">
        <v>3838</v>
      </c>
      <c r="AE211" s="39">
        <v>6488</v>
      </c>
      <c r="AF211" s="39">
        <v>5428</v>
      </c>
      <c r="AG211" s="39">
        <v>4183</v>
      </c>
      <c r="AH211" s="39">
        <v>4924</v>
      </c>
      <c r="AI211" s="39">
        <v>4036</v>
      </c>
      <c r="AJ211" s="48">
        <f t="shared" si="18"/>
        <v>52292</v>
      </c>
    </row>
    <row r="212" spans="1:36" x14ac:dyDescent="0.2">
      <c r="A212" s="29"/>
      <c r="B212" s="39" t="s">
        <v>412</v>
      </c>
      <c r="C212" s="39" t="s">
        <v>617</v>
      </c>
      <c r="D212" s="39">
        <v>3</v>
      </c>
      <c r="E212" s="39" t="s">
        <v>21</v>
      </c>
      <c r="F212" s="39" t="s">
        <v>621</v>
      </c>
      <c r="G212" s="39" t="s">
        <v>1402</v>
      </c>
      <c r="H212" s="39"/>
      <c r="I212" s="39">
        <v>55000</v>
      </c>
      <c r="J212" s="39">
        <v>60005</v>
      </c>
      <c r="K212" s="39">
        <v>62585</v>
      </c>
      <c r="L212" s="39">
        <v>65639</v>
      </c>
      <c r="M212" s="39">
        <v>67907</v>
      </c>
      <c r="N212" s="39">
        <v>70234</v>
      </c>
      <c r="O212" s="39">
        <v>73028</v>
      </c>
      <c r="P212" s="39">
        <v>74908</v>
      </c>
      <c r="Q212" s="39">
        <v>77709</v>
      </c>
      <c r="R212" s="39">
        <v>80582</v>
      </c>
      <c r="S212" s="39">
        <v>83225</v>
      </c>
      <c r="T212" s="39">
        <v>87035</v>
      </c>
      <c r="U212" s="39">
        <v>90899</v>
      </c>
      <c r="V212" s="39"/>
      <c r="W212" s="39"/>
      <c r="X212" s="39">
        <v>5005</v>
      </c>
      <c r="Y212" s="39">
        <v>2580</v>
      </c>
      <c r="Z212" s="39">
        <v>3054</v>
      </c>
      <c r="AA212" s="39">
        <v>2268</v>
      </c>
      <c r="AB212" s="39">
        <v>2327</v>
      </c>
      <c r="AC212" s="39">
        <v>2794</v>
      </c>
      <c r="AD212" s="39">
        <v>1880</v>
      </c>
      <c r="AE212" s="39">
        <v>2801</v>
      </c>
      <c r="AF212" s="39">
        <v>2873</v>
      </c>
      <c r="AG212" s="39">
        <v>2643</v>
      </c>
      <c r="AH212" s="39">
        <v>3810</v>
      </c>
      <c r="AI212" s="39">
        <v>3864</v>
      </c>
      <c r="AJ212" s="48">
        <f t="shared" si="18"/>
        <v>35899</v>
      </c>
    </row>
    <row r="213" spans="1:36" x14ac:dyDescent="0.2">
      <c r="A213" s="29"/>
      <c r="B213" s="39" t="s">
        <v>414</v>
      </c>
      <c r="C213" s="39" t="s">
        <v>617</v>
      </c>
      <c r="D213" s="39">
        <v>3</v>
      </c>
      <c r="E213" s="39" t="s">
        <v>21</v>
      </c>
      <c r="F213" s="39" t="s">
        <v>621</v>
      </c>
      <c r="G213" s="39" t="s">
        <v>643</v>
      </c>
      <c r="H213" s="39"/>
      <c r="I213" s="39">
        <v>22966</v>
      </c>
      <c r="J213" s="39">
        <v>23494</v>
      </c>
      <c r="K213" s="39">
        <v>24174</v>
      </c>
      <c r="L213" s="39">
        <v>24947</v>
      </c>
      <c r="M213" s="39">
        <v>25454</v>
      </c>
      <c r="N213" s="39">
        <v>25944</v>
      </c>
      <c r="O213" s="39">
        <v>26515</v>
      </c>
      <c r="P213" s="39">
        <v>26870</v>
      </c>
      <c r="Q213" s="39">
        <v>27398</v>
      </c>
      <c r="R213" s="39">
        <v>27976</v>
      </c>
      <c r="S213" s="39">
        <v>28531</v>
      </c>
      <c r="T213" s="39">
        <v>29355</v>
      </c>
      <c r="U213" s="39">
        <v>30330</v>
      </c>
      <c r="V213" s="39"/>
      <c r="W213" s="39"/>
      <c r="X213" s="39">
        <v>528</v>
      </c>
      <c r="Y213" s="39">
        <v>680</v>
      </c>
      <c r="Z213" s="39">
        <v>773</v>
      </c>
      <c r="AA213" s="39">
        <v>507</v>
      </c>
      <c r="AB213" s="39">
        <v>490</v>
      </c>
      <c r="AC213" s="39">
        <v>571</v>
      </c>
      <c r="AD213" s="39">
        <v>355</v>
      </c>
      <c r="AE213" s="39">
        <v>528</v>
      </c>
      <c r="AF213" s="39">
        <v>578</v>
      </c>
      <c r="AG213" s="39">
        <v>555</v>
      </c>
      <c r="AH213" s="39">
        <v>824</v>
      </c>
      <c r="AI213" s="39">
        <v>975</v>
      </c>
      <c r="AJ213" s="48">
        <f t="shared" si="18"/>
        <v>7364</v>
      </c>
    </row>
    <row r="214" spans="1:36" x14ac:dyDescent="0.2">
      <c r="A214" s="29"/>
      <c r="B214" s="39" t="s">
        <v>415</v>
      </c>
      <c r="C214" s="39" t="s">
        <v>617</v>
      </c>
      <c r="D214" s="39">
        <v>3</v>
      </c>
      <c r="E214" s="39" t="s">
        <v>21</v>
      </c>
      <c r="F214" s="39" t="s">
        <v>621</v>
      </c>
      <c r="G214" s="39" t="s">
        <v>646</v>
      </c>
      <c r="H214" s="39"/>
      <c r="I214" s="39">
        <v>30</v>
      </c>
      <c r="J214" s="39">
        <v>30</v>
      </c>
      <c r="K214" s="39">
        <v>30</v>
      </c>
      <c r="L214" s="39">
        <v>30</v>
      </c>
      <c r="M214" s="39">
        <v>30</v>
      </c>
      <c r="N214" s="39">
        <v>30</v>
      </c>
      <c r="O214" s="39">
        <v>30</v>
      </c>
      <c r="P214" s="39">
        <v>30</v>
      </c>
      <c r="Q214" s="39">
        <v>30</v>
      </c>
      <c r="R214" s="39">
        <v>30</v>
      </c>
      <c r="S214" s="39">
        <v>30</v>
      </c>
      <c r="T214" s="39">
        <v>30</v>
      </c>
      <c r="U214" s="39">
        <v>30</v>
      </c>
      <c r="V214" s="39"/>
      <c r="W214" s="39"/>
      <c r="X214" s="39">
        <v>0</v>
      </c>
      <c r="Y214" s="39">
        <v>0</v>
      </c>
      <c r="Z214" s="39">
        <v>0</v>
      </c>
      <c r="AA214" s="39">
        <v>0</v>
      </c>
      <c r="AB214" s="39">
        <v>0</v>
      </c>
      <c r="AC214" s="39">
        <v>0</v>
      </c>
      <c r="AD214" s="39">
        <v>0</v>
      </c>
      <c r="AE214" s="39">
        <v>0</v>
      </c>
      <c r="AF214" s="39">
        <v>0</v>
      </c>
      <c r="AG214" s="39">
        <v>0</v>
      </c>
      <c r="AH214" s="39">
        <v>0</v>
      </c>
      <c r="AI214" s="39">
        <v>0</v>
      </c>
      <c r="AJ214" s="48">
        <f t="shared" si="18"/>
        <v>0</v>
      </c>
    </row>
    <row r="215" spans="1:36" x14ac:dyDescent="0.2">
      <c r="A215" s="29"/>
      <c r="B215" s="39" t="s">
        <v>410</v>
      </c>
      <c r="C215" s="39" t="s">
        <v>617</v>
      </c>
      <c r="D215" s="39">
        <v>3</v>
      </c>
      <c r="E215" s="39" t="s">
        <v>21</v>
      </c>
      <c r="F215" s="39" t="s">
        <v>638</v>
      </c>
      <c r="G215" s="39" t="s">
        <v>1401</v>
      </c>
      <c r="H215" s="39"/>
      <c r="I215" s="39">
        <v>2985</v>
      </c>
      <c r="J215" s="39">
        <v>2985</v>
      </c>
      <c r="K215" s="39">
        <v>3002</v>
      </c>
      <c r="L215" s="39">
        <v>3002</v>
      </c>
      <c r="M215" s="39">
        <v>3002</v>
      </c>
      <c r="N215" s="39">
        <v>3002</v>
      </c>
      <c r="O215" s="39">
        <v>3002</v>
      </c>
      <c r="P215" s="39">
        <v>3002</v>
      </c>
      <c r="Q215" s="39">
        <v>3002</v>
      </c>
      <c r="R215" s="39">
        <v>3002</v>
      </c>
      <c r="S215" s="39">
        <v>3002</v>
      </c>
      <c r="T215" s="39">
        <v>3002</v>
      </c>
      <c r="U215" s="39">
        <v>3002</v>
      </c>
      <c r="V215" s="39"/>
      <c r="W215" s="39"/>
      <c r="X215" s="39">
        <v>0</v>
      </c>
      <c r="Y215" s="39">
        <v>34</v>
      </c>
      <c r="Z215" s="39">
        <v>0</v>
      </c>
      <c r="AA215" s="39">
        <v>0</v>
      </c>
      <c r="AB215" s="39">
        <v>0</v>
      </c>
      <c r="AC215" s="39">
        <v>0</v>
      </c>
      <c r="AD215" s="39">
        <v>0</v>
      </c>
      <c r="AE215" s="39">
        <v>0</v>
      </c>
      <c r="AF215" s="39">
        <v>0</v>
      </c>
      <c r="AG215" s="39">
        <v>0</v>
      </c>
      <c r="AH215" s="39">
        <v>0</v>
      </c>
      <c r="AI215" s="39">
        <v>0</v>
      </c>
      <c r="AJ215" s="48">
        <f t="shared" si="18"/>
        <v>34</v>
      </c>
    </row>
    <row r="216" spans="1:36" x14ac:dyDescent="0.2">
      <c r="A216" s="29"/>
      <c r="B216" s="39" t="s">
        <v>1425</v>
      </c>
      <c r="C216" s="39" t="s">
        <v>617</v>
      </c>
      <c r="D216" s="39">
        <v>3</v>
      </c>
      <c r="E216" s="39" t="s">
        <v>21</v>
      </c>
      <c r="F216" s="39" t="s">
        <v>647</v>
      </c>
      <c r="G216" s="39" t="s">
        <v>1404</v>
      </c>
      <c r="H216" s="39" t="s">
        <v>648</v>
      </c>
      <c r="I216" s="39">
        <v>10891</v>
      </c>
      <c r="J216" s="39">
        <v>10897</v>
      </c>
      <c r="K216" s="39">
        <v>10962</v>
      </c>
      <c r="L216" s="39">
        <v>11408</v>
      </c>
      <c r="M216" s="39">
        <v>11681</v>
      </c>
      <c r="N216" s="39">
        <v>11731</v>
      </c>
      <c r="O216" s="39">
        <v>12146</v>
      </c>
      <c r="P216" s="39">
        <v>12301</v>
      </c>
      <c r="Q216" s="39">
        <v>13110</v>
      </c>
      <c r="R216" s="39">
        <v>13767</v>
      </c>
      <c r="S216" s="39">
        <v>14717</v>
      </c>
      <c r="T216" s="39">
        <v>15607</v>
      </c>
      <c r="U216" s="39">
        <v>16611</v>
      </c>
      <c r="V216" s="39"/>
      <c r="W216" s="39"/>
      <c r="X216" s="39">
        <v>6</v>
      </c>
      <c r="Y216" s="39">
        <v>65</v>
      </c>
      <c r="Z216" s="39">
        <v>446</v>
      </c>
      <c r="AA216" s="39">
        <v>273</v>
      </c>
      <c r="AB216" s="39">
        <v>50</v>
      </c>
      <c r="AC216" s="39">
        <v>415</v>
      </c>
      <c r="AD216" s="39">
        <v>155</v>
      </c>
      <c r="AE216" s="39">
        <v>809</v>
      </c>
      <c r="AF216" s="39">
        <v>657</v>
      </c>
      <c r="AG216" s="39">
        <v>950</v>
      </c>
      <c r="AH216" s="39">
        <v>890</v>
      </c>
      <c r="AI216" s="39">
        <v>1004</v>
      </c>
      <c r="AJ216" s="48">
        <f t="shared" si="18"/>
        <v>5720</v>
      </c>
    </row>
    <row r="217" spans="1:36" x14ac:dyDescent="0.2">
      <c r="A217" s="29"/>
      <c r="B217" s="39" t="s">
        <v>416</v>
      </c>
      <c r="C217" s="39" t="s">
        <v>650</v>
      </c>
      <c r="D217" s="39">
        <v>3</v>
      </c>
      <c r="E217" s="39" t="s">
        <v>21</v>
      </c>
      <c r="F217" s="39" t="s">
        <v>654</v>
      </c>
      <c r="G217" s="39" t="s">
        <v>653</v>
      </c>
      <c r="H217" s="39" t="s">
        <v>1468</v>
      </c>
      <c r="I217" s="39">
        <v>1088421</v>
      </c>
      <c r="J217" s="39">
        <v>1095630</v>
      </c>
      <c r="K217" s="39">
        <v>1105567</v>
      </c>
      <c r="L217" s="39">
        <v>1122219</v>
      </c>
      <c r="M217" s="39">
        <v>1133905</v>
      </c>
      <c r="N217" s="39">
        <v>1145389</v>
      </c>
      <c r="O217" s="39">
        <v>1153038</v>
      </c>
      <c r="P217" s="39">
        <v>1166042</v>
      </c>
      <c r="Q217" s="39">
        <v>1177861</v>
      </c>
      <c r="R217" s="39">
        <v>1190434</v>
      </c>
      <c r="S217" s="39">
        <v>1202379</v>
      </c>
      <c r="T217" s="39">
        <v>1219000</v>
      </c>
      <c r="U217" s="39">
        <v>1232933</v>
      </c>
      <c r="V217" s="39"/>
      <c r="W217" s="39"/>
      <c r="X217" s="39">
        <v>7209</v>
      </c>
      <c r="Y217" s="631">
        <v>9937</v>
      </c>
      <c r="Z217" s="631">
        <v>16652</v>
      </c>
      <c r="AA217" s="631">
        <v>11686</v>
      </c>
      <c r="AB217" s="39">
        <v>11484</v>
      </c>
      <c r="AC217" s="39">
        <v>7649</v>
      </c>
      <c r="AD217" s="39">
        <v>13004</v>
      </c>
      <c r="AE217" s="39">
        <v>11819</v>
      </c>
      <c r="AF217" s="39">
        <v>12573</v>
      </c>
      <c r="AG217" s="39">
        <v>11945</v>
      </c>
      <c r="AH217" s="39">
        <v>16621</v>
      </c>
      <c r="AI217" s="39">
        <v>13933</v>
      </c>
      <c r="AJ217" s="48">
        <f t="shared" si="18"/>
        <v>144512</v>
      </c>
    </row>
    <row r="218" spans="1:36" x14ac:dyDescent="0.2">
      <c r="A218" s="29"/>
      <c r="B218" s="39" t="s">
        <v>425</v>
      </c>
      <c r="C218" s="39" t="s">
        <v>650</v>
      </c>
      <c r="D218" s="39">
        <v>3</v>
      </c>
      <c r="E218" s="39" t="s">
        <v>21</v>
      </c>
      <c r="F218" s="39" t="s">
        <v>654</v>
      </c>
      <c r="G218" s="39" t="s">
        <v>1407</v>
      </c>
      <c r="H218" s="39"/>
      <c r="I218" s="39">
        <v>3593.8</v>
      </c>
      <c r="J218" s="39">
        <v>3593.8</v>
      </c>
      <c r="K218" s="39">
        <v>3593.8</v>
      </c>
      <c r="L218" s="39">
        <v>3593.8</v>
      </c>
      <c r="M218" s="39">
        <v>3593.8</v>
      </c>
      <c r="N218" s="39">
        <v>3593.8</v>
      </c>
      <c r="O218" s="39">
        <v>3595.5</v>
      </c>
      <c r="P218" s="39">
        <v>3595.5</v>
      </c>
      <c r="Q218" s="39">
        <v>3595.5</v>
      </c>
      <c r="R218" s="39">
        <v>3595.5</v>
      </c>
      <c r="S218" s="39">
        <v>3595.5</v>
      </c>
      <c r="T218" s="39">
        <v>3595.5</v>
      </c>
      <c r="U218" s="39">
        <v>3595.5</v>
      </c>
      <c r="V218" s="39"/>
      <c r="W218" s="39"/>
      <c r="X218" s="39">
        <v>0</v>
      </c>
      <c r="Y218" s="39">
        <v>0</v>
      </c>
      <c r="Z218" s="39">
        <v>0</v>
      </c>
      <c r="AA218" s="39">
        <v>0</v>
      </c>
      <c r="AB218" s="39">
        <v>0</v>
      </c>
      <c r="AC218" s="39">
        <v>1.6999999999998181</v>
      </c>
      <c r="AD218" s="39">
        <v>0</v>
      </c>
      <c r="AE218" s="39">
        <v>0</v>
      </c>
      <c r="AF218" s="39">
        <v>0</v>
      </c>
      <c r="AG218" s="39">
        <v>0</v>
      </c>
      <c r="AH218" s="39">
        <v>0</v>
      </c>
      <c r="AI218" s="39">
        <v>0</v>
      </c>
      <c r="AJ218" s="48">
        <f t="shared" si="18"/>
        <v>1.6999999999998181</v>
      </c>
    </row>
    <row r="219" spans="1:36" x14ac:dyDescent="0.2">
      <c r="A219" s="29"/>
      <c r="B219" s="39" t="s">
        <v>421</v>
      </c>
      <c r="C219" s="39" t="s">
        <v>650</v>
      </c>
      <c r="D219" s="39">
        <v>3</v>
      </c>
      <c r="E219" s="39" t="s">
        <v>21</v>
      </c>
      <c r="F219" s="39" t="s">
        <v>654</v>
      </c>
      <c r="G219" s="39" t="s">
        <v>660</v>
      </c>
      <c r="H219" s="39"/>
      <c r="I219" s="39">
        <v>168294.3</v>
      </c>
      <c r="J219" s="39">
        <v>169495.6</v>
      </c>
      <c r="K219" s="39">
        <v>170443</v>
      </c>
      <c r="L219" s="39">
        <v>171927.1</v>
      </c>
      <c r="M219" s="39">
        <v>172904.9</v>
      </c>
      <c r="N219" s="39">
        <v>173866.7</v>
      </c>
      <c r="O219" s="39">
        <v>174612.2</v>
      </c>
      <c r="P219" s="39">
        <v>175465.8</v>
      </c>
      <c r="Q219" s="39">
        <v>175466</v>
      </c>
      <c r="R219" s="39">
        <v>175466</v>
      </c>
      <c r="S219" s="39">
        <v>175724.3</v>
      </c>
      <c r="T219" s="39">
        <v>177320.7</v>
      </c>
      <c r="U219" s="39">
        <v>178779.1</v>
      </c>
      <c r="V219" s="39"/>
      <c r="W219" s="39"/>
      <c r="X219" s="39">
        <v>1201.3000000000175</v>
      </c>
      <c r="Y219" s="39">
        <v>947.39999999999418</v>
      </c>
      <c r="Z219" s="39">
        <v>1484.1000000000058</v>
      </c>
      <c r="AA219" s="39">
        <v>977.79999999998836</v>
      </c>
      <c r="AB219" s="39">
        <v>961.80000000001746</v>
      </c>
      <c r="AC219" s="39">
        <v>745.5</v>
      </c>
      <c r="AD219" s="39">
        <v>853.59999999997672</v>
      </c>
      <c r="AE219" s="39">
        <v>0.20000000001164153</v>
      </c>
      <c r="AF219" s="39">
        <v>0</v>
      </c>
      <c r="AG219" s="39">
        <v>258.29999999998836</v>
      </c>
      <c r="AH219" s="39">
        <v>1596.4000000000233</v>
      </c>
      <c r="AI219" s="39">
        <v>1458.3999999999942</v>
      </c>
      <c r="AJ219" s="48">
        <f t="shared" si="18"/>
        <v>10484.800000000017</v>
      </c>
    </row>
    <row r="220" spans="1:36" x14ac:dyDescent="0.2">
      <c r="A220" s="29"/>
      <c r="B220" s="39" t="s">
        <v>422</v>
      </c>
      <c r="C220" s="39" t="s">
        <v>650</v>
      </c>
      <c r="D220" s="39">
        <v>3</v>
      </c>
      <c r="E220" s="39" t="s">
        <v>21</v>
      </c>
      <c r="F220" s="39" t="s">
        <v>654</v>
      </c>
      <c r="G220" s="39" t="s">
        <v>661</v>
      </c>
      <c r="H220" s="39"/>
      <c r="I220" s="39">
        <v>602.5</v>
      </c>
      <c r="J220" s="39">
        <v>602.5</v>
      </c>
      <c r="K220" s="39">
        <v>602.5</v>
      </c>
      <c r="L220" s="39">
        <v>602.5</v>
      </c>
      <c r="M220" s="39">
        <v>602.5</v>
      </c>
      <c r="N220" s="39">
        <v>602.5</v>
      </c>
      <c r="O220" s="39">
        <v>602.5</v>
      </c>
      <c r="P220" s="39">
        <v>602.5</v>
      </c>
      <c r="Q220" s="39">
        <v>602.5</v>
      </c>
      <c r="R220" s="39">
        <v>602.5</v>
      </c>
      <c r="S220" s="39">
        <v>602.5</v>
      </c>
      <c r="T220" s="39">
        <v>602.5</v>
      </c>
      <c r="U220" s="39">
        <v>602.5</v>
      </c>
      <c r="V220" s="39"/>
      <c r="W220" s="39"/>
      <c r="X220" s="39">
        <v>0</v>
      </c>
      <c r="Y220" s="39">
        <v>0</v>
      </c>
      <c r="Z220" s="39">
        <v>0</v>
      </c>
      <c r="AA220" s="39">
        <v>0</v>
      </c>
      <c r="AB220" s="39">
        <v>0</v>
      </c>
      <c r="AC220" s="39">
        <v>0</v>
      </c>
      <c r="AD220" s="39">
        <v>0</v>
      </c>
      <c r="AE220" s="39">
        <v>0</v>
      </c>
      <c r="AF220" s="39">
        <v>0</v>
      </c>
      <c r="AG220" s="39">
        <v>0</v>
      </c>
      <c r="AH220" s="39">
        <v>0</v>
      </c>
      <c r="AI220" s="39">
        <v>0</v>
      </c>
      <c r="AJ220" s="48">
        <f t="shared" si="18"/>
        <v>0</v>
      </c>
    </row>
    <row r="221" spans="1:36" x14ac:dyDescent="0.2">
      <c r="A221" s="29"/>
      <c r="B221" s="39" t="s">
        <v>423</v>
      </c>
      <c r="C221" s="39" t="s">
        <v>650</v>
      </c>
      <c r="D221" s="39">
        <v>3</v>
      </c>
      <c r="E221" s="39" t="s">
        <v>21</v>
      </c>
      <c r="F221" s="39" t="s">
        <v>654</v>
      </c>
      <c r="G221" s="39" t="s">
        <v>662</v>
      </c>
      <c r="H221" s="39" t="s">
        <v>663</v>
      </c>
      <c r="I221" s="39">
        <v>52232.3</v>
      </c>
      <c r="J221" s="39">
        <v>53554</v>
      </c>
      <c r="K221" s="39">
        <v>55252</v>
      </c>
      <c r="L221" s="39">
        <v>57192.3</v>
      </c>
      <c r="M221" s="39">
        <v>58484.4</v>
      </c>
      <c r="N221" s="39">
        <v>59730.6</v>
      </c>
      <c r="O221" s="39">
        <v>61163.6</v>
      </c>
      <c r="P221" s="39">
        <v>62020.5</v>
      </c>
      <c r="Q221" s="39">
        <v>63233.7</v>
      </c>
      <c r="R221" s="39">
        <v>64601.599999999999</v>
      </c>
      <c r="S221" s="39">
        <v>65932</v>
      </c>
      <c r="T221" s="39">
        <v>67797.5</v>
      </c>
      <c r="U221" s="39">
        <v>69575.100000000006</v>
      </c>
      <c r="V221" s="39"/>
      <c r="W221" s="39"/>
      <c r="X221" s="39">
        <v>1321.6999999999971</v>
      </c>
      <c r="Y221" s="39">
        <v>1698</v>
      </c>
      <c r="Z221" s="39">
        <v>1940.3000000000029</v>
      </c>
      <c r="AA221" s="39">
        <v>1292.0999999999985</v>
      </c>
      <c r="AB221" s="39">
        <v>1246.1999999999971</v>
      </c>
      <c r="AC221" s="39">
        <v>1433</v>
      </c>
      <c r="AD221" s="39">
        <v>856.90000000000146</v>
      </c>
      <c r="AE221" s="39">
        <v>1213.1999999999971</v>
      </c>
      <c r="AF221" s="39">
        <v>1367.9000000000015</v>
      </c>
      <c r="AG221" s="39">
        <v>1330.4000000000015</v>
      </c>
      <c r="AH221" s="39">
        <v>1865.5</v>
      </c>
      <c r="AI221" s="39">
        <v>1777.6000000000058</v>
      </c>
      <c r="AJ221" s="48">
        <f t="shared" si="18"/>
        <v>17342.800000000003</v>
      </c>
    </row>
    <row r="222" spans="1:36" x14ac:dyDescent="0.2">
      <c r="A222" s="29"/>
      <c r="B222" s="39">
        <v>30574059</v>
      </c>
      <c r="C222" s="39" t="s">
        <v>670</v>
      </c>
      <c r="D222" s="39">
        <v>3</v>
      </c>
      <c r="E222" s="39" t="s">
        <v>21</v>
      </c>
      <c r="F222" s="39" t="s">
        <v>679</v>
      </c>
      <c r="G222" s="39" t="s">
        <v>678</v>
      </c>
      <c r="H222" s="39" t="s">
        <v>680</v>
      </c>
      <c r="I222" s="39">
        <v>139470</v>
      </c>
      <c r="J222" s="39">
        <v>140851.6</v>
      </c>
      <c r="K222" s="39">
        <v>142580</v>
      </c>
      <c r="L222" s="39">
        <v>144614.5</v>
      </c>
      <c r="M222" s="39">
        <v>146111.9</v>
      </c>
      <c r="N222" s="39">
        <v>147565.9</v>
      </c>
      <c r="O222" s="39">
        <v>149284.20000000001</v>
      </c>
      <c r="P222" s="39">
        <v>150343</v>
      </c>
      <c r="Q222" s="39">
        <v>151912.1</v>
      </c>
      <c r="R222" s="39">
        <v>153602.4</v>
      </c>
      <c r="S222" s="39">
        <v>155230.20000000001</v>
      </c>
      <c r="T222" s="39">
        <v>157631.6</v>
      </c>
      <c r="U222" s="39">
        <v>159533.4</v>
      </c>
      <c r="V222" s="39"/>
      <c r="W222" s="39"/>
      <c r="X222" s="39">
        <v>1381.6000000000058</v>
      </c>
      <c r="Y222" s="39">
        <v>1728.3999999999942</v>
      </c>
      <c r="Z222" s="39">
        <v>2034.5</v>
      </c>
      <c r="AA222" s="39">
        <v>1497.3999999999942</v>
      </c>
      <c r="AB222" s="39">
        <v>1454</v>
      </c>
      <c r="AC222" s="39">
        <v>1718.3000000000175</v>
      </c>
      <c r="AD222" s="39">
        <v>1058.7999999999884</v>
      </c>
      <c r="AE222" s="39">
        <v>1569.1000000000058</v>
      </c>
      <c r="AF222" s="39">
        <v>1690.2999999999884</v>
      </c>
      <c r="AG222" s="39">
        <v>1627.8000000000175</v>
      </c>
      <c r="AH222" s="39">
        <v>2401.3999999999942</v>
      </c>
      <c r="AI222" s="39">
        <v>1901.7999999999884</v>
      </c>
      <c r="AJ222" s="48">
        <f t="shared" si="18"/>
        <v>20063.399999999994</v>
      </c>
    </row>
    <row r="223" spans="1:36" x14ac:dyDescent="0.2">
      <c r="A223" s="29"/>
      <c r="B223" s="39" t="s">
        <v>426</v>
      </c>
      <c r="C223" s="39" t="s">
        <v>670</v>
      </c>
      <c r="D223" s="39">
        <v>3</v>
      </c>
      <c r="E223" s="39" t="s">
        <v>677</v>
      </c>
      <c r="F223" s="39" t="s">
        <v>676</v>
      </c>
      <c r="G223" s="39" t="s">
        <v>1413</v>
      </c>
      <c r="H223" s="39"/>
      <c r="I223" s="39">
        <v>626223.6</v>
      </c>
      <c r="J223" s="39">
        <v>627368</v>
      </c>
      <c r="K223" s="39">
        <v>628804</v>
      </c>
      <c r="L223" s="39">
        <v>630582.6</v>
      </c>
      <c r="M223" s="39">
        <v>631933.30000000005</v>
      </c>
      <c r="N223" s="39">
        <v>633217.69999999995</v>
      </c>
      <c r="O223" s="39">
        <v>634675.30000000005</v>
      </c>
      <c r="P223" s="39">
        <v>636503</v>
      </c>
      <c r="Q223" s="39">
        <v>637025.4</v>
      </c>
      <c r="R223" s="39">
        <v>638530.69999999995</v>
      </c>
      <c r="S223" s="39">
        <v>640105.80000000005</v>
      </c>
      <c r="T223" s="39">
        <v>642590.9</v>
      </c>
      <c r="U223" s="39">
        <v>644696.30000000005</v>
      </c>
      <c r="V223" s="39"/>
      <c r="W223" s="39"/>
      <c r="X223" s="39">
        <v>1144.4000000000233</v>
      </c>
      <c r="Y223" s="39">
        <v>1436</v>
      </c>
      <c r="Z223" s="39">
        <v>1778.5999999999767</v>
      </c>
      <c r="AA223" s="39">
        <v>1350.7000000000698</v>
      </c>
      <c r="AB223" s="39">
        <v>1284.3999999999069</v>
      </c>
      <c r="AC223" s="39">
        <v>1457.6000000000931</v>
      </c>
      <c r="AD223" s="39">
        <v>1827.6999999999534</v>
      </c>
      <c r="AE223" s="39">
        <v>522.40000000002328</v>
      </c>
      <c r="AF223" s="39">
        <v>1505.2999999999302</v>
      </c>
      <c r="AG223" s="39">
        <v>1575.1000000000931</v>
      </c>
      <c r="AH223" s="39">
        <v>2485.0999999999767</v>
      </c>
      <c r="AI223" s="39">
        <v>2105.4000000000233</v>
      </c>
      <c r="AJ223" s="48">
        <f t="shared" si="18"/>
        <v>18472.70000000007</v>
      </c>
    </row>
    <row r="224" spans="1:36" x14ac:dyDescent="0.2">
      <c r="A224" s="29"/>
      <c r="B224" s="39">
        <v>50767753</v>
      </c>
      <c r="C224" s="39" t="s">
        <v>681</v>
      </c>
      <c r="D224" s="39">
        <v>3</v>
      </c>
      <c r="E224" s="39" t="s">
        <v>21</v>
      </c>
      <c r="F224" s="39" t="s">
        <v>1414</v>
      </c>
      <c r="G224" s="39" t="s">
        <v>1415</v>
      </c>
      <c r="H224" s="39"/>
      <c r="I224" s="39">
        <v>1638</v>
      </c>
      <c r="J224" s="39">
        <v>1735</v>
      </c>
      <c r="K224" s="39">
        <v>1877</v>
      </c>
      <c r="L224" s="39">
        <v>2039</v>
      </c>
      <c r="M224" s="39">
        <v>2140</v>
      </c>
      <c r="N224" s="39">
        <v>2218</v>
      </c>
      <c r="O224" s="39">
        <v>2271</v>
      </c>
      <c r="P224" s="39">
        <v>2272</v>
      </c>
      <c r="Q224" s="39">
        <v>2272</v>
      </c>
      <c r="R224" s="39">
        <v>2272</v>
      </c>
      <c r="S224" s="39">
        <v>2273</v>
      </c>
      <c r="T224" s="39">
        <v>2309</v>
      </c>
      <c r="U224" s="39">
        <v>2374</v>
      </c>
      <c r="V224" s="39"/>
      <c r="W224" s="39"/>
      <c r="X224" s="39">
        <v>97</v>
      </c>
      <c r="Y224" s="39">
        <v>142</v>
      </c>
      <c r="Z224" s="39">
        <v>162</v>
      </c>
      <c r="AA224" s="39">
        <v>101</v>
      </c>
      <c r="AB224" s="39">
        <v>78</v>
      </c>
      <c r="AC224" s="39">
        <v>53</v>
      </c>
      <c r="AD224" s="39">
        <v>1</v>
      </c>
      <c r="AE224" s="39">
        <v>0</v>
      </c>
      <c r="AF224" s="39">
        <v>0</v>
      </c>
      <c r="AG224" s="39">
        <v>1</v>
      </c>
      <c r="AH224" s="39">
        <v>36</v>
      </c>
      <c r="AI224" s="39">
        <v>65</v>
      </c>
      <c r="AJ224" s="48">
        <f t="shared" si="18"/>
        <v>736</v>
      </c>
    </row>
    <row r="225" spans="1:36" x14ac:dyDescent="0.2">
      <c r="A225" s="29"/>
      <c r="B225" s="39">
        <v>50767755</v>
      </c>
      <c r="C225" s="39" t="s">
        <v>681</v>
      </c>
      <c r="D225" s="39">
        <v>3</v>
      </c>
      <c r="E225" s="39" t="s">
        <v>21</v>
      </c>
      <c r="F225" s="39" t="s">
        <v>1414</v>
      </c>
      <c r="G225" s="39" t="s">
        <v>1416</v>
      </c>
      <c r="H225" s="39"/>
      <c r="I225" s="39">
        <v>1259</v>
      </c>
      <c r="J225" s="39">
        <v>1324</v>
      </c>
      <c r="K225" s="39">
        <v>1416</v>
      </c>
      <c r="L225" s="39">
        <v>1525</v>
      </c>
      <c r="M225" s="39">
        <v>1594</v>
      </c>
      <c r="N225" s="39">
        <v>1654</v>
      </c>
      <c r="O225" s="39">
        <v>1695</v>
      </c>
      <c r="P225" s="39">
        <v>1715</v>
      </c>
      <c r="Q225" s="39">
        <v>1742</v>
      </c>
      <c r="R225" s="39">
        <v>1776</v>
      </c>
      <c r="S225" s="39">
        <v>1811</v>
      </c>
      <c r="T225" s="39">
        <v>1896</v>
      </c>
      <c r="U225" s="39">
        <v>2095</v>
      </c>
      <c r="V225" s="39"/>
      <c r="W225" s="39"/>
      <c r="X225" s="39">
        <v>65</v>
      </c>
      <c r="Y225" s="39">
        <v>92</v>
      </c>
      <c r="Z225" s="39">
        <v>109</v>
      </c>
      <c r="AA225" s="39">
        <v>69</v>
      </c>
      <c r="AB225" s="39">
        <v>60</v>
      </c>
      <c r="AC225" s="39">
        <v>41</v>
      </c>
      <c r="AD225" s="39">
        <v>20</v>
      </c>
      <c r="AE225" s="39">
        <v>27</v>
      </c>
      <c r="AF225" s="39">
        <v>34</v>
      </c>
      <c r="AG225" s="39">
        <v>35</v>
      </c>
      <c r="AH225" s="39">
        <v>85</v>
      </c>
      <c r="AI225" s="39">
        <v>199</v>
      </c>
      <c r="AJ225" s="48">
        <f t="shared" si="18"/>
        <v>836</v>
      </c>
    </row>
    <row r="226" spans="1:36" x14ac:dyDescent="0.2">
      <c r="A226" s="29"/>
      <c r="B226" s="39">
        <v>41709388</v>
      </c>
      <c r="C226" s="39" t="s">
        <v>683</v>
      </c>
      <c r="D226" s="39">
        <v>3</v>
      </c>
      <c r="E226" s="39" t="s">
        <v>21</v>
      </c>
      <c r="F226" s="39" t="s">
        <v>645</v>
      </c>
      <c r="G226" s="39" t="s">
        <v>684</v>
      </c>
      <c r="H226" s="39" t="s">
        <v>1417</v>
      </c>
      <c r="I226" s="39">
        <v>35387</v>
      </c>
      <c r="J226" s="39">
        <v>35833</v>
      </c>
      <c r="K226" s="39">
        <v>36198.5</v>
      </c>
      <c r="L226" s="39">
        <v>36564</v>
      </c>
      <c r="M226" s="39">
        <v>36743</v>
      </c>
      <c r="N226" s="39">
        <v>37393</v>
      </c>
      <c r="O226" s="39">
        <v>38478</v>
      </c>
      <c r="P226" s="39">
        <v>39007</v>
      </c>
      <c r="Q226" s="39"/>
      <c r="R226" s="39">
        <v>0</v>
      </c>
      <c r="S226" s="39"/>
      <c r="T226" s="39"/>
      <c r="U226" s="39"/>
      <c r="V226" s="39"/>
      <c r="W226" s="39"/>
      <c r="X226" s="39">
        <v>446</v>
      </c>
      <c r="Y226" s="39">
        <v>365.5</v>
      </c>
      <c r="Z226" s="39">
        <v>365.5</v>
      </c>
      <c r="AA226" s="39">
        <v>179</v>
      </c>
      <c r="AB226" s="39">
        <v>650</v>
      </c>
      <c r="AC226" s="39">
        <v>1085</v>
      </c>
      <c r="AD226" s="39">
        <v>529</v>
      </c>
      <c r="AE226" s="39" t="s">
        <v>734</v>
      </c>
      <c r="AF226" s="39" t="s">
        <v>734</v>
      </c>
      <c r="AG226" s="39" t="s">
        <v>734</v>
      </c>
      <c r="AH226" s="39" t="s">
        <v>734</v>
      </c>
      <c r="AI226" s="39" t="s">
        <v>734</v>
      </c>
      <c r="AJ226" s="48">
        <f t="shared" si="18"/>
        <v>3620</v>
      </c>
    </row>
    <row r="227" spans="1:36" x14ac:dyDescent="0.2">
      <c r="A227" s="29"/>
      <c r="B227" s="39">
        <v>49311166</v>
      </c>
      <c r="C227" s="39" t="s">
        <v>683</v>
      </c>
      <c r="D227" s="39">
        <v>3</v>
      </c>
      <c r="E227" s="39" t="s">
        <v>21</v>
      </c>
      <c r="F227" s="39" t="s">
        <v>645</v>
      </c>
      <c r="G227" s="39" t="s">
        <v>684</v>
      </c>
      <c r="H227" s="39" t="s">
        <v>1443</v>
      </c>
      <c r="I227" s="39"/>
      <c r="J227" s="39"/>
      <c r="K227" s="39"/>
      <c r="L227" s="39"/>
      <c r="M227" s="39"/>
      <c r="N227" s="39"/>
      <c r="O227" s="39"/>
      <c r="P227" s="39"/>
      <c r="Q227" s="39"/>
      <c r="R227" s="39">
        <v>0</v>
      </c>
      <c r="S227" s="39">
        <v>556</v>
      </c>
      <c r="T227" s="39">
        <v>2008</v>
      </c>
      <c r="U227" s="39">
        <v>3325</v>
      </c>
      <c r="V227" s="39"/>
      <c r="W227" s="39"/>
      <c r="X227" s="39" t="s">
        <v>734</v>
      </c>
      <c r="Y227" s="39" t="s">
        <v>734</v>
      </c>
      <c r="Z227" s="39" t="s">
        <v>734</v>
      </c>
      <c r="AA227" s="39" t="s">
        <v>734</v>
      </c>
      <c r="AB227" s="39" t="s">
        <v>734</v>
      </c>
      <c r="AC227" s="39" t="s">
        <v>734</v>
      </c>
      <c r="AD227" s="39" t="s">
        <v>734</v>
      </c>
      <c r="AE227" s="39" t="s">
        <v>734</v>
      </c>
      <c r="AF227" s="39" t="s">
        <v>734</v>
      </c>
      <c r="AG227" s="39">
        <v>556</v>
      </c>
      <c r="AH227" s="39">
        <v>1452</v>
      </c>
      <c r="AI227" s="39">
        <v>1317</v>
      </c>
      <c r="AJ227" s="48">
        <f t="shared" si="18"/>
        <v>3325</v>
      </c>
    </row>
    <row r="228" spans="1:36" x14ac:dyDescent="0.2">
      <c r="A228" s="29"/>
      <c r="B228" s="39"/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39"/>
      <c r="P228" s="39"/>
      <c r="Q228" s="39"/>
      <c r="R228" s="39"/>
      <c r="S228" s="39"/>
      <c r="T228" s="39"/>
      <c r="U228" s="39"/>
      <c r="V228" s="39"/>
      <c r="W228" s="39"/>
      <c r="X228" s="39"/>
      <c r="Y228" s="39"/>
      <c r="Z228" s="39"/>
      <c r="AA228" s="39"/>
      <c r="AB228" s="39"/>
      <c r="AC228" s="39"/>
      <c r="AD228" s="39"/>
      <c r="AE228" s="39"/>
      <c r="AF228" s="39"/>
      <c r="AG228" s="39"/>
      <c r="AH228" s="39"/>
      <c r="AI228" s="39"/>
      <c r="AJ228" s="48">
        <f t="shared" si="18"/>
        <v>0</v>
      </c>
    </row>
    <row r="229" spans="1:36" x14ac:dyDescent="0.2">
      <c r="A229" s="29"/>
      <c r="B229" s="39"/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39"/>
      <c r="P229" s="39"/>
      <c r="Q229" s="39"/>
      <c r="R229" s="39"/>
      <c r="S229" s="39"/>
      <c r="T229" s="39"/>
      <c r="U229" s="39"/>
      <c r="V229" s="39"/>
      <c r="W229" s="39"/>
      <c r="X229" s="39"/>
      <c r="Y229" s="39"/>
      <c r="Z229" s="39"/>
      <c r="AA229" s="39"/>
      <c r="AB229" s="39"/>
      <c r="AC229" s="39"/>
      <c r="AD229" s="39"/>
      <c r="AE229" s="39"/>
      <c r="AF229" s="39"/>
      <c r="AG229" s="39"/>
      <c r="AH229" s="39"/>
      <c r="AI229" s="39"/>
      <c r="AJ229" s="48">
        <f t="shared" si="18"/>
        <v>0</v>
      </c>
    </row>
    <row r="230" spans="1:36" x14ac:dyDescent="0.2">
      <c r="A230" s="29"/>
      <c r="B230" s="39"/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39"/>
      <c r="P230" s="39"/>
      <c r="Q230" s="39"/>
      <c r="R230" s="39"/>
      <c r="S230" s="39"/>
      <c r="T230" s="39"/>
      <c r="U230" s="39"/>
      <c r="V230" s="39"/>
      <c r="W230" s="39"/>
      <c r="X230" s="39"/>
      <c r="Y230" s="39"/>
      <c r="Z230" s="39"/>
      <c r="AA230" s="39"/>
      <c r="AB230" s="39"/>
      <c r="AC230" s="39"/>
      <c r="AD230" s="39"/>
      <c r="AE230" s="39"/>
      <c r="AF230" s="39"/>
      <c r="AG230" s="39"/>
      <c r="AH230" s="39"/>
      <c r="AI230" s="39"/>
      <c r="AJ230" s="48">
        <f t="shared" si="18"/>
        <v>0</v>
      </c>
    </row>
    <row r="231" spans="1:36" x14ac:dyDescent="0.2">
      <c r="A231" s="29"/>
      <c r="B231" s="39"/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39"/>
      <c r="P231" s="39"/>
      <c r="Q231" s="39"/>
      <c r="R231" s="39"/>
      <c r="S231" s="39"/>
      <c r="T231" s="39"/>
      <c r="U231" s="39"/>
      <c r="V231" s="39"/>
      <c r="W231" s="39"/>
      <c r="X231" s="39"/>
      <c r="Y231" s="39"/>
      <c r="Z231" s="39"/>
      <c r="AA231" s="39"/>
      <c r="AB231" s="39"/>
      <c r="AC231" s="39"/>
      <c r="AD231" s="39"/>
      <c r="AE231" s="39"/>
      <c r="AF231" s="39"/>
      <c r="AG231" s="39"/>
      <c r="AH231" s="39"/>
      <c r="AI231" s="39"/>
      <c r="AJ231" s="48">
        <f t="shared" si="18"/>
        <v>0</v>
      </c>
    </row>
    <row r="232" spans="1:36" x14ac:dyDescent="0.2">
      <c r="A232" s="29"/>
      <c r="B232" s="39"/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39"/>
      <c r="P232" s="39"/>
      <c r="Q232" s="39"/>
      <c r="R232" s="39"/>
      <c r="S232" s="39"/>
      <c r="T232" s="39"/>
      <c r="U232" s="39"/>
      <c r="V232" s="39"/>
      <c r="W232" s="39"/>
      <c r="X232" s="39"/>
      <c r="Y232" s="39"/>
      <c r="Z232" s="39"/>
      <c r="AA232" s="39"/>
      <c r="AB232" s="39"/>
      <c r="AC232" s="39"/>
      <c r="AD232" s="39"/>
      <c r="AE232" s="39"/>
      <c r="AF232" s="39"/>
      <c r="AG232" s="39"/>
      <c r="AH232" s="39"/>
      <c r="AI232" s="39"/>
      <c r="AJ232" s="48">
        <f t="shared" si="18"/>
        <v>0</v>
      </c>
    </row>
    <row r="233" spans="1:36" x14ac:dyDescent="0.2">
      <c r="A233" s="29"/>
      <c r="B233" s="39"/>
      <c r="C233" s="39"/>
      <c r="D233" s="39"/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39"/>
      <c r="P233" s="39"/>
      <c r="Q233" s="39"/>
      <c r="R233" s="39"/>
      <c r="S233" s="39"/>
      <c r="T233" s="39"/>
      <c r="U233" s="39"/>
      <c r="V233" s="39"/>
      <c r="W233" s="39"/>
      <c r="X233" s="39"/>
      <c r="Y233" s="39"/>
      <c r="Z233" s="39"/>
      <c r="AA233" s="39"/>
      <c r="AB233" s="39"/>
      <c r="AC233" s="39"/>
      <c r="AD233" s="39"/>
      <c r="AE233" s="39"/>
      <c r="AF233" s="39"/>
      <c r="AG233" s="39"/>
      <c r="AH233" s="39"/>
      <c r="AI233" s="39"/>
      <c r="AJ233" s="48">
        <f t="shared" si="18"/>
        <v>0</v>
      </c>
    </row>
    <row r="234" spans="1:36" x14ac:dyDescent="0.2">
      <c r="A234" s="29"/>
      <c r="B234" s="39"/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39"/>
      <c r="P234" s="39"/>
      <c r="Q234" s="39"/>
      <c r="R234" s="39"/>
      <c r="S234" s="39"/>
      <c r="T234" s="39"/>
      <c r="U234" s="39"/>
      <c r="V234" s="39"/>
      <c r="W234" s="39"/>
      <c r="X234" s="39"/>
      <c r="Y234" s="39"/>
      <c r="Z234" s="39"/>
      <c r="AA234" s="39"/>
      <c r="AB234" s="39"/>
      <c r="AC234" s="39"/>
      <c r="AD234" s="39"/>
      <c r="AE234" s="39"/>
      <c r="AF234" s="39"/>
      <c r="AG234" s="39"/>
      <c r="AH234" s="39"/>
      <c r="AI234" s="39"/>
      <c r="AJ234" s="48">
        <f t="shared" si="18"/>
        <v>0</v>
      </c>
    </row>
    <row r="235" spans="1:36" x14ac:dyDescent="0.2">
      <c r="A235" s="29"/>
      <c r="B235" s="39"/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39"/>
      <c r="P235" s="39"/>
      <c r="Q235" s="39"/>
      <c r="R235" s="39"/>
      <c r="S235" s="39"/>
      <c r="T235" s="39"/>
      <c r="U235" s="39"/>
      <c r="V235" s="39"/>
      <c r="W235" s="39"/>
      <c r="X235" s="39"/>
      <c r="Y235" s="39"/>
      <c r="Z235" s="39"/>
      <c r="AA235" s="39"/>
      <c r="AB235" s="39"/>
      <c r="AC235" s="39"/>
      <c r="AD235" s="39"/>
      <c r="AE235" s="39"/>
      <c r="AF235" s="39"/>
      <c r="AG235" s="39"/>
      <c r="AH235" s="39"/>
      <c r="AI235" s="39"/>
      <c r="AJ235" s="48">
        <f t="shared" si="18"/>
        <v>0</v>
      </c>
    </row>
    <row r="236" spans="1:36" x14ac:dyDescent="0.2">
      <c r="A236" s="29"/>
      <c r="B236" s="39"/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39"/>
      <c r="P236" s="39"/>
      <c r="Q236" s="39"/>
      <c r="R236" s="39"/>
      <c r="S236" s="39"/>
      <c r="T236" s="39"/>
      <c r="U236" s="39"/>
      <c r="V236" s="39"/>
      <c r="W236" s="39"/>
      <c r="X236" s="39"/>
      <c r="Y236" s="39"/>
      <c r="Z236" s="39"/>
      <c r="AA236" s="39"/>
      <c r="AB236" s="39"/>
      <c r="AC236" s="39"/>
      <c r="AD236" s="39"/>
      <c r="AE236" s="39"/>
      <c r="AF236" s="39"/>
      <c r="AG236" s="39"/>
      <c r="AH236" s="39"/>
      <c r="AI236" s="39"/>
      <c r="AJ236" s="48">
        <f t="shared" si="18"/>
        <v>0</v>
      </c>
    </row>
    <row r="237" spans="1:36" x14ac:dyDescent="0.2">
      <c r="A237" s="29"/>
      <c r="B237" s="39"/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39"/>
      <c r="P237" s="39"/>
      <c r="Q237" s="39"/>
      <c r="R237" s="39"/>
      <c r="S237" s="39"/>
      <c r="T237" s="39"/>
      <c r="U237" s="39"/>
      <c r="V237" s="39"/>
      <c r="W237" s="39"/>
      <c r="X237" s="39"/>
      <c r="Y237" s="39"/>
      <c r="Z237" s="39"/>
      <c r="AA237" s="39"/>
      <c r="AB237" s="39"/>
      <c r="AC237" s="39"/>
      <c r="AD237" s="39"/>
      <c r="AE237" s="39"/>
      <c r="AF237" s="39"/>
      <c r="AG237" s="39"/>
      <c r="AH237" s="39"/>
      <c r="AI237" s="39"/>
      <c r="AJ237" s="48">
        <f t="shared" si="18"/>
        <v>0</v>
      </c>
    </row>
    <row r="238" spans="1:36" x14ac:dyDescent="0.2">
      <c r="A238" s="29"/>
      <c r="B238" s="39"/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39"/>
      <c r="P238" s="39"/>
      <c r="Q238" s="39"/>
      <c r="R238" s="39"/>
      <c r="S238" s="39"/>
      <c r="T238" s="39"/>
      <c r="U238" s="39"/>
      <c r="V238" s="39"/>
      <c r="W238" s="39"/>
      <c r="X238" s="39"/>
      <c r="Y238" s="39"/>
      <c r="Z238" s="39"/>
      <c r="AA238" s="39"/>
      <c r="AB238" s="39"/>
      <c r="AC238" s="39"/>
      <c r="AD238" s="39"/>
      <c r="AE238" s="39"/>
      <c r="AF238" s="39"/>
      <c r="AG238" s="39"/>
      <c r="AH238" s="39"/>
      <c r="AI238" s="39"/>
      <c r="AJ238" s="48">
        <f t="shared" si="18"/>
        <v>0</v>
      </c>
    </row>
    <row r="239" spans="1:36" x14ac:dyDescent="0.2">
      <c r="A239" s="29"/>
      <c r="B239" s="39"/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39"/>
      <c r="P239" s="39"/>
      <c r="Q239" s="39"/>
      <c r="R239" s="39"/>
      <c r="S239" s="39"/>
      <c r="T239" s="39"/>
      <c r="U239" s="39"/>
      <c r="V239" s="39"/>
      <c r="W239" s="39"/>
      <c r="X239" s="39"/>
      <c r="Y239" s="39"/>
      <c r="Z239" s="39"/>
      <c r="AA239" s="39"/>
      <c r="AB239" s="39"/>
      <c r="AC239" s="39"/>
      <c r="AD239" s="39"/>
      <c r="AE239" s="39"/>
      <c r="AF239" s="39"/>
      <c r="AG239" s="39"/>
      <c r="AH239" s="39"/>
      <c r="AI239" s="48"/>
      <c r="AJ239" s="48">
        <f t="shared" si="18"/>
        <v>0</v>
      </c>
    </row>
    <row r="240" spans="1:36" x14ac:dyDescent="0.2">
      <c r="A240" s="29"/>
      <c r="B240" s="39"/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39"/>
      <c r="P240" s="39"/>
      <c r="Q240" s="39"/>
      <c r="R240" s="39"/>
      <c r="S240" s="39"/>
      <c r="T240" s="39"/>
      <c r="U240" s="39"/>
      <c r="V240" s="39"/>
      <c r="W240" s="39"/>
      <c r="X240" s="39"/>
      <c r="Y240" s="39"/>
      <c r="Z240" s="39"/>
      <c r="AA240" s="39"/>
      <c r="AB240" s="39"/>
      <c r="AC240" s="39"/>
      <c r="AD240" s="39"/>
      <c r="AE240" s="39"/>
      <c r="AF240" s="39"/>
      <c r="AG240" s="39"/>
      <c r="AH240" s="39"/>
      <c r="AI240" s="48"/>
      <c r="AJ240" s="48">
        <f t="shared" si="18"/>
        <v>0</v>
      </c>
    </row>
    <row r="241" spans="1:36" x14ac:dyDescent="0.2">
      <c r="A241" s="29"/>
      <c r="B241" s="39"/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39"/>
      <c r="P241" s="39"/>
      <c r="Q241" s="39"/>
      <c r="R241" s="39"/>
      <c r="S241" s="39"/>
      <c r="T241" s="39"/>
      <c r="U241" s="39"/>
      <c r="V241" s="39"/>
      <c r="W241" s="39"/>
      <c r="X241" s="39"/>
      <c r="Y241" s="39"/>
      <c r="Z241" s="39"/>
      <c r="AA241" s="39"/>
      <c r="AB241" s="39"/>
      <c r="AC241" s="39"/>
      <c r="AD241" s="39"/>
      <c r="AE241" s="39"/>
      <c r="AF241" s="39"/>
      <c r="AG241" s="39"/>
      <c r="AH241" s="39"/>
      <c r="AI241" s="48"/>
      <c r="AJ241" s="48">
        <f t="shared" si="18"/>
        <v>0</v>
      </c>
    </row>
    <row r="242" spans="1:36" x14ac:dyDescent="0.2">
      <c r="A242" s="29"/>
      <c r="B242" s="39"/>
      <c r="C242" s="39"/>
      <c r="D242" s="39"/>
      <c r="E242" s="39"/>
      <c r="F242" s="39"/>
      <c r="G242" s="27"/>
      <c r="H242" s="27"/>
      <c r="I242" s="27"/>
      <c r="J242" s="27"/>
      <c r="K242" s="27"/>
      <c r="L242" s="27"/>
      <c r="M242" s="27"/>
      <c r="N242" s="27"/>
      <c r="O242" s="27"/>
      <c r="P242" s="27"/>
      <c r="Q242" s="27"/>
      <c r="R242" s="27"/>
      <c r="S242" s="27"/>
      <c r="T242" s="27"/>
      <c r="U242" s="27"/>
      <c r="V242" s="27"/>
      <c r="W242" s="27"/>
      <c r="X242" s="173"/>
      <c r="Y242" s="173"/>
      <c r="Z242" s="173"/>
      <c r="AA242" s="173"/>
      <c r="AB242" s="173"/>
      <c r="AC242" s="173"/>
      <c r="AD242" s="173"/>
      <c r="AE242" s="173"/>
      <c r="AF242" s="173"/>
      <c r="AG242" s="173"/>
      <c r="AH242" s="173"/>
      <c r="AI242" s="48"/>
      <c r="AJ242" s="48">
        <f t="shared" si="18"/>
        <v>0</v>
      </c>
    </row>
    <row r="243" spans="1:36" x14ac:dyDescent="0.2">
      <c r="A243" s="29" t="s">
        <v>1361</v>
      </c>
      <c r="B243" s="39">
        <v>7</v>
      </c>
      <c r="C243" s="39"/>
      <c r="D243" s="39"/>
      <c r="E243" s="39"/>
      <c r="F243" s="39"/>
      <c r="G243" s="27"/>
      <c r="H243" s="27"/>
      <c r="I243" s="27"/>
      <c r="J243" s="27"/>
      <c r="K243" s="27"/>
      <c r="L243" s="27"/>
      <c r="M243" s="27"/>
      <c r="N243" s="27"/>
      <c r="O243" s="27"/>
      <c r="P243" s="27"/>
      <c r="Q243" s="27"/>
      <c r="R243" s="27"/>
      <c r="S243" s="27"/>
      <c r="T243" s="27"/>
      <c r="U243" s="27"/>
      <c r="V243" s="27"/>
      <c r="W243" s="27"/>
      <c r="X243" s="173"/>
      <c r="Y243" s="173"/>
      <c r="Z243" s="173"/>
      <c r="AA243" s="173"/>
      <c r="AB243" s="173"/>
      <c r="AC243" s="173"/>
      <c r="AD243" s="173"/>
      <c r="AE243" s="173"/>
      <c r="AF243" s="173"/>
      <c r="AG243" s="173"/>
      <c r="AH243" s="173"/>
      <c r="AI243" s="173"/>
      <c r="AJ243" s="48">
        <f t="shared" si="18"/>
        <v>0</v>
      </c>
    </row>
    <row r="244" spans="1:36" x14ac:dyDescent="0.2">
      <c r="A244" s="641" t="s">
        <v>965</v>
      </c>
      <c r="B244" s="641"/>
      <c r="C244" s="641"/>
      <c r="D244" s="641"/>
      <c r="E244" s="234"/>
      <c r="F244" s="76"/>
      <c r="G244" s="76"/>
      <c r="H244" s="76"/>
      <c r="I244" s="76"/>
      <c r="J244" s="76"/>
      <c r="K244" s="76"/>
      <c r="L244" s="76"/>
      <c r="M244" s="76"/>
      <c r="N244" s="76"/>
      <c r="O244" s="76"/>
      <c r="P244" s="76"/>
      <c r="Q244" s="76"/>
      <c r="R244" s="76"/>
      <c r="S244" s="76"/>
      <c r="T244" s="76"/>
      <c r="U244" s="76"/>
      <c r="V244" s="76"/>
      <c r="W244" s="180"/>
      <c r="X244" s="180">
        <f t="shared" ref="X244:Y244" si="19">SUMIFS(X205:X243,X205:X243,"&gt;0",X205:X243,"&lt;1999999")</f>
        <v>22453.900000000038</v>
      </c>
      <c r="Y244" s="180">
        <f t="shared" si="19"/>
        <v>25574.099999999991</v>
      </c>
      <c r="Z244" s="180">
        <f>SUMIFS(Z205:Z243,Z205:Z243,"&gt;0",Z205:Z243,"&lt;1999999")</f>
        <v>35425.599999999984</v>
      </c>
      <c r="AA244" s="180">
        <f t="shared" ref="AA244" si="20">SUMIFS(AA205:AA243,AA205:AA243,"&gt;0",AA205:AA243,"&lt;1999999")</f>
        <v>24601.800000000054</v>
      </c>
      <c r="AB244" s="180">
        <f t="shared" ref="AB244:AC244" si="21">SUMIFS(AB205:AB243,AB205:AB243,"&gt;0",AB205:AB243,"&lt;1999999")</f>
        <v>24809.099999999926</v>
      </c>
      <c r="AC244" s="180">
        <f t="shared" si="21"/>
        <v>24375.300000000108</v>
      </c>
      <c r="AD244" s="180">
        <f t="shared" ref="AD244" si="22">SUMIFS(AD205:AD243,AD205:AD243,"&gt;0",AD205:AD243,"&lt;1999999")</f>
        <v>25241.099999999926</v>
      </c>
      <c r="AE244" s="180">
        <f t="shared" ref="AE244:AF244" si="23">SUMIFS(AE205:AE243,AE205:AE243,"&gt;0",AE205:AE243,"&lt;1999999")</f>
        <v>27159.300000000039</v>
      </c>
      <c r="AF244" s="180">
        <f t="shared" si="23"/>
        <v>28581.999999999913</v>
      </c>
      <c r="AG244" s="180">
        <f t="shared" ref="AG244" si="24">SUMIFS(AG205:AG243,AG205:AG243,"&gt;0",AG205:AG243,"&lt;1999999")</f>
        <v>27329.000000000106</v>
      </c>
      <c r="AH244" s="180">
        <f t="shared" ref="AH244" si="25">SUMIFS(AH205:AH243,AH205:AH243,"&gt;0",AH205:AH243,"&lt;1999999")</f>
        <v>39220.69999999999</v>
      </c>
      <c r="AI244" s="180">
        <f>SUMIFS(AI205:AI243,AI205:AI243,"&gt;0",AI205:AI243,"&lt;1999999")</f>
        <v>35125.30000000001</v>
      </c>
      <c r="AJ244" s="180">
        <f t="shared" ref="AJ244" si="26">SUMIFS(AJ205:AJ243,AJ205:AJ243,"&gt;0",AJ205:AJ243,"&lt;1999999")</f>
        <v>339897.20000000007</v>
      </c>
    </row>
    <row r="247" spans="1:36" x14ac:dyDescent="0.2">
      <c r="F247" s="90"/>
      <c r="G247" s="90">
        <v>95262</v>
      </c>
      <c r="H247" s="90">
        <v>97697</v>
      </c>
      <c r="I247" s="90">
        <v>104091</v>
      </c>
      <c r="J247" s="90">
        <v>97478</v>
      </c>
      <c r="K247" s="90"/>
      <c r="L247" s="90"/>
      <c r="M247" s="90"/>
      <c r="N247" s="90"/>
      <c r="O247" s="90"/>
      <c r="P247" s="90"/>
      <c r="Q247" s="90">
        <v>78463</v>
      </c>
      <c r="R247" s="90"/>
      <c r="S247" s="90"/>
      <c r="T247" s="90"/>
      <c r="U247" s="90"/>
      <c r="V247" s="90"/>
      <c r="W247" s="181"/>
      <c r="X247" s="181"/>
      <c r="Y247" s="181"/>
      <c r="Z247" s="181"/>
      <c r="AA247" s="181"/>
      <c r="AB247" s="181"/>
      <c r="AC247" s="181"/>
      <c r="AD247" s="181"/>
      <c r="AE247" s="181"/>
      <c r="AF247" s="181"/>
      <c r="AG247" s="181"/>
      <c r="AH247" s="181"/>
    </row>
  </sheetData>
  <mergeCells count="10">
    <mergeCell ref="A244:D244"/>
    <mergeCell ref="A146:D146"/>
    <mergeCell ref="A196:D196"/>
    <mergeCell ref="A67:D67"/>
    <mergeCell ref="A143:D143"/>
    <mergeCell ref="A22:D22"/>
    <mergeCell ref="A110:D110"/>
    <mergeCell ref="A128:D128"/>
    <mergeCell ref="A47:D47"/>
    <mergeCell ref="A141:D141"/>
  </mergeCells>
  <conditionalFormatting sqref="K134:P140 R134:AI140">
    <cfRule type="cellIs" dxfId="72" priority="19" operator="lessThan">
      <formula>0</formula>
    </cfRule>
  </conditionalFormatting>
  <pageMargins left="0.25" right="0.25" top="0.75" bottom="0.75" header="0.3" footer="0.3"/>
  <pageSetup paperSize="8" scale="61" fitToHeight="0" orientation="landscape" r:id="rId1"/>
  <rowBreaks count="1" manualBreakCount="1">
    <brk id="129" max="16383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P31"/>
  <sheetViews>
    <sheetView topLeftCell="C1" zoomScale="80" zoomScaleNormal="80" workbookViewId="0">
      <selection activeCell="E22" sqref="E22"/>
    </sheetView>
  </sheetViews>
  <sheetFormatPr baseColWidth="10" defaultRowHeight="15" x14ac:dyDescent="0.25"/>
  <cols>
    <col min="1" max="1" width="7.42578125" customWidth="1"/>
    <col min="2" max="2" width="33.7109375" bestFit="1" customWidth="1"/>
    <col min="3" max="3" width="15" bestFit="1" customWidth="1"/>
    <col min="4" max="8" width="13.140625" bestFit="1" customWidth="1"/>
    <col min="9" max="10" width="13.140625" style="2" bestFit="1" customWidth="1"/>
    <col min="11" max="11" width="14.28515625" style="2" bestFit="1" customWidth="1"/>
    <col min="12" max="12" width="15.28515625" style="2" bestFit="1" customWidth="1"/>
    <col min="13" max="14" width="13.85546875" style="2" bestFit="1" customWidth="1"/>
    <col min="15" max="15" width="13.85546875" bestFit="1" customWidth="1"/>
    <col min="17" max="17" width="11.85546875" bestFit="1" customWidth="1"/>
  </cols>
  <sheetData>
    <row r="1" spans="1:16" ht="15.75" thickBot="1" x14ac:dyDescent="0.3"/>
    <row r="2" spans="1:16" s="2" customFormat="1" ht="15.75" thickBot="1" x14ac:dyDescent="0.3">
      <c r="C2" s="84" t="s">
        <v>6</v>
      </c>
      <c r="D2" s="85" t="s">
        <v>7</v>
      </c>
      <c r="E2" s="85" t="s">
        <v>8</v>
      </c>
      <c r="F2" s="85" t="s">
        <v>9</v>
      </c>
      <c r="G2" s="85" t="s">
        <v>10</v>
      </c>
      <c r="H2" s="85" t="s">
        <v>11</v>
      </c>
      <c r="I2" s="85" t="s">
        <v>12</v>
      </c>
      <c r="J2" s="85" t="s">
        <v>13</v>
      </c>
      <c r="K2" s="85" t="s">
        <v>14</v>
      </c>
      <c r="L2" s="85" t="s">
        <v>15</v>
      </c>
      <c r="M2" s="85" t="s">
        <v>16</v>
      </c>
      <c r="N2" s="86" t="s">
        <v>5</v>
      </c>
      <c r="O2" s="216" t="s">
        <v>685</v>
      </c>
    </row>
    <row r="3" spans="1:16" x14ac:dyDescent="0.25">
      <c r="A3" s="643" t="s">
        <v>712</v>
      </c>
      <c r="B3" s="79" t="s">
        <v>716</v>
      </c>
      <c r="C3" s="64">
        <v>2774077</v>
      </c>
      <c r="D3" s="65">
        <v>5484735</v>
      </c>
      <c r="E3" s="65">
        <v>5066342</v>
      </c>
      <c r="F3" s="65">
        <v>5561583</v>
      </c>
      <c r="G3" s="65">
        <v>5466553</v>
      </c>
      <c r="H3" s="65">
        <v>5851048</v>
      </c>
      <c r="I3" s="66">
        <v>6125449</v>
      </c>
      <c r="J3" s="66">
        <v>6553639</v>
      </c>
      <c r="K3" s="66">
        <v>6202166</v>
      </c>
      <c r="L3" s="444">
        <v>5938393</v>
      </c>
      <c r="M3" s="444">
        <v>5996377</v>
      </c>
      <c r="N3" s="445">
        <v>5832731</v>
      </c>
      <c r="O3" s="217">
        <f>SUM(C3:N3)</f>
        <v>66853093</v>
      </c>
    </row>
    <row r="4" spans="1:16" x14ac:dyDescent="0.25">
      <c r="A4" s="644"/>
      <c r="B4" s="80" t="s">
        <v>715</v>
      </c>
      <c r="C4" s="67">
        <f>Facturacion!X181</f>
        <v>2410714</v>
      </c>
      <c r="D4" s="63">
        <f>Facturacion!Y181</f>
        <v>4749764</v>
      </c>
      <c r="E4" s="63">
        <f>Facturacion!Z181</f>
        <v>4411789</v>
      </c>
      <c r="F4" s="63">
        <f>Facturacion!AA181</f>
        <v>4969953</v>
      </c>
      <c r="G4" s="63">
        <f>Facturacion!AB181</f>
        <v>4958346</v>
      </c>
      <c r="H4" s="63">
        <f>Facturacion!AC181</f>
        <v>5192518</v>
      </c>
      <c r="I4" s="63">
        <f>Facturacion!AD181</f>
        <v>5437639</v>
      </c>
      <c r="J4" s="63">
        <f>Facturacion!AE181</f>
        <v>5758263</v>
      </c>
      <c r="K4" s="63">
        <f>Facturacion!AF181</f>
        <v>5518967</v>
      </c>
      <c r="L4" s="63">
        <f>Facturacion!AG181</f>
        <v>5309492</v>
      </c>
      <c r="M4" s="63">
        <f>Facturacion!AH181</f>
        <v>5403745</v>
      </c>
      <c r="N4" s="63">
        <f>Facturacion!AI181</f>
        <v>5296766</v>
      </c>
      <c r="O4" s="218">
        <f>SUM(C4:N4)</f>
        <v>59417956</v>
      </c>
    </row>
    <row r="5" spans="1:16" x14ac:dyDescent="0.25">
      <c r="A5" s="644"/>
      <c r="B5" s="80" t="s">
        <v>714</v>
      </c>
      <c r="C5" s="68">
        <f>AutoConsumos!X143*0.5</f>
        <v>261807</v>
      </c>
      <c r="D5" s="62">
        <f>AutoConsumos!Y143</f>
        <v>473860</v>
      </c>
      <c r="E5" s="62">
        <f>AutoConsumos!Z143</f>
        <v>437996</v>
      </c>
      <c r="F5" s="62">
        <f>AutoConsumos!AA143</f>
        <v>438676.57999999996</v>
      </c>
      <c r="G5" s="62">
        <f>AutoConsumos!AB143</f>
        <v>395218</v>
      </c>
      <c r="H5" s="62">
        <f>AutoConsumos!AC143</f>
        <v>494867</v>
      </c>
      <c r="I5" s="62">
        <f>AutoConsumos!AD143</f>
        <v>513603</v>
      </c>
      <c r="J5" s="62">
        <f>AutoConsumos!AE143</f>
        <v>563435</v>
      </c>
      <c r="K5" s="62">
        <f>AutoConsumos!AF143</f>
        <v>539858</v>
      </c>
      <c r="L5" s="62">
        <f>AutoConsumos!AG143</f>
        <v>467104</v>
      </c>
      <c r="M5" s="62">
        <f>AutoConsumos!AH143</f>
        <v>544702</v>
      </c>
      <c r="N5" s="62">
        <f>AutoConsumos!AI143</f>
        <v>476243</v>
      </c>
      <c r="O5" s="218">
        <f>SUM(C5:N5)</f>
        <v>5607369.5800000001</v>
      </c>
    </row>
    <row r="6" spans="1:16" s="52" customFormat="1" ht="15.75" thickBot="1" x14ac:dyDescent="0.3">
      <c r="A6" s="644"/>
      <c r="B6" s="81" t="s">
        <v>713</v>
      </c>
      <c r="C6" s="87">
        <f>IFERROR(C3-C4-C5,0)</f>
        <v>101556</v>
      </c>
      <c r="D6" s="245">
        <f t="shared" ref="D6:M6" si="0">IFERROR(D3-D4-D5,0)</f>
        <v>261111</v>
      </c>
      <c r="E6" s="245">
        <f t="shared" si="0"/>
        <v>216557</v>
      </c>
      <c r="F6" s="245">
        <f t="shared" si="0"/>
        <v>152953.42000000004</v>
      </c>
      <c r="G6" s="245">
        <f t="shared" si="0"/>
        <v>112989</v>
      </c>
      <c r="H6" s="245">
        <f t="shared" si="0"/>
        <v>163663</v>
      </c>
      <c r="I6" s="245">
        <f t="shared" si="0"/>
        <v>174207</v>
      </c>
      <c r="J6" s="245">
        <f t="shared" si="0"/>
        <v>231941</v>
      </c>
      <c r="K6" s="245">
        <f t="shared" ref="K6:L6" si="1">IFERROR(K3-K4-K5,0)</f>
        <v>143341</v>
      </c>
      <c r="L6" s="245">
        <f t="shared" si="1"/>
        <v>161797</v>
      </c>
      <c r="M6" s="245">
        <f t="shared" si="0"/>
        <v>47930</v>
      </c>
      <c r="N6" s="245">
        <f>IFERROR(N3-N4-N5,0)</f>
        <v>59722</v>
      </c>
      <c r="O6" s="219">
        <f>O3-O4-O5</f>
        <v>1827767.42</v>
      </c>
      <c r="P6" s="297"/>
    </row>
    <row r="7" spans="1:16" s="2" customFormat="1" x14ac:dyDescent="0.25">
      <c r="A7" s="644"/>
      <c r="B7" s="243" t="s">
        <v>705</v>
      </c>
      <c r="C7" s="246">
        <f>IFERROR(C6/C3,0)</f>
        <v>3.660893334972317E-2</v>
      </c>
      <c r="D7" s="247">
        <f>IFERROR(D6/D3,0)</f>
        <v>4.7606857942999979E-2</v>
      </c>
      <c r="E7" s="247">
        <f>IFERROR(E6/E3,0)</f>
        <v>4.2744252164579492E-2</v>
      </c>
      <c r="F7" s="247">
        <f t="shared" ref="F7:N7" si="2">IFERROR(F6/F3,0)</f>
        <v>2.7501777821170706E-2</v>
      </c>
      <c r="G7" s="247">
        <f t="shared" si="2"/>
        <v>2.0669149279262455E-2</v>
      </c>
      <c r="H7" s="247">
        <f t="shared" si="2"/>
        <v>2.7971570221266343E-2</v>
      </c>
      <c r="I7" s="247">
        <f t="shared" si="2"/>
        <v>2.8439874366760706E-2</v>
      </c>
      <c r="J7" s="247">
        <f t="shared" si="2"/>
        <v>3.5391177329114405E-2</v>
      </c>
      <c r="K7" s="247">
        <f t="shared" si="2"/>
        <v>2.3111442034927796E-2</v>
      </c>
      <c r="L7" s="247">
        <f t="shared" si="2"/>
        <v>2.7245923265772406E-2</v>
      </c>
      <c r="M7" s="247">
        <f t="shared" si="2"/>
        <v>7.9931598697013211E-3</v>
      </c>
      <c r="N7" s="248">
        <f t="shared" si="2"/>
        <v>1.0239114404555945E-2</v>
      </c>
      <c r="O7" s="73">
        <f>O6/O3</f>
        <v>2.7340057699349826E-2</v>
      </c>
    </row>
    <row r="8" spans="1:16" ht="15.75" thickBot="1" x14ac:dyDescent="0.3">
      <c r="A8" s="645"/>
      <c r="B8" s="244" t="s">
        <v>704</v>
      </c>
      <c r="C8" s="69">
        <f>IFERROR(C5/(C3-C4),0)</f>
        <v>0.72051089406461311</v>
      </c>
      <c r="D8" s="70">
        <f>IFERROR(D5/(D3-D4),0)</f>
        <v>0.64473292143499539</v>
      </c>
      <c r="E8" s="70">
        <f>IFERROR(E5/(E3-E4),0)</f>
        <v>0.66915284171029699</v>
      </c>
      <c r="F8" s="70">
        <f>IFERROR(F5/(F3-F4),0)</f>
        <v>0.74147115595896074</v>
      </c>
      <c r="G8" s="70">
        <f>IFERROR(G5/(G3-G4),0)</f>
        <v>0.7776713032288024</v>
      </c>
      <c r="H8" s="70">
        <f t="shared" ref="H8:O8" si="3">IFERROR(H5/(H3-H4),0)</f>
        <v>0.75147221842588796</v>
      </c>
      <c r="I8" s="70">
        <f t="shared" si="3"/>
        <v>0.74672220526017363</v>
      </c>
      <c r="J8" s="70">
        <f t="shared" si="3"/>
        <v>0.70838823399247652</v>
      </c>
      <c r="K8" s="70">
        <f t="shared" si="3"/>
        <v>0.79019143763383726</v>
      </c>
      <c r="L8" s="70">
        <f t="shared" si="3"/>
        <v>0.74273057285645916</v>
      </c>
      <c r="M8" s="70">
        <f t="shared" si="3"/>
        <v>0.91912350328703141</v>
      </c>
      <c r="N8" s="249">
        <f t="shared" si="3"/>
        <v>0.88857108206692603</v>
      </c>
      <c r="O8" s="72">
        <f t="shared" si="3"/>
        <v>0.75417165547857423</v>
      </c>
    </row>
    <row r="9" spans="1:16" ht="15.75" thickBot="1" x14ac:dyDescent="0.3">
      <c r="L9" s="2">
        <v>0.5</v>
      </c>
    </row>
    <row r="10" spans="1:16" ht="15.75" thickBot="1" x14ac:dyDescent="0.3">
      <c r="A10" s="2"/>
      <c r="B10" s="2"/>
      <c r="C10" s="84" t="s">
        <v>6</v>
      </c>
      <c r="D10" s="85" t="s">
        <v>7</v>
      </c>
      <c r="E10" s="85" t="s">
        <v>8</v>
      </c>
      <c r="F10" s="85" t="s">
        <v>9</v>
      </c>
      <c r="G10" s="85" t="s">
        <v>10</v>
      </c>
      <c r="H10" s="85" t="s">
        <v>11</v>
      </c>
      <c r="I10" s="85" t="s">
        <v>12</v>
      </c>
      <c r="J10" s="85" t="s">
        <v>13</v>
      </c>
      <c r="K10" s="85" t="s">
        <v>14</v>
      </c>
      <c r="L10" s="85" t="s">
        <v>15</v>
      </c>
      <c r="M10" s="85" t="s">
        <v>16</v>
      </c>
      <c r="N10" s="86" t="s">
        <v>5</v>
      </c>
      <c r="O10" s="216" t="s">
        <v>685</v>
      </c>
    </row>
    <row r="11" spans="1:16" x14ac:dyDescent="0.25">
      <c r="A11" s="643" t="s">
        <v>717</v>
      </c>
      <c r="B11" s="79" t="s">
        <v>716</v>
      </c>
      <c r="C11" s="64">
        <v>427861</v>
      </c>
      <c r="D11" s="65">
        <v>378639</v>
      </c>
      <c r="E11" s="65">
        <v>365080</v>
      </c>
      <c r="F11" s="65">
        <v>362506</v>
      </c>
      <c r="G11" s="65">
        <v>338158</v>
      </c>
      <c r="H11" s="65">
        <v>348094</v>
      </c>
      <c r="I11" s="66">
        <v>388188</v>
      </c>
      <c r="J11" s="66">
        <v>381509</v>
      </c>
      <c r="K11" s="66">
        <v>319607</v>
      </c>
      <c r="L11" s="444">
        <v>286335</v>
      </c>
      <c r="M11" s="444">
        <v>309709</v>
      </c>
      <c r="N11" s="445">
        <v>328932</v>
      </c>
      <c r="O11" s="217">
        <f>SUM(C11:N11)</f>
        <v>4234618</v>
      </c>
    </row>
    <row r="12" spans="1:16" x14ac:dyDescent="0.25">
      <c r="A12" s="644"/>
      <c r="B12" s="80" t="s">
        <v>715</v>
      </c>
      <c r="C12" s="67">
        <f>Facturacion!X242</f>
        <v>120548</v>
      </c>
      <c r="D12" s="63">
        <f>Facturacion!Y242</f>
        <v>211495</v>
      </c>
      <c r="E12" s="63">
        <f>Facturacion!Z242</f>
        <v>221783</v>
      </c>
      <c r="F12" s="63">
        <f>Facturacion!AA242</f>
        <v>297825</v>
      </c>
      <c r="G12" s="63">
        <f>Facturacion!AB242</f>
        <v>245356</v>
      </c>
      <c r="H12" s="63">
        <f>Facturacion!AC242</f>
        <v>230802</v>
      </c>
      <c r="I12" s="63">
        <f>Facturacion!AD242</f>
        <v>258917</v>
      </c>
      <c r="J12" s="63">
        <f>Facturacion!AE242</f>
        <v>258197</v>
      </c>
      <c r="K12" s="63">
        <f>Facturacion!AF242</f>
        <v>250917</v>
      </c>
      <c r="L12" s="63">
        <f>Facturacion!AG242</f>
        <v>184810</v>
      </c>
      <c r="M12" s="63">
        <f>Facturacion!AH242</f>
        <v>168033</v>
      </c>
      <c r="N12" s="63">
        <f>Facturacion!AI242</f>
        <v>248865</v>
      </c>
      <c r="O12" s="218">
        <f>SUM(C12:N12)</f>
        <v>2697548</v>
      </c>
    </row>
    <row r="13" spans="1:16" x14ac:dyDescent="0.25">
      <c r="A13" s="644"/>
      <c r="B13" s="80" t="s">
        <v>714</v>
      </c>
      <c r="C13" s="68">
        <f>AutoConsumos!X196</f>
        <v>42127</v>
      </c>
      <c r="D13" s="62">
        <f>AutoConsumos!Y196</f>
        <v>68425</v>
      </c>
      <c r="E13" s="62">
        <f>AutoConsumos!Z196</f>
        <v>53661</v>
      </c>
      <c r="F13" s="62">
        <f>AutoConsumos!AA196</f>
        <v>55917</v>
      </c>
      <c r="G13" s="62">
        <f>AutoConsumos!AB196</f>
        <v>44459</v>
      </c>
      <c r="H13" s="62">
        <f>AutoConsumos!AC196</f>
        <v>43545</v>
      </c>
      <c r="I13" s="62">
        <f>AutoConsumos!AD196</f>
        <v>36333</v>
      </c>
      <c r="J13" s="62">
        <f>AutoConsumos!AE196</f>
        <v>48175</v>
      </c>
      <c r="K13" s="62">
        <f>AutoConsumos!AF196</f>
        <v>48489</v>
      </c>
      <c r="L13" s="62">
        <f>AutoConsumos!AG196</f>
        <v>47412</v>
      </c>
      <c r="M13" s="62">
        <f>AutoConsumos!AH196</f>
        <v>55161</v>
      </c>
      <c r="N13" s="62">
        <f>AutoConsumos!AI196</f>
        <v>63952</v>
      </c>
      <c r="O13" s="218">
        <f>SUM(C13:N13)</f>
        <v>607656</v>
      </c>
    </row>
    <row r="14" spans="1:16" ht="15.75" thickBot="1" x14ac:dyDescent="0.3">
      <c r="A14" s="644"/>
      <c r="B14" s="81" t="s">
        <v>713</v>
      </c>
      <c r="C14" s="87">
        <f>IFERROR(C11-C12-C13,0)</f>
        <v>265186</v>
      </c>
      <c r="D14" s="88">
        <f t="shared" ref="D14:M14" si="4">IFERROR(D11-D12-D13,0)</f>
        <v>98719</v>
      </c>
      <c r="E14" s="88">
        <f t="shared" si="4"/>
        <v>89636</v>
      </c>
      <c r="F14" s="88">
        <f t="shared" si="4"/>
        <v>8764</v>
      </c>
      <c r="G14" s="88">
        <f t="shared" si="4"/>
        <v>48343</v>
      </c>
      <c r="H14" s="88">
        <f t="shared" si="4"/>
        <v>73747</v>
      </c>
      <c r="I14" s="88">
        <f t="shared" si="4"/>
        <v>92938</v>
      </c>
      <c r="J14" s="88">
        <f t="shared" si="4"/>
        <v>75137</v>
      </c>
      <c r="K14" s="88">
        <f t="shared" ref="K14:L14" si="5">IFERROR(K11-K12-K13,0)</f>
        <v>20201</v>
      </c>
      <c r="L14" s="88">
        <f t="shared" si="5"/>
        <v>54113</v>
      </c>
      <c r="M14" s="88">
        <f t="shared" si="4"/>
        <v>86515</v>
      </c>
      <c r="N14" s="88">
        <f>IFERROR(N11-N12-N13,0)</f>
        <v>16115</v>
      </c>
      <c r="O14" s="219">
        <f>O11-O12-O13</f>
        <v>929414</v>
      </c>
    </row>
    <row r="15" spans="1:16" x14ac:dyDescent="0.25">
      <c r="A15" s="644"/>
      <c r="B15" s="74" t="s">
        <v>705</v>
      </c>
      <c r="C15" s="246">
        <f>IFERROR(C14/C11,0)</f>
        <v>0.6197947464246566</v>
      </c>
      <c r="D15" s="247">
        <f>IFERROR(D14/D11,0)</f>
        <v>0.26072063363784503</v>
      </c>
      <c r="E15" s="247">
        <f>IFERROR(E14/E11,0)</f>
        <v>0.24552426865344582</v>
      </c>
      <c r="F15" s="247">
        <f t="shared" ref="F15:N15" si="6">IFERROR(F14/F11,0)</f>
        <v>2.4176151567146476E-2</v>
      </c>
      <c r="G15" s="247">
        <f t="shared" si="6"/>
        <v>0.14295979985687163</v>
      </c>
      <c r="H15" s="247">
        <f t="shared" si="6"/>
        <v>0.21185944026613501</v>
      </c>
      <c r="I15" s="247">
        <f t="shared" si="6"/>
        <v>0.23941492266633693</v>
      </c>
      <c r="J15" s="247">
        <f t="shared" si="6"/>
        <v>0.19694686101769551</v>
      </c>
      <c r="K15" s="247">
        <f t="shared" si="6"/>
        <v>6.320574956117983E-2</v>
      </c>
      <c r="L15" s="247">
        <f t="shared" si="6"/>
        <v>0.18898493023905566</v>
      </c>
      <c r="M15" s="247">
        <f t="shared" si="6"/>
        <v>0.27934286701387434</v>
      </c>
      <c r="N15" s="248">
        <f t="shared" si="6"/>
        <v>4.8991888901049455E-2</v>
      </c>
      <c r="O15" s="73">
        <f>O14/O11</f>
        <v>0.21948000976711476</v>
      </c>
    </row>
    <row r="16" spans="1:16" ht="15.75" thickBot="1" x14ac:dyDescent="0.3">
      <c r="A16" s="645"/>
      <c r="B16" s="75" t="s">
        <v>704</v>
      </c>
      <c r="C16" s="69">
        <f>IFERROR(C13/(C11-C12),0)</f>
        <v>0.13708173751191782</v>
      </c>
      <c r="D16" s="70">
        <f>IFERROR(D13/(D11-D12),0)</f>
        <v>0.40937754271765664</v>
      </c>
      <c r="E16" s="70">
        <f>IFERROR(E13/(E11-E12),0)</f>
        <v>0.37447399457071678</v>
      </c>
      <c r="F16" s="70">
        <f>IFERROR(F13/(F11-F12),0)</f>
        <v>0.86450425936519226</v>
      </c>
      <c r="G16" s="70">
        <f>IFERROR(G13/(G11-G12),0)</f>
        <v>0.47907372685933491</v>
      </c>
      <c r="H16" s="70">
        <f t="shared" ref="H16:O16" si="7">IFERROR(H13/(H11-H12),0)</f>
        <v>0.37125294137707604</v>
      </c>
      <c r="I16" s="70">
        <f t="shared" si="7"/>
        <v>0.28106071740761657</v>
      </c>
      <c r="J16" s="70">
        <f t="shared" si="7"/>
        <v>0.39067568444271439</v>
      </c>
      <c r="K16" s="70">
        <f t="shared" si="7"/>
        <v>0.70591061289852963</v>
      </c>
      <c r="L16" s="70">
        <f t="shared" si="7"/>
        <v>0.46699827628662893</v>
      </c>
      <c r="M16" s="70">
        <f t="shared" si="7"/>
        <v>0.38934611366780542</v>
      </c>
      <c r="N16" s="249">
        <f t="shared" si="7"/>
        <v>0.79873106273495942</v>
      </c>
      <c r="O16" s="72">
        <f t="shared" si="7"/>
        <v>0.3953339795845342</v>
      </c>
    </row>
    <row r="17" spans="1:15" ht="15.75" thickBot="1" x14ac:dyDescent="0.3">
      <c r="L17" s="2">
        <v>0.5</v>
      </c>
    </row>
    <row r="18" spans="1:15" ht="15.75" thickBot="1" x14ac:dyDescent="0.3">
      <c r="A18" s="2"/>
      <c r="B18" s="2"/>
      <c r="C18" s="84" t="s">
        <v>6</v>
      </c>
      <c r="D18" s="85" t="s">
        <v>7</v>
      </c>
      <c r="E18" s="85" t="s">
        <v>8</v>
      </c>
      <c r="F18" s="85" t="s">
        <v>9</v>
      </c>
      <c r="G18" s="85" t="s">
        <v>10</v>
      </c>
      <c r="H18" s="85" t="s">
        <v>11</v>
      </c>
      <c r="I18" s="85" t="s">
        <v>12</v>
      </c>
      <c r="J18" s="85" t="s">
        <v>13</v>
      </c>
      <c r="K18" s="85" t="s">
        <v>14</v>
      </c>
      <c r="L18" s="85" t="s">
        <v>15</v>
      </c>
      <c r="M18" s="85" t="s">
        <v>16</v>
      </c>
      <c r="N18" s="86" t="s">
        <v>5</v>
      </c>
      <c r="O18" s="71" t="s">
        <v>685</v>
      </c>
    </row>
    <row r="19" spans="1:15" x14ac:dyDescent="0.25">
      <c r="A19" s="643" t="s">
        <v>718</v>
      </c>
      <c r="B19" s="79" t="s">
        <v>716</v>
      </c>
      <c r="C19" s="64">
        <v>109185</v>
      </c>
      <c r="D19" s="65">
        <v>115331</v>
      </c>
      <c r="E19" s="65">
        <v>115974</v>
      </c>
      <c r="F19" s="65">
        <v>116843</v>
      </c>
      <c r="G19" s="65">
        <v>114171</v>
      </c>
      <c r="H19" s="65">
        <v>117330</v>
      </c>
      <c r="I19" s="65">
        <v>129141</v>
      </c>
      <c r="J19" s="65">
        <v>142862</v>
      </c>
      <c r="K19" s="65">
        <v>111477</v>
      </c>
      <c r="L19" s="446">
        <v>100285</v>
      </c>
      <c r="M19" s="446">
        <v>103360</v>
      </c>
      <c r="N19" s="630">
        <v>79327</v>
      </c>
      <c r="O19" s="82">
        <f>SUM(C19:N19)</f>
        <v>1355286</v>
      </c>
    </row>
    <row r="20" spans="1:15" s="52" customFormat="1" x14ac:dyDescent="0.25">
      <c r="A20" s="644"/>
      <c r="B20" s="80" t="s">
        <v>715</v>
      </c>
      <c r="C20" s="67">
        <f>Facturacion!X286</f>
        <v>27337.900000000081</v>
      </c>
      <c r="D20" s="63">
        <f>Facturacion!Y286</f>
        <v>58628.5</v>
      </c>
      <c r="E20" s="63">
        <f>Facturacion!Z286</f>
        <v>89286.399999999994</v>
      </c>
      <c r="F20" s="63">
        <f>Facturacion!AA286</f>
        <v>61387.200000000099</v>
      </c>
      <c r="G20" s="63">
        <f>Facturacion!AB286</f>
        <v>67070.399999999994</v>
      </c>
      <c r="H20" s="63">
        <f>Facturacion!AC286</f>
        <v>87686.799999999886</v>
      </c>
      <c r="I20" s="63">
        <f>Facturacion!AD286</f>
        <v>81187.220000000016</v>
      </c>
      <c r="J20" s="63">
        <f>Facturacion!AE286</f>
        <v>107210.0000000001</v>
      </c>
      <c r="K20" s="63">
        <f>Facturacion!AF286</f>
        <v>67744.979999999865</v>
      </c>
      <c r="L20" s="63">
        <f>Facturacion!AG286</f>
        <v>54258.500000000044</v>
      </c>
      <c r="M20" s="63">
        <f>Facturacion!AH286</f>
        <v>57691.399999999987</v>
      </c>
      <c r="N20" s="63">
        <f>Facturacion!AI286</f>
        <v>44347.200000000004</v>
      </c>
      <c r="O20" s="83">
        <f>SUM(C20:N20)</f>
        <v>803836.5</v>
      </c>
    </row>
    <row r="21" spans="1:15" s="52" customFormat="1" x14ac:dyDescent="0.25">
      <c r="A21" s="644"/>
      <c r="B21" s="80" t="s">
        <v>714</v>
      </c>
      <c r="C21" s="68">
        <f>AutoConsumos!X244</f>
        <v>22453.900000000038</v>
      </c>
      <c r="D21" s="62">
        <f>AutoConsumos!Y244</f>
        <v>25574.099999999991</v>
      </c>
      <c r="E21" s="62">
        <f>AutoConsumos!Z244</f>
        <v>35425.599999999984</v>
      </c>
      <c r="F21" s="62">
        <f>AutoConsumos!AA244</f>
        <v>24601.800000000054</v>
      </c>
      <c r="G21" s="62">
        <f>AutoConsumos!AB244</f>
        <v>24809.099999999926</v>
      </c>
      <c r="H21" s="62">
        <f>AutoConsumos!AC244</f>
        <v>24375.300000000108</v>
      </c>
      <c r="I21" s="62">
        <f>AutoConsumos!AD244</f>
        <v>25241.099999999926</v>
      </c>
      <c r="J21" s="62">
        <f>AutoConsumos!AE244</f>
        <v>27159.300000000039</v>
      </c>
      <c r="K21" s="62">
        <f>AutoConsumos!AF244</f>
        <v>28581.999999999913</v>
      </c>
      <c r="L21" s="62">
        <f>AutoConsumos!AG244</f>
        <v>27329.000000000106</v>
      </c>
      <c r="M21" s="62">
        <f>AutoConsumos!AH244</f>
        <v>39220.69999999999</v>
      </c>
      <c r="N21" s="62">
        <f>AutoConsumos!AI244</f>
        <v>35125.30000000001</v>
      </c>
      <c r="O21" s="83">
        <f>SUM(C21:N21)</f>
        <v>339897.20000000007</v>
      </c>
    </row>
    <row r="22" spans="1:15" s="52" customFormat="1" ht="15.75" thickBot="1" x14ac:dyDescent="0.3">
      <c r="A22" s="644"/>
      <c r="B22" s="81" t="s">
        <v>713</v>
      </c>
      <c r="C22" s="87">
        <f>IFERROR(C19-C20-C21,0)</f>
        <v>59393.199999999881</v>
      </c>
      <c r="D22" s="88">
        <f t="shared" ref="D22:M22" si="8">IFERROR(D19-D20-D21,0)</f>
        <v>31128.400000000009</v>
      </c>
      <c r="E22" s="88">
        <f t="shared" si="8"/>
        <v>-8737.9999999999782</v>
      </c>
      <c r="F22" s="88">
        <f t="shared" si="8"/>
        <v>30853.999999999847</v>
      </c>
      <c r="G22" s="88">
        <f t="shared" si="8"/>
        <v>22291.50000000008</v>
      </c>
      <c r="H22" s="88">
        <f t="shared" si="8"/>
        <v>5267.9000000000051</v>
      </c>
      <c r="I22" s="88">
        <f t="shared" si="8"/>
        <v>22712.680000000058</v>
      </c>
      <c r="J22" s="88">
        <f t="shared" si="8"/>
        <v>8492.6999999998588</v>
      </c>
      <c r="K22" s="88">
        <f t="shared" ref="K22:L22" si="9">IFERROR(K19-K20-K21,0)</f>
        <v>15150.020000000222</v>
      </c>
      <c r="L22" s="88">
        <f t="shared" si="9"/>
        <v>18697.499999999851</v>
      </c>
      <c r="M22" s="88">
        <f t="shared" si="8"/>
        <v>6447.9000000000233</v>
      </c>
      <c r="N22" s="88">
        <f>IFERROR(N19-N20-N21,0)</f>
        <v>-145.50000000001455</v>
      </c>
      <c r="O22" s="83">
        <f>SUM(C22:N22)</f>
        <v>211552.29999999987</v>
      </c>
    </row>
    <row r="23" spans="1:15" s="52" customFormat="1" x14ac:dyDescent="0.25">
      <c r="A23" s="644"/>
      <c r="B23" s="74" t="s">
        <v>705</v>
      </c>
      <c r="C23" s="246">
        <f>IFERROR(C22/C19,0)</f>
        <v>0.54396849384072798</v>
      </c>
      <c r="D23" s="247">
        <f>IFERROR(D22/D19,0)</f>
        <v>0.26990488246872052</v>
      </c>
      <c r="E23" s="247">
        <f>IFERROR(E22/E19,0)</f>
        <v>-7.5344473761360123E-2</v>
      </c>
      <c r="F23" s="247">
        <f t="shared" ref="F23:N23" si="10">IFERROR(F22/F19,0)</f>
        <v>0.26406374365601576</v>
      </c>
      <c r="G23" s="247">
        <f t="shared" si="10"/>
        <v>0.19524660377854341</v>
      </c>
      <c r="H23" s="247">
        <f t="shared" si="10"/>
        <v>4.4898150515639695E-2</v>
      </c>
      <c r="I23" s="247">
        <f t="shared" si="10"/>
        <v>0.17587505130051695</v>
      </c>
      <c r="J23" s="247">
        <f t="shared" si="10"/>
        <v>5.9446878806119603E-2</v>
      </c>
      <c r="K23" s="247">
        <f t="shared" si="10"/>
        <v>0.13590265256510511</v>
      </c>
      <c r="L23" s="247">
        <f t="shared" si="10"/>
        <v>0.18644363563842897</v>
      </c>
      <c r="M23" s="247">
        <f t="shared" si="10"/>
        <v>6.2382933436532735E-2</v>
      </c>
      <c r="N23" s="248">
        <f t="shared" si="10"/>
        <v>-1.8341800395831754E-3</v>
      </c>
      <c r="O23" s="73">
        <f>O22/O19</f>
        <v>0.15609421184901184</v>
      </c>
    </row>
    <row r="24" spans="1:15" s="52" customFormat="1" ht="15.75" thickBot="1" x14ac:dyDescent="0.3">
      <c r="A24" s="645"/>
      <c r="B24" s="75" t="s">
        <v>704</v>
      </c>
      <c r="C24" s="69">
        <f>IFERROR(C21/(C19-C20),0)</f>
        <v>0.27433959175096073</v>
      </c>
      <c r="D24" s="70">
        <f>IFERROR(D21/(D19-D20),0)</f>
        <v>0.4510224416912833</v>
      </c>
      <c r="E24" s="70">
        <f>IFERROR(E21/(E19-E20),0)</f>
        <v>1.327417976888142</v>
      </c>
      <c r="F24" s="70">
        <f>IFERROR(F21/(F19-F20),0)</f>
        <v>0.44362898019684321</v>
      </c>
      <c r="G24" s="70">
        <f>IFERROR(G21/(G19-G20),0)</f>
        <v>0.52672577419395772</v>
      </c>
      <c r="H24" s="70">
        <f t="shared" ref="H24:O24" si="11">IFERROR(H21/(H19-H20),0)</f>
        <v>0.82228976628704109</v>
      </c>
      <c r="I24" s="70">
        <f t="shared" si="11"/>
        <v>0.52636309379573276</v>
      </c>
      <c r="J24" s="70">
        <f t="shared" si="11"/>
        <v>0.76178895994614937</v>
      </c>
      <c r="K24" s="70">
        <f t="shared" si="11"/>
        <v>0.65357145633793789</v>
      </c>
      <c r="L24" s="70">
        <f t="shared" si="11"/>
        <v>0.59376663443885869</v>
      </c>
      <c r="M24" s="70">
        <f t="shared" si="11"/>
        <v>0.85881108682990015</v>
      </c>
      <c r="N24" s="249">
        <f t="shared" si="11"/>
        <v>1.0041595435079678</v>
      </c>
      <c r="O24" s="72">
        <f t="shared" si="11"/>
        <v>0.61637049267430666</v>
      </c>
    </row>
    <row r="25" spans="1:15" s="52" customFormat="1" x14ac:dyDescent="0.25">
      <c r="B25" s="53"/>
      <c r="C25" s="54"/>
      <c r="D25" s="54"/>
      <c r="E25" s="54"/>
      <c r="F25" s="54"/>
      <c r="G25" s="54"/>
      <c r="H25" s="54"/>
      <c r="I25" s="622"/>
      <c r="J25" s="622"/>
      <c r="K25" s="622"/>
      <c r="L25" s="622"/>
      <c r="M25" s="622"/>
      <c r="N25" s="622"/>
      <c r="O25" s="54"/>
    </row>
    <row r="26" spans="1:15" s="52" customFormat="1" ht="15.75" thickBot="1" x14ac:dyDescent="0.3">
      <c r="B26" s="53"/>
      <c r="C26" s="54"/>
      <c r="D26" s="54"/>
      <c r="E26" s="54"/>
      <c r="F26" s="54"/>
      <c r="G26" s="54"/>
      <c r="H26" s="54"/>
      <c r="I26" s="622"/>
      <c r="J26" s="622"/>
      <c r="K26" s="622"/>
      <c r="L26" s="622"/>
      <c r="M26" s="622"/>
      <c r="N26" s="622"/>
      <c r="O26" s="54"/>
    </row>
    <row r="27" spans="1:15" s="52" customFormat="1" ht="15.75" thickBot="1" x14ac:dyDescent="0.3">
      <c r="B27" s="53"/>
      <c r="C27" s="525"/>
      <c r="D27" s="528" t="s">
        <v>1427</v>
      </c>
      <c r="E27" s="528" t="s">
        <v>1427</v>
      </c>
      <c r="F27" s="54"/>
      <c r="G27" s="54"/>
      <c r="H27" s="54"/>
      <c r="I27" s="622"/>
      <c r="J27" s="622"/>
      <c r="K27" s="622"/>
      <c r="L27" s="622"/>
      <c r="M27" s="622"/>
      <c r="N27" s="622"/>
      <c r="O27" s="54"/>
    </row>
    <row r="28" spans="1:15" ht="15.75" thickBot="1" x14ac:dyDescent="0.3">
      <c r="C28" s="526" t="s">
        <v>685</v>
      </c>
      <c r="D28" s="646" t="s">
        <v>1428</v>
      </c>
      <c r="E28" s="529" t="s">
        <v>1430</v>
      </c>
      <c r="F28" s="297"/>
    </row>
    <row r="29" spans="1:15" ht="15.75" thickBot="1" x14ac:dyDescent="0.3">
      <c r="C29" s="527"/>
      <c r="D29" s="647"/>
      <c r="E29" s="530" t="s">
        <v>1429</v>
      </c>
    </row>
    <row r="30" spans="1:15" x14ac:dyDescent="0.25">
      <c r="D30" s="250"/>
    </row>
    <row r="31" spans="1:15" x14ac:dyDescent="0.25">
      <c r="D31" s="250"/>
    </row>
  </sheetData>
  <mergeCells count="4">
    <mergeCell ref="A3:A8"/>
    <mergeCell ref="A11:A16"/>
    <mergeCell ref="A19:A24"/>
    <mergeCell ref="D28:D29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8" scale="87" orientation="landscape" r:id="rId1"/>
  <headerFooter>
    <oddHeader>&amp;F</oddHead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pageSetUpPr fitToPage="1"/>
  </sheetPr>
  <dimension ref="A1:K260"/>
  <sheetViews>
    <sheetView topLeftCell="A49" zoomScale="70" zoomScaleNormal="70" workbookViewId="0">
      <selection activeCell="F81" sqref="F81"/>
    </sheetView>
  </sheetViews>
  <sheetFormatPr baseColWidth="10" defaultRowHeight="15" x14ac:dyDescent="0.25"/>
  <cols>
    <col min="1" max="1" width="16.7109375" bestFit="1" customWidth="1"/>
    <col min="2" max="2" width="29" bestFit="1" customWidth="1"/>
    <col min="3" max="3" width="11.28515625" bestFit="1" customWidth="1"/>
    <col min="4" max="4" width="16.85546875" style="2" bestFit="1" customWidth="1"/>
    <col min="5" max="5" width="17.28515625" style="2" bestFit="1" customWidth="1"/>
    <col min="6" max="6" width="48.28515625" bestFit="1" customWidth="1"/>
    <col min="7" max="7" width="50.5703125" bestFit="1" customWidth="1"/>
    <col min="9" max="9" width="13.5703125" bestFit="1" customWidth="1"/>
  </cols>
  <sheetData>
    <row r="1" spans="1:11" x14ac:dyDescent="0.25">
      <c r="A1" s="2" t="s">
        <v>0</v>
      </c>
      <c r="B1" s="2" t="s">
        <v>18</v>
      </c>
      <c r="C1" s="2" t="s">
        <v>710</v>
      </c>
      <c r="D1" s="253" t="s">
        <v>1108</v>
      </c>
      <c r="E1" s="253" t="s">
        <v>1110</v>
      </c>
      <c r="F1" s="2" t="s">
        <v>1</v>
      </c>
      <c r="G1" s="2" t="s">
        <v>2</v>
      </c>
      <c r="I1" t="str">
        <f ca="1">CONCATENATE("15",RIGHT(TEXT(TODAY(),"dd/mm/aaaa"),8))</f>
        <v>15/06/2019</v>
      </c>
      <c r="J1" s="266">
        <f ca="1">EDATE(I1,1)</f>
        <v>43661</v>
      </c>
    </row>
    <row r="2" spans="1:11" ht="18.75" x14ac:dyDescent="0.25">
      <c r="A2" s="60" t="s">
        <v>356</v>
      </c>
      <c r="B2" s="223" t="s">
        <v>1272</v>
      </c>
      <c r="C2" s="258">
        <v>0</v>
      </c>
      <c r="D2" s="274">
        <v>1133879</v>
      </c>
      <c r="E2" s="279"/>
      <c r="F2" s="2" t="s">
        <v>391</v>
      </c>
      <c r="G2" s="2" t="s">
        <v>392</v>
      </c>
    </row>
    <row r="3" spans="1:11" ht="18.75" x14ac:dyDescent="0.25">
      <c r="A3" s="60" t="s">
        <v>356</v>
      </c>
      <c r="B3" s="223" t="s">
        <v>1273</v>
      </c>
      <c r="C3" s="258">
        <v>0</v>
      </c>
      <c r="D3" s="282">
        <v>813563</v>
      </c>
      <c r="E3" s="279"/>
      <c r="F3" s="2" t="s">
        <v>393</v>
      </c>
      <c r="G3" s="2" t="s">
        <v>394</v>
      </c>
    </row>
    <row r="4" spans="1:11" ht="18.75" x14ac:dyDescent="0.25">
      <c r="A4" s="60" t="s">
        <v>315</v>
      </c>
      <c r="B4" s="223" t="s">
        <v>316</v>
      </c>
      <c r="C4" s="258">
        <v>150</v>
      </c>
      <c r="D4" s="274">
        <v>112084</v>
      </c>
      <c r="E4" s="279"/>
      <c r="F4" s="2" t="s">
        <v>317</v>
      </c>
      <c r="G4" s="2" t="s">
        <v>318</v>
      </c>
      <c r="K4">
        <v>236</v>
      </c>
    </row>
    <row r="5" spans="1:11" ht="18.75" x14ac:dyDescent="0.25">
      <c r="A5" s="60" t="s">
        <v>323</v>
      </c>
      <c r="B5" s="309">
        <v>5900984</v>
      </c>
      <c r="C5" s="258">
        <v>1</v>
      </c>
      <c r="D5" s="282">
        <v>0</v>
      </c>
      <c r="E5" s="279"/>
      <c r="F5" s="2" t="s">
        <v>335</v>
      </c>
      <c r="G5" s="2" t="s">
        <v>336</v>
      </c>
    </row>
    <row r="6" spans="1:11" ht="18.75" x14ac:dyDescent="0.25">
      <c r="A6" s="60" t="s">
        <v>323</v>
      </c>
      <c r="B6" s="223">
        <v>40564523</v>
      </c>
      <c r="C6" s="258">
        <v>1</v>
      </c>
      <c r="D6" s="265">
        <v>0</v>
      </c>
      <c r="E6" s="279"/>
      <c r="F6" s="2" t="s">
        <v>338</v>
      </c>
      <c r="G6" s="2" t="s">
        <v>979</v>
      </c>
    </row>
    <row r="7" spans="1:11" ht="18.75" x14ac:dyDescent="0.25">
      <c r="A7" s="60" t="s">
        <v>323</v>
      </c>
      <c r="B7" s="223">
        <v>83363213</v>
      </c>
      <c r="C7" s="258">
        <v>39496</v>
      </c>
      <c r="D7" s="2">
        <v>142123</v>
      </c>
      <c r="E7" s="279"/>
      <c r="F7" s="2" t="s">
        <v>337</v>
      </c>
      <c r="G7" s="2" t="s">
        <v>981</v>
      </c>
    </row>
    <row r="8" spans="1:11" ht="18.75" x14ac:dyDescent="0.25">
      <c r="A8" s="60" t="s">
        <v>323</v>
      </c>
      <c r="B8" s="223" t="s">
        <v>431</v>
      </c>
      <c r="C8" s="258">
        <v>30000</v>
      </c>
      <c r="D8" s="2">
        <v>13766</v>
      </c>
      <c r="E8" s="279"/>
      <c r="F8" s="2" t="s">
        <v>465</v>
      </c>
      <c r="G8" s="2" t="s">
        <v>854</v>
      </c>
    </row>
    <row r="9" spans="1:11" ht="18.75" x14ac:dyDescent="0.25">
      <c r="A9" s="60" t="s">
        <v>323</v>
      </c>
      <c r="B9" s="223" t="s">
        <v>1356</v>
      </c>
      <c r="C9" s="258">
        <v>39033</v>
      </c>
      <c r="D9" s="2">
        <v>17705</v>
      </c>
      <c r="E9" s="279"/>
      <c r="F9" s="2" t="s">
        <v>462</v>
      </c>
      <c r="G9" s="2" t="s">
        <v>1042</v>
      </c>
    </row>
    <row r="10" spans="1:11" ht="18.75" x14ac:dyDescent="0.25">
      <c r="A10" s="60" t="s">
        <v>323</v>
      </c>
      <c r="B10" s="277" t="s">
        <v>1357</v>
      </c>
      <c r="C10" s="258">
        <v>39072</v>
      </c>
      <c r="D10" s="2">
        <v>16534</v>
      </c>
      <c r="E10" s="279"/>
      <c r="F10" s="274" t="s">
        <v>462</v>
      </c>
      <c r="G10" s="2" t="s">
        <v>980</v>
      </c>
      <c r="I10" s="266"/>
    </row>
    <row r="11" spans="1:11" ht="18.75" x14ac:dyDescent="0.25">
      <c r="A11" s="60" t="s">
        <v>323</v>
      </c>
      <c r="B11" s="223" t="s">
        <v>1358</v>
      </c>
      <c r="C11" s="258">
        <v>30000</v>
      </c>
      <c r="D11" s="2">
        <v>15794</v>
      </c>
      <c r="E11" s="279"/>
      <c r="F11" s="2" t="s">
        <v>461</v>
      </c>
      <c r="G11" s="2" t="s">
        <v>978</v>
      </c>
      <c r="I11" s="371"/>
    </row>
    <row r="12" spans="1:11" ht="18.75" x14ac:dyDescent="0.25">
      <c r="A12" s="60" t="s">
        <v>323</v>
      </c>
      <c r="B12" s="223" t="s">
        <v>354</v>
      </c>
      <c r="C12" s="258">
        <v>39270</v>
      </c>
      <c r="D12" s="2">
        <v>93951</v>
      </c>
      <c r="E12" s="279"/>
      <c r="F12" s="2" t="s">
        <v>355</v>
      </c>
      <c r="G12" s="2" t="s">
        <v>346</v>
      </c>
    </row>
    <row r="13" spans="1:11" ht="18.75" x14ac:dyDescent="0.25">
      <c r="A13" s="60" t="s">
        <v>323</v>
      </c>
      <c r="B13" s="223" t="s">
        <v>1383</v>
      </c>
      <c r="C13" s="258">
        <v>39848</v>
      </c>
      <c r="D13" s="274">
        <v>16619</v>
      </c>
      <c r="E13" s="279"/>
      <c r="F13" s="2" t="s">
        <v>1384</v>
      </c>
      <c r="G13" s="2" t="s">
        <v>1385</v>
      </c>
      <c r="I13" s="266"/>
    </row>
    <row r="14" spans="1:11" ht="18.75" x14ac:dyDescent="0.25">
      <c r="A14" s="60" t="s">
        <v>323</v>
      </c>
      <c r="B14" s="223" t="s">
        <v>1453</v>
      </c>
      <c r="C14" s="258">
        <v>39397</v>
      </c>
      <c r="D14" s="2">
        <v>18064</v>
      </c>
      <c r="E14" s="279"/>
      <c r="F14" s="2" t="s">
        <v>1454</v>
      </c>
      <c r="G14" s="2" t="s">
        <v>1385</v>
      </c>
      <c r="H14" s="266"/>
      <c r="J14" s="266"/>
    </row>
    <row r="15" spans="1:11" ht="18.75" x14ac:dyDescent="0.25">
      <c r="A15" s="60" t="s">
        <v>323</v>
      </c>
      <c r="B15" s="223" t="s">
        <v>344</v>
      </c>
      <c r="C15" s="258">
        <v>39358</v>
      </c>
      <c r="D15" s="2">
        <v>88005</v>
      </c>
      <c r="E15" s="279"/>
      <c r="F15" s="2" t="s">
        <v>345</v>
      </c>
      <c r="G15" s="2" t="s">
        <v>346</v>
      </c>
    </row>
    <row r="16" spans="1:11" ht="18.75" x14ac:dyDescent="0.25">
      <c r="A16" s="60" t="s">
        <v>323</v>
      </c>
      <c r="B16" s="223" t="s">
        <v>1371</v>
      </c>
      <c r="C16" s="258">
        <v>39684</v>
      </c>
      <c r="D16" s="2">
        <v>3457</v>
      </c>
      <c r="E16" s="279"/>
      <c r="F16" s="2" t="s">
        <v>1387</v>
      </c>
      <c r="G16" s="2" t="s">
        <v>1385</v>
      </c>
      <c r="I16" s="270"/>
      <c r="J16" s="270"/>
      <c r="K16" s="270"/>
    </row>
    <row r="17" spans="1:7" ht="18.75" x14ac:dyDescent="0.25">
      <c r="A17" s="60" t="s">
        <v>323</v>
      </c>
      <c r="B17" s="223" t="s">
        <v>430</v>
      </c>
      <c r="C17" s="258">
        <v>30000</v>
      </c>
      <c r="D17" s="2">
        <v>7273</v>
      </c>
      <c r="E17" s="279"/>
      <c r="F17" s="2" t="s">
        <v>853</v>
      </c>
      <c r="G17" s="2" t="s">
        <v>854</v>
      </c>
    </row>
    <row r="18" spans="1:7" ht="18.75" x14ac:dyDescent="0.25">
      <c r="A18" s="60" t="s">
        <v>323</v>
      </c>
      <c r="B18" s="223" t="s">
        <v>1323</v>
      </c>
      <c r="C18" s="258">
        <v>121</v>
      </c>
      <c r="D18" s="2">
        <v>97469400</v>
      </c>
      <c r="E18" s="279"/>
      <c r="F18" s="2" t="s">
        <v>324</v>
      </c>
      <c r="G18" s="2" t="s">
        <v>325</v>
      </c>
    </row>
    <row r="19" spans="1:7" ht="18.75" x14ac:dyDescent="0.25">
      <c r="A19" s="60" t="s">
        <v>323</v>
      </c>
      <c r="B19" s="223" t="s">
        <v>1205</v>
      </c>
      <c r="C19" s="258">
        <v>0</v>
      </c>
      <c r="D19" s="2">
        <v>27041180</v>
      </c>
      <c r="E19" s="279"/>
      <c r="F19" s="2" t="s">
        <v>1217</v>
      </c>
      <c r="G19" s="2" t="s">
        <v>327</v>
      </c>
    </row>
    <row r="20" spans="1:7" ht="18.75" x14ac:dyDescent="0.25">
      <c r="A20" s="60" t="s">
        <v>323</v>
      </c>
      <c r="B20" s="223" t="s">
        <v>1223</v>
      </c>
      <c r="C20" s="258">
        <v>110</v>
      </c>
      <c r="D20" s="2">
        <v>2199940</v>
      </c>
      <c r="E20" s="279"/>
      <c r="F20" s="2" t="s">
        <v>1210</v>
      </c>
      <c r="G20" s="2" t="s">
        <v>327</v>
      </c>
    </row>
    <row r="21" spans="1:7" ht="18.75" x14ac:dyDescent="0.25">
      <c r="A21" s="60" t="s">
        <v>323</v>
      </c>
      <c r="B21" s="223" t="s">
        <v>1326</v>
      </c>
      <c r="C21" s="258">
        <v>110</v>
      </c>
      <c r="D21" s="2">
        <v>3676535</v>
      </c>
      <c r="E21" s="279"/>
      <c r="F21" s="2" t="s">
        <v>1215</v>
      </c>
      <c r="G21" s="2" t="s">
        <v>327</v>
      </c>
    </row>
    <row r="22" spans="1:7" ht="18.75" x14ac:dyDescent="0.25">
      <c r="A22" s="60" t="s">
        <v>323</v>
      </c>
      <c r="B22" s="342" t="s">
        <v>1203</v>
      </c>
      <c r="C22" s="258">
        <v>140</v>
      </c>
      <c r="D22" s="311">
        <v>384147</v>
      </c>
      <c r="E22" s="279"/>
      <c r="F22" s="2" t="s">
        <v>1201</v>
      </c>
      <c r="G22" s="2" t="s">
        <v>327</v>
      </c>
    </row>
    <row r="23" spans="1:7" ht="18.75" x14ac:dyDescent="0.25">
      <c r="A23" s="60" t="s">
        <v>323</v>
      </c>
      <c r="B23" s="277" t="s">
        <v>1325</v>
      </c>
      <c r="C23" s="258">
        <v>110</v>
      </c>
      <c r="D23" s="274">
        <v>1004321</v>
      </c>
      <c r="E23" s="279"/>
      <c r="F23" s="2" t="s">
        <v>1214</v>
      </c>
      <c r="G23" s="2" t="s">
        <v>327</v>
      </c>
    </row>
    <row r="24" spans="1:7" ht="18.75" x14ac:dyDescent="0.25">
      <c r="A24" s="60" t="s">
        <v>323</v>
      </c>
      <c r="B24" s="223" t="s">
        <v>1222</v>
      </c>
      <c r="C24" s="258">
        <v>110</v>
      </c>
      <c r="D24" s="2">
        <v>1703162</v>
      </c>
      <c r="E24" s="279"/>
      <c r="F24" s="2" t="s">
        <v>1209</v>
      </c>
      <c r="G24" s="2" t="s">
        <v>327</v>
      </c>
    </row>
    <row r="25" spans="1:7" ht="18.75" x14ac:dyDescent="0.25">
      <c r="A25" s="60" t="s">
        <v>323</v>
      </c>
      <c r="B25" s="223" t="s">
        <v>1224</v>
      </c>
      <c r="C25" s="258">
        <v>39648</v>
      </c>
      <c r="D25" s="2">
        <v>2902995</v>
      </c>
      <c r="E25" s="280"/>
      <c r="F25" s="2" t="s">
        <v>1336</v>
      </c>
      <c r="G25" s="2" t="s">
        <v>327</v>
      </c>
    </row>
    <row r="26" spans="1:7" ht="18.75" x14ac:dyDescent="0.25">
      <c r="A26" s="60" t="s">
        <v>323</v>
      </c>
      <c r="B26" s="223" t="s">
        <v>1221</v>
      </c>
      <c r="C26" s="258">
        <v>39241</v>
      </c>
      <c r="D26" s="2">
        <v>5874671</v>
      </c>
      <c r="E26" s="279"/>
      <c r="F26" s="2" t="s">
        <v>1337</v>
      </c>
      <c r="G26" s="2" t="s">
        <v>327</v>
      </c>
    </row>
    <row r="27" spans="1:7" ht="18.75" x14ac:dyDescent="0.25">
      <c r="A27" s="60" t="s">
        <v>323</v>
      </c>
      <c r="B27" s="223" t="s">
        <v>1220</v>
      </c>
      <c r="C27" s="258">
        <v>110</v>
      </c>
      <c r="D27" s="2">
        <v>559039</v>
      </c>
      <c r="E27" s="279"/>
      <c r="F27" s="2" t="s">
        <v>1212</v>
      </c>
      <c r="G27" s="2" t="s">
        <v>327</v>
      </c>
    </row>
    <row r="28" spans="1:7" ht="18.75" x14ac:dyDescent="0.25">
      <c r="A28" s="60" t="s">
        <v>323</v>
      </c>
      <c r="B28" s="223" t="s">
        <v>1327</v>
      </c>
      <c r="C28" s="258">
        <v>110</v>
      </c>
      <c r="D28" s="2">
        <v>796461</v>
      </c>
      <c r="E28" s="279"/>
      <c r="F28" s="2" t="s">
        <v>1216</v>
      </c>
      <c r="G28" s="2" t="s">
        <v>327</v>
      </c>
    </row>
    <row r="29" spans="1:7" ht="18.75" x14ac:dyDescent="0.25">
      <c r="A29" s="60" t="s">
        <v>323</v>
      </c>
      <c r="B29" s="223" t="s">
        <v>1324</v>
      </c>
      <c r="C29" s="258">
        <v>39241</v>
      </c>
      <c r="D29" s="311">
        <v>3610346</v>
      </c>
      <c r="E29" s="279"/>
      <c r="F29" s="274" t="s">
        <v>1338</v>
      </c>
      <c r="G29" s="2" t="s">
        <v>327</v>
      </c>
    </row>
    <row r="30" spans="1:7" ht="18.75" x14ac:dyDescent="0.25">
      <c r="A30" s="60" t="s">
        <v>323</v>
      </c>
      <c r="B30" s="223" t="s">
        <v>1202</v>
      </c>
      <c r="C30" s="258">
        <v>140</v>
      </c>
      <c r="D30" s="2">
        <v>156572</v>
      </c>
      <c r="E30" s="279"/>
      <c r="F30" s="2" t="s">
        <v>1200</v>
      </c>
      <c r="G30" s="2" t="s">
        <v>327</v>
      </c>
    </row>
    <row r="31" spans="1:7" ht="18.75" x14ac:dyDescent="0.25">
      <c r="A31" s="60" t="s">
        <v>323</v>
      </c>
      <c r="B31" s="223" t="s">
        <v>1219</v>
      </c>
      <c r="C31" s="258">
        <v>110</v>
      </c>
      <c r="D31" s="311">
        <v>351647</v>
      </c>
      <c r="E31" s="279"/>
      <c r="F31" s="2" t="s">
        <v>1211</v>
      </c>
      <c r="G31" s="2" t="s">
        <v>327</v>
      </c>
    </row>
    <row r="32" spans="1:7" ht="18.75" x14ac:dyDescent="0.25">
      <c r="A32" s="60" t="s">
        <v>323</v>
      </c>
      <c r="B32" s="223" t="s">
        <v>1460</v>
      </c>
      <c r="C32" s="258">
        <v>140</v>
      </c>
      <c r="D32" s="2">
        <v>1854</v>
      </c>
      <c r="E32" s="279"/>
      <c r="F32" s="2" t="s">
        <v>1305</v>
      </c>
      <c r="G32" s="2" t="s">
        <v>327</v>
      </c>
    </row>
    <row r="33" spans="1:7" ht="18.75" x14ac:dyDescent="0.25">
      <c r="A33" s="60" t="s">
        <v>323</v>
      </c>
      <c r="B33" s="223" t="s">
        <v>1461</v>
      </c>
      <c r="C33" s="258">
        <v>39648</v>
      </c>
      <c r="D33" s="2">
        <v>4028</v>
      </c>
      <c r="E33" s="279"/>
      <c r="F33" s="2" t="s">
        <v>1335</v>
      </c>
      <c r="G33" s="2" t="s">
        <v>327</v>
      </c>
    </row>
    <row r="34" spans="1:7" ht="18.75" x14ac:dyDescent="0.25">
      <c r="A34" s="60" t="s">
        <v>323</v>
      </c>
      <c r="B34" s="223" t="s">
        <v>341</v>
      </c>
      <c r="C34" s="258">
        <v>1</v>
      </c>
      <c r="D34" s="2">
        <v>2507</v>
      </c>
      <c r="E34" s="279"/>
      <c r="F34" s="2" t="s">
        <v>342</v>
      </c>
      <c r="G34" s="2" t="s">
        <v>1099</v>
      </c>
    </row>
    <row r="35" spans="1:7" ht="18.75" x14ac:dyDescent="0.25">
      <c r="A35" s="60" t="s">
        <v>323</v>
      </c>
      <c r="B35" s="223" t="s">
        <v>720</v>
      </c>
      <c r="C35" s="258">
        <v>140</v>
      </c>
      <c r="D35" s="2">
        <v>3904</v>
      </c>
      <c r="E35" s="279"/>
      <c r="F35" s="2" t="s">
        <v>339</v>
      </c>
      <c r="G35" s="2" t="s">
        <v>1137</v>
      </c>
    </row>
    <row r="36" spans="1:7" ht="18.75" x14ac:dyDescent="0.25">
      <c r="A36" s="60" t="s">
        <v>311</v>
      </c>
      <c r="B36" s="223" t="s">
        <v>312</v>
      </c>
      <c r="C36" s="258">
        <v>39075</v>
      </c>
      <c r="D36" s="2">
        <v>121728</v>
      </c>
      <c r="E36" s="279"/>
      <c r="F36" s="2" t="s">
        <v>82</v>
      </c>
      <c r="G36" s="2" t="s">
        <v>313</v>
      </c>
    </row>
    <row r="37" spans="1:7" ht="18.75" x14ac:dyDescent="0.25">
      <c r="A37" s="60" t="s">
        <v>311</v>
      </c>
      <c r="B37" s="223" t="s">
        <v>314</v>
      </c>
      <c r="C37" s="258">
        <v>150</v>
      </c>
      <c r="D37" s="2">
        <v>362433</v>
      </c>
      <c r="E37" s="279"/>
      <c r="F37" s="2" t="s">
        <v>21</v>
      </c>
      <c r="G37" s="2" t="s">
        <v>313</v>
      </c>
    </row>
    <row r="38" spans="1:7" ht="18.75" x14ac:dyDescent="0.25">
      <c r="A38" s="60" t="s">
        <v>721</v>
      </c>
      <c r="B38" s="223" t="s">
        <v>1267</v>
      </c>
      <c r="C38" s="258">
        <v>150</v>
      </c>
      <c r="D38" s="2">
        <v>17715</v>
      </c>
      <c r="E38" s="279"/>
      <c r="F38" s="2" t="s">
        <v>21</v>
      </c>
      <c r="G38" s="2" t="s">
        <v>20</v>
      </c>
    </row>
    <row r="39" spans="1:7" ht="18.75" x14ac:dyDescent="0.25">
      <c r="A39" s="60" t="s">
        <v>22</v>
      </c>
      <c r="B39" s="342">
        <v>500018</v>
      </c>
      <c r="C39" s="258">
        <v>39331</v>
      </c>
      <c r="D39" s="311">
        <v>37176</v>
      </c>
      <c r="E39" s="279"/>
      <c r="F39" s="2" t="s">
        <v>23</v>
      </c>
      <c r="G39" s="2" t="s">
        <v>973</v>
      </c>
    </row>
    <row r="40" spans="1:7" ht="18.75" x14ac:dyDescent="0.25">
      <c r="A40" s="60" t="s">
        <v>22</v>
      </c>
      <c r="B40" s="223">
        <v>18506393</v>
      </c>
      <c r="C40" s="258">
        <v>39416</v>
      </c>
      <c r="D40" s="2">
        <v>131126</v>
      </c>
      <c r="E40" s="279"/>
      <c r="F40" s="2" t="s">
        <v>23</v>
      </c>
      <c r="G40" s="2" t="s">
        <v>974</v>
      </c>
    </row>
    <row r="41" spans="1:7" ht="18.75" x14ac:dyDescent="0.25">
      <c r="A41" s="60" t="s">
        <v>22</v>
      </c>
      <c r="B41" s="223" t="s">
        <v>30</v>
      </c>
      <c r="C41" s="258">
        <v>39430</v>
      </c>
      <c r="D41" s="2">
        <v>554200</v>
      </c>
      <c r="E41" s="279"/>
      <c r="F41" s="2" t="s">
        <v>23</v>
      </c>
      <c r="G41" s="2" t="s">
        <v>975</v>
      </c>
    </row>
    <row r="42" spans="1:7" ht="18.75" x14ac:dyDescent="0.25">
      <c r="A42" s="60" t="s">
        <v>22</v>
      </c>
      <c r="B42" s="223" t="s">
        <v>25</v>
      </c>
      <c r="C42" s="258">
        <v>39638</v>
      </c>
      <c r="D42" s="2">
        <v>523149</v>
      </c>
      <c r="E42" s="279"/>
      <c r="F42" s="2" t="s">
        <v>23</v>
      </c>
      <c r="G42" s="2" t="s">
        <v>976</v>
      </c>
    </row>
    <row r="43" spans="1:7" ht="18.75" x14ac:dyDescent="0.25">
      <c r="A43" s="60" t="s">
        <v>22</v>
      </c>
      <c r="B43" s="223" t="s">
        <v>27</v>
      </c>
      <c r="C43" s="258">
        <v>39426</v>
      </c>
      <c r="D43" s="2">
        <v>760705</v>
      </c>
      <c r="E43" s="279"/>
      <c r="F43" s="2" t="s">
        <v>23</v>
      </c>
      <c r="G43" s="2" t="s">
        <v>977</v>
      </c>
    </row>
    <row r="44" spans="1:7" ht="18.75" x14ac:dyDescent="0.25">
      <c r="A44" s="60" t="s">
        <v>32</v>
      </c>
      <c r="B44" s="223">
        <v>5215981</v>
      </c>
      <c r="C44" s="258">
        <v>39334</v>
      </c>
      <c r="D44" s="2">
        <v>312508</v>
      </c>
      <c r="E44" s="279"/>
      <c r="F44" s="2" t="s">
        <v>23</v>
      </c>
      <c r="G44" s="2" t="s">
        <v>33</v>
      </c>
    </row>
    <row r="45" spans="1:7" ht="18.75" x14ac:dyDescent="0.25">
      <c r="A45" s="60" t="s">
        <v>32</v>
      </c>
      <c r="B45" s="223">
        <v>55158086</v>
      </c>
      <c r="C45" s="258">
        <v>39495</v>
      </c>
      <c r="D45" s="2">
        <v>4480</v>
      </c>
      <c r="E45" s="279"/>
      <c r="F45" s="2" t="s">
        <v>23</v>
      </c>
      <c r="G45" s="2" t="s">
        <v>34</v>
      </c>
    </row>
    <row r="46" spans="1:7" ht="18.75" x14ac:dyDescent="0.25">
      <c r="A46" s="60" t="s">
        <v>36</v>
      </c>
      <c r="B46" s="223">
        <v>5356191</v>
      </c>
      <c r="C46" s="258">
        <v>39333</v>
      </c>
      <c r="D46" s="2">
        <v>3962</v>
      </c>
      <c r="E46" s="279"/>
      <c r="F46" s="2" t="s">
        <v>23</v>
      </c>
      <c r="G46" s="2" t="s">
        <v>38</v>
      </c>
    </row>
    <row r="47" spans="1:7" ht="18.75" x14ac:dyDescent="0.25">
      <c r="A47" s="60" t="s">
        <v>36</v>
      </c>
      <c r="B47" s="223" t="s">
        <v>41</v>
      </c>
      <c r="C47" s="258">
        <v>39014</v>
      </c>
      <c r="D47" s="2">
        <v>110122</v>
      </c>
      <c r="E47" s="279"/>
      <c r="F47" s="2" t="s">
        <v>23</v>
      </c>
      <c r="G47" s="2" t="s">
        <v>38</v>
      </c>
    </row>
    <row r="48" spans="1:7" ht="18.75" x14ac:dyDescent="0.25">
      <c r="A48" s="60" t="s">
        <v>36</v>
      </c>
      <c r="B48" s="223" t="s">
        <v>37</v>
      </c>
      <c r="C48" s="258">
        <v>39417</v>
      </c>
      <c r="D48" s="2">
        <v>678255</v>
      </c>
      <c r="E48" s="279"/>
      <c r="F48" s="2" t="s">
        <v>23</v>
      </c>
      <c r="G48" s="2" t="s">
        <v>38</v>
      </c>
    </row>
    <row r="49" spans="1:7" ht="18.75" x14ac:dyDescent="0.25">
      <c r="A49" s="60" t="s">
        <v>36</v>
      </c>
      <c r="B49" s="223" t="s">
        <v>43</v>
      </c>
      <c r="C49" s="258">
        <v>132</v>
      </c>
      <c r="D49" s="2">
        <v>479485</v>
      </c>
      <c r="E49" s="279"/>
      <c r="F49" s="2" t="s">
        <v>878</v>
      </c>
      <c r="G49" s="2" t="s">
        <v>38</v>
      </c>
    </row>
    <row r="50" spans="1:7" ht="18.75" x14ac:dyDescent="0.25">
      <c r="A50" s="60" t="s">
        <v>46</v>
      </c>
      <c r="B50" s="277">
        <v>1025626</v>
      </c>
      <c r="C50" s="268">
        <v>39325</v>
      </c>
      <c r="D50" s="2">
        <v>126680</v>
      </c>
      <c r="E50" s="279"/>
      <c r="F50" s="2" t="s">
        <v>51</v>
      </c>
      <c r="G50" s="2" t="s">
        <v>52</v>
      </c>
    </row>
    <row r="51" spans="1:7" ht="18.75" x14ac:dyDescent="0.25">
      <c r="A51" s="60" t="s">
        <v>46</v>
      </c>
      <c r="B51" s="223">
        <v>5130043</v>
      </c>
      <c r="C51" s="258">
        <v>150</v>
      </c>
      <c r="D51" s="265">
        <v>0</v>
      </c>
      <c r="E51" s="279"/>
      <c r="F51" s="2" t="s">
        <v>48</v>
      </c>
      <c r="G51" s="2" t="s">
        <v>49</v>
      </c>
    </row>
    <row r="52" spans="1:7" ht="18.75" x14ac:dyDescent="0.25">
      <c r="A52" s="60" t="s">
        <v>46</v>
      </c>
      <c r="B52" s="223">
        <v>717084013</v>
      </c>
      <c r="C52" s="258">
        <v>141</v>
      </c>
      <c r="D52" s="2">
        <v>43764</v>
      </c>
      <c r="E52" s="279"/>
      <c r="F52" s="2" t="s">
        <v>964</v>
      </c>
      <c r="G52" s="2" t="s">
        <v>47</v>
      </c>
    </row>
    <row r="53" spans="1:7" ht="18.75" x14ac:dyDescent="0.25">
      <c r="A53" s="60" t="s">
        <v>46</v>
      </c>
      <c r="B53" s="223" t="s">
        <v>758</v>
      </c>
      <c r="C53" s="258">
        <v>30000</v>
      </c>
      <c r="D53" s="2">
        <v>78038</v>
      </c>
      <c r="E53" s="279"/>
      <c r="F53" s="2" t="s">
        <v>1463</v>
      </c>
      <c r="G53" s="2" t="s">
        <v>1464</v>
      </c>
    </row>
    <row r="54" spans="1:7" ht="18.75" x14ac:dyDescent="0.25">
      <c r="A54" s="60" t="s">
        <v>46</v>
      </c>
      <c r="B54" s="223" t="s">
        <v>1300</v>
      </c>
      <c r="C54" s="258">
        <v>39328</v>
      </c>
      <c r="D54" s="2">
        <v>211673</v>
      </c>
      <c r="E54" s="279"/>
      <c r="F54" s="2" t="s">
        <v>51</v>
      </c>
      <c r="G54" s="2" t="s">
        <v>54</v>
      </c>
    </row>
    <row r="55" spans="1:7" ht="18.75" x14ac:dyDescent="0.25">
      <c r="A55" s="60" t="s">
        <v>46</v>
      </c>
      <c r="B55" s="277" t="s">
        <v>1301</v>
      </c>
      <c r="C55" s="258">
        <v>39326</v>
      </c>
      <c r="D55" s="2">
        <v>143612</v>
      </c>
      <c r="E55" s="279"/>
      <c r="F55" s="2" t="s">
        <v>51</v>
      </c>
      <c r="G55" s="2" t="s">
        <v>53</v>
      </c>
    </row>
    <row r="56" spans="1:7" ht="18.75" x14ac:dyDescent="0.25">
      <c r="A56" s="60" t="s">
        <v>46</v>
      </c>
      <c r="B56" s="223" t="s">
        <v>1322</v>
      </c>
      <c r="C56" s="258">
        <v>142</v>
      </c>
      <c r="D56" s="2">
        <v>588140</v>
      </c>
      <c r="E56" s="279"/>
      <c r="F56" s="2" t="s">
        <v>825</v>
      </c>
      <c r="G56" s="2" t="s">
        <v>819</v>
      </c>
    </row>
    <row r="57" spans="1:7" ht="18.75" x14ac:dyDescent="0.25">
      <c r="A57" s="60" t="s">
        <v>46</v>
      </c>
      <c r="B57" s="223" t="s">
        <v>1252</v>
      </c>
      <c r="C57" s="258">
        <v>131</v>
      </c>
      <c r="D57" s="2">
        <v>273780</v>
      </c>
      <c r="E57" s="279"/>
      <c r="F57" s="2" t="s">
        <v>455</v>
      </c>
      <c r="G57" s="2" t="s">
        <v>47</v>
      </c>
    </row>
    <row r="58" spans="1:7" ht="18.75" x14ac:dyDescent="0.25">
      <c r="A58" s="60" t="s">
        <v>434</v>
      </c>
      <c r="B58" s="223" t="s">
        <v>1251</v>
      </c>
      <c r="C58" s="258">
        <v>140</v>
      </c>
      <c r="D58" s="2">
        <v>4099762</v>
      </c>
      <c r="E58" s="279"/>
      <c r="F58" s="2" t="s">
        <v>817</v>
      </c>
      <c r="G58" s="2" t="s">
        <v>435</v>
      </c>
    </row>
    <row r="59" spans="1:7" ht="18.75" x14ac:dyDescent="0.25">
      <c r="A59" s="60" t="s">
        <v>55</v>
      </c>
      <c r="B59" s="277">
        <v>717083052</v>
      </c>
      <c r="C59" s="268">
        <v>140</v>
      </c>
      <c r="D59" s="2">
        <v>19086</v>
      </c>
      <c r="E59" s="279"/>
      <c r="F59" s="274" t="s">
        <v>926</v>
      </c>
      <c r="G59" s="2" t="s">
        <v>1009</v>
      </c>
    </row>
    <row r="60" spans="1:7" ht="18.75" x14ac:dyDescent="0.25">
      <c r="A60" s="60" t="s">
        <v>55</v>
      </c>
      <c r="B60" s="223">
        <v>717083063</v>
      </c>
      <c r="C60" s="258">
        <v>131</v>
      </c>
      <c r="D60" s="2">
        <v>11415</v>
      </c>
      <c r="E60" s="279"/>
      <c r="F60" s="2" t="s">
        <v>924</v>
      </c>
      <c r="G60" s="2" t="s">
        <v>1010</v>
      </c>
    </row>
    <row r="61" spans="1:7" ht="18.75" x14ac:dyDescent="0.25">
      <c r="A61" s="60" t="s">
        <v>55</v>
      </c>
      <c r="B61" s="223">
        <v>717084017</v>
      </c>
      <c r="C61" s="258">
        <v>140</v>
      </c>
      <c r="D61" s="2">
        <v>110509</v>
      </c>
      <c r="E61" s="279"/>
      <c r="F61" s="2" t="s">
        <v>1003</v>
      </c>
      <c r="G61" s="2" t="s">
        <v>1004</v>
      </c>
    </row>
    <row r="62" spans="1:7" ht="18.75" x14ac:dyDescent="0.25">
      <c r="A62" s="60" t="s">
        <v>55</v>
      </c>
      <c r="B62" s="223">
        <v>717084039</v>
      </c>
      <c r="C62" s="258">
        <v>140</v>
      </c>
      <c r="D62" s="2">
        <v>24200</v>
      </c>
      <c r="E62" s="279"/>
      <c r="F62" s="2" t="s">
        <v>925</v>
      </c>
      <c r="G62" s="2" t="s">
        <v>1011</v>
      </c>
    </row>
    <row r="63" spans="1:7" ht="18.75" x14ac:dyDescent="0.25">
      <c r="A63" s="60" t="s">
        <v>55</v>
      </c>
      <c r="B63" s="223">
        <v>717093061</v>
      </c>
      <c r="C63" s="258">
        <v>140</v>
      </c>
      <c r="D63" s="2">
        <v>60318</v>
      </c>
      <c r="E63" s="279"/>
      <c r="F63" s="274" t="s">
        <v>437</v>
      </c>
      <c r="G63" s="2" t="s">
        <v>1005</v>
      </c>
    </row>
    <row r="64" spans="1:7" ht="18.75" x14ac:dyDescent="0.25">
      <c r="A64" s="60" t="s">
        <v>55</v>
      </c>
      <c r="B64" s="223" t="s">
        <v>56</v>
      </c>
      <c r="C64" s="258">
        <v>39254</v>
      </c>
      <c r="D64" s="2">
        <v>104016</v>
      </c>
      <c r="E64" s="279"/>
      <c r="F64" s="2" t="s">
        <v>57</v>
      </c>
      <c r="G64" s="2" t="s">
        <v>58</v>
      </c>
    </row>
    <row r="65" spans="1:7" ht="18.75" x14ac:dyDescent="0.25">
      <c r="A65" s="60" t="s">
        <v>55</v>
      </c>
      <c r="B65" s="223" t="s">
        <v>66</v>
      </c>
      <c r="C65" s="258">
        <v>150</v>
      </c>
      <c r="D65" s="2">
        <v>502213</v>
      </c>
      <c r="E65" s="279"/>
      <c r="F65" s="2" t="s">
        <v>816</v>
      </c>
      <c r="G65" s="2" t="s">
        <v>1006</v>
      </c>
    </row>
    <row r="66" spans="1:7" ht="18.75" x14ac:dyDescent="0.25">
      <c r="A66" s="60" t="s">
        <v>55</v>
      </c>
      <c r="B66" s="223" t="s">
        <v>68</v>
      </c>
      <c r="C66" s="258">
        <v>39088</v>
      </c>
      <c r="D66" s="2">
        <v>794204</v>
      </c>
      <c r="E66" s="279"/>
      <c r="F66" s="2" t="s">
        <v>436</v>
      </c>
      <c r="G66" s="2" t="s">
        <v>69</v>
      </c>
    </row>
    <row r="67" spans="1:7" ht="18.75" x14ac:dyDescent="0.25">
      <c r="A67" s="60" t="s">
        <v>55</v>
      </c>
      <c r="B67" s="277" t="s">
        <v>61</v>
      </c>
      <c r="C67" s="258">
        <v>39160</v>
      </c>
      <c r="D67" s="274">
        <v>202572</v>
      </c>
      <c r="E67" s="279"/>
      <c r="F67" s="2" t="s">
        <v>62</v>
      </c>
      <c r="G67" s="2" t="s">
        <v>1007</v>
      </c>
    </row>
    <row r="68" spans="1:7" ht="18.75" x14ac:dyDescent="0.25">
      <c r="A68" s="60" t="s">
        <v>55</v>
      </c>
      <c r="B68" s="223" t="s">
        <v>59</v>
      </c>
      <c r="C68" s="258">
        <v>39255</v>
      </c>
      <c r="D68" s="2">
        <v>896316</v>
      </c>
      <c r="E68" s="279"/>
      <c r="F68" s="2" t="s">
        <v>60</v>
      </c>
      <c r="G68" s="2" t="s">
        <v>58</v>
      </c>
    </row>
    <row r="69" spans="1:7" ht="18.75" x14ac:dyDescent="0.25">
      <c r="A69" s="60" t="s">
        <v>55</v>
      </c>
      <c r="B69" s="223" t="s">
        <v>64</v>
      </c>
      <c r="C69" s="258">
        <v>140</v>
      </c>
      <c r="D69" s="550">
        <v>916685</v>
      </c>
      <c r="E69" s="279"/>
      <c r="F69" s="274" t="s">
        <v>887</v>
      </c>
      <c r="G69" s="2" t="s">
        <v>1008</v>
      </c>
    </row>
    <row r="70" spans="1:7" ht="18.75" x14ac:dyDescent="0.25">
      <c r="A70" s="60" t="s">
        <v>55</v>
      </c>
      <c r="B70" s="309" t="s">
        <v>722</v>
      </c>
      <c r="C70" s="258">
        <v>140</v>
      </c>
      <c r="D70" s="2">
        <v>19783</v>
      </c>
      <c r="E70" s="279"/>
      <c r="F70" s="2" t="s">
        <v>888</v>
      </c>
      <c r="G70" s="2" t="s">
        <v>70</v>
      </c>
    </row>
    <row r="71" spans="1:7" ht="18.75" x14ac:dyDescent="0.25">
      <c r="A71" s="60" t="s">
        <v>723</v>
      </c>
      <c r="B71" s="223" t="s">
        <v>78</v>
      </c>
      <c r="C71" s="258">
        <v>0</v>
      </c>
      <c r="D71" s="2">
        <v>6722505</v>
      </c>
      <c r="E71" s="279"/>
      <c r="F71" s="2" t="s">
        <v>889</v>
      </c>
      <c r="G71" s="2" t="s">
        <v>819</v>
      </c>
    </row>
    <row r="72" spans="1:7" ht="18.75" x14ac:dyDescent="0.25">
      <c r="A72" s="60" t="s">
        <v>80</v>
      </c>
      <c r="B72" s="223" t="s">
        <v>81</v>
      </c>
      <c r="C72" s="258">
        <v>39503</v>
      </c>
      <c r="D72" s="2">
        <v>186198</v>
      </c>
      <c r="E72" s="279"/>
      <c r="F72" s="2" t="s">
        <v>82</v>
      </c>
      <c r="G72" s="2" t="s">
        <v>83</v>
      </c>
    </row>
    <row r="73" spans="1:7" ht="18.75" x14ac:dyDescent="0.25">
      <c r="A73" s="60" t="s">
        <v>86</v>
      </c>
      <c r="B73" s="223" t="s">
        <v>751</v>
      </c>
      <c r="C73" s="258">
        <v>132</v>
      </c>
      <c r="D73" s="2">
        <v>88936</v>
      </c>
      <c r="E73" s="279"/>
      <c r="F73" s="2" t="s">
        <v>1310</v>
      </c>
      <c r="G73" s="2" t="s">
        <v>885</v>
      </c>
    </row>
    <row r="74" spans="1:7" ht="18.75" x14ac:dyDescent="0.25">
      <c r="A74" s="60" t="s">
        <v>86</v>
      </c>
      <c r="B74" s="223" t="s">
        <v>87</v>
      </c>
      <c r="C74" s="258">
        <v>39742</v>
      </c>
      <c r="D74" s="2">
        <v>6245906</v>
      </c>
      <c r="E74" s="279"/>
      <c r="F74" s="2" t="s">
        <v>88</v>
      </c>
      <c r="G74" s="2" t="s">
        <v>89</v>
      </c>
    </row>
    <row r="75" spans="1:7" ht="18.75" x14ac:dyDescent="0.25">
      <c r="A75" s="60" t="s">
        <v>90</v>
      </c>
      <c r="B75" s="277" t="s">
        <v>1331</v>
      </c>
      <c r="C75" s="258">
        <v>39196</v>
      </c>
      <c r="D75" s="2">
        <v>210548</v>
      </c>
      <c r="E75" s="279"/>
      <c r="F75" s="2" t="s">
        <v>91</v>
      </c>
      <c r="G75" s="2" t="s">
        <v>92</v>
      </c>
    </row>
    <row r="76" spans="1:7" ht="18.75" x14ac:dyDescent="0.25">
      <c r="A76" s="60" t="s">
        <v>90</v>
      </c>
      <c r="B76" s="223" t="s">
        <v>1228</v>
      </c>
      <c r="C76" s="258">
        <v>39054</v>
      </c>
      <c r="D76" s="2">
        <v>2965</v>
      </c>
      <c r="E76" s="279"/>
      <c r="F76" s="2" t="s">
        <v>102</v>
      </c>
      <c r="G76" s="2" t="s">
        <v>1013</v>
      </c>
    </row>
    <row r="77" spans="1:7" ht="18.75" x14ac:dyDescent="0.25">
      <c r="A77" s="60" t="s">
        <v>90</v>
      </c>
      <c r="B77" s="223" t="s">
        <v>1229</v>
      </c>
      <c r="C77" s="258">
        <v>39057</v>
      </c>
      <c r="D77" s="2">
        <v>1306</v>
      </c>
      <c r="E77" s="279"/>
      <c r="F77" s="2" t="s">
        <v>105</v>
      </c>
      <c r="G77" s="2" t="s">
        <v>1017</v>
      </c>
    </row>
    <row r="78" spans="1:7" ht="18.75" x14ac:dyDescent="0.25">
      <c r="A78" s="60" t="s">
        <v>90</v>
      </c>
      <c r="B78" s="223" t="s">
        <v>1230</v>
      </c>
      <c r="C78" s="258">
        <v>39715</v>
      </c>
      <c r="D78" s="265">
        <v>694</v>
      </c>
      <c r="E78" s="279"/>
      <c r="F78" s="2" t="s">
        <v>98</v>
      </c>
      <c r="G78" s="2" t="s">
        <v>1015</v>
      </c>
    </row>
    <row r="79" spans="1:7" ht="18.75" x14ac:dyDescent="0.25">
      <c r="A79" s="60" t="s">
        <v>90</v>
      </c>
      <c r="B79" s="223" t="s">
        <v>1231</v>
      </c>
      <c r="C79" s="258">
        <v>140</v>
      </c>
      <c r="D79" s="2">
        <v>130</v>
      </c>
      <c r="E79" s="279"/>
      <c r="F79" s="2" t="s">
        <v>890</v>
      </c>
      <c r="G79" s="2" t="s">
        <v>986</v>
      </c>
    </row>
    <row r="80" spans="1:7" ht="18.75" x14ac:dyDescent="0.25">
      <c r="A80" s="60" t="s">
        <v>90</v>
      </c>
      <c r="B80" s="223" t="s">
        <v>1232</v>
      </c>
      <c r="C80" s="258">
        <v>39245</v>
      </c>
      <c r="D80" s="265">
        <v>31626</v>
      </c>
      <c r="E80" s="279"/>
      <c r="F80" s="2" t="s">
        <v>98</v>
      </c>
      <c r="G80" s="2" t="s">
        <v>1018</v>
      </c>
    </row>
    <row r="81" spans="1:7" ht="18.75" x14ac:dyDescent="0.25">
      <c r="A81" s="60" t="s">
        <v>90</v>
      </c>
      <c r="B81" s="223" t="s">
        <v>1233</v>
      </c>
      <c r="C81" s="258">
        <v>39695</v>
      </c>
      <c r="D81" s="2">
        <v>40352</v>
      </c>
      <c r="E81" s="279"/>
      <c r="F81" s="2" t="s">
        <v>94</v>
      </c>
      <c r="G81" s="2" t="s">
        <v>1019</v>
      </c>
    </row>
    <row r="82" spans="1:7" ht="18.75" x14ac:dyDescent="0.25">
      <c r="A82" s="60" t="s">
        <v>90</v>
      </c>
      <c r="B82" s="223" t="s">
        <v>1238</v>
      </c>
      <c r="C82" s="258">
        <v>140</v>
      </c>
      <c r="D82" s="2">
        <v>5741</v>
      </c>
      <c r="E82" s="279"/>
      <c r="F82" s="2" t="s">
        <v>691</v>
      </c>
      <c r="G82" s="2" t="s">
        <v>992</v>
      </c>
    </row>
    <row r="83" spans="1:7" ht="18.75" x14ac:dyDescent="0.25">
      <c r="A83" s="60" t="s">
        <v>90</v>
      </c>
      <c r="B83" s="223" t="s">
        <v>1234</v>
      </c>
      <c r="C83" s="258">
        <v>131</v>
      </c>
      <c r="D83" s="2">
        <v>119356</v>
      </c>
      <c r="E83" s="279"/>
      <c r="F83" s="2" t="s">
        <v>1045</v>
      </c>
      <c r="G83" s="2" t="s">
        <v>988</v>
      </c>
    </row>
    <row r="84" spans="1:7" ht="18.75" x14ac:dyDescent="0.25">
      <c r="A84" s="60" t="s">
        <v>90</v>
      </c>
      <c r="B84" s="223" t="s">
        <v>1235</v>
      </c>
      <c r="C84" s="258">
        <v>39022</v>
      </c>
      <c r="D84" s="2">
        <v>5352</v>
      </c>
      <c r="E84" s="279"/>
      <c r="F84" s="2" t="s">
        <v>97</v>
      </c>
      <c r="G84" s="2" t="s">
        <v>1020</v>
      </c>
    </row>
    <row r="85" spans="1:7" ht="18.75" x14ac:dyDescent="0.25">
      <c r="A85" s="60" t="s">
        <v>90</v>
      </c>
      <c r="B85" s="223" t="s">
        <v>1226</v>
      </c>
      <c r="C85" s="258">
        <v>39650</v>
      </c>
      <c r="D85" s="313">
        <v>168752</v>
      </c>
      <c r="E85" s="279"/>
      <c r="F85" s="274" t="s">
        <v>100</v>
      </c>
      <c r="G85" s="2" t="s">
        <v>1012</v>
      </c>
    </row>
    <row r="86" spans="1:7" ht="18.75" x14ac:dyDescent="0.25">
      <c r="A86" s="60" t="s">
        <v>90</v>
      </c>
      <c r="B86" s="223" t="s">
        <v>1227</v>
      </c>
      <c r="C86" s="258">
        <v>39044</v>
      </c>
      <c r="D86" s="2">
        <v>34158</v>
      </c>
      <c r="E86" s="279"/>
      <c r="F86" s="2" t="s">
        <v>689</v>
      </c>
      <c r="G86" s="2" t="s">
        <v>1016</v>
      </c>
    </row>
    <row r="87" spans="1:7" ht="18.75" x14ac:dyDescent="0.25">
      <c r="A87" s="60" t="s">
        <v>90</v>
      </c>
      <c r="B87" s="223" t="s">
        <v>1225</v>
      </c>
      <c r="C87" s="258">
        <v>39338</v>
      </c>
      <c r="D87" s="2">
        <v>7223</v>
      </c>
      <c r="E87" s="279"/>
      <c r="F87" s="2" t="s">
        <v>103</v>
      </c>
      <c r="G87" s="2" t="s">
        <v>1014</v>
      </c>
    </row>
    <row r="88" spans="1:7" ht="18.75" x14ac:dyDescent="0.25">
      <c r="A88" s="60" t="s">
        <v>106</v>
      </c>
      <c r="B88" s="223" t="s">
        <v>107</v>
      </c>
      <c r="C88" s="258">
        <v>39754</v>
      </c>
      <c r="D88" s="2">
        <v>78519</v>
      </c>
      <c r="E88" s="279"/>
      <c r="F88" s="274" t="s">
        <v>108</v>
      </c>
      <c r="G88" s="2" t="s">
        <v>990</v>
      </c>
    </row>
    <row r="89" spans="1:7" ht="18.75" x14ac:dyDescent="0.25">
      <c r="A89" s="60" t="s">
        <v>106</v>
      </c>
      <c r="B89" s="223" t="s">
        <v>115</v>
      </c>
      <c r="C89" s="258">
        <v>39021</v>
      </c>
      <c r="D89" s="2">
        <v>56894</v>
      </c>
      <c r="E89" s="279"/>
      <c r="F89" s="2" t="s">
        <v>97</v>
      </c>
      <c r="G89" s="2" t="s">
        <v>991</v>
      </c>
    </row>
    <row r="90" spans="1:7" ht="18.75" x14ac:dyDescent="0.25">
      <c r="A90" s="60" t="s">
        <v>106</v>
      </c>
      <c r="B90" s="223" t="s">
        <v>116</v>
      </c>
      <c r="C90" s="258">
        <v>132</v>
      </c>
      <c r="D90" s="2">
        <v>208241</v>
      </c>
      <c r="E90" s="279"/>
      <c r="F90" s="2" t="s">
        <v>879</v>
      </c>
      <c r="G90" s="2" t="s">
        <v>984</v>
      </c>
    </row>
    <row r="91" spans="1:7" ht="18.75" x14ac:dyDescent="0.25">
      <c r="A91" s="60" t="s">
        <v>106</v>
      </c>
      <c r="B91" s="223" t="s">
        <v>113</v>
      </c>
      <c r="C91" s="258">
        <v>39637</v>
      </c>
      <c r="D91" s="265">
        <v>48133</v>
      </c>
      <c r="E91" s="279"/>
      <c r="F91" s="2" t="s">
        <v>114</v>
      </c>
      <c r="G91" s="2" t="s">
        <v>985</v>
      </c>
    </row>
    <row r="92" spans="1:7" ht="18.75" x14ac:dyDescent="0.25">
      <c r="A92" s="60" t="s">
        <v>106</v>
      </c>
      <c r="B92" s="223" t="s">
        <v>111</v>
      </c>
      <c r="C92" s="258">
        <v>39774</v>
      </c>
      <c r="D92" s="2">
        <v>30639</v>
      </c>
      <c r="E92" s="279"/>
      <c r="F92" s="2" t="s">
        <v>112</v>
      </c>
      <c r="G92" s="2" t="s">
        <v>982</v>
      </c>
    </row>
    <row r="93" spans="1:7" ht="18.75" x14ac:dyDescent="0.25">
      <c r="A93" s="60" t="s">
        <v>106</v>
      </c>
      <c r="B93" s="223" t="s">
        <v>1311</v>
      </c>
      <c r="C93" s="258">
        <v>141</v>
      </c>
      <c r="D93" s="2">
        <v>8958</v>
      </c>
      <c r="E93" s="279"/>
      <c r="F93" s="2" t="s">
        <v>809</v>
      </c>
      <c r="G93" s="2" t="s">
        <v>810</v>
      </c>
    </row>
    <row r="94" spans="1:7" ht="18.75" x14ac:dyDescent="0.25">
      <c r="A94" s="60" t="s">
        <v>971</v>
      </c>
      <c r="B94" s="223" t="s">
        <v>1303</v>
      </c>
      <c r="C94" s="258">
        <v>140</v>
      </c>
      <c r="D94" s="2">
        <v>504907</v>
      </c>
      <c r="E94" s="279"/>
      <c r="F94" s="2" t="s">
        <v>972</v>
      </c>
      <c r="G94" s="2" t="s">
        <v>63</v>
      </c>
    </row>
    <row r="95" spans="1:7" ht="18.75" x14ac:dyDescent="0.25">
      <c r="A95" s="60" t="s">
        <v>121</v>
      </c>
      <c r="B95" s="223" t="s">
        <v>1330</v>
      </c>
      <c r="C95" s="258">
        <v>39323</v>
      </c>
      <c r="D95" s="274">
        <v>159195</v>
      </c>
      <c r="E95" s="279"/>
      <c r="F95" s="2" t="s">
        <v>123</v>
      </c>
      <c r="G95" s="2" t="s">
        <v>135</v>
      </c>
    </row>
    <row r="96" spans="1:7" ht="18.75" x14ac:dyDescent="0.25">
      <c r="A96" s="60" t="s">
        <v>121</v>
      </c>
      <c r="B96" s="277" t="s">
        <v>131</v>
      </c>
      <c r="C96" s="258">
        <v>39383</v>
      </c>
      <c r="D96" s="274">
        <v>77251</v>
      </c>
      <c r="E96" s="279"/>
      <c r="F96" s="2" t="s">
        <v>132</v>
      </c>
      <c r="G96" s="2" t="s">
        <v>133</v>
      </c>
    </row>
    <row r="97" spans="1:7" ht="18.75" x14ac:dyDescent="0.25">
      <c r="A97" s="60" t="s">
        <v>121</v>
      </c>
      <c r="B97" s="223" t="s">
        <v>127</v>
      </c>
      <c r="C97" s="258">
        <v>39151</v>
      </c>
      <c r="D97" s="2">
        <v>180394</v>
      </c>
      <c r="E97" s="279"/>
      <c r="F97" s="2" t="s">
        <v>128</v>
      </c>
      <c r="G97" s="2" t="s">
        <v>993</v>
      </c>
    </row>
    <row r="98" spans="1:7" ht="18.75" x14ac:dyDescent="0.25">
      <c r="A98" s="60" t="s">
        <v>121</v>
      </c>
      <c r="B98" s="223" t="s">
        <v>122</v>
      </c>
      <c r="C98" s="258">
        <v>39150</v>
      </c>
      <c r="D98" s="2">
        <v>901437</v>
      </c>
      <c r="E98" s="279"/>
      <c r="F98" s="2" t="s">
        <v>123</v>
      </c>
      <c r="G98" s="2" t="s">
        <v>995</v>
      </c>
    </row>
    <row r="99" spans="1:7" ht="18.75" x14ac:dyDescent="0.25">
      <c r="A99" s="60" t="s">
        <v>121</v>
      </c>
      <c r="B99" s="223" t="s">
        <v>125</v>
      </c>
      <c r="C99" s="258">
        <v>150</v>
      </c>
      <c r="D99" s="2">
        <v>378433</v>
      </c>
      <c r="E99" s="279"/>
      <c r="F99" s="2" t="s">
        <v>21</v>
      </c>
      <c r="G99" s="2" t="s">
        <v>994</v>
      </c>
    </row>
    <row r="100" spans="1:7" ht="18.75" x14ac:dyDescent="0.25">
      <c r="A100" s="60" t="s">
        <v>121</v>
      </c>
      <c r="B100" s="223" t="s">
        <v>129</v>
      </c>
      <c r="C100" s="258">
        <v>122</v>
      </c>
      <c r="D100" s="2">
        <v>608910</v>
      </c>
      <c r="E100" s="279"/>
      <c r="F100" s="2" t="s">
        <v>130</v>
      </c>
      <c r="G100" s="2" t="s">
        <v>38</v>
      </c>
    </row>
    <row r="101" spans="1:7" ht="18.75" x14ac:dyDescent="0.25">
      <c r="A101" s="60" t="s">
        <v>121</v>
      </c>
      <c r="B101" s="223" t="s">
        <v>752</v>
      </c>
      <c r="C101" s="258">
        <v>1</v>
      </c>
      <c r="D101" s="2">
        <v>1853634</v>
      </c>
      <c r="E101" s="279"/>
      <c r="F101" s="2" t="s">
        <v>753</v>
      </c>
      <c r="G101" s="2" t="s">
        <v>63</v>
      </c>
    </row>
    <row r="102" spans="1:7" ht="18.75" x14ac:dyDescent="0.25">
      <c r="A102" s="60" t="s">
        <v>136</v>
      </c>
      <c r="B102" s="223" t="s">
        <v>1439</v>
      </c>
      <c r="C102" s="258">
        <v>39411</v>
      </c>
      <c r="D102" s="2">
        <v>22</v>
      </c>
      <c r="E102" s="279"/>
      <c r="F102" s="2" t="s">
        <v>1182</v>
      </c>
      <c r="G102" s="2" t="s">
        <v>725</v>
      </c>
    </row>
    <row r="103" spans="1:7" ht="18.75" x14ac:dyDescent="0.25">
      <c r="A103" s="60" t="s">
        <v>136</v>
      </c>
      <c r="B103" s="223" t="s">
        <v>1329</v>
      </c>
      <c r="C103" s="258">
        <v>39525</v>
      </c>
      <c r="D103" s="2">
        <v>145668</v>
      </c>
      <c r="E103" s="279"/>
      <c r="F103" s="2" t="s">
        <v>744</v>
      </c>
      <c r="G103" s="2"/>
    </row>
    <row r="104" spans="1:7" ht="18.75" x14ac:dyDescent="0.25">
      <c r="A104" s="60" t="s">
        <v>136</v>
      </c>
      <c r="B104" s="223" t="s">
        <v>1237</v>
      </c>
      <c r="C104" s="258">
        <v>132</v>
      </c>
      <c r="D104" s="274">
        <v>566119</v>
      </c>
      <c r="E104" s="279"/>
      <c r="F104" s="274" t="s">
        <v>880</v>
      </c>
      <c r="G104" s="2" t="s">
        <v>728</v>
      </c>
    </row>
    <row r="105" spans="1:7" ht="18.75" x14ac:dyDescent="0.25">
      <c r="A105" s="60" t="s">
        <v>136</v>
      </c>
      <c r="B105" s="223" t="s">
        <v>142</v>
      </c>
      <c r="C105" s="258">
        <v>150</v>
      </c>
      <c r="D105" s="2">
        <v>10916</v>
      </c>
      <c r="E105" s="279"/>
      <c r="F105" s="2" t="s">
        <v>21</v>
      </c>
      <c r="G105" s="2" t="s">
        <v>725</v>
      </c>
    </row>
    <row r="106" spans="1:7" ht="18.75" x14ac:dyDescent="0.25">
      <c r="A106" s="60" t="s">
        <v>136</v>
      </c>
      <c r="B106" s="223" t="s">
        <v>141</v>
      </c>
      <c r="C106" s="258">
        <v>39577</v>
      </c>
      <c r="D106" s="2">
        <v>17068</v>
      </c>
      <c r="E106" s="279"/>
      <c r="F106" s="2" t="s">
        <v>1182</v>
      </c>
      <c r="G106" s="2" t="s">
        <v>725</v>
      </c>
    </row>
    <row r="107" spans="1:7" ht="18.75" x14ac:dyDescent="0.25">
      <c r="A107" s="60" t="s">
        <v>136</v>
      </c>
      <c r="B107" s="223" t="s">
        <v>139</v>
      </c>
      <c r="C107" s="258">
        <v>39185</v>
      </c>
      <c r="D107" s="2">
        <v>106833</v>
      </c>
      <c r="E107" s="279"/>
      <c r="F107" s="2" t="s">
        <v>440</v>
      </c>
      <c r="G107" s="2" t="s">
        <v>124</v>
      </c>
    </row>
    <row r="108" spans="1:7" ht="18.75" x14ac:dyDescent="0.25">
      <c r="A108" s="60" t="s">
        <v>136</v>
      </c>
      <c r="B108" s="223" t="s">
        <v>754</v>
      </c>
      <c r="C108" s="258">
        <v>1</v>
      </c>
      <c r="D108" s="2">
        <v>2285614</v>
      </c>
      <c r="E108" s="279"/>
      <c r="F108" s="2" t="s">
        <v>901</v>
      </c>
      <c r="G108" s="2" t="s">
        <v>63</v>
      </c>
    </row>
    <row r="109" spans="1:7" ht="18.75" x14ac:dyDescent="0.25">
      <c r="A109" s="60" t="s">
        <v>136</v>
      </c>
      <c r="B109" s="223" t="s">
        <v>693</v>
      </c>
      <c r="C109" s="258">
        <v>39574</v>
      </c>
      <c r="D109" s="2">
        <v>1877</v>
      </c>
      <c r="E109" s="279"/>
      <c r="F109" s="2" t="s">
        <v>440</v>
      </c>
      <c r="G109" s="2" t="s">
        <v>727</v>
      </c>
    </row>
    <row r="110" spans="1:7" ht="18.75" x14ac:dyDescent="0.25">
      <c r="A110" s="60" t="s">
        <v>136</v>
      </c>
      <c r="B110" s="223" t="s">
        <v>695</v>
      </c>
      <c r="C110" s="258">
        <v>39290</v>
      </c>
      <c r="D110" s="265">
        <v>9610</v>
      </c>
      <c r="E110" s="279"/>
      <c r="F110" s="2" t="s">
        <v>440</v>
      </c>
      <c r="G110" s="2" t="s">
        <v>727</v>
      </c>
    </row>
    <row r="111" spans="1:7" ht="18.75" x14ac:dyDescent="0.25">
      <c r="A111" s="60" t="s">
        <v>143</v>
      </c>
      <c r="B111" s="223" t="s">
        <v>1262</v>
      </c>
      <c r="C111" s="258">
        <v>39011</v>
      </c>
      <c r="D111" s="2">
        <v>6232</v>
      </c>
      <c r="E111" s="279"/>
      <c r="F111" s="2" t="s">
        <v>443</v>
      </c>
      <c r="G111" s="2" t="s">
        <v>38</v>
      </c>
    </row>
    <row r="112" spans="1:7" ht="18.75" x14ac:dyDescent="0.25">
      <c r="A112" s="60" t="s">
        <v>143</v>
      </c>
      <c r="B112" s="223" t="s">
        <v>1339</v>
      </c>
      <c r="C112" s="258">
        <v>39645</v>
      </c>
      <c r="D112" s="2">
        <v>74850</v>
      </c>
      <c r="E112" s="279"/>
      <c r="F112" s="2" t="s">
        <v>1351</v>
      </c>
      <c r="G112" s="2" t="s">
        <v>1376</v>
      </c>
    </row>
    <row r="113" spans="1:7" ht="18.75" x14ac:dyDescent="0.25">
      <c r="A113" s="60" t="s">
        <v>143</v>
      </c>
      <c r="B113" s="223" t="s">
        <v>1342</v>
      </c>
      <c r="C113" s="258">
        <v>132</v>
      </c>
      <c r="D113" s="2">
        <v>12284</v>
      </c>
      <c r="E113" s="279"/>
      <c r="F113" s="2" t="s">
        <v>1463</v>
      </c>
      <c r="G113" s="2" t="s">
        <v>1376</v>
      </c>
    </row>
    <row r="114" spans="1:7" ht="18.75" x14ac:dyDescent="0.25">
      <c r="A114" s="60" t="s">
        <v>143</v>
      </c>
      <c r="B114" s="223" t="s">
        <v>1253</v>
      </c>
      <c r="C114" s="258">
        <v>141</v>
      </c>
      <c r="D114" s="2">
        <v>10381</v>
      </c>
      <c r="E114" s="279"/>
      <c r="F114" s="2" t="s">
        <v>803</v>
      </c>
      <c r="G114" s="2" t="s">
        <v>804</v>
      </c>
    </row>
    <row r="115" spans="1:7" ht="18.75" x14ac:dyDescent="0.25">
      <c r="A115" s="60" t="s">
        <v>148</v>
      </c>
      <c r="B115" s="223" t="s">
        <v>1343</v>
      </c>
      <c r="C115" s="258">
        <v>132</v>
      </c>
      <c r="D115" s="2">
        <v>10582</v>
      </c>
      <c r="E115" s="279"/>
      <c r="F115" s="2" t="s">
        <v>1463</v>
      </c>
      <c r="G115" s="2" t="s">
        <v>1376</v>
      </c>
    </row>
    <row r="116" spans="1:7" ht="18.75" x14ac:dyDescent="0.25">
      <c r="A116" s="60" t="s">
        <v>148</v>
      </c>
      <c r="B116" s="223" t="s">
        <v>1340</v>
      </c>
      <c r="C116" s="258">
        <v>39666</v>
      </c>
      <c r="D116" s="2">
        <v>74036</v>
      </c>
      <c r="E116" s="279"/>
      <c r="F116" s="2" t="s">
        <v>1351</v>
      </c>
      <c r="G116" s="2" t="s">
        <v>1376</v>
      </c>
    </row>
    <row r="117" spans="1:7" ht="18.75" x14ac:dyDescent="0.25">
      <c r="A117" s="60" t="s">
        <v>148</v>
      </c>
      <c r="B117" s="223" t="s">
        <v>1433</v>
      </c>
      <c r="C117" s="258">
        <v>39664</v>
      </c>
      <c r="D117" s="2">
        <v>4064</v>
      </c>
      <c r="E117" s="279"/>
      <c r="F117" s="2" t="s">
        <v>146</v>
      </c>
      <c r="G117" s="2" t="s">
        <v>1438</v>
      </c>
    </row>
    <row r="118" spans="1:7" ht="18.75" x14ac:dyDescent="0.25">
      <c r="A118" s="60" t="s">
        <v>152</v>
      </c>
      <c r="B118" s="223" t="s">
        <v>154</v>
      </c>
      <c r="C118" s="258">
        <v>140</v>
      </c>
      <c r="D118" s="2">
        <v>6834</v>
      </c>
      <c r="E118" s="279"/>
      <c r="F118" s="2" t="s">
        <v>155</v>
      </c>
      <c r="G118" s="2" t="s">
        <v>1013</v>
      </c>
    </row>
    <row r="119" spans="1:7" ht="18.75" x14ac:dyDescent="0.25">
      <c r="A119" s="60" t="s">
        <v>152</v>
      </c>
      <c r="B119" s="223" t="s">
        <v>158</v>
      </c>
      <c r="C119" s="258">
        <v>140</v>
      </c>
      <c r="D119" s="2">
        <v>23691</v>
      </c>
      <c r="E119" s="279"/>
      <c r="F119" s="2" t="s">
        <v>747</v>
      </c>
      <c r="G119" s="2" t="s">
        <v>1015</v>
      </c>
    </row>
    <row r="120" spans="1:7" ht="18.75" x14ac:dyDescent="0.25">
      <c r="A120" s="60" t="s">
        <v>152</v>
      </c>
      <c r="B120" s="223" t="s">
        <v>166</v>
      </c>
      <c r="C120" s="258">
        <v>39725</v>
      </c>
      <c r="D120" s="2">
        <v>432139</v>
      </c>
      <c r="E120" s="279"/>
      <c r="F120" s="2" t="s">
        <v>167</v>
      </c>
      <c r="G120" s="2" t="s">
        <v>1043</v>
      </c>
    </row>
    <row r="121" spans="1:7" ht="18.75" x14ac:dyDescent="0.25">
      <c r="A121" s="60" t="s">
        <v>152</v>
      </c>
      <c r="B121" s="223" t="s">
        <v>156</v>
      </c>
      <c r="C121" s="258">
        <v>140</v>
      </c>
      <c r="D121" s="2">
        <v>3286</v>
      </c>
      <c r="E121" s="279"/>
      <c r="F121" s="2" t="s">
        <v>157</v>
      </c>
      <c r="G121" s="2" t="s">
        <v>1014</v>
      </c>
    </row>
    <row r="122" spans="1:7" ht="18.75" x14ac:dyDescent="0.25">
      <c r="A122" s="60" t="s">
        <v>152</v>
      </c>
      <c r="B122" s="223" t="s">
        <v>1206</v>
      </c>
      <c r="C122" s="258">
        <v>39194</v>
      </c>
      <c r="D122" s="2">
        <v>493</v>
      </c>
      <c r="E122" s="279"/>
      <c r="F122" s="2" t="s">
        <v>851</v>
      </c>
      <c r="G122" s="2" t="s">
        <v>992</v>
      </c>
    </row>
    <row r="123" spans="1:7" ht="18.75" x14ac:dyDescent="0.25">
      <c r="A123" s="60" t="s">
        <v>152</v>
      </c>
      <c r="B123" s="223" t="s">
        <v>1207</v>
      </c>
      <c r="C123" s="258">
        <v>39757</v>
      </c>
      <c r="D123" s="265">
        <v>137374</v>
      </c>
      <c r="E123" s="279"/>
      <c r="F123" s="2" t="s">
        <v>175</v>
      </c>
      <c r="G123" s="2" t="s">
        <v>986</v>
      </c>
    </row>
    <row r="124" spans="1:7" ht="18.75" x14ac:dyDescent="0.25">
      <c r="A124" s="60" t="s">
        <v>152</v>
      </c>
      <c r="B124" s="223" t="s">
        <v>164</v>
      </c>
      <c r="C124" s="258">
        <v>39657</v>
      </c>
      <c r="D124" s="2">
        <v>31990</v>
      </c>
      <c r="E124" s="279"/>
      <c r="F124" s="2" t="s">
        <v>165</v>
      </c>
      <c r="G124" s="2" t="s">
        <v>1044</v>
      </c>
    </row>
    <row r="125" spans="1:7" ht="18.75" x14ac:dyDescent="0.25">
      <c r="A125" s="60" t="s">
        <v>152</v>
      </c>
      <c r="B125" s="223" t="s">
        <v>161</v>
      </c>
      <c r="C125" s="258">
        <v>131</v>
      </c>
      <c r="D125" s="2">
        <v>156393</v>
      </c>
      <c r="E125" s="279"/>
      <c r="F125" s="2" t="s">
        <v>455</v>
      </c>
      <c r="G125" s="2" t="s">
        <v>1017</v>
      </c>
    </row>
    <row r="126" spans="1:7" ht="18.75" x14ac:dyDescent="0.25">
      <c r="A126" s="60" t="s">
        <v>152</v>
      </c>
      <c r="B126" s="223" t="s">
        <v>159</v>
      </c>
      <c r="C126" s="258">
        <v>132</v>
      </c>
      <c r="D126" s="2">
        <v>89067</v>
      </c>
      <c r="E126" s="279"/>
      <c r="F126" s="274" t="s">
        <v>160</v>
      </c>
      <c r="G126" s="2" t="s">
        <v>1016</v>
      </c>
    </row>
    <row r="127" spans="1:7" ht="18.75" x14ac:dyDescent="0.25">
      <c r="A127" s="60" t="s">
        <v>152</v>
      </c>
      <c r="B127" s="223" t="s">
        <v>429</v>
      </c>
      <c r="C127" s="258">
        <v>39259</v>
      </c>
      <c r="D127" s="2">
        <v>293526</v>
      </c>
      <c r="E127" s="279"/>
      <c r="F127" s="2" t="s">
        <v>23</v>
      </c>
      <c r="G127" s="2" t="s">
        <v>1012</v>
      </c>
    </row>
    <row r="128" spans="1:7" ht="18.75" x14ac:dyDescent="0.25">
      <c r="A128" s="60" t="s">
        <v>152</v>
      </c>
      <c r="B128" s="223" t="s">
        <v>163</v>
      </c>
      <c r="C128" s="258">
        <v>142</v>
      </c>
      <c r="D128" s="274">
        <v>36491</v>
      </c>
      <c r="E128" s="279"/>
      <c r="F128" s="2" t="s">
        <v>892</v>
      </c>
      <c r="G128" s="2" t="s">
        <v>1018</v>
      </c>
    </row>
    <row r="129" spans="1:7" ht="18.75" x14ac:dyDescent="0.25">
      <c r="A129" s="60" t="s">
        <v>176</v>
      </c>
      <c r="B129" s="223" t="s">
        <v>179</v>
      </c>
      <c r="C129" s="258">
        <v>39246</v>
      </c>
      <c r="D129" s="2">
        <v>834574</v>
      </c>
      <c r="E129" s="279"/>
      <c r="F129" s="2" t="s">
        <v>180</v>
      </c>
      <c r="G129" s="2" t="s">
        <v>101</v>
      </c>
    </row>
    <row r="130" spans="1:7" ht="18.75" x14ac:dyDescent="0.25">
      <c r="A130" s="60" t="s">
        <v>176</v>
      </c>
      <c r="B130" s="223" t="s">
        <v>181</v>
      </c>
      <c r="C130" s="258">
        <v>140</v>
      </c>
      <c r="D130" s="2">
        <v>242226</v>
      </c>
      <c r="E130" s="279"/>
      <c r="F130" s="2" t="s">
        <v>759</v>
      </c>
      <c r="G130" s="2" t="s">
        <v>182</v>
      </c>
    </row>
    <row r="131" spans="1:7" ht="18.75" x14ac:dyDescent="0.25">
      <c r="A131" s="60" t="s">
        <v>176</v>
      </c>
      <c r="B131" s="223" t="s">
        <v>177</v>
      </c>
      <c r="C131" s="258">
        <v>39497</v>
      </c>
      <c r="D131" s="2">
        <v>3757779</v>
      </c>
      <c r="E131" s="279"/>
      <c r="F131" s="2" t="s">
        <v>178</v>
      </c>
      <c r="G131" s="2" t="s">
        <v>101</v>
      </c>
    </row>
    <row r="132" spans="1:7" ht="18.75" x14ac:dyDescent="0.25">
      <c r="A132" s="60" t="s">
        <v>176</v>
      </c>
      <c r="B132" s="223" t="s">
        <v>1239</v>
      </c>
      <c r="C132" s="258">
        <v>131</v>
      </c>
      <c r="D132" s="2">
        <v>251773</v>
      </c>
      <c r="E132" s="279"/>
      <c r="F132" s="2" t="s">
        <v>455</v>
      </c>
      <c r="G132" s="2" t="s">
        <v>447</v>
      </c>
    </row>
    <row r="133" spans="1:7" ht="18.75" x14ac:dyDescent="0.25">
      <c r="A133" s="60" t="s">
        <v>183</v>
      </c>
      <c r="B133" s="223" t="s">
        <v>184</v>
      </c>
      <c r="C133" s="258">
        <v>39787</v>
      </c>
      <c r="D133" s="2">
        <v>160265</v>
      </c>
      <c r="E133" s="279"/>
      <c r="F133" s="2" t="s">
        <v>185</v>
      </c>
      <c r="G133" s="2" t="s">
        <v>186</v>
      </c>
    </row>
    <row r="134" spans="1:7" ht="18.75" x14ac:dyDescent="0.25">
      <c r="A134" s="60" t="s">
        <v>183</v>
      </c>
      <c r="B134" s="223" t="s">
        <v>188</v>
      </c>
      <c r="C134" s="258">
        <v>39051</v>
      </c>
      <c r="D134" s="2">
        <v>31335</v>
      </c>
      <c r="E134" s="279"/>
      <c r="F134" s="2" t="s">
        <v>189</v>
      </c>
      <c r="G134" s="2" t="s">
        <v>101</v>
      </c>
    </row>
    <row r="135" spans="1:7" ht="18.75" x14ac:dyDescent="0.25">
      <c r="A135" s="60" t="s">
        <v>183</v>
      </c>
      <c r="B135" s="223" t="s">
        <v>187</v>
      </c>
      <c r="C135" s="258">
        <v>150</v>
      </c>
      <c r="D135" s="2">
        <v>5060211</v>
      </c>
      <c r="E135" s="279"/>
      <c r="F135" s="2" t="s">
        <v>897</v>
      </c>
      <c r="G135" s="2" t="s">
        <v>101</v>
      </c>
    </row>
    <row r="136" spans="1:7" ht="18.75" x14ac:dyDescent="0.25">
      <c r="A136" s="60" t="s">
        <v>183</v>
      </c>
      <c r="B136" s="223" t="s">
        <v>1317</v>
      </c>
      <c r="C136" s="258">
        <v>131</v>
      </c>
      <c r="D136" s="2">
        <v>738814</v>
      </c>
      <c r="E136" s="279"/>
      <c r="F136" s="2" t="s">
        <v>455</v>
      </c>
      <c r="G136" s="2" t="s">
        <v>447</v>
      </c>
    </row>
    <row r="137" spans="1:7" ht="18.75" x14ac:dyDescent="0.25">
      <c r="A137" s="60" t="s">
        <v>183</v>
      </c>
      <c r="B137" s="223" t="s">
        <v>1320</v>
      </c>
      <c r="C137" s="258">
        <v>142</v>
      </c>
      <c r="D137" s="2">
        <v>42330</v>
      </c>
      <c r="E137" s="279"/>
      <c r="F137" s="2" t="s">
        <v>823</v>
      </c>
      <c r="G137" s="2" t="s">
        <v>864</v>
      </c>
    </row>
    <row r="138" spans="1:7" ht="18.75" x14ac:dyDescent="0.25">
      <c r="A138" s="60" t="s">
        <v>190</v>
      </c>
      <c r="B138" s="223" t="s">
        <v>191</v>
      </c>
      <c r="C138" s="258">
        <v>140</v>
      </c>
      <c r="D138" s="2">
        <v>0</v>
      </c>
      <c r="E138" s="279"/>
      <c r="F138" s="2" t="s">
        <v>1328</v>
      </c>
      <c r="G138" s="2" t="s">
        <v>982</v>
      </c>
    </row>
    <row r="139" spans="1:7" ht="18.75" x14ac:dyDescent="0.25">
      <c r="A139" s="60" t="s">
        <v>190</v>
      </c>
      <c r="B139" s="223" t="s">
        <v>873</v>
      </c>
      <c r="C139" s="258">
        <v>140</v>
      </c>
      <c r="D139" s="274">
        <v>153561</v>
      </c>
      <c r="E139" s="279"/>
      <c r="F139" s="2" t="s">
        <v>874</v>
      </c>
      <c r="G139" s="2" t="s">
        <v>985</v>
      </c>
    </row>
    <row r="140" spans="1:7" ht="18.75" x14ac:dyDescent="0.25">
      <c r="A140" s="60" t="s">
        <v>190</v>
      </c>
      <c r="B140" s="223" t="s">
        <v>197</v>
      </c>
      <c r="C140" s="258">
        <v>39042</v>
      </c>
      <c r="D140" s="2">
        <v>41000</v>
      </c>
      <c r="E140" s="279"/>
      <c r="F140" s="2" t="s">
        <v>198</v>
      </c>
      <c r="G140" s="2" t="s">
        <v>990</v>
      </c>
    </row>
    <row r="141" spans="1:7" ht="18.75" x14ac:dyDescent="0.25">
      <c r="A141" s="60" t="s">
        <v>190</v>
      </c>
      <c r="B141" s="223" t="s">
        <v>193</v>
      </c>
      <c r="C141" s="258">
        <v>39275</v>
      </c>
      <c r="D141" s="2">
        <v>33005</v>
      </c>
      <c r="E141" s="279"/>
      <c r="F141" s="2" t="s">
        <v>194</v>
      </c>
      <c r="G141" s="2" t="s">
        <v>983</v>
      </c>
    </row>
    <row r="142" spans="1:7" ht="18.75" x14ac:dyDescent="0.25">
      <c r="A142" s="60" t="s">
        <v>190</v>
      </c>
      <c r="B142" s="223" t="s">
        <v>195</v>
      </c>
      <c r="C142" s="258">
        <v>39135</v>
      </c>
      <c r="D142" s="2">
        <v>697401</v>
      </c>
      <c r="E142" s="279"/>
      <c r="F142" s="2" t="s">
        <v>196</v>
      </c>
      <c r="G142" s="2" t="s">
        <v>991</v>
      </c>
    </row>
    <row r="143" spans="1:7" ht="18.75" x14ac:dyDescent="0.25">
      <c r="A143" s="60" t="s">
        <v>190</v>
      </c>
      <c r="B143" s="223" t="s">
        <v>1350</v>
      </c>
      <c r="C143" s="258">
        <v>131</v>
      </c>
      <c r="D143" s="2">
        <v>651166</v>
      </c>
      <c r="E143" s="279"/>
      <c r="F143" s="2" t="s">
        <v>455</v>
      </c>
      <c r="G143" s="2" t="s">
        <v>47</v>
      </c>
    </row>
    <row r="144" spans="1:7" ht="18.75" x14ac:dyDescent="0.25">
      <c r="A144" s="60" t="s">
        <v>200</v>
      </c>
      <c r="B144" s="223" t="s">
        <v>1255</v>
      </c>
      <c r="C144" s="258">
        <v>140</v>
      </c>
      <c r="D144" s="2">
        <v>319861</v>
      </c>
      <c r="E144" s="279"/>
      <c r="F144" s="2" t="s">
        <v>898</v>
      </c>
      <c r="G144" s="2" t="s">
        <v>450</v>
      </c>
    </row>
    <row r="145" spans="1:7" ht="18.75" x14ac:dyDescent="0.25">
      <c r="A145" s="60" t="s">
        <v>200</v>
      </c>
      <c r="B145" s="223" t="s">
        <v>1256</v>
      </c>
      <c r="C145" s="258">
        <v>140</v>
      </c>
      <c r="D145" s="2">
        <v>943205</v>
      </c>
      <c r="E145" s="279"/>
      <c r="F145" s="2" t="s">
        <v>899</v>
      </c>
      <c r="G145" s="2" t="s">
        <v>450</v>
      </c>
    </row>
    <row r="146" spans="1:7" ht="18.75" x14ac:dyDescent="0.25">
      <c r="A146" s="60" t="s">
        <v>200</v>
      </c>
      <c r="B146" s="223" t="s">
        <v>1263</v>
      </c>
      <c r="C146" s="258">
        <v>39783</v>
      </c>
      <c r="D146" s="2">
        <v>146215</v>
      </c>
      <c r="E146" s="279"/>
      <c r="F146" s="2" t="s">
        <v>216</v>
      </c>
      <c r="G146" s="2" t="s">
        <v>217</v>
      </c>
    </row>
    <row r="147" spans="1:7" ht="18.75" x14ac:dyDescent="0.25">
      <c r="A147" s="60" t="s">
        <v>200</v>
      </c>
      <c r="B147" s="223" t="s">
        <v>1447</v>
      </c>
      <c r="C147" s="258">
        <v>39662</v>
      </c>
      <c r="D147" s="2">
        <v>22</v>
      </c>
      <c r="E147" s="279"/>
      <c r="F147" s="2" t="s">
        <v>1448</v>
      </c>
      <c r="G147" s="2" t="s">
        <v>1376</v>
      </c>
    </row>
    <row r="148" spans="1:7" ht="18.75" x14ac:dyDescent="0.25">
      <c r="A148" s="60" t="s">
        <v>200</v>
      </c>
      <c r="B148" s="223" t="s">
        <v>1299</v>
      </c>
      <c r="C148" s="258">
        <v>39372</v>
      </c>
      <c r="D148" s="2">
        <v>8234</v>
      </c>
      <c r="E148" s="279"/>
      <c r="F148" s="2" t="s">
        <v>749</v>
      </c>
      <c r="G148" s="2" t="s">
        <v>985</v>
      </c>
    </row>
    <row r="149" spans="1:7" ht="18.75" x14ac:dyDescent="0.25">
      <c r="A149" s="60" t="s">
        <v>200</v>
      </c>
      <c r="B149" s="223" t="s">
        <v>877</v>
      </c>
      <c r="C149" s="258">
        <v>39477</v>
      </c>
      <c r="D149" s="2">
        <v>26278</v>
      </c>
      <c r="E149" s="279"/>
      <c r="F149" s="2" t="s">
        <v>210</v>
      </c>
      <c r="G149" s="2" t="s">
        <v>982</v>
      </c>
    </row>
    <row r="150" spans="1:7" ht="18.75" x14ac:dyDescent="0.25">
      <c r="A150" s="60" t="s">
        <v>200</v>
      </c>
      <c r="B150" s="223" t="s">
        <v>1092</v>
      </c>
      <c r="C150" s="258">
        <v>39308</v>
      </c>
      <c r="D150" s="2">
        <v>12629</v>
      </c>
      <c r="E150" s="279"/>
      <c r="F150" s="2" t="s">
        <v>110</v>
      </c>
      <c r="G150" s="2" t="s">
        <v>1345</v>
      </c>
    </row>
    <row r="151" spans="1:7" ht="18.75" x14ac:dyDescent="0.25">
      <c r="A151" s="60" t="s">
        <v>200</v>
      </c>
      <c r="B151" s="223" t="s">
        <v>1094</v>
      </c>
      <c r="C151" s="258">
        <v>39587</v>
      </c>
      <c r="D151" s="274">
        <v>19496</v>
      </c>
      <c r="E151" s="279"/>
      <c r="F151" s="2" t="s">
        <v>1093</v>
      </c>
      <c r="G151" s="2" t="s">
        <v>1346</v>
      </c>
    </row>
    <row r="152" spans="1:7" ht="18.75" x14ac:dyDescent="0.25">
      <c r="A152" s="60" t="s">
        <v>200</v>
      </c>
      <c r="B152" s="223" t="s">
        <v>1259</v>
      </c>
      <c r="C152" s="258">
        <v>39313</v>
      </c>
      <c r="D152" s="2">
        <v>12167</v>
      </c>
      <c r="E152" s="279"/>
      <c r="F152" s="2" t="s">
        <v>1260</v>
      </c>
      <c r="G152" s="2" t="s">
        <v>1347</v>
      </c>
    </row>
    <row r="153" spans="1:7" ht="18.75" x14ac:dyDescent="0.25">
      <c r="A153" s="60" t="s">
        <v>200</v>
      </c>
      <c r="B153" s="277" t="s">
        <v>1118</v>
      </c>
      <c r="C153" s="268">
        <v>39578</v>
      </c>
      <c r="D153" s="274">
        <v>7702</v>
      </c>
      <c r="E153" s="279"/>
      <c r="F153" s="2" t="s">
        <v>1117</v>
      </c>
      <c r="G153" s="2" t="s">
        <v>1348</v>
      </c>
    </row>
    <row r="154" spans="1:7" ht="18.75" x14ac:dyDescent="0.25">
      <c r="A154" s="60" t="s">
        <v>200</v>
      </c>
      <c r="B154" s="223" t="s">
        <v>748</v>
      </c>
      <c r="C154" s="258">
        <v>39931</v>
      </c>
      <c r="D154" s="2">
        <v>9072</v>
      </c>
      <c r="E154" s="279"/>
      <c r="F154" s="2" t="s">
        <v>208</v>
      </c>
      <c r="G154" s="2" t="s">
        <v>983</v>
      </c>
    </row>
    <row r="155" spans="1:7" ht="18.75" x14ac:dyDescent="0.25">
      <c r="A155" s="60" t="s">
        <v>200</v>
      </c>
      <c r="B155" s="223" t="s">
        <v>1047</v>
      </c>
      <c r="C155" s="258">
        <v>39581</v>
      </c>
      <c r="D155" s="2">
        <v>84197</v>
      </c>
      <c r="E155" s="279"/>
      <c r="F155" s="2" t="s">
        <v>1359</v>
      </c>
      <c r="G155" s="2" t="s">
        <v>1059</v>
      </c>
    </row>
    <row r="156" spans="1:7" ht="18.75" x14ac:dyDescent="0.25">
      <c r="A156" s="60" t="s">
        <v>200</v>
      </c>
      <c r="B156" s="223" t="s">
        <v>201</v>
      </c>
      <c r="C156" s="258">
        <v>39439</v>
      </c>
      <c r="D156" s="2">
        <v>7150</v>
      </c>
      <c r="E156" s="279"/>
      <c r="F156" s="2" t="s">
        <v>1049</v>
      </c>
      <c r="G156" s="2" t="s">
        <v>202</v>
      </c>
    </row>
    <row r="157" spans="1:7" ht="18.75" x14ac:dyDescent="0.25">
      <c r="A157" s="60" t="s">
        <v>200</v>
      </c>
      <c r="B157" s="223" t="s">
        <v>213</v>
      </c>
      <c r="C157" s="258">
        <v>39793</v>
      </c>
      <c r="D157" s="2">
        <v>69186</v>
      </c>
      <c r="E157" s="279"/>
      <c r="F157" s="274" t="s">
        <v>214</v>
      </c>
      <c r="G157" s="2" t="s">
        <v>215</v>
      </c>
    </row>
    <row r="158" spans="1:7" ht="18.75" x14ac:dyDescent="0.25">
      <c r="A158" s="60" t="s">
        <v>200</v>
      </c>
      <c r="B158" s="223" t="s">
        <v>207</v>
      </c>
      <c r="C158" s="258">
        <v>39238</v>
      </c>
      <c r="D158" s="2">
        <v>167765</v>
      </c>
      <c r="E158" s="279"/>
      <c r="F158" s="2" t="s">
        <v>208</v>
      </c>
      <c r="G158" s="2" t="s">
        <v>991</v>
      </c>
    </row>
    <row r="159" spans="1:7" ht="18.75" x14ac:dyDescent="0.25">
      <c r="A159" s="60" t="s">
        <v>200</v>
      </c>
      <c r="B159" s="223" t="s">
        <v>203</v>
      </c>
      <c r="C159" s="258">
        <v>39340</v>
      </c>
      <c r="D159" s="2">
        <v>895218</v>
      </c>
      <c r="E159" s="279"/>
      <c r="F159" s="2" t="s">
        <v>204</v>
      </c>
      <c r="G159" s="2" t="s">
        <v>990</v>
      </c>
    </row>
    <row r="160" spans="1:7" ht="18.75" x14ac:dyDescent="0.25">
      <c r="A160" s="60" t="s">
        <v>200</v>
      </c>
      <c r="B160" s="223" t="s">
        <v>1240</v>
      </c>
      <c r="C160" s="258">
        <v>131</v>
      </c>
      <c r="D160" s="2">
        <v>827591</v>
      </c>
      <c r="E160" s="279"/>
      <c r="F160" s="2" t="s">
        <v>455</v>
      </c>
      <c r="G160" s="2" t="s">
        <v>47</v>
      </c>
    </row>
    <row r="161" spans="1:7" ht="18.75" x14ac:dyDescent="0.25">
      <c r="A161" s="60" t="s">
        <v>200</v>
      </c>
      <c r="B161" s="223" t="s">
        <v>218</v>
      </c>
      <c r="C161" s="258">
        <v>150</v>
      </c>
      <c r="D161" s="2">
        <v>20121</v>
      </c>
      <c r="E161" s="279"/>
      <c r="F161" s="2" t="s">
        <v>895</v>
      </c>
      <c r="G161" s="2" t="s">
        <v>219</v>
      </c>
    </row>
    <row r="162" spans="1:7" ht="18.75" x14ac:dyDescent="0.25">
      <c r="A162" s="60" t="s">
        <v>221</v>
      </c>
      <c r="B162" s="223" t="s">
        <v>223</v>
      </c>
      <c r="C162" s="258">
        <v>39132</v>
      </c>
      <c r="D162" s="2">
        <v>498049</v>
      </c>
      <c r="E162" s="279"/>
      <c r="F162" s="2" t="s">
        <v>224</v>
      </c>
      <c r="G162" s="2" t="s">
        <v>1138</v>
      </c>
    </row>
    <row r="163" spans="1:7" ht="18.75" x14ac:dyDescent="0.25">
      <c r="A163" s="60" t="s">
        <v>221</v>
      </c>
      <c r="B163" s="223" t="s">
        <v>225</v>
      </c>
      <c r="C163" s="258">
        <v>39036</v>
      </c>
      <c r="D163" s="2">
        <v>1048962</v>
      </c>
      <c r="E163" s="279"/>
      <c r="F163" s="2" t="s">
        <v>226</v>
      </c>
      <c r="G163" s="2" t="s">
        <v>1139</v>
      </c>
    </row>
    <row r="164" spans="1:7" ht="18.75" x14ac:dyDescent="0.25">
      <c r="A164" s="60" t="s">
        <v>221</v>
      </c>
      <c r="B164" s="223" t="s">
        <v>1319</v>
      </c>
      <c r="C164" s="258">
        <v>1</v>
      </c>
      <c r="D164" s="2">
        <v>980156</v>
      </c>
      <c r="E164" s="279"/>
      <c r="F164" s="2" t="s">
        <v>896</v>
      </c>
      <c r="G164" s="2" t="s">
        <v>293</v>
      </c>
    </row>
    <row r="165" spans="1:7" ht="18.75" x14ac:dyDescent="0.25">
      <c r="A165" s="60" t="s">
        <v>221</v>
      </c>
      <c r="B165" s="223" t="s">
        <v>1318</v>
      </c>
      <c r="C165" s="258">
        <v>131</v>
      </c>
      <c r="D165" s="2">
        <v>336276</v>
      </c>
      <c r="E165" s="279"/>
      <c r="F165" s="2" t="s">
        <v>455</v>
      </c>
      <c r="G165" s="2" t="s">
        <v>293</v>
      </c>
    </row>
    <row r="166" spans="1:7" ht="18.75" x14ac:dyDescent="0.25">
      <c r="A166" s="60" t="s">
        <v>228</v>
      </c>
      <c r="B166" s="223" t="s">
        <v>235</v>
      </c>
      <c r="C166" s="258">
        <v>39381</v>
      </c>
      <c r="D166" s="2">
        <v>17024</v>
      </c>
      <c r="E166" s="279"/>
      <c r="F166" s="2" t="s">
        <v>236</v>
      </c>
      <c r="G166" s="2" t="s">
        <v>231</v>
      </c>
    </row>
    <row r="167" spans="1:7" ht="18.75" x14ac:dyDescent="0.25">
      <c r="A167" s="60" t="s">
        <v>228</v>
      </c>
      <c r="B167" s="223" t="s">
        <v>237</v>
      </c>
      <c r="C167" s="258">
        <v>140</v>
      </c>
      <c r="D167" s="2">
        <v>70559</v>
      </c>
      <c r="E167" s="279"/>
      <c r="F167" s="2" t="s">
        <v>893</v>
      </c>
      <c r="G167" s="2" t="s">
        <v>231</v>
      </c>
    </row>
    <row r="168" spans="1:7" ht="18.75" x14ac:dyDescent="0.25">
      <c r="A168" s="60" t="s">
        <v>228</v>
      </c>
      <c r="B168" s="223" t="s">
        <v>229</v>
      </c>
      <c r="C168" s="258">
        <v>39291</v>
      </c>
      <c r="D168" s="2">
        <v>50809</v>
      </c>
      <c r="E168" s="279"/>
      <c r="F168" s="2" t="s">
        <v>230</v>
      </c>
      <c r="G168" s="2" t="s">
        <v>231</v>
      </c>
    </row>
    <row r="169" spans="1:7" ht="18.75" x14ac:dyDescent="0.25">
      <c r="A169" s="60" t="s">
        <v>228</v>
      </c>
      <c r="B169" s="223" t="s">
        <v>233</v>
      </c>
      <c r="C169" s="258">
        <v>140</v>
      </c>
      <c r="D169" s="274">
        <v>564357</v>
      </c>
      <c r="E169" s="279"/>
      <c r="F169" s="2" t="s">
        <v>900</v>
      </c>
      <c r="G169" s="2" t="s">
        <v>234</v>
      </c>
    </row>
    <row r="170" spans="1:7" ht="18.75" x14ac:dyDescent="0.25">
      <c r="A170" s="60" t="s">
        <v>228</v>
      </c>
      <c r="B170" s="223" t="s">
        <v>818</v>
      </c>
      <c r="C170" s="258">
        <v>142</v>
      </c>
      <c r="D170" s="2">
        <v>3579</v>
      </c>
      <c r="E170" s="279"/>
      <c r="F170" s="2" t="s">
        <v>822</v>
      </c>
      <c r="G170" s="2" t="s">
        <v>1344</v>
      </c>
    </row>
    <row r="171" spans="1:7" ht="18.75" x14ac:dyDescent="0.25">
      <c r="A171" s="60" t="s">
        <v>228</v>
      </c>
      <c r="B171" s="223" t="s">
        <v>1321</v>
      </c>
      <c r="C171" s="258">
        <v>131</v>
      </c>
      <c r="D171" s="2">
        <v>201647</v>
      </c>
      <c r="E171" s="279"/>
      <c r="F171" s="2" t="s">
        <v>455</v>
      </c>
      <c r="G171" s="2" t="s">
        <v>47</v>
      </c>
    </row>
    <row r="172" spans="1:7" ht="18.75" x14ac:dyDescent="0.25">
      <c r="A172" s="60" t="s">
        <v>240</v>
      </c>
      <c r="B172" s="223" t="s">
        <v>1302</v>
      </c>
      <c r="C172" s="258">
        <v>39010</v>
      </c>
      <c r="D172" s="2">
        <v>5319</v>
      </c>
      <c r="E172" s="279"/>
      <c r="F172" s="2" t="s">
        <v>452</v>
      </c>
      <c r="G172" s="2" t="s">
        <v>63</v>
      </c>
    </row>
    <row r="173" spans="1:7" ht="18.75" x14ac:dyDescent="0.25">
      <c r="A173" s="60" t="s">
        <v>240</v>
      </c>
      <c r="B173" s="223" t="s">
        <v>241</v>
      </c>
      <c r="C173" s="258">
        <v>39361</v>
      </c>
      <c r="D173" s="2">
        <v>57679</v>
      </c>
      <c r="E173" s="279"/>
      <c r="F173" s="2" t="s">
        <v>242</v>
      </c>
      <c r="G173" s="2" t="s">
        <v>38</v>
      </c>
    </row>
    <row r="174" spans="1:7" ht="18.75" x14ac:dyDescent="0.25">
      <c r="A174" s="60" t="s">
        <v>244</v>
      </c>
      <c r="B174" s="223">
        <v>71300126545</v>
      </c>
      <c r="C174" s="258">
        <v>39314</v>
      </c>
      <c r="D174" s="2">
        <v>138396</v>
      </c>
      <c r="E174" s="279"/>
      <c r="F174" s="2" t="s">
        <v>250</v>
      </c>
      <c r="G174" s="2" t="s">
        <v>765</v>
      </c>
    </row>
    <row r="175" spans="1:7" ht="18.75" x14ac:dyDescent="0.25">
      <c r="A175" s="60" t="s">
        <v>244</v>
      </c>
      <c r="B175" s="223">
        <v>71300126550</v>
      </c>
      <c r="C175" s="258">
        <v>39028</v>
      </c>
      <c r="D175" s="2">
        <v>428143</v>
      </c>
      <c r="E175" s="279"/>
      <c r="F175" s="2" t="s">
        <v>246</v>
      </c>
      <c r="G175" s="2" t="s">
        <v>766</v>
      </c>
    </row>
    <row r="176" spans="1:7" ht="18.75" x14ac:dyDescent="0.25">
      <c r="A176" s="60" t="s">
        <v>244</v>
      </c>
      <c r="B176" s="223">
        <v>71300126611</v>
      </c>
      <c r="C176" s="258">
        <v>39038</v>
      </c>
      <c r="D176" s="2">
        <v>366025</v>
      </c>
      <c r="E176" s="279"/>
      <c r="F176" s="2" t="s">
        <v>246</v>
      </c>
      <c r="G176" s="2" t="s">
        <v>767</v>
      </c>
    </row>
    <row r="177" spans="1:7" ht="18.75" x14ac:dyDescent="0.25">
      <c r="A177" s="60" t="s">
        <v>244</v>
      </c>
      <c r="B177" s="223">
        <v>71300126612</v>
      </c>
      <c r="C177" s="258">
        <v>39139</v>
      </c>
      <c r="D177" s="2">
        <v>209795</v>
      </c>
      <c r="E177" s="279"/>
      <c r="F177" s="2" t="s">
        <v>250</v>
      </c>
      <c r="G177" s="2" t="s">
        <v>768</v>
      </c>
    </row>
    <row r="178" spans="1:7" ht="18.75" x14ac:dyDescent="0.25">
      <c r="A178" s="60" t="s">
        <v>244</v>
      </c>
      <c r="B178" s="223">
        <v>71300126614</v>
      </c>
      <c r="C178" s="258">
        <v>39037</v>
      </c>
      <c r="D178" s="2">
        <v>399146</v>
      </c>
      <c r="E178" s="279"/>
      <c r="F178" s="2" t="s">
        <v>246</v>
      </c>
      <c r="G178" s="2" t="s">
        <v>769</v>
      </c>
    </row>
    <row r="179" spans="1:7" ht="18.75" x14ac:dyDescent="0.25">
      <c r="A179" s="60" t="s">
        <v>244</v>
      </c>
      <c r="B179" s="223">
        <v>71300126675</v>
      </c>
      <c r="C179" s="258">
        <v>39024</v>
      </c>
      <c r="D179" s="2">
        <v>188176</v>
      </c>
      <c r="E179" s="279"/>
      <c r="F179" s="2" t="s">
        <v>246</v>
      </c>
      <c r="G179" s="2" t="s">
        <v>770</v>
      </c>
    </row>
    <row r="180" spans="1:7" ht="18.75" x14ac:dyDescent="0.25">
      <c r="A180" s="60" t="s">
        <v>244</v>
      </c>
      <c r="B180" s="223">
        <v>71300126679</v>
      </c>
      <c r="C180" s="258">
        <v>39019</v>
      </c>
      <c r="D180" s="2">
        <v>267410</v>
      </c>
      <c r="E180" s="280"/>
      <c r="F180" s="2" t="s">
        <v>246</v>
      </c>
      <c r="G180" s="2" t="s">
        <v>771</v>
      </c>
    </row>
    <row r="181" spans="1:7" ht="18.75" x14ac:dyDescent="0.25">
      <c r="A181" s="60" t="s">
        <v>244</v>
      </c>
      <c r="B181" s="223">
        <v>71300126840</v>
      </c>
      <c r="C181" s="258">
        <v>39140</v>
      </c>
      <c r="D181" s="2">
        <v>331218</v>
      </c>
      <c r="E181" s="279"/>
      <c r="F181" s="2" t="s">
        <v>250</v>
      </c>
      <c r="G181" s="2" t="s">
        <v>772</v>
      </c>
    </row>
    <row r="182" spans="1:7" ht="18.75" x14ac:dyDescent="0.25">
      <c r="A182" s="60" t="s">
        <v>244</v>
      </c>
      <c r="B182" s="223">
        <v>71300126846</v>
      </c>
      <c r="C182" s="258">
        <v>39005</v>
      </c>
      <c r="D182" s="274">
        <v>204126</v>
      </c>
      <c r="E182" s="279"/>
      <c r="F182" s="2" t="s">
        <v>246</v>
      </c>
      <c r="G182" s="2" t="s">
        <v>773</v>
      </c>
    </row>
    <row r="183" spans="1:7" ht="18.75" x14ac:dyDescent="0.25">
      <c r="A183" s="60" t="s">
        <v>257</v>
      </c>
      <c r="B183" s="223">
        <v>116104</v>
      </c>
      <c r="C183" s="258">
        <v>39303</v>
      </c>
      <c r="D183" s="2">
        <v>337560</v>
      </c>
      <c r="E183" s="280"/>
      <c r="F183" s="2" t="s">
        <v>250</v>
      </c>
      <c r="G183" s="2" t="s">
        <v>767</v>
      </c>
    </row>
    <row r="184" spans="1:7" ht="18.75" x14ac:dyDescent="0.25">
      <c r="A184" s="60" t="s">
        <v>257</v>
      </c>
      <c r="B184" s="223">
        <v>116446</v>
      </c>
      <c r="C184" s="258">
        <v>39319</v>
      </c>
      <c r="D184" s="2">
        <v>196799</v>
      </c>
      <c r="E184" s="279"/>
      <c r="F184" s="2" t="s">
        <v>250</v>
      </c>
      <c r="G184" s="2" t="s">
        <v>771</v>
      </c>
    </row>
    <row r="185" spans="1:7" ht="18.75" x14ac:dyDescent="0.25">
      <c r="A185" s="60" t="s">
        <v>257</v>
      </c>
      <c r="B185" s="223">
        <v>116498</v>
      </c>
      <c r="C185" s="258">
        <v>39320</v>
      </c>
      <c r="D185" s="2">
        <v>182478</v>
      </c>
      <c r="E185" s="279"/>
      <c r="F185" s="2" t="s">
        <v>250</v>
      </c>
      <c r="G185" s="2" t="s">
        <v>770</v>
      </c>
    </row>
    <row r="186" spans="1:7" ht="18.75" x14ac:dyDescent="0.25">
      <c r="A186" s="60" t="s">
        <v>257</v>
      </c>
      <c r="B186" s="223">
        <v>126610</v>
      </c>
      <c r="C186" s="258">
        <v>39321</v>
      </c>
      <c r="D186" s="274">
        <v>174584</v>
      </c>
      <c r="E186" s="279"/>
      <c r="F186" s="2" t="s">
        <v>250</v>
      </c>
      <c r="G186" s="2" t="s">
        <v>768</v>
      </c>
    </row>
    <row r="187" spans="1:7" ht="18.75" x14ac:dyDescent="0.25">
      <c r="A187" s="60" t="s">
        <v>257</v>
      </c>
      <c r="B187" s="223">
        <v>126682</v>
      </c>
      <c r="C187" s="258">
        <v>39318</v>
      </c>
      <c r="D187" s="274">
        <v>174141</v>
      </c>
      <c r="E187" s="279"/>
      <c r="F187" s="2" t="s">
        <v>250</v>
      </c>
      <c r="G187" s="2" t="s">
        <v>773</v>
      </c>
    </row>
    <row r="188" spans="1:7" ht="18.75" x14ac:dyDescent="0.25">
      <c r="A188" s="60" t="s">
        <v>257</v>
      </c>
      <c r="B188" s="277">
        <v>140754</v>
      </c>
      <c r="C188" s="258">
        <v>39302</v>
      </c>
      <c r="D188" s="2">
        <v>266595</v>
      </c>
      <c r="E188" s="279"/>
      <c r="F188" s="2" t="s">
        <v>250</v>
      </c>
      <c r="G188" s="2" t="s">
        <v>769</v>
      </c>
    </row>
    <row r="189" spans="1:7" ht="18.75" x14ac:dyDescent="0.25">
      <c r="A189" s="60" t="s">
        <v>257</v>
      </c>
      <c r="B189" s="223">
        <v>65100116117</v>
      </c>
      <c r="C189" s="258">
        <v>39299</v>
      </c>
      <c r="D189" s="2">
        <v>189416</v>
      </c>
      <c r="E189" s="279"/>
      <c r="F189" s="2" t="s">
        <v>250</v>
      </c>
      <c r="G189" s="2" t="s">
        <v>765</v>
      </c>
    </row>
    <row r="190" spans="1:7" ht="18.75" x14ac:dyDescent="0.25">
      <c r="A190" s="60" t="s">
        <v>257</v>
      </c>
      <c r="B190" s="223">
        <v>71300126672</v>
      </c>
      <c r="C190" s="258">
        <v>39301</v>
      </c>
      <c r="D190" s="2">
        <v>299562</v>
      </c>
      <c r="E190" s="279"/>
      <c r="F190" s="2" t="s">
        <v>250</v>
      </c>
      <c r="G190" s="2" t="s">
        <v>766</v>
      </c>
    </row>
    <row r="191" spans="1:7" ht="18.75" x14ac:dyDescent="0.25">
      <c r="A191" s="60" t="s">
        <v>257</v>
      </c>
      <c r="B191" s="223">
        <v>73900146533</v>
      </c>
      <c r="C191" s="258">
        <v>39300</v>
      </c>
      <c r="D191" s="2">
        <v>284939</v>
      </c>
      <c r="E191" s="279"/>
      <c r="F191" s="2" t="s">
        <v>250</v>
      </c>
      <c r="G191" s="2" t="s">
        <v>772</v>
      </c>
    </row>
    <row r="192" spans="1:7" ht="18.75" x14ac:dyDescent="0.25">
      <c r="A192" s="60" t="s">
        <v>257</v>
      </c>
      <c r="B192" s="223" t="s">
        <v>258</v>
      </c>
      <c r="C192" s="258">
        <v>39177</v>
      </c>
      <c r="D192" s="2">
        <v>584032</v>
      </c>
      <c r="E192" s="280"/>
      <c r="F192" s="2" t="s">
        <v>250</v>
      </c>
      <c r="G192" s="2" t="s">
        <v>63</v>
      </c>
    </row>
    <row r="193" spans="1:7" ht="18.75" x14ac:dyDescent="0.25">
      <c r="A193" s="60" t="s">
        <v>257</v>
      </c>
      <c r="B193" s="223" t="s">
        <v>260</v>
      </c>
      <c r="C193" s="258">
        <v>39284</v>
      </c>
      <c r="D193" s="2">
        <v>251126</v>
      </c>
      <c r="E193" s="279"/>
      <c r="F193" s="2" t="s">
        <v>261</v>
      </c>
      <c r="G193" s="2" t="s">
        <v>262</v>
      </c>
    </row>
    <row r="194" spans="1:7" ht="18.75" x14ac:dyDescent="0.25">
      <c r="A194" s="60" t="s">
        <v>257</v>
      </c>
      <c r="B194" s="223" t="s">
        <v>259</v>
      </c>
      <c r="C194" s="258">
        <v>39176</v>
      </c>
      <c r="D194" s="274">
        <v>541519</v>
      </c>
      <c r="E194" s="279"/>
      <c r="F194" s="2" t="s">
        <v>250</v>
      </c>
      <c r="G194" s="2" t="s">
        <v>63</v>
      </c>
    </row>
    <row r="195" spans="1:7" ht="18.75" x14ac:dyDescent="0.25">
      <c r="A195" s="60" t="s">
        <v>272</v>
      </c>
      <c r="B195" s="223">
        <v>181156</v>
      </c>
      <c r="C195" s="258">
        <v>39445</v>
      </c>
      <c r="D195" s="2">
        <v>190453</v>
      </c>
      <c r="E195" s="279"/>
      <c r="F195" s="2" t="s">
        <v>250</v>
      </c>
      <c r="G195" s="2" t="s">
        <v>774</v>
      </c>
    </row>
    <row r="196" spans="1:7" ht="18.75" x14ac:dyDescent="0.25">
      <c r="A196" s="60" t="s">
        <v>272</v>
      </c>
      <c r="B196" s="223">
        <v>181183</v>
      </c>
      <c r="C196" s="258">
        <v>39446</v>
      </c>
      <c r="D196" s="2">
        <v>266315</v>
      </c>
      <c r="E196" s="279"/>
      <c r="F196" s="2" t="s">
        <v>250</v>
      </c>
      <c r="G196" s="2" t="s">
        <v>775</v>
      </c>
    </row>
    <row r="197" spans="1:7" ht="18.75" x14ac:dyDescent="0.25">
      <c r="A197" s="60" t="s">
        <v>272</v>
      </c>
      <c r="B197" s="223">
        <v>181237</v>
      </c>
      <c r="C197" s="258">
        <v>39447</v>
      </c>
      <c r="D197" s="2">
        <v>242219</v>
      </c>
      <c r="E197" s="279"/>
      <c r="F197" s="2" t="s">
        <v>250</v>
      </c>
      <c r="G197" s="2" t="s">
        <v>776</v>
      </c>
    </row>
    <row r="198" spans="1:7" ht="18.75" x14ac:dyDescent="0.25">
      <c r="A198" s="60" t="s">
        <v>272</v>
      </c>
      <c r="B198" s="223">
        <v>181317</v>
      </c>
      <c r="C198" s="258">
        <v>39296</v>
      </c>
      <c r="D198" s="2">
        <v>145149</v>
      </c>
      <c r="E198" s="279"/>
      <c r="F198" s="2" t="s">
        <v>250</v>
      </c>
      <c r="G198" s="2" t="s">
        <v>782</v>
      </c>
    </row>
    <row r="199" spans="1:7" ht="18.75" x14ac:dyDescent="0.25">
      <c r="A199" s="60" t="s">
        <v>272</v>
      </c>
      <c r="B199" s="223">
        <v>181320</v>
      </c>
      <c r="C199" s="258">
        <v>39297</v>
      </c>
      <c r="D199" s="2">
        <v>181759</v>
      </c>
      <c r="E199" s="279"/>
      <c r="F199" s="2" t="s">
        <v>250</v>
      </c>
      <c r="G199" s="2" t="s">
        <v>783</v>
      </c>
    </row>
    <row r="200" spans="1:7" ht="18.75" x14ac:dyDescent="0.25">
      <c r="A200" s="60" t="s">
        <v>272</v>
      </c>
      <c r="B200" s="223">
        <v>181321</v>
      </c>
      <c r="C200" s="258">
        <v>39448</v>
      </c>
      <c r="D200" s="274">
        <v>306470</v>
      </c>
      <c r="E200" s="279"/>
      <c r="F200" s="2" t="s">
        <v>250</v>
      </c>
      <c r="G200" s="2" t="s">
        <v>777</v>
      </c>
    </row>
    <row r="201" spans="1:7" ht="18.75" x14ac:dyDescent="0.25">
      <c r="A201" s="60" t="s">
        <v>272</v>
      </c>
      <c r="B201" s="223">
        <v>181345</v>
      </c>
      <c r="C201" s="258">
        <v>39294</v>
      </c>
      <c r="D201" s="2">
        <v>212095</v>
      </c>
      <c r="E201" s="279"/>
      <c r="F201" s="2" t="s">
        <v>250</v>
      </c>
      <c r="G201" s="2" t="s">
        <v>781</v>
      </c>
    </row>
    <row r="202" spans="1:7" ht="18.75" x14ac:dyDescent="0.25">
      <c r="A202" s="60" t="s">
        <v>272</v>
      </c>
      <c r="B202" s="223">
        <v>181795</v>
      </c>
      <c r="C202" s="258">
        <v>39298</v>
      </c>
      <c r="D202" s="274">
        <v>195470</v>
      </c>
      <c r="E202" s="279"/>
      <c r="F202" s="2" t="s">
        <v>250</v>
      </c>
      <c r="G202" s="2" t="s">
        <v>784</v>
      </c>
    </row>
    <row r="203" spans="1:7" ht="18.75" x14ac:dyDescent="0.25">
      <c r="A203" s="60" t="s">
        <v>272</v>
      </c>
      <c r="B203" s="223">
        <v>349452</v>
      </c>
      <c r="C203" s="258">
        <v>39449</v>
      </c>
      <c r="D203" s="2">
        <v>43499</v>
      </c>
      <c r="E203" s="279"/>
      <c r="F203" s="2" t="s">
        <v>250</v>
      </c>
      <c r="G203" s="2" t="s">
        <v>785</v>
      </c>
    </row>
    <row r="204" spans="1:7" ht="18.75" x14ac:dyDescent="0.25">
      <c r="A204" s="60" t="s">
        <v>272</v>
      </c>
      <c r="B204" s="223">
        <v>357873</v>
      </c>
      <c r="C204" s="258">
        <v>39450</v>
      </c>
      <c r="D204" s="2">
        <v>11588</v>
      </c>
      <c r="E204" s="279"/>
      <c r="F204" s="2" t="s">
        <v>250</v>
      </c>
      <c r="G204" s="2" t="s">
        <v>786</v>
      </c>
    </row>
    <row r="205" spans="1:7" ht="18.75" x14ac:dyDescent="0.25">
      <c r="A205" s="60" t="s">
        <v>272</v>
      </c>
      <c r="B205" s="223">
        <v>357875</v>
      </c>
      <c r="C205" s="258">
        <v>39454</v>
      </c>
      <c r="D205" s="2">
        <v>22689</v>
      </c>
      <c r="E205" s="279"/>
      <c r="F205" s="2" t="s">
        <v>250</v>
      </c>
      <c r="G205" s="2" t="s">
        <v>778</v>
      </c>
    </row>
    <row r="206" spans="1:7" ht="18.75" x14ac:dyDescent="0.25">
      <c r="A206" s="60" t="s">
        <v>272</v>
      </c>
      <c r="B206" s="223">
        <v>358168</v>
      </c>
      <c r="C206" s="258">
        <v>39457</v>
      </c>
      <c r="D206" s="2">
        <v>50580</v>
      </c>
      <c r="E206" s="279"/>
      <c r="F206" s="2" t="s">
        <v>250</v>
      </c>
      <c r="G206" s="2" t="s">
        <v>779</v>
      </c>
    </row>
    <row r="207" spans="1:7" ht="18.75" x14ac:dyDescent="0.25">
      <c r="A207" s="60" t="s">
        <v>272</v>
      </c>
      <c r="B207" s="223">
        <v>359329</v>
      </c>
      <c r="C207" s="258">
        <v>39458</v>
      </c>
      <c r="D207" s="2">
        <v>59960</v>
      </c>
      <c r="E207" s="279"/>
      <c r="F207" s="2" t="s">
        <v>250</v>
      </c>
      <c r="G207" s="2" t="s">
        <v>780</v>
      </c>
    </row>
    <row r="208" spans="1:7" ht="18.75" x14ac:dyDescent="0.25">
      <c r="A208" s="60" t="s">
        <v>272</v>
      </c>
      <c r="B208" s="223" t="s">
        <v>273</v>
      </c>
      <c r="C208" s="258">
        <v>39267</v>
      </c>
      <c r="D208" s="2">
        <v>19184</v>
      </c>
      <c r="E208" s="279"/>
      <c r="F208" s="2" t="s">
        <v>274</v>
      </c>
      <c r="G208" s="2" t="s">
        <v>262</v>
      </c>
    </row>
    <row r="209" spans="1:7" ht="18.75" x14ac:dyDescent="0.25">
      <c r="A209" s="60" t="s">
        <v>288</v>
      </c>
      <c r="B209" s="223" t="s">
        <v>428</v>
      </c>
      <c r="C209" s="258">
        <v>39020</v>
      </c>
      <c r="D209" s="2">
        <v>20747</v>
      </c>
      <c r="E209" s="279"/>
      <c r="F209" s="2" t="s">
        <v>454</v>
      </c>
      <c r="G209" s="2" t="s">
        <v>982</v>
      </c>
    </row>
    <row r="210" spans="1:7" ht="18.75" x14ac:dyDescent="0.25">
      <c r="A210" s="60" t="s">
        <v>288</v>
      </c>
      <c r="B210" s="223" t="s">
        <v>697</v>
      </c>
      <c r="C210" s="258">
        <v>140</v>
      </c>
      <c r="D210" s="2">
        <v>12383</v>
      </c>
      <c r="E210" s="279"/>
      <c r="F210" s="2" t="s">
        <v>21</v>
      </c>
      <c r="G210" s="2" t="s">
        <v>983</v>
      </c>
    </row>
    <row r="211" spans="1:7" ht="18.75" x14ac:dyDescent="0.25">
      <c r="A211" s="60" t="s">
        <v>288</v>
      </c>
      <c r="B211" s="223" t="s">
        <v>294</v>
      </c>
      <c r="C211" s="258">
        <v>39131</v>
      </c>
      <c r="D211" s="2">
        <v>615083</v>
      </c>
      <c r="E211" s="279"/>
      <c r="F211" s="2" t="s">
        <v>295</v>
      </c>
      <c r="G211" s="2" t="s">
        <v>991</v>
      </c>
    </row>
    <row r="212" spans="1:7" ht="18.75" x14ac:dyDescent="0.25">
      <c r="A212" s="60" t="s">
        <v>288</v>
      </c>
      <c r="B212" s="223" t="s">
        <v>696</v>
      </c>
      <c r="C212" s="258">
        <v>140</v>
      </c>
      <c r="D212" s="2">
        <v>90447</v>
      </c>
      <c r="E212" s="279"/>
      <c r="F212" s="274" t="s">
        <v>747</v>
      </c>
      <c r="G212" s="2" t="s">
        <v>987</v>
      </c>
    </row>
    <row r="213" spans="1:7" ht="18.75" x14ac:dyDescent="0.25">
      <c r="A213" s="60" t="s">
        <v>288</v>
      </c>
      <c r="B213" s="223" t="s">
        <v>968</v>
      </c>
      <c r="C213" s="258">
        <v>140</v>
      </c>
      <c r="D213" s="2">
        <v>222552</v>
      </c>
      <c r="E213" s="280"/>
      <c r="F213" s="2" t="s">
        <v>969</v>
      </c>
      <c r="G213" s="2" t="s">
        <v>984</v>
      </c>
    </row>
    <row r="214" spans="1:7" ht="18.75" x14ac:dyDescent="0.25">
      <c r="A214" s="60" t="s">
        <v>288</v>
      </c>
      <c r="B214" s="223" t="s">
        <v>291</v>
      </c>
      <c r="C214" s="258">
        <v>39390</v>
      </c>
      <c r="D214" s="2">
        <v>27907</v>
      </c>
      <c r="E214" s="279"/>
      <c r="F214" s="2" t="s">
        <v>292</v>
      </c>
      <c r="G214" s="2" t="s">
        <v>985</v>
      </c>
    </row>
    <row r="215" spans="1:7" ht="18.75" x14ac:dyDescent="0.25">
      <c r="A215" s="60" t="s">
        <v>288</v>
      </c>
      <c r="B215" s="223" t="s">
        <v>289</v>
      </c>
      <c r="C215" s="258">
        <v>39006</v>
      </c>
      <c r="D215" s="2">
        <v>62008</v>
      </c>
      <c r="E215" s="279"/>
      <c r="F215" s="2" t="s">
        <v>290</v>
      </c>
      <c r="G215" s="2" t="s">
        <v>990</v>
      </c>
    </row>
    <row r="216" spans="1:7" ht="18.75" x14ac:dyDescent="0.25">
      <c r="A216" s="60" t="s">
        <v>288</v>
      </c>
      <c r="B216" s="223" t="s">
        <v>1241</v>
      </c>
      <c r="C216" s="258">
        <v>30000</v>
      </c>
      <c r="D216" s="274">
        <v>1197064</v>
      </c>
      <c r="E216" s="279"/>
      <c r="F216" s="274" t="s">
        <v>742</v>
      </c>
      <c r="G216" s="274"/>
    </row>
    <row r="217" spans="1:7" ht="18.75" x14ac:dyDescent="0.25">
      <c r="A217" s="60" t="s">
        <v>288</v>
      </c>
      <c r="B217" s="223" t="s">
        <v>1258</v>
      </c>
      <c r="C217" s="258">
        <v>131</v>
      </c>
      <c r="D217" s="2">
        <v>504098</v>
      </c>
      <c r="E217" s="279"/>
      <c r="F217" s="2" t="s">
        <v>455</v>
      </c>
      <c r="G217" s="2" t="s">
        <v>47</v>
      </c>
    </row>
    <row r="218" spans="1:7" ht="18.75" x14ac:dyDescent="0.25">
      <c r="A218" s="60" t="s">
        <v>296</v>
      </c>
      <c r="B218" s="223">
        <v>1014100108</v>
      </c>
      <c r="C218" s="258">
        <v>39505</v>
      </c>
      <c r="D218" s="274">
        <v>69032</v>
      </c>
      <c r="E218" s="279"/>
      <c r="F218" s="2" t="s">
        <v>297</v>
      </c>
      <c r="G218" s="2" t="s">
        <v>47</v>
      </c>
    </row>
    <row r="219" spans="1:7" ht="18.75" x14ac:dyDescent="0.25">
      <c r="A219" s="60" t="s">
        <v>296</v>
      </c>
      <c r="B219" s="223" t="s">
        <v>1242</v>
      </c>
      <c r="C219" s="258">
        <v>30000</v>
      </c>
      <c r="D219" s="2">
        <v>383053</v>
      </c>
      <c r="E219" s="279"/>
      <c r="F219" s="2" t="s">
        <v>742</v>
      </c>
      <c r="G219" s="2" t="s">
        <v>63</v>
      </c>
    </row>
    <row r="220" spans="1:7" ht="18.75" x14ac:dyDescent="0.25">
      <c r="A220" s="60" t="s">
        <v>296</v>
      </c>
      <c r="B220" s="223" t="s">
        <v>1243</v>
      </c>
      <c r="C220" s="258">
        <v>131</v>
      </c>
      <c r="D220" s="2">
        <v>263526</v>
      </c>
      <c r="E220" s="279"/>
      <c r="F220" s="2" t="s">
        <v>455</v>
      </c>
      <c r="G220" s="2" t="s">
        <v>47</v>
      </c>
    </row>
    <row r="221" spans="1:7" ht="18.75" x14ac:dyDescent="0.25">
      <c r="A221" s="60" t="s">
        <v>296</v>
      </c>
      <c r="B221" s="223" t="s">
        <v>1244</v>
      </c>
      <c r="C221" s="258">
        <v>132</v>
      </c>
      <c r="D221" s="2">
        <v>12272</v>
      </c>
      <c r="E221" s="279"/>
      <c r="F221" s="2" t="s">
        <v>737</v>
      </c>
      <c r="G221" s="2" t="s">
        <v>47</v>
      </c>
    </row>
    <row r="222" spans="1:7" ht="18.75" x14ac:dyDescent="0.25">
      <c r="A222" s="60" t="s">
        <v>298</v>
      </c>
      <c r="B222" s="223">
        <v>114467100</v>
      </c>
      <c r="C222" s="258">
        <v>39518</v>
      </c>
      <c r="D222" s="2">
        <v>81026</v>
      </c>
      <c r="E222" s="279"/>
      <c r="F222" s="2" t="s">
        <v>996</v>
      </c>
      <c r="G222" s="2" t="s">
        <v>47</v>
      </c>
    </row>
    <row r="223" spans="1:7" ht="18.75" x14ac:dyDescent="0.25">
      <c r="A223" s="60" t="s">
        <v>298</v>
      </c>
      <c r="B223" s="223">
        <v>114467132</v>
      </c>
      <c r="C223" s="272">
        <v>39519</v>
      </c>
      <c r="D223" s="2">
        <v>67319</v>
      </c>
      <c r="E223" s="279"/>
      <c r="F223" s="2" t="s">
        <v>997</v>
      </c>
      <c r="G223" s="2" t="s">
        <v>47</v>
      </c>
    </row>
    <row r="224" spans="1:7" ht="18.75" x14ac:dyDescent="0.25">
      <c r="A224" s="60" t="s">
        <v>298</v>
      </c>
      <c r="B224" s="223">
        <v>114481072</v>
      </c>
      <c r="C224" s="258">
        <v>132</v>
      </c>
      <c r="D224" s="2">
        <v>80491</v>
      </c>
      <c r="E224" s="279"/>
      <c r="F224" s="2" t="s">
        <v>305</v>
      </c>
      <c r="G224" s="2" t="s">
        <v>47</v>
      </c>
    </row>
    <row r="225" spans="1:7" ht="18.75" x14ac:dyDescent="0.25">
      <c r="A225" s="60" t="s">
        <v>298</v>
      </c>
      <c r="B225" s="223">
        <v>114484080</v>
      </c>
      <c r="C225" s="258">
        <v>39517</v>
      </c>
      <c r="D225" s="2">
        <v>81098</v>
      </c>
      <c r="E225" s="279"/>
      <c r="F225" s="2" t="s">
        <v>998</v>
      </c>
      <c r="G225" s="2" t="s">
        <v>47</v>
      </c>
    </row>
    <row r="226" spans="1:7" ht="18.75" x14ac:dyDescent="0.25">
      <c r="A226" s="60" t="s">
        <v>298</v>
      </c>
      <c r="B226" s="223" t="s">
        <v>299</v>
      </c>
      <c r="C226" s="258">
        <v>39504</v>
      </c>
      <c r="D226" s="2">
        <v>14853</v>
      </c>
      <c r="E226" s="279"/>
      <c r="F226" s="2" t="s">
        <v>146</v>
      </c>
      <c r="G226" s="2" t="s">
        <v>47</v>
      </c>
    </row>
    <row r="227" spans="1:7" ht="18.75" x14ac:dyDescent="0.25">
      <c r="A227" s="60" t="s">
        <v>298</v>
      </c>
      <c r="B227" s="223" t="s">
        <v>1306</v>
      </c>
      <c r="C227" s="258">
        <v>30000</v>
      </c>
      <c r="D227" s="2">
        <v>1232610</v>
      </c>
      <c r="E227" s="279"/>
      <c r="F227" s="2" t="s">
        <v>742</v>
      </c>
      <c r="G227" s="2" t="s">
        <v>63</v>
      </c>
    </row>
    <row r="228" spans="1:7" ht="18.75" x14ac:dyDescent="0.25">
      <c r="A228" s="60" t="s">
        <v>298</v>
      </c>
      <c r="B228" s="223" t="s">
        <v>1308</v>
      </c>
      <c r="C228" s="258">
        <v>132</v>
      </c>
      <c r="D228" s="274">
        <v>316997</v>
      </c>
      <c r="E228" s="279"/>
      <c r="F228" s="2" t="s">
        <v>457</v>
      </c>
      <c r="G228" s="2" t="s">
        <v>47</v>
      </c>
    </row>
    <row r="229" spans="1:7" ht="18.75" x14ac:dyDescent="0.25">
      <c r="A229" s="60" t="s">
        <v>298</v>
      </c>
      <c r="B229" s="223" t="s">
        <v>1307</v>
      </c>
      <c r="C229" s="258">
        <v>131</v>
      </c>
      <c r="D229" s="2">
        <v>94580</v>
      </c>
      <c r="E229" s="279"/>
      <c r="F229" s="2" t="s">
        <v>455</v>
      </c>
      <c r="G229" s="2" t="s">
        <v>47</v>
      </c>
    </row>
    <row r="230" spans="1:7" ht="18.75" x14ac:dyDescent="0.25">
      <c r="A230" s="60" t="s">
        <v>298</v>
      </c>
      <c r="B230" s="223" t="s">
        <v>1257</v>
      </c>
      <c r="C230" s="258">
        <v>141</v>
      </c>
      <c r="D230" s="2">
        <v>3736</v>
      </c>
      <c r="E230" s="279"/>
      <c r="F230" s="2" t="s">
        <v>806</v>
      </c>
      <c r="G230" s="2" t="s">
        <v>807</v>
      </c>
    </row>
    <row r="231" spans="1:7" ht="18.75" x14ac:dyDescent="0.25">
      <c r="A231" s="60" t="s">
        <v>306</v>
      </c>
      <c r="B231" s="223">
        <v>114467037</v>
      </c>
      <c r="C231" s="258">
        <v>39548</v>
      </c>
      <c r="D231" s="274">
        <v>86401</v>
      </c>
      <c r="E231" s="279"/>
      <c r="F231" s="2" t="s">
        <v>999</v>
      </c>
      <c r="G231" s="2" t="s">
        <v>47</v>
      </c>
    </row>
    <row r="232" spans="1:7" ht="18.75" x14ac:dyDescent="0.25">
      <c r="A232" s="60" t="s">
        <v>306</v>
      </c>
      <c r="B232" s="223">
        <v>114481067</v>
      </c>
      <c r="C232" s="258">
        <v>39549</v>
      </c>
      <c r="D232" s="2">
        <v>32472</v>
      </c>
      <c r="E232" s="279"/>
      <c r="F232" s="2" t="s">
        <v>1000</v>
      </c>
      <c r="G232" s="2" t="s">
        <v>47</v>
      </c>
    </row>
    <row r="233" spans="1:7" ht="18.75" x14ac:dyDescent="0.25">
      <c r="A233" s="60" t="s">
        <v>306</v>
      </c>
      <c r="B233" s="223">
        <v>114481080</v>
      </c>
      <c r="C233" s="258">
        <v>39547</v>
      </c>
      <c r="D233" s="2">
        <v>85833</v>
      </c>
      <c r="E233" s="279"/>
      <c r="F233" s="2" t="s">
        <v>1001</v>
      </c>
      <c r="G233" s="2" t="s">
        <v>47</v>
      </c>
    </row>
    <row r="234" spans="1:7" ht="18.75" x14ac:dyDescent="0.25">
      <c r="A234" s="60" t="s">
        <v>306</v>
      </c>
      <c r="B234" s="223">
        <v>114484112</v>
      </c>
      <c r="C234" s="258">
        <v>39526</v>
      </c>
      <c r="D234" s="2">
        <v>86472</v>
      </c>
      <c r="E234" s="279"/>
      <c r="F234" s="2" t="s">
        <v>1002</v>
      </c>
      <c r="G234" s="2" t="s">
        <v>47</v>
      </c>
    </row>
    <row r="235" spans="1:7" ht="18.75" x14ac:dyDescent="0.25">
      <c r="A235" s="60" t="s">
        <v>306</v>
      </c>
      <c r="B235" s="223" t="s">
        <v>1245</v>
      </c>
      <c r="C235" s="258">
        <v>30000</v>
      </c>
      <c r="D235" s="2">
        <v>219389</v>
      </c>
      <c r="E235" s="279"/>
      <c r="F235" s="2" t="s">
        <v>742</v>
      </c>
      <c r="G235" s="2" t="s">
        <v>63</v>
      </c>
    </row>
    <row r="236" spans="1:7" ht="18.75" x14ac:dyDescent="0.25">
      <c r="A236" s="60" t="s">
        <v>306</v>
      </c>
      <c r="B236" s="223" t="s">
        <v>1246</v>
      </c>
      <c r="C236" s="258">
        <v>132</v>
      </c>
      <c r="D236" s="2">
        <v>375296</v>
      </c>
      <c r="E236" s="279"/>
      <c r="F236" s="2" t="s">
        <v>457</v>
      </c>
      <c r="G236" s="2" t="s">
        <v>47</v>
      </c>
    </row>
    <row r="237" spans="1:7" ht="18.75" x14ac:dyDescent="0.25">
      <c r="A237" s="60" t="s">
        <v>306</v>
      </c>
      <c r="B237" s="223" t="s">
        <v>1247</v>
      </c>
      <c r="C237" s="258">
        <v>131</v>
      </c>
      <c r="D237" s="2">
        <v>49920</v>
      </c>
      <c r="E237" s="279"/>
      <c r="F237" s="2" t="s">
        <v>455</v>
      </c>
      <c r="G237" s="2" t="s">
        <v>47</v>
      </c>
    </row>
    <row r="238" spans="1:7" ht="18.75" x14ac:dyDescent="0.25">
      <c r="A238" s="60" t="s">
        <v>456</v>
      </c>
      <c r="B238" s="223" t="s">
        <v>1248</v>
      </c>
      <c r="C238" s="258">
        <v>131</v>
      </c>
      <c r="D238" s="2">
        <v>45321</v>
      </c>
      <c r="E238" s="279"/>
      <c r="F238" s="2" t="s">
        <v>455</v>
      </c>
      <c r="G238" s="2" t="s">
        <v>47</v>
      </c>
    </row>
    <row r="239" spans="1:7" ht="18.75" x14ac:dyDescent="0.25">
      <c r="A239" s="60" t="s">
        <v>456</v>
      </c>
      <c r="B239" s="223" t="s">
        <v>1249</v>
      </c>
      <c r="C239" s="258">
        <v>132</v>
      </c>
      <c r="D239" s="2">
        <v>45132</v>
      </c>
      <c r="E239" s="279"/>
      <c r="F239" s="2" t="s">
        <v>457</v>
      </c>
      <c r="G239" s="2" t="s">
        <v>47</v>
      </c>
    </row>
    <row r="240" spans="1:7" ht="18.75" x14ac:dyDescent="0.25">
      <c r="A240" s="273" t="s">
        <v>456</v>
      </c>
      <c r="B240" s="256" t="s">
        <v>1250</v>
      </c>
      <c r="C240" s="60">
        <v>30000</v>
      </c>
      <c r="D240" s="279">
        <v>64766</v>
      </c>
      <c r="E240" s="279"/>
      <c r="F240" s="279" t="s">
        <v>742</v>
      </c>
      <c r="G240" s="298" t="s">
        <v>63</v>
      </c>
    </row>
    <row r="241" spans="1:7" ht="18.75" x14ac:dyDescent="0.25">
      <c r="A241" s="273" t="s">
        <v>458</v>
      </c>
      <c r="B241" s="256" t="s">
        <v>1208</v>
      </c>
      <c r="C241" s="60">
        <v>131</v>
      </c>
      <c r="D241" s="279">
        <v>17825</v>
      </c>
      <c r="E241" s="279"/>
      <c r="F241" s="279" t="s">
        <v>455</v>
      </c>
      <c r="G241" s="298" t="s">
        <v>47</v>
      </c>
    </row>
    <row r="242" spans="1:7" ht="18.75" x14ac:dyDescent="0.25">
      <c r="A242" s="273" t="s">
        <v>456</v>
      </c>
      <c r="B242" s="256" t="s">
        <v>1249</v>
      </c>
      <c r="C242" s="60">
        <v>132</v>
      </c>
      <c r="D242" s="279">
        <v>43876</v>
      </c>
      <c r="E242" s="279"/>
      <c r="F242" s="279" t="s">
        <v>457</v>
      </c>
      <c r="G242" s="298" t="s">
        <v>47</v>
      </c>
    </row>
    <row r="243" spans="1:7" ht="18.75" x14ac:dyDescent="0.25">
      <c r="A243" s="273" t="s">
        <v>456</v>
      </c>
      <c r="B243" s="256" t="s">
        <v>1250</v>
      </c>
      <c r="C243" s="60">
        <v>30000</v>
      </c>
      <c r="D243" s="279">
        <v>62706</v>
      </c>
      <c r="E243" s="279"/>
      <c r="F243" s="279" t="s">
        <v>742</v>
      </c>
      <c r="G243" s="298" t="s">
        <v>63</v>
      </c>
    </row>
    <row r="244" spans="1:7" ht="18.75" x14ac:dyDescent="0.25">
      <c r="A244" s="273" t="s">
        <v>458</v>
      </c>
      <c r="B244" s="256" t="s">
        <v>1208</v>
      </c>
      <c r="C244" s="60">
        <v>131</v>
      </c>
      <c r="D244" s="279">
        <v>16696</v>
      </c>
      <c r="E244" s="279"/>
      <c r="F244" s="279" t="s">
        <v>455</v>
      </c>
      <c r="G244" s="298" t="s">
        <v>47</v>
      </c>
    </row>
    <row r="245" spans="1:7" ht="18.75" x14ac:dyDescent="0.25">
      <c r="A245" s="273"/>
      <c r="B245" s="256"/>
      <c r="C245" s="60"/>
      <c r="D245" s="279"/>
      <c r="E245" s="279"/>
      <c r="F245" s="279"/>
      <c r="G245" s="298"/>
    </row>
    <row r="246" spans="1:7" ht="18.75" x14ac:dyDescent="0.25">
      <c r="A246" s="273"/>
      <c r="B246" s="256"/>
      <c r="C246" s="60"/>
      <c r="D246" s="279"/>
      <c r="E246" s="279"/>
      <c r="F246" s="279"/>
      <c r="G246" s="298"/>
    </row>
    <row r="247" spans="1:7" ht="18.75" x14ac:dyDescent="0.25">
      <c r="A247" s="273"/>
      <c r="B247" s="256"/>
      <c r="C247" s="60"/>
      <c r="D247" s="279"/>
      <c r="E247" s="279"/>
      <c r="F247" s="279"/>
      <c r="G247" s="298"/>
    </row>
    <row r="248" spans="1:7" ht="18.75" x14ac:dyDescent="0.25">
      <c r="A248" s="273"/>
      <c r="B248" s="256"/>
      <c r="C248" s="60"/>
      <c r="D248" s="279"/>
      <c r="E248" s="279"/>
      <c r="F248" s="279"/>
      <c r="G248" s="298"/>
    </row>
    <row r="249" spans="1:7" ht="18.75" x14ac:dyDescent="0.25">
      <c r="A249" s="273"/>
      <c r="B249" s="256"/>
      <c r="C249" s="60"/>
      <c r="D249" s="279"/>
      <c r="E249" s="279"/>
      <c r="F249" s="279"/>
      <c r="G249" s="298"/>
    </row>
    <row r="250" spans="1:7" ht="18.75" x14ac:dyDescent="0.25">
      <c r="A250" s="273"/>
      <c r="B250" s="256"/>
      <c r="C250" s="60"/>
      <c r="D250" s="279"/>
      <c r="E250" s="279"/>
      <c r="F250" s="279"/>
      <c r="G250" s="298"/>
    </row>
    <row r="251" spans="1:7" ht="18.75" x14ac:dyDescent="0.25">
      <c r="A251" s="273"/>
      <c r="B251" s="256"/>
      <c r="C251" s="60"/>
      <c r="D251" s="279"/>
      <c r="E251" s="279"/>
      <c r="F251" s="279"/>
      <c r="G251" s="298"/>
    </row>
    <row r="252" spans="1:7" ht="18.75" x14ac:dyDescent="0.25">
      <c r="A252" s="273"/>
      <c r="B252" s="256"/>
      <c r="C252" s="60"/>
      <c r="D252" s="279"/>
      <c r="E252" s="279"/>
      <c r="F252" s="279"/>
      <c r="G252" s="298"/>
    </row>
    <row r="253" spans="1:7" ht="18.75" x14ac:dyDescent="0.25">
      <c r="A253" s="273"/>
      <c r="B253" s="256"/>
      <c r="C253" s="60"/>
      <c r="D253" s="279"/>
      <c r="E253" s="279"/>
      <c r="F253" s="279"/>
      <c r="G253" s="298"/>
    </row>
    <row r="254" spans="1:7" ht="18.75" x14ac:dyDescent="0.25">
      <c r="A254" s="273"/>
      <c r="B254" s="256"/>
      <c r="C254" s="60"/>
      <c r="D254" s="279"/>
      <c r="E254" s="279"/>
      <c r="F254" s="279"/>
      <c r="G254" s="298"/>
    </row>
    <row r="255" spans="1:7" ht="18.75" x14ac:dyDescent="0.25">
      <c r="A255" s="273"/>
      <c r="B255" s="256"/>
      <c r="C255" s="60"/>
      <c r="D255" s="279"/>
      <c r="E255" s="279"/>
      <c r="F255" s="279"/>
      <c r="G255" s="298"/>
    </row>
    <row r="256" spans="1:7" ht="18.75" x14ac:dyDescent="0.25">
      <c r="A256" s="273"/>
      <c r="B256" s="256"/>
      <c r="C256" s="60"/>
      <c r="D256" s="279"/>
      <c r="E256" s="279"/>
      <c r="F256" s="279"/>
      <c r="G256" s="298"/>
    </row>
    <row r="257" spans="1:7" ht="18.75" x14ac:dyDescent="0.25">
      <c r="A257" s="273"/>
      <c r="B257" s="256"/>
      <c r="C257" s="60"/>
      <c r="D257" s="279"/>
      <c r="E257" s="279"/>
      <c r="F257" s="279"/>
      <c r="G257" s="298"/>
    </row>
    <row r="258" spans="1:7" ht="18.75" x14ac:dyDescent="0.25">
      <c r="A258" s="273"/>
      <c r="B258" s="256"/>
      <c r="C258" s="60"/>
      <c r="D258" s="279"/>
      <c r="E258" s="279"/>
      <c r="F258" s="279"/>
      <c r="G258" s="298"/>
    </row>
    <row r="259" spans="1:7" ht="18.75" x14ac:dyDescent="0.25">
      <c r="A259" s="273"/>
      <c r="B259" s="256"/>
      <c r="C259" s="60"/>
      <c r="D259" s="279"/>
      <c r="E259" s="279"/>
      <c r="F259" s="279"/>
      <c r="G259" s="298"/>
    </row>
    <row r="260" spans="1:7" ht="18.75" x14ac:dyDescent="0.25">
      <c r="A260" s="299"/>
      <c r="B260" s="300"/>
      <c r="C260" s="301"/>
      <c r="D260" s="302"/>
      <c r="E260" s="302"/>
      <c r="F260" s="302"/>
      <c r="G260" s="303"/>
    </row>
  </sheetData>
  <conditionalFormatting sqref="A2:G238 A240:G255">
    <cfRule type="expression" dxfId="71" priority="6">
      <formula>MOD(RIGHT($A2,1),2)=0</formula>
    </cfRule>
    <cfRule type="expression" dxfId="70" priority="9">
      <formula>$A2="VARIOS"</formula>
    </cfRule>
  </conditionalFormatting>
  <conditionalFormatting sqref="A2:G238 A240:G257">
    <cfRule type="expression" priority="5" stopIfTrue="1">
      <formula>$A2="VCT00"</formula>
    </cfRule>
    <cfRule type="expression" dxfId="69" priority="7">
      <formula>$A2="VCT A.E.M"</formula>
    </cfRule>
  </conditionalFormatting>
  <conditionalFormatting sqref="A239:G239">
    <cfRule type="expression" dxfId="68" priority="2">
      <formula>MOD(RIGHT($A239,1),2)=0</formula>
    </cfRule>
    <cfRule type="expression" dxfId="67" priority="4">
      <formula>$A239="VARIOS"</formula>
    </cfRule>
  </conditionalFormatting>
  <conditionalFormatting sqref="A239:G239">
    <cfRule type="expression" priority="1" stopIfTrue="1">
      <formula>$A239="VCT00"</formula>
    </cfRule>
    <cfRule type="expression" dxfId="66" priority="3">
      <formula>$A239="VCT A.E.M"</formula>
    </cfRule>
  </conditionalFormatting>
  <pageMargins left="0.25" right="0.25" top="0.75" bottom="0.75" header="0.3" footer="0.3"/>
  <pageSetup paperSize="9" scale="74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PlantillaFinal">
                <anchor moveWithCells="1" sizeWithCells="1">
                  <from>
                    <xdr:col>7</xdr:col>
                    <xdr:colOff>323850</xdr:colOff>
                    <xdr:row>1</xdr:row>
                    <xdr:rowOff>114300</xdr:rowOff>
                  </from>
                  <to>
                    <xdr:col>9</xdr:col>
                    <xdr:colOff>666750</xdr:colOff>
                    <xdr:row>6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pageSetUpPr fitToPage="1"/>
  </sheetPr>
  <dimension ref="A1:J236"/>
  <sheetViews>
    <sheetView zoomScale="70" zoomScaleNormal="70" workbookViewId="0">
      <selection activeCell="A2" sqref="A2"/>
    </sheetView>
  </sheetViews>
  <sheetFormatPr baseColWidth="10" defaultColWidth="11.42578125" defaultRowHeight="15" x14ac:dyDescent="0.25"/>
  <cols>
    <col min="1" max="1" width="31.42578125" style="1" customWidth="1"/>
    <col min="2" max="2" width="13" style="1" bestFit="1" customWidth="1"/>
    <col min="3" max="3" width="49.5703125" style="1" bestFit="1" customWidth="1"/>
    <col min="4" max="4" width="53" style="1" bestFit="1" customWidth="1"/>
    <col min="5" max="5" width="17.7109375" style="537" customWidth="1"/>
    <col min="6" max="6" width="14" style="1" customWidth="1"/>
    <col min="7" max="7" width="16" style="537" bestFit="1" customWidth="1"/>
    <col min="8" max="8" width="21.42578125" style="537" bestFit="1" customWidth="1"/>
    <col min="9" max="16384" width="11.42578125" style="1"/>
  </cols>
  <sheetData>
    <row r="1" spans="1:10" ht="15.75" thickBot="1" x14ac:dyDescent="0.3">
      <c r="A1" s="486" t="s">
        <v>18</v>
      </c>
      <c r="B1" s="486" t="s">
        <v>0</v>
      </c>
      <c r="C1" s="487" t="s">
        <v>1</v>
      </c>
      <c r="D1" s="486" t="s">
        <v>2</v>
      </c>
      <c r="E1" s="536" t="s">
        <v>849</v>
      </c>
      <c r="F1" s="486" t="s">
        <v>710</v>
      </c>
      <c r="G1" s="536" t="s">
        <v>848</v>
      </c>
      <c r="H1" s="538" t="s">
        <v>850</v>
      </c>
    </row>
    <row r="2" spans="1:10" ht="15" customHeight="1" x14ac:dyDescent="0.25">
      <c r="A2" s="118">
        <v>547463</v>
      </c>
      <c r="B2" s="577" t="s">
        <v>617</v>
      </c>
      <c r="C2" s="577" t="s">
        <v>634</v>
      </c>
      <c r="D2" s="577" t="s">
        <v>635</v>
      </c>
      <c r="E2" s="560">
        <v>19371</v>
      </c>
      <c r="F2" s="561">
        <v>39832</v>
      </c>
      <c r="G2" s="560">
        <v>19859</v>
      </c>
      <c r="H2" s="562">
        <v>488</v>
      </c>
    </row>
    <row r="3" spans="1:10" ht="15" customHeight="1" x14ac:dyDescent="0.25">
      <c r="A3" s="121">
        <v>4492967</v>
      </c>
      <c r="B3" s="578" t="s">
        <v>617</v>
      </c>
      <c r="C3" s="578" t="s">
        <v>550</v>
      </c>
      <c r="D3" s="578" t="s">
        <v>664</v>
      </c>
      <c r="E3" s="563">
        <v>17179</v>
      </c>
      <c r="F3" s="564">
        <v>39875</v>
      </c>
      <c r="G3" s="563">
        <v>17291</v>
      </c>
      <c r="H3" s="565">
        <v>112</v>
      </c>
    </row>
    <row r="4" spans="1:10" ht="15" customHeight="1" x14ac:dyDescent="0.25">
      <c r="A4" s="121">
        <v>7107776</v>
      </c>
      <c r="B4" s="578" t="s">
        <v>617</v>
      </c>
      <c r="C4" s="578" t="s">
        <v>902</v>
      </c>
      <c r="D4" s="578" t="s">
        <v>903</v>
      </c>
      <c r="E4" s="563">
        <v>74224</v>
      </c>
      <c r="F4" s="564">
        <v>39478</v>
      </c>
      <c r="G4" s="563">
        <v>74224</v>
      </c>
      <c r="H4" s="565">
        <v>0</v>
      </c>
    </row>
    <row r="5" spans="1:10" ht="15" customHeight="1" x14ac:dyDescent="0.25">
      <c r="A5" s="121">
        <v>10283585</v>
      </c>
      <c r="B5" s="578" t="s">
        <v>617</v>
      </c>
      <c r="C5" s="578" t="s">
        <v>630</v>
      </c>
      <c r="D5" s="578" t="s">
        <v>636</v>
      </c>
      <c r="E5" s="563">
        <v>52465</v>
      </c>
      <c r="F5" s="564">
        <v>39859</v>
      </c>
      <c r="G5" s="563">
        <v>53937.4</v>
      </c>
      <c r="H5" s="565">
        <v>1472.4000000000015</v>
      </c>
    </row>
    <row r="6" spans="1:10" ht="15" customHeight="1" x14ac:dyDescent="0.25">
      <c r="A6" s="121">
        <v>10735985</v>
      </c>
      <c r="B6" s="578" t="s">
        <v>617</v>
      </c>
      <c r="C6" s="578" t="s">
        <v>902</v>
      </c>
      <c r="D6" s="578" t="s">
        <v>636</v>
      </c>
      <c r="E6" s="563">
        <v>4517</v>
      </c>
      <c r="F6" s="564">
        <v>39441</v>
      </c>
      <c r="G6" s="563">
        <v>4531</v>
      </c>
      <c r="H6" s="565">
        <v>14</v>
      </c>
    </row>
    <row r="7" spans="1:10" ht="15" customHeight="1" x14ac:dyDescent="0.25">
      <c r="A7" s="121">
        <v>11808535</v>
      </c>
      <c r="B7" s="578" t="s">
        <v>617</v>
      </c>
      <c r="C7" s="578" t="s">
        <v>630</v>
      </c>
      <c r="D7" s="578" t="s">
        <v>633</v>
      </c>
      <c r="E7" s="563">
        <v>39352</v>
      </c>
      <c r="F7" s="564">
        <v>39858</v>
      </c>
      <c r="G7" s="563">
        <v>39684</v>
      </c>
      <c r="H7" s="565">
        <v>332</v>
      </c>
    </row>
    <row r="8" spans="1:10" x14ac:dyDescent="0.25">
      <c r="A8" s="121">
        <v>50037472</v>
      </c>
      <c r="B8" s="578" t="s">
        <v>617</v>
      </c>
      <c r="C8" s="578" t="s">
        <v>628</v>
      </c>
      <c r="D8" s="578" t="s">
        <v>629</v>
      </c>
      <c r="E8" s="563">
        <v>12860</v>
      </c>
      <c r="F8" s="564">
        <v>39880</v>
      </c>
      <c r="G8" s="563">
        <v>12916</v>
      </c>
      <c r="H8" s="565">
        <v>56</v>
      </c>
    </row>
    <row r="9" spans="1:10" x14ac:dyDescent="0.25">
      <c r="A9" s="121">
        <v>73321615</v>
      </c>
      <c r="B9" s="578" t="s">
        <v>617</v>
      </c>
      <c r="C9" s="578" t="s">
        <v>639</v>
      </c>
      <c r="D9" s="578" t="s">
        <v>640</v>
      </c>
      <c r="E9" s="563">
        <v>293783</v>
      </c>
      <c r="F9" s="564">
        <v>39890</v>
      </c>
      <c r="G9" s="563">
        <v>297877</v>
      </c>
      <c r="H9" s="565">
        <v>4094</v>
      </c>
    </row>
    <row r="10" spans="1:10" x14ac:dyDescent="0.25">
      <c r="A10" s="121" t="s">
        <v>408</v>
      </c>
      <c r="B10" s="578" t="s">
        <v>617</v>
      </c>
      <c r="C10" s="578" t="s">
        <v>1396</v>
      </c>
      <c r="D10" s="578" t="s">
        <v>621</v>
      </c>
      <c r="E10" s="563">
        <v>470774</v>
      </c>
      <c r="F10" s="564">
        <v>39895</v>
      </c>
      <c r="G10" s="563">
        <v>474505</v>
      </c>
      <c r="H10" s="565">
        <v>3731</v>
      </c>
    </row>
    <row r="11" spans="1:10" ht="15" customHeight="1" thickBot="1" x14ac:dyDescent="0.3">
      <c r="A11" s="121" t="s">
        <v>404</v>
      </c>
      <c r="B11" s="578" t="s">
        <v>617</v>
      </c>
      <c r="C11" s="578" t="s">
        <v>623</v>
      </c>
      <c r="D11" s="578" t="s">
        <v>624</v>
      </c>
      <c r="E11" s="563">
        <v>97520</v>
      </c>
      <c r="F11" s="564">
        <v>39835</v>
      </c>
      <c r="G11" s="563">
        <v>98334</v>
      </c>
      <c r="H11" s="565">
        <v>814</v>
      </c>
    </row>
    <row r="12" spans="1:10" ht="15" customHeight="1" thickBot="1" x14ac:dyDescent="0.3">
      <c r="A12" s="121" t="s">
        <v>403</v>
      </c>
      <c r="B12" s="578" t="s">
        <v>617</v>
      </c>
      <c r="C12" s="578" t="s">
        <v>658</v>
      </c>
      <c r="D12" s="578" t="s">
        <v>621</v>
      </c>
      <c r="E12" s="563">
        <v>716175</v>
      </c>
      <c r="F12" s="564">
        <v>39305</v>
      </c>
      <c r="G12" s="563">
        <v>718864</v>
      </c>
      <c r="H12" s="565">
        <v>2689</v>
      </c>
      <c r="I12" s="386" t="s">
        <v>1053</v>
      </c>
      <c r="J12" s="394">
        <f>COUNTIF(Tabla2[[#Data],[#Totals],[UltConsumo]],"n/a")</f>
        <v>32</v>
      </c>
    </row>
    <row r="13" spans="1:10" ht="15" customHeight="1" x14ac:dyDescent="0.25">
      <c r="A13" s="121" t="s">
        <v>1426</v>
      </c>
      <c r="B13" s="578" t="s">
        <v>617</v>
      </c>
      <c r="C13" s="578" t="s">
        <v>1388</v>
      </c>
      <c r="D13" s="578" t="s">
        <v>636</v>
      </c>
      <c r="E13" s="563">
        <v>0</v>
      </c>
      <c r="F13" s="564">
        <v>39324</v>
      </c>
      <c r="G13" s="563">
        <v>0</v>
      </c>
      <c r="H13" s="565" t="s">
        <v>1053</v>
      </c>
    </row>
    <row r="14" spans="1:10" ht="15" customHeight="1" x14ac:dyDescent="0.25">
      <c r="A14" s="121">
        <v>3789280061</v>
      </c>
      <c r="B14" s="578" t="s">
        <v>650</v>
      </c>
      <c r="C14" s="578" t="s">
        <v>651</v>
      </c>
      <c r="D14" s="578" t="s">
        <v>1362</v>
      </c>
      <c r="E14" s="563">
        <v>0</v>
      </c>
      <c r="F14" s="564">
        <v>39886</v>
      </c>
      <c r="G14" s="563">
        <v>0</v>
      </c>
      <c r="H14" s="565" t="s">
        <v>1053</v>
      </c>
    </row>
    <row r="15" spans="1:10" x14ac:dyDescent="0.25">
      <c r="A15" s="121" t="s">
        <v>417</v>
      </c>
      <c r="B15" s="578" t="s">
        <v>650</v>
      </c>
      <c r="C15" s="578" t="s">
        <v>651</v>
      </c>
      <c r="D15" s="578" t="s">
        <v>654</v>
      </c>
      <c r="E15" s="563">
        <v>76871</v>
      </c>
      <c r="F15" s="564">
        <v>39881</v>
      </c>
      <c r="G15" s="563">
        <v>77387</v>
      </c>
      <c r="H15" s="565">
        <v>516</v>
      </c>
    </row>
    <row r="16" spans="1:10" ht="15" customHeight="1" x14ac:dyDescent="0.25">
      <c r="A16" s="121" t="s">
        <v>418</v>
      </c>
      <c r="B16" s="578" t="s">
        <v>650</v>
      </c>
      <c r="C16" s="578" t="s">
        <v>651</v>
      </c>
      <c r="D16" s="578" t="s">
        <v>654</v>
      </c>
      <c r="E16" s="563">
        <v>69240</v>
      </c>
      <c r="F16" s="566">
        <v>39882</v>
      </c>
      <c r="G16" s="563">
        <v>69744</v>
      </c>
      <c r="H16" s="565">
        <v>504</v>
      </c>
    </row>
    <row r="17" spans="1:8" ht="15" customHeight="1" x14ac:dyDescent="0.25">
      <c r="A17" s="121" t="s">
        <v>419</v>
      </c>
      <c r="B17" s="578" t="s">
        <v>650</v>
      </c>
      <c r="C17" s="578" t="s">
        <v>651</v>
      </c>
      <c r="D17" s="578" t="s">
        <v>654</v>
      </c>
      <c r="E17" s="567">
        <v>13923</v>
      </c>
      <c r="F17" s="568">
        <v>39065</v>
      </c>
      <c r="G17" s="569">
        <v>13976</v>
      </c>
      <c r="H17" s="565">
        <v>53</v>
      </c>
    </row>
    <row r="18" spans="1:8" ht="15" customHeight="1" x14ac:dyDescent="0.25">
      <c r="A18" s="121" t="s">
        <v>420</v>
      </c>
      <c r="B18" s="578" t="s">
        <v>650</v>
      </c>
      <c r="C18" s="578" t="s">
        <v>651</v>
      </c>
      <c r="D18" s="578" t="s">
        <v>654</v>
      </c>
      <c r="E18" s="563">
        <v>0</v>
      </c>
      <c r="F18" s="570">
        <v>39658</v>
      </c>
      <c r="G18" s="563">
        <v>0</v>
      </c>
      <c r="H18" s="565" t="s">
        <v>1053</v>
      </c>
    </row>
    <row r="19" spans="1:8" ht="15" customHeight="1" x14ac:dyDescent="0.25">
      <c r="A19" s="121" t="s">
        <v>424</v>
      </c>
      <c r="B19" s="578" t="s">
        <v>650</v>
      </c>
      <c r="C19" s="578" t="s">
        <v>651</v>
      </c>
      <c r="D19" s="578" t="s">
        <v>654</v>
      </c>
      <c r="E19" s="563">
        <v>41478</v>
      </c>
      <c r="F19" s="564">
        <v>39899</v>
      </c>
      <c r="G19" s="563">
        <v>42467</v>
      </c>
      <c r="H19" s="565">
        <v>989</v>
      </c>
    </row>
    <row r="20" spans="1:8" ht="15" customHeight="1" x14ac:dyDescent="0.25">
      <c r="A20" s="121">
        <v>542779</v>
      </c>
      <c r="B20" s="578" t="s">
        <v>667</v>
      </c>
      <c r="C20" s="578" t="s">
        <v>668</v>
      </c>
      <c r="D20" s="578" t="s">
        <v>669</v>
      </c>
      <c r="E20" s="563">
        <v>1640092</v>
      </c>
      <c r="F20" s="564">
        <v>39869</v>
      </c>
      <c r="G20" s="563">
        <v>1675749</v>
      </c>
      <c r="H20" s="565">
        <v>35657</v>
      </c>
    </row>
    <row r="21" spans="1:8" ht="15" customHeight="1" x14ac:dyDescent="0.25">
      <c r="A21" s="121">
        <v>17070</v>
      </c>
      <c r="B21" s="578" t="s">
        <v>670</v>
      </c>
      <c r="C21" s="578" t="s">
        <v>1411</v>
      </c>
      <c r="D21" s="578" t="s">
        <v>672</v>
      </c>
      <c r="E21" s="563">
        <v>13745</v>
      </c>
      <c r="F21" s="564">
        <v>39873</v>
      </c>
      <c r="G21" s="563">
        <v>13779</v>
      </c>
      <c r="H21" s="565">
        <v>34</v>
      </c>
    </row>
    <row r="22" spans="1:8" x14ac:dyDescent="0.25">
      <c r="A22" s="121">
        <v>50564017</v>
      </c>
      <c r="B22" s="578" t="s">
        <v>670</v>
      </c>
      <c r="C22" s="578" t="s">
        <v>630</v>
      </c>
      <c r="D22" s="578" t="s">
        <v>674</v>
      </c>
      <c r="E22" s="563">
        <v>193262</v>
      </c>
      <c r="F22" s="564">
        <v>39878</v>
      </c>
      <c r="G22" s="563">
        <v>195197</v>
      </c>
      <c r="H22" s="565">
        <v>1935</v>
      </c>
    </row>
    <row r="23" spans="1:8" x14ac:dyDescent="0.25">
      <c r="A23" s="121">
        <v>85006712</v>
      </c>
      <c r="B23" s="578" t="s">
        <v>670</v>
      </c>
      <c r="C23" s="578" t="s">
        <v>630</v>
      </c>
      <c r="D23" s="578" t="s">
        <v>676</v>
      </c>
      <c r="E23" s="563">
        <v>1908601</v>
      </c>
      <c r="F23" s="564">
        <v>39809</v>
      </c>
      <c r="G23" s="563">
        <v>1933502</v>
      </c>
      <c r="H23" s="565">
        <v>24901</v>
      </c>
    </row>
    <row r="24" spans="1:8" x14ac:dyDescent="0.25">
      <c r="A24" s="121">
        <v>85006713</v>
      </c>
      <c r="B24" s="578" t="s">
        <v>670</v>
      </c>
      <c r="C24" s="578" t="s">
        <v>630</v>
      </c>
      <c r="D24" s="578" t="s">
        <v>676</v>
      </c>
      <c r="E24" s="563">
        <v>764284</v>
      </c>
      <c r="F24" s="564">
        <v>39810</v>
      </c>
      <c r="G24" s="563">
        <v>775179</v>
      </c>
      <c r="H24" s="565">
        <v>10895</v>
      </c>
    </row>
    <row r="25" spans="1:8" x14ac:dyDescent="0.25">
      <c r="A25" s="121">
        <v>83061189</v>
      </c>
      <c r="B25" s="578" t="s">
        <v>517</v>
      </c>
      <c r="C25" s="578" t="s">
        <v>146</v>
      </c>
      <c r="D25" s="578" t="s">
        <v>1062</v>
      </c>
      <c r="E25" s="563">
        <v>1325461</v>
      </c>
      <c r="F25" s="564">
        <v>39539</v>
      </c>
      <c r="G25" s="563">
        <v>1325461</v>
      </c>
      <c r="H25" s="565">
        <v>0</v>
      </c>
    </row>
    <row r="26" spans="1:8" x14ac:dyDescent="0.25">
      <c r="A26" s="121">
        <v>94811334</v>
      </c>
      <c r="B26" s="578" t="s">
        <v>517</v>
      </c>
      <c r="C26" s="578" t="s">
        <v>523</v>
      </c>
      <c r="D26" s="578" t="s">
        <v>521</v>
      </c>
      <c r="E26" s="563">
        <v>3585606</v>
      </c>
      <c r="F26" s="564">
        <v>39483</v>
      </c>
      <c r="G26" s="563">
        <v>3589825</v>
      </c>
      <c r="H26" s="565">
        <v>4219</v>
      </c>
    </row>
    <row r="27" spans="1:8" x14ac:dyDescent="0.25">
      <c r="A27" s="121">
        <v>94811340</v>
      </c>
      <c r="B27" s="578" t="s">
        <v>517</v>
      </c>
      <c r="C27" s="578" t="s">
        <v>520</v>
      </c>
      <c r="D27" s="578" t="s">
        <v>521</v>
      </c>
      <c r="E27" s="563">
        <v>5165982</v>
      </c>
      <c r="F27" s="564">
        <v>39947</v>
      </c>
      <c r="G27" s="563">
        <v>5257835</v>
      </c>
      <c r="H27" s="565">
        <v>91853</v>
      </c>
    </row>
    <row r="28" spans="1:8" x14ac:dyDescent="0.25">
      <c r="A28" s="121">
        <v>94811345</v>
      </c>
      <c r="B28" s="578" t="s">
        <v>517</v>
      </c>
      <c r="C28" s="578" t="s">
        <v>528</v>
      </c>
      <c r="D28" s="578" t="s">
        <v>529</v>
      </c>
      <c r="E28" s="563">
        <v>2726188</v>
      </c>
      <c r="F28" s="564">
        <v>39975</v>
      </c>
      <c r="G28" s="563">
        <v>2762864</v>
      </c>
      <c r="H28" s="565">
        <v>36676</v>
      </c>
    </row>
    <row r="29" spans="1:8" x14ac:dyDescent="0.25">
      <c r="A29" s="121">
        <v>94811349</v>
      </c>
      <c r="B29" s="578" t="s">
        <v>517</v>
      </c>
      <c r="C29" s="578" t="s">
        <v>1372</v>
      </c>
      <c r="D29" s="578" t="s">
        <v>1373</v>
      </c>
      <c r="E29" s="563">
        <v>0</v>
      </c>
      <c r="F29" s="564">
        <v>39424</v>
      </c>
      <c r="G29" s="563">
        <v>0</v>
      </c>
      <c r="H29" s="565" t="s">
        <v>1053</v>
      </c>
    </row>
    <row r="30" spans="1:8" x14ac:dyDescent="0.25">
      <c r="A30" s="121">
        <v>94823397</v>
      </c>
      <c r="B30" s="578" t="s">
        <v>517</v>
      </c>
      <c r="C30" s="578" t="s">
        <v>518</v>
      </c>
      <c r="D30" s="578" t="s">
        <v>519</v>
      </c>
      <c r="E30" s="563">
        <v>2054431</v>
      </c>
      <c r="F30" s="564">
        <v>39929</v>
      </c>
      <c r="G30" s="563">
        <v>2059792</v>
      </c>
      <c r="H30" s="565">
        <v>5361</v>
      </c>
    </row>
    <row r="31" spans="1:8" x14ac:dyDescent="0.25">
      <c r="A31" s="121" t="s">
        <v>1155</v>
      </c>
      <c r="B31" s="578" t="s">
        <v>517</v>
      </c>
      <c r="C31" s="578" t="s">
        <v>532</v>
      </c>
      <c r="D31" s="578" t="s">
        <v>533</v>
      </c>
      <c r="E31" s="563">
        <v>23</v>
      </c>
      <c r="F31" s="564">
        <v>39501</v>
      </c>
      <c r="G31" s="563">
        <v>46212</v>
      </c>
      <c r="H31" s="565">
        <v>46189</v>
      </c>
    </row>
    <row r="32" spans="1:8" x14ac:dyDescent="0.25">
      <c r="A32" s="121">
        <v>95589698</v>
      </c>
      <c r="B32" s="578" t="s">
        <v>356</v>
      </c>
      <c r="C32" s="578" t="s">
        <v>379</v>
      </c>
      <c r="D32" s="578" t="s">
        <v>380</v>
      </c>
      <c r="E32" s="563">
        <v>5892084</v>
      </c>
      <c r="F32" s="564">
        <v>39471</v>
      </c>
      <c r="G32" s="563">
        <v>5923665</v>
      </c>
      <c r="H32" s="565">
        <v>31581</v>
      </c>
    </row>
    <row r="33" spans="1:8" x14ac:dyDescent="0.25">
      <c r="A33" s="121">
        <v>95589705</v>
      </c>
      <c r="B33" s="578" t="s">
        <v>356</v>
      </c>
      <c r="C33" s="578" t="s">
        <v>108</v>
      </c>
      <c r="D33" s="578" t="s">
        <v>467</v>
      </c>
      <c r="E33" s="563">
        <v>823015</v>
      </c>
      <c r="F33" s="564">
        <v>39017</v>
      </c>
      <c r="G33" s="563">
        <v>823015</v>
      </c>
      <c r="H33" s="565">
        <v>0</v>
      </c>
    </row>
    <row r="34" spans="1:8" x14ac:dyDescent="0.25">
      <c r="A34" s="121">
        <v>95589721</v>
      </c>
      <c r="B34" s="578" t="s">
        <v>356</v>
      </c>
      <c r="C34" s="578" t="s">
        <v>108</v>
      </c>
      <c r="D34" s="578" t="s">
        <v>382</v>
      </c>
      <c r="E34" s="563">
        <v>3238755</v>
      </c>
      <c r="F34" s="564">
        <v>39145</v>
      </c>
      <c r="G34" s="563">
        <v>3238773</v>
      </c>
      <c r="H34" s="565">
        <v>18</v>
      </c>
    </row>
    <row r="35" spans="1:8" x14ac:dyDescent="0.25">
      <c r="A35" s="121">
        <v>95589723</v>
      </c>
      <c r="B35" s="578" t="s">
        <v>356</v>
      </c>
      <c r="C35" s="578" t="s">
        <v>108</v>
      </c>
      <c r="D35" s="578" t="s">
        <v>362</v>
      </c>
      <c r="E35" s="563">
        <v>85743935</v>
      </c>
      <c r="F35" s="564">
        <v>39667</v>
      </c>
      <c r="G35" s="563">
        <v>86600074</v>
      </c>
      <c r="H35" s="565">
        <v>856139</v>
      </c>
    </row>
    <row r="36" spans="1:8" x14ac:dyDescent="0.25">
      <c r="A36" s="121">
        <v>95589730</v>
      </c>
      <c r="B36" s="578" t="s">
        <v>356</v>
      </c>
      <c r="C36" s="578" t="s">
        <v>375</v>
      </c>
      <c r="D36" s="578" t="s">
        <v>376</v>
      </c>
      <c r="E36" s="563">
        <v>6962662</v>
      </c>
      <c r="F36" s="564">
        <v>39729</v>
      </c>
      <c r="G36" s="563">
        <v>7006492</v>
      </c>
      <c r="H36" s="565">
        <v>43830</v>
      </c>
    </row>
    <row r="37" spans="1:8" x14ac:dyDescent="0.25">
      <c r="A37" s="121">
        <v>95589744</v>
      </c>
      <c r="B37" s="578" t="s">
        <v>356</v>
      </c>
      <c r="C37" s="578" t="s">
        <v>372</v>
      </c>
      <c r="D37" s="578" t="s">
        <v>372</v>
      </c>
      <c r="E37" s="563">
        <v>2076213</v>
      </c>
      <c r="F37" s="564">
        <v>39000</v>
      </c>
      <c r="G37" s="563">
        <v>2093233</v>
      </c>
      <c r="H37" s="565">
        <v>17020</v>
      </c>
    </row>
    <row r="38" spans="1:8" x14ac:dyDescent="0.25">
      <c r="A38" s="121">
        <v>97560644</v>
      </c>
      <c r="B38" s="578" t="s">
        <v>356</v>
      </c>
      <c r="C38" s="578" t="s">
        <v>385</v>
      </c>
      <c r="D38" s="578" t="s">
        <v>386</v>
      </c>
      <c r="E38" s="563">
        <v>3814751</v>
      </c>
      <c r="F38" s="564">
        <v>39281</v>
      </c>
      <c r="G38" s="563">
        <v>3877465</v>
      </c>
      <c r="H38" s="565">
        <v>62714</v>
      </c>
    </row>
    <row r="39" spans="1:8" x14ac:dyDescent="0.25">
      <c r="A39" s="121">
        <v>15051348800</v>
      </c>
      <c r="B39" s="578" t="s">
        <v>356</v>
      </c>
      <c r="C39" s="578" t="s">
        <v>108</v>
      </c>
      <c r="D39" s="578" t="s">
        <v>469</v>
      </c>
      <c r="E39" s="563">
        <v>131970</v>
      </c>
      <c r="F39" s="564">
        <v>39030</v>
      </c>
      <c r="G39" s="563">
        <v>132630</v>
      </c>
      <c r="H39" s="565">
        <v>660</v>
      </c>
    </row>
    <row r="40" spans="1:8" x14ac:dyDescent="0.25">
      <c r="A40" s="121" t="s">
        <v>1269</v>
      </c>
      <c r="B40" s="578" t="s">
        <v>356</v>
      </c>
      <c r="C40" s="578" t="s">
        <v>377</v>
      </c>
      <c r="D40" s="578" t="s">
        <v>378</v>
      </c>
      <c r="E40" s="563">
        <v>902721</v>
      </c>
      <c r="F40" s="564">
        <v>39413</v>
      </c>
      <c r="G40" s="563">
        <v>904150</v>
      </c>
      <c r="H40" s="565">
        <v>1429</v>
      </c>
    </row>
    <row r="41" spans="1:8" x14ac:dyDescent="0.25">
      <c r="A41" s="121" t="s">
        <v>1268</v>
      </c>
      <c r="B41" s="578" t="s">
        <v>356</v>
      </c>
      <c r="C41" s="578" t="s">
        <v>365</v>
      </c>
      <c r="D41" s="578" t="s">
        <v>366</v>
      </c>
      <c r="E41" s="563">
        <v>15664868</v>
      </c>
      <c r="F41" s="564">
        <v>39053</v>
      </c>
      <c r="G41" s="563">
        <v>15807632</v>
      </c>
      <c r="H41" s="565">
        <v>142764</v>
      </c>
    </row>
    <row r="42" spans="1:8" x14ac:dyDescent="0.25">
      <c r="A42" s="121" t="s">
        <v>1270</v>
      </c>
      <c r="B42" s="578" t="s">
        <v>356</v>
      </c>
      <c r="C42" s="578" t="s">
        <v>383</v>
      </c>
      <c r="D42" s="578" t="s">
        <v>384</v>
      </c>
      <c r="E42" s="563">
        <v>615746</v>
      </c>
      <c r="F42" s="564">
        <v>39202</v>
      </c>
      <c r="G42" s="563">
        <v>615746</v>
      </c>
      <c r="H42" s="565">
        <v>0</v>
      </c>
    </row>
    <row r="43" spans="1:8" x14ac:dyDescent="0.25">
      <c r="A43" s="121" t="s">
        <v>1271</v>
      </c>
      <c r="B43" s="578" t="s">
        <v>356</v>
      </c>
      <c r="C43" s="578" t="s">
        <v>369</v>
      </c>
      <c r="D43" s="578" t="s">
        <v>370</v>
      </c>
      <c r="E43" s="563">
        <v>0</v>
      </c>
      <c r="F43" s="564">
        <v>39486</v>
      </c>
      <c r="G43" s="563">
        <v>0</v>
      </c>
      <c r="H43" s="565" t="s">
        <v>1053</v>
      </c>
    </row>
    <row r="44" spans="1:8" x14ac:dyDescent="0.25">
      <c r="A44" s="121" t="s">
        <v>1274</v>
      </c>
      <c r="B44" s="578" t="s">
        <v>356</v>
      </c>
      <c r="C44" s="578" t="s">
        <v>381</v>
      </c>
      <c r="D44" s="578" t="s">
        <v>876</v>
      </c>
      <c r="E44" s="563">
        <v>6568207</v>
      </c>
      <c r="F44" s="564">
        <v>39514</v>
      </c>
      <c r="G44" s="563">
        <v>6616408</v>
      </c>
      <c r="H44" s="565">
        <v>48201</v>
      </c>
    </row>
    <row r="45" spans="1:8" x14ac:dyDescent="0.25">
      <c r="A45" s="121" t="s">
        <v>1275</v>
      </c>
      <c r="B45" s="578" t="s">
        <v>356</v>
      </c>
      <c r="C45" s="578" t="s">
        <v>357</v>
      </c>
      <c r="D45" s="578" t="s">
        <v>358</v>
      </c>
      <c r="E45" s="563">
        <v>103295839</v>
      </c>
      <c r="F45" s="564">
        <v>39100</v>
      </c>
      <c r="G45" s="563">
        <v>104090702</v>
      </c>
      <c r="H45" s="565">
        <v>794863</v>
      </c>
    </row>
    <row r="46" spans="1:8" x14ac:dyDescent="0.25">
      <c r="A46" s="121" t="s">
        <v>1276</v>
      </c>
      <c r="B46" s="578" t="s">
        <v>356</v>
      </c>
      <c r="C46" s="578" t="s">
        <v>360</v>
      </c>
      <c r="D46" s="578" t="s">
        <v>361</v>
      </c>
      <c r="E46" s="563">
        <v>6562458</v>
      </c>
      <c r="F46" s="564">
        <v>39235</v>
      </c>
      <c r="G46" s="563">
        <v>6615471</v>
      </c>
      <c r="H46" s="565">
        <v>53013</v>
      </c>
    </row>
    <row r="47" spans="1:8" x14ac:dyDescent="0.25">
      <c r="A47" s="121" t="s">
        <v>1277</v>
      </c>
      <c r="B47" s="578" t="s">
        <v>356</v>
      </c>
      <c r="C47" s="578" t="s">
        <v>373</v>
      </c>
      <c r="D47" s="578" t="s">
        <v>374</v>
      </c>
      <c r="E47" s="563">
        <v>7226901</v>
      </c>
      <c r="F47" s="564">
        <v>39316</v>
      </c>
      <c r="G47" s="563">
        <v>7261619</v>
      </c>
      <c r="H47" s="565">
        <v>34718</v>
      </c>
    </row>
    <row r="48" spans="1:8" x14ac:dyDescent="0.25">
      <c r="A48" s="121" t="s">
        <v>1278</v>
      </c>
      <c r="B48" s="578" t="s">
        <v>356</v>
      </c>
      <c r="C48" s="578" t="s">
        <v>363</v>
      </c>
      <c r="D48" s="578" t="s">
        <v>364</v>
      </c>
      <c r="E48" s="563">
        <v>3267992</v>
      </c>
      <c r="F48" s="564">
        <v>39189</v>
      </c>
      <c r="G48" s="563">
        <v>3293683</v>
      </c>
      <c r="H48" s="565">
        <v>25691</v>
      </c>
    </row>
    <row r="49" spans="1:8" x14ac:dyDescent="0.25">
      <c r="A49" s="121" t="s">
        <v>1279</v>
      </c>
      <c r="B49" s="578" t="s">
        <v>356</v>
      </c>
      <c r="C49" s="578" t="s">
        <v>192</v>
      </c>
      <c r="D49" s="578" t="s">
        <v>387</v>
      </c>
      <c r="E49" s="563">
        <v>141337526</v>
      </c>
      <c r="F49" s="564">
        <v>39760</v>
      </c>
      <c r="G49" s="563">
        <v>143127585</v>
      </c>
      <c r="H49" s="565">
        <v>1790059</v>
      </c>
    </row>
    <row r="50" spans="1:8" x14ac:dyDescent="0.25">
      <c r="A50" s="121" t="s">
        <v>1280</v>
      </c>
      <c r="B50" s="578" t="s">
        <v>356</v>
      </c>
      <c r="C50" s="578" t="s">
        <v>388</v>
      </c>
      <c r="D50" s="578" t="s">
        <v>389</v>
      </c>
      <c r="E50" s="563">
        <v>1542014</v>
      </c>
      <c r="F50" s="564">
        <v>39407</v>
      </c>
      <c r="G50" s="563">
        <v>1560656</v>
      </c>
      <c r="H50" s="565">
        <v>18642</v>
      </c>
    </row>
    <row r="51" spans="1:8" x14ac:dyDescent="0.25">
      <c r="A51" s="121" t="s">
        <v>1266</v>
      </c>
      <c r="B51" s="578" t="s">
        <v>356</v>
      </c>
      <c r="C51" s="578" t="s">
        <v>1046</v>
      </c>
      <c r="D51" s="578" t="s">
        <v>868</v>
      </c>
      <c r="E51" s="563">
        <v>110692</v>
      </c>
      <c r="F51" s="564">
        <v>39509</v>
      </c>
      <c r="G51" s="563">
        <v>123228</v>
      </c>
      <c r="H51" s="565">
        <v>12536</v>
      </c>
    </row>
    <row r="52" spans="1:8" x14ac:dyDescent="0.25">
      <c r="A52" s="121">
        <v>61560</v>
      </c>
      <c r="B52" s="578" t="s">
        <v>541</v>
      </c>
      <c r="C52" s="578" t="s">
        <v>550</v>
      </c>
      <c r="D52" s="578" t="s">
        <v>551</v>
      </c>
      <c r="E52" s="563">
        <v>1135</v>
      </c>
      <c r="F52" s="564">
        <v>39945</v>
      </c>
      <c r="G52" s="563">
        <v>1135</v>
      </c>
      <c r="H52" s="565">
        <v>0</v>
      </c>
    </row>
    <row r="53" spans="1:8" x14ac:dyDescent="0.25">
      <c r="A53" s="121">
        <v>57868732</v>
      </c>
      <c r="B53" s="578" t="s">
        <v>541</v>
      </c>
      <c r="C53" s="578" t="s">
        <v>548</v>
      </c>
      <c r="D53" s="578" t="s">
        <v>549</v>
      </c>
      <c r="E53" s="563">
        <v>10573</v>
      </c>
      <c r="F53" s="564">
        <v>39939</v>
      </c>
      <c r="G53" s="563">
        <v>10644</v>
      </c>
      <c r="H53" s="565">
        <v>71</v>
      </c>
    </row>
    <row r="54" spans="1:8" x14ac:dyDescent="0.25">
      <c r="A54" s="121">
        <v>78126109</v>
      </c>
      <c r="B54" s="578" t="s">
        <v>541</v>
      </c>
      <c r="C54" s="578" t="s">
        <v>1198</v>
      </c>
      <c r="D54" s="578" t="s">
        <v>561</v>
      </c>
      <c r="E54" s="563">
        <v>402294</v>
      </c>
      <c r="F54" s="564">
        <v>39582</v>
      </c>
      <c r="G54" s="563">
        <v>404117</v>
      </c>
      <c r="H54" s="565">
        <v>1823</v>
      </c>
    </row>
    <row r="55" spans="1:8" x14ac:dyDescent="0.25">
      <c r="A55" s="121">
        <v>99561366</v>
      </c>
      <c r="B55" s="578" t="s">
        <v>541</v>
      </c>
      <c r="C55" s="578" t="s">
        <v>518</v>
      </c>
      <c r="D55" s="578" t="s">
        <v>547</v>
      </c>
      <c r="E55" s="563">
        <v>49335</v>
      </c>
      <c r="F55" s="564">
        <v>39966</v>
      </c>
      <c r="G55" s="563">
        <v>49335</v>
      </c>
      <c r="H55" s="565">
        <v>0</v>
      </c>
    </row>
    <row r="56" spans="1:8" x14ac:dyDescent="0.25">
      <c r="A56" s="121">
        <v>99561370</v>
      </c>
      <c r="B56" s="578" t="s">
        <v>541</v>
      </c>
      <c r="C56" s="578" t="s">
        <v>1198</v>
      </c>
      <c r="D56" s="578"/>
      <c r="E56" s="563">
        <v>179765</v>
      </c>
      <c r="F56" s="564">
        <v>39376</v>
      </c>
      <c r="G56" s="563">
        <v>181624</v>
      </c>
      <c r="H56" s="565">
        <v>1859</v>
      </c>
    </row>
    <row r="57" spans="1:8" x14ac:dyDescent="0.25">
      <c r="A57" s="121">
        <v>106230738</v>
      </c>
      <c r="B57" s="578" t="s">
        <v>541</v>
      </c>
      <c r="C57" s="578" t="s">
        <v>542</v>
      </c>
      <c r="D57" s="578" t="s">
        <v>543</v>
      </c>
      <c r="E57" s="563">
        <v>84043</v>
      </c>
      <c r="F57" s="564">
        <v>39354</v>
      </c>
      <c r="G57" s="563">
        <v>84043</v>
      </c>
      <c r="H57" s="565">
        <v>0</v>
      </c>
    </row>
    <row r="58" spans="1:8" x14ac:dyDescent="0.25">
      <c r="A58" s="121" t="s">
        <v>1377</v>
      </c>
      <c r="B58" s="578" t="s">
        <v>541</v>
      </c>
      <c r="C58" s="578" t="s">
        <v>1198</v>
      </c>
      <c r="D58" s="578" t="s">
        <v>1379</v>
      </c>
      <c r="E58" s="563">
        <v>0</v>
      </c>
      <c r="F58" s="564">
        <v>39510</v>
      </c>
      <c r="G58" s="563">
        <v>0</v>
      </c>
      <c r="H58" s="565" t="s">
        <v>1053</v>
      </c>
    </row>
    <row r="59" spans="1:8" x14ac:dyDescent="0.25">
      <c r="A59" s="121" t="s">
        <v>395</v>
      </c>
      <c r="B59" s="578" t="s">
        <v>541</v>
      </c>
      <c r="C59" s="578" t="s">
        <v>544</v>
      </c>
      <c r="D59" s="578" t="s">
        <v>545</v>
      </c>
      <c r="E59" s="563">
        <v>998050</v>
      </c>
      <c r="F59" s="564">
        <v>39901</v>
      </c>
      <c r="G59" s="563">
        <v>998050</v>
      </c>
      <c r="H59" s="565">
        <v>0</v>
      </c>
    </row>
    <row r="60" spans="1:8" x14ac:dyDescent="0.25">
      <c r="A60" s="121">
        <v>20583312</v>
      </c>
      <c r="B60" s="578" t="s">
        <v>560</v>
      </c>
      <c r="C60" s="578" t="s">
        <v>565</v>
      </c>
      <c r="D60" s="578" t="s">
        <v>124</v>
      </c>
      <c r="E60" s="563">
        <v>4304</v>
      </c>
      <c r="F60" s="564">
        <v>39978</v>
      </c>
      <c r="G60" s="563">
        <v>4315</v>
      </c>
      <c r="H60" s="565">
        <v>220</v>
      </c>
    </row>
    <row r="61" spans="1:8" x14ac:dyDescent="0.25">
      <c r="A61" s="121">
        <v>63000131</v>
      </c>
      <c r="B61" s="578" t="s">
        <v>560</v>
      </c>
      <c r="C61" s="578" t="s">
        <v>367</v>
      </c>
      <c r="D61" s="578" t="s">
        <v>124</v>
      </c>
      <c r="E61" s="563">
        <v>305521</v>
      </c>
      <c r="F61" s="564">
        <v>39405</v>
      </c>
      <c r="G61" s="563">
        <v>307759</v>
      </c>
      <c r="H61" s="565">
        <v>2238</v>
      </c>
    </row>
    <row r="62" spans="1:8" x14ac:dyDescent="0.25">
      <c r="A62" s="121">
        <v>83363214</v>
      </c>
      <c r="B62" s="578" t="s">
        <v>560</v>
      </c>
      <c r="C62" s="578" t="s">
        <v>562</v>
      </c>
      <c r="D62" s="578" t="s">
        <v>124</v>
      </c>
      <c r="E62" s="563">
        <v>88160</v>
      </c>
      <c r="F62" s="564">
        <v>39415</v>
      </c>
      <c r="G62" s="563">
        <v>88411</v>
      </c>
      <c r="H62" s="565">
        <v>251</v>
      </c>
    </row>
    <row r="63" spans="1:8" x14ac:dyDescent="0.25">
      <c r="A63" s="121" t="s">
        <v>397</v>
      </c>
      <c r="B63" s="578" t="s">
        <v>560</v>
      </c>
      <c r="C63" s="578" t="s">
        <v>565</v>
      </c>
      <c r="D63" s="578" t="s">
        <v>124</v>
      </c>
      <c r="E63" s="563">
        <v>16191</v>
      </c>
      <c r="F63" s="564">
        <v>39936</v>
      </c>
      <c r="G63" s="563">
        <v>16314</v>
      </c>
      <c r="H63" s="565">
        <v>4920</v>
      </c>
    </row>
    <row r="64" spans="1:8" x14ac:dyDescent="0.25">
      <c r="A64" s="121" t="s">
        <v>396</v>
      </c>
      <c r="B64" s="578" t="s">
        <v>560</v>
      </c>
      <c r="C64" s="578" t="s">
        <v>563</v>
      </c>
      <c r="D64" s="578" t="s">
        <v>124</v>
      </c>
      <c r="E64" s="563">
        <v>75859</v>
      </c>
      <c r="F64" s="564">
        <v>39342</v>
      </c>
      <c r="G64" s="563">
        <v>76413</v>
      </c>
      <c r="H64" s="565">
        <v>554</v>
      </c>
    </row>
    <row r="65" spans="1:8" x14ac:dyDescent="0.25">
      <c r="A65" s="121">
        <v>11700447</v>
      </c>
      <c r="B65" s="578" t="s">
        <v>570</v>
      </c>
      <c r="C65" s="578" t="s">
        <v>571</v>
      </c>
      <c r="D65" s="578" t="s">
        <v>572</v>
      </c>
      <c r="E65" s="563">
        <v>251696</v>
      </c>
      <c r="F65" s="564">
        <v>39953</v>
      </c>
      <c r="G65" s="563">
        <v>255577</v>
      </c>
      <c r="H65" s="565">
        <v>3881</v>
      </c>
    </row>
    <row r="66" spans="1:8" x14ac:dyDescent="0.25">
      <c r="A66" s="121" t="s">
        <v>1378</v>
      </c>
      <c r="B66" s="578" t="s">
        <v>570</v>
      </c>
      <c r="C66" s="578" t="s">
        <v>1380</v>
      </c>
      <c r="D66" s="578" t="s">
        <v>1381</v>
      </c>
      <c r="E66" s="563">
        <v>0</v>
      </c>
      <c r="F66" s="564">
        <v>39819</v>
      </c>
      <c r="G66" s="563">
        <v>0</v>
      </c>
      <c r="H66" s="565" t="s">
        <v>1053</v>
      </c>
    </row>
    <row r="67" spans="1:8" x14ac:dyDescent="0.25">
      <c r="A67" s="121">
        <v>18506030</v>
      </c>
      <c r="B67" s="578" t="s">
        <v>579</v>
      </c>
      <c r="C67" s="578" t="s">
        <v>580</v>
      </c>
      <c r="D67" s="578" t="s">
        <v>1149</v>
      </c>
      <c r="E67" s="563">
        <v>2073</v>
      </c>
      <c r="F67" s="564">
        <v>39435</v>
      </c>
      <c r="G67" s="563">
        <v>2104</v>
      </c>
      <c r="H67" s="565">
        <v>31</v>
      </c>
    </row>
    <row r="68" spans="1:8" x14ac:dyDescent="0.25">
      <c r="A68" s="121" t="s">
        <v>1456</v>
      </c>
      <c r="B68" s="578" t="s">
        <v>582</v>
      </c>
      <c r="C68" s="578" t="s">
        <v>146</v>
      </c>
      <c r="D68" s="578" t="s">
        <v>1458</v>
      </c>
      <c r="E68" s="563">
        <v>0</v>
      </c>
      <c r="F68" s="564">
        <v>39311</v>
      </c>
      <c r="G68" s="563">
        <v>0</v>
      </c>
      <c r="H68" s="565" t="s">
        <v>1053</v>
      </c>
    </row>
    <row r="69" spans="1:8" x14ac:dyDescent="0.25">
      <c r="A69" s="121">
        <v>29218</v>
      </c>
      <c r="B69" s="578" t="s">
        <v>585</v>
      </c>
      <c r="C69" s="578" t="s">
        <v>586</v>
      </c>
      <c r="D69" s="578" t="s">
        <v>587</v>
      </c>
      <c r="E69" s="563">
        <v>257639</v>
      </c>
      <c r="F69" s="564">
        <v>39921</v>
      </c>
      <c r="G69" s="563">
        <v>257739</v>
      </c>
      <c r="H69" s="565">
        <v>100</v>
      </c>
    </row>
    <row r="70" spans="1:8" x14ac:dyDescent="0.25">
      <c r="A70" s="121">
        <v>95164633</v>
      </c>
      <c r="B70" s="578" t="s">
        <v>589</v>
      </c>
      <c r="C70" s="578" t="s">
        <v>146</v>
      </c>
      <c r="D70" s="578" t="s">
        <v>1457</v>
      </c>
      <c r="E70" s="563">
        <v>5707</v>
      </c>
      <c r="F70" s="564">
        <v>39484</v>
      </c>
      <c r="G70" s="563">
        <v>6109</v>
      </c>
      <c r="H70" s="565">
        <v>8040</v>
      </c>
    </row>
    <row r="71" spans="1:8" x14ac:dyDescent="0.25">
      <c r="A71" s="121" t="s">
        <v>1369</v>
      </c>
      <c r="B71" s="578" t="s">
        <v>589</v>
      </c>
      <c r="C71" s="578" t="s">
        <v>146</v>
      </c>
      <c r="D71" s="578" t="s">
        <v>1296</v>
      </c>
      <c r="E71" s="563">
        <v>0</v>
      </c>
      <c r="F71" s="564">
        <v>39337</v>
      </c>
      <c r="G71" s="563">
        <v>2155</v>
      </c>
      <c r="H71" s="565" t="s">
        <v>1053</v>
      </c>
    </row>
    <row r="72" spans="1:8" x14ac:dyDescent="0.25">
      <c r="A72" s="121" t="s">
        <v>1297</v>
      </c>
      <c r="B72" s="578" t="s">
        <v>589</v>
      </c>
      <c r="C72" s="578" t="s">
        <v>146</v>
      </c>
      <c r="D72" s="578" t="s">
        <v>1297</v>
      </c>
      <c r="E72" s="563">
        <v>0</v>
      </c>
      <c r="F72" s="564">
        <v>39418</v>
      </c>
      <c r="G72" s="563">
        <v>1512</v>
      </c>
      <c r="H72" s="565" t="s">
        <v>1053</v>
      </c>
    </row>
    <row r="73" spans="1:8" x14ac:dyDescent="0.25">
      <c r="A73" s="121" t="s">
        <v>1298</v>
      </c>
      <c r="B73" s="578" t="s">
        <v>589</v>
      </c>
      <c r="C73" s="578" t="s">
        <v>146</v>
      </c>
      <c r="D73" s="578" t="s">
        <v>1298</v>
      </c>
      <c r="E73" s="563">
        <v>0</v>
      </c>
      <c r="F73" s="564">
        <v>39833</v>
      </c>
      <c r="G73" s="563">
        <v>65</v>
      </c>
      <c r="H73" s="565" t="s">
        <v>1053</v>
      </c>
    </row>
    <row r="74" spans="1:8" x14ac:dyDescent="0.25">
      <c r="A74" s="121" t="s">
        <v>1366</v>
      </c>
      <c r="B74" s="578" t="s">
        <v>589</v>
      </c>
      <c r="C74" s="578" t="s">
        <v>146</v>
      </c>
      <c r="D74" s="578" t="s">
        <v>1287</v>
      </c>
      <c r="E74" s="563">
        <v>0</v>
      </c>
      <c r="F74" s="564">
        <v>39156</v>
      </c>
      <c r="G74" s="563">
        <v>2586</v>
      </c>
      <c r="H74" s="565" t="s">
        <v>1053</v>
      </c>
    </row>
    <row r="75" spans="1:8" x14ac:dyDescent="0.25">
      <c r="A75" s="121" t="s">
        <v>1288</v>
      </c>
      <c r="B75" s="578" t="s">
        <v>589</v>
      </c>
      <c r="C75" s="578" t="s">
        <v>146</v>
      </c>
      <c r="D75" s="578" t="s">
        <v>1288</v>
      </c>
      <c r="E75" s="563">
        <v>0</v>
      </c>
      <c r="F75" s="564">
        <v>39293</v>
      </c>
      <c r="G75" s="563">
        <v>413</v>
      </c>
      <c r="H75" s="565" t="s">
        <v>1053</v>
      </c>
    </row>
    <row r="76" spans="1:8" x14ac:dyDescent="0.25">
      <c r="A76" s="121" t="s">
        <v>1289</v>
      </c>
      <c r="B76" s="578" t="s">
        <v>589</v>
      </c>
      <c r="C76" s="578" t="s">
        <v>146</v>
      </c>
      <c r="D76" s="578" t="s">
        <v>1289</v>
      </c>
      <c r="E76" s="563">
        <v>0</v>
      </c>
      <c r="F76" s="564">
        <v>39379</v>
      </c>
      <c r="G76" s="563">
        <v>1742</v>
      </c>
      <c r="H76" s="565" t="s">
        <v>1053</v>
      </c>
    </row>
    <row r="77" spans="1:8" x14ac:dyDescent="0.25">
      <c r="A77" s="121" t="s">
        <v>1367</v>
      </c>
      <c r="B77" s="578" t="s">
        <v>589</v>
      </c>
      <c r="C77" s="578" t="s">
        <v>146</v>
      </c>
      <c r="D77" s="578" t="s">
        <v>1290</v>
      </c>
      <c r="E77" s="563">
        <v>0</v>
      </c>
      <c r="F77" s="564">
        <v>39585</v>
      </c>
      <c r="G77" s="563">
        <v>386</v>
      </c>
      <c r="H77" s="565" t="s">
        <v>1053</v>
      </c>
    </row>
    <row r="78" spans="1:8" x14ac:dyDescent="0.25">
      <c r="A78" s="121" t="s">
        <v>1291</v>
      </c>
      <c r="B78" s="578" t="s">
        <v>589</v>
      </c>
      <c r="C78" s="578" t="s">
        <v>146</v>
      </c>
      <c r="D78" s="578" t="s">
        <v>1291</v>
      </c>
      <c r="E78" s="563">
        <v>15860</v>
      </c>
      <c r="F78" s="564">
        <v>39844</v>
      </c>
      <c r="G78" s="563">
        <v>17241</v>
      </c>
      <c r="H78" s="565">
        <v>1381</v>
      </c>
    </row>
    <row r="79" spans="1:8" x14ac:dyDescent="0.25">
      <c r="A79" s="121" t="s">
        <v>1292</v>
      </c>
      <c r="B79" s="578" t="s">
        <v>589</v>
      </c>
      <c r="C79" s="578" t="s">
        <v>146</v>
      </c>
      <c r="D79" s="578" t="s">
        <v>1292</v>
      </c>
      <c r="E79" s="563">
        <v>11839</v>
      </c>
      <c r="F79" s="564">
        <v>39490</v>
      </c>
      <c r="G79" s="563">
        <v>13626</v>
      </c>
      <c r="H79" s="565">
        <v>1787</v>
      </c>
    </row>
    <row r="80" spans="1:8" x14ac:dyDescent="0.25">
      <c r="A80" s="121" t="s">
        <v>1368</v>
      </c>
      <c r="B80" s="578" t="s">
        <v>589</v>
      </c>
      <c r="C80" s="578" t="s">
        <v>146</v>
      </c>
      <c r="D80" s="578" t="s">
        <v>1293</v>
      </c>
      <c r="E80" s="563">
        <v>0</v>
      </c>
      <c r="F80" s="564">
        <v>39306</v>
      </c>
      <c r="G80" s="563">
        <v>665</v>
      </c>
      <c r="H80" s="565" t="s">
        <v>1053</v>
      </c>
    </row>
    <row r="81" spans="1:8" x14ac:dyDescent="0.25">
      <c r="A81" s="121" t="s">
        <v>1294</v>
      </c>
      <c r="B81" s="578" t="s">
        <v>589</v>
      </c>
      <c r="C81" s="578" t="s">
        <v>146</v>
      </c>
      <c r="D81" s="578" t="s">
        <v>1294</v>
      </c>
      <c r="E81" s="563">
        <v>0</v>
      </c>
      <c r="F81" s="564">
        <v>39307</v>
      </c>
      <c r="G81" s="563">
        <v>671</v>
      </c>
      <c r="H81" s="565" t="s">
        <v>1053</v>
      </c>
    </row>
    <row r="82" spans="1:8" x14ac:dyDescent="0.25">
      <c r="A82" s="121" t="s">
        <v>1459</v>
      </c>
      <c r="B82" s="578" t="s">
        <v>593</v>
      </c>
      <c r="C82" s="578" t="s">
        <v>146</v>
      </c>
      <c r="D82" s="578" t="s">
        <v>1457</v>
      </c>
      <c r="E82" s="563">
        <v>0</v>
      </c>
      <c r="F82" s="564">
        <v>39854</v>
      </c>
      <c r="G82" s="563">
        <v>0</v>
      </c>
      <c r="H82" s="565" t="s">
        <v>1053</v>
      </c>
    </row>
    <row r="83" spans="1:8" x14ac:dyDescent="0.25">
      <c r="A83" s="121">
        <v>5355249</v>
      </c>
      <c r="B83" s="578" t="s">
        <v>601</v>
      </c>
      <c r="C83" s="578" t="s">
        <v>602</v>
      </c>
      <c r="D83" s="578" t="s">
        <v>603</v>
      </c>
      <c r="E83" s="563">
        <v>6107</v>
      </c>
      <c r="F83" s="564">
        <v>39992</v>
      </c>
      <c r="G83" s="563">
        <v>6156</v>
      </c>
      <c r="H83" s="565">
        <v>980</v>
      </c>
    </row>
    <row r="84" spans="1:8" x14ac:dyDescent="0.25">
      <c r="A84" s="121" t="s">
        <v>432</v>
      </c>
      <c r="B84" s="578" t="s">
        <v>601</v>
      </c>
      <c r="C84" s="578" t="s">
        <v>608</v>
      </c>
      <c r="D84" s="578" t="s">
        <v>63</v>
      </c>
      <c r="E84" s="563">
        <v>11159</v>
      </c>
      <c r="F84" s="564">
        <v>39285</v>
      </c>
      <c r="G84" s="563">
        <v>11724</v>
      </c>
      <c r="H84" s="565">
        <v>565</v>
      </c>
    </row>
    <row r="85" spans="1:8" x14ac:dyDescent="0.25">
      <c r="A85" s="121" t="s">
        <v>399</v>
      </c>
      <c r="B85" s="578" t="s">
        <v>601</v>
      </c>
      <c r="C85" s="578" t="s">
        <v>606</v>
      </c>
      <c r="D85" s="578" t="s">
        <v>605</v>
      </c>
      <c r="E85" s="563">
        <v>452540</v>
      </c>
      <c r="F85" s="564">
        <v>39995</v>
      </c>
      <c r="G85" s="563">
        <v>459081</v>
      </c>
      <c r="H85" s="565">
        <v>6541</v>
      </c>
    </row>
    <row r="86" spans="1:8" x14ac:dyDescent="0.25">
      <c r="A86" s="121" t="s">
        <v>398</v>
      </c>
      <c r="B86" s="578" t="s">
        <v>601</v>
      </c>
      <c r="C86" s="578" t="s">
        <v>604</v>
      </c>
      <c r="D86" s="578" t="s">
        <v>605</v>
      </c>
      <c r="E86" s="563">
        <v>117522</v>
      </c>
      <c r="F86" s="564">
        <v>39993</v>
      </c>
      <c r="G86" s="563">
        <v>119765</v>
      </c>
      <c r="H86" s="565">
        <v>2243</v>
      </c>
    </row>
    <row r="87" spans="1:8" x14ac:dyDescent="0.25">
      <c r="A87" s="121" t="s">
        <v>319</v>
      </c>
      <c r="B87" s="578" t="s">
        <v>315</v>
      </c>
      <c r="C87" s="578" t="s">
        <v>320</v>
      </c>
      <c r="D87" s="578" t="s">
        <v>321</v>
      </c>
      <c r="E87" s="563">
        <v>0</v>
      </c>
      <c r="F87" s="564">
        <v>39074</v>
      </c>
      <c r="G87" s="563">
        <v>0</v>
      </c>
      <c r="H87" s="565" t="s">
        <v>1053</v>
      </c>
    </row>
    <row r="88" spans="1:8" x14ac:dyDescent="0.25">
      <c r="A88" s="121">
        <v>83363213</v>
      </c>
      <c r="B88" s="578" t="s">
        <v>323</v>
      </c>
      <c r="C88" s="578" t="s">
        <v>337</v>
      </c>
      <c r="D88" s="578" t="s">
        <v>981</v>
      </c>
      <c r="E88" s="563">
        <v>131966</v>
      </c>
      <c r="F88" s="564">
        <v>39496</v>
      </c>
      <c r="G88" s="563">
        <v>133185</v>
      </c>
      <c r="H88" s="565">
        <v>1219</v>
      </c>
    </row>
    <row r="89" spans="1:8" x14ac:dyDescent="0.25">
      <c r="A89" s="121" t="s">
        <v>431</v>
      </c>
      <c r="B89" s="578" t="s">
        <v>323</v>
      </c>
      <c r="C89" s="578" t="s">
        <v>465</v>
      </c>
      <c r="D89" s="578" t="s">
        <v>854</v>
      </c>
      <c r="E89" s="563">
        <v>11615</v>
      </c>
      <c r="F89" s="564">
        <v>30000</v>
      </c>
      <c r="G89" s="563">
        <v>11784</v>
      </c>
      <c r="H89" s="565">
        <v>169</v>
      </c>
    </row>
    <row r="90" spans="1:8" x14ac:dyDescent="0.25">
      <c r="A90" s="121" t="s">
        <v>1356</v>
      </c>
      <c r="B90" s="578" t="s">
        <v>323</v>
      </c>
      <c r="C90" s="578" t="s">
        <v>462</v>
      </c>
      <c r="D90" s="578" t="s">
        <v>1042</v>
      </c>
      <c r="E90" s="563">
        <v>0</v>
      </c>
      <c r="F90" s="564">
        <v>39033</v>
      </c>
      <c r="G90" s="563">
        <v>0</v>
      </c>
      <c r="H90" s="565" t="s">
        <v>1053</v>
      </c>
    </row>
    <row r="91" spans="1:8" x14ac:dyDescent="0.25">
      <c r="A91" s="121" t="s">
        <v>1357</v>
      </c>
      <c r="B91" s="578" t="s">
        <v>323</v>
      </c>
      <c r="C91" s="578" t="s">
        <v>462</v>
      </c>
      <c r="D91" s="578" t="s">
        <v>980</v>
      </c>
      <c r="E91" s="563">
        <v>0</v>
      </c>
      <c r="F91" s="564">
        <v>39072</v>
      </c>
      <c r="G91" s="563">
        <v>0</v>
      </c>
      <c r="H91" s="565" t="s">
        <v>1053</v>
      </c>
    </row>
    <row r="92" spans="1:8" x14ac:dyDescent="0.25">
      <c r="A92" s="121" t="s">
        <v>1358</v>
      </c>
      <c r="B92" s="578" t="s">
        <v>323</v>
      </c>
      <c r="C92" s="578" t="s">
        <v>461</v>
      </c>
      <c r="D92" s="578" t="s">
        <v>978</v>
      </c>
      <c r="E92" s="563">
        <v>0</v>
      </c>
      <c r="F92" s="564">
        <v>30000</v>
      </c>
      <c r="G92" s="563">
        <v>0</v>
      </c>
      <c r="H92" s="565" t="s">
        <v>1053</v>
      </c>
    </row>
    <row r="93" spans="1:8" x14ac:dyDescent="0.25">
      <c r="A93" s="121" t="s">
        <v>354</v>
      </c>
      <c r="B93" s="578" t="s">
        <v>323</v>
      </c>
      <c r="C93" s="578" t="s">
        <v>355</v>
      </c>
      <c r="D93" s="578" t="s">
        <v>346</v>
      </c>
      <c r="E93" s="563">
        <v>83942</v>
      </c>
      <c r="F93" s="564">
        <v>39270</v>
      </c>
      <c r="G93" s="563">
        <v>84910</v>
      </c>
      <c r="H93" s="565">
        <v>968</v>
      </c>
    </row>
    <row r="94" spans="1:8" x14ac:dyDescent="0.25">
      <c r="A94" s="121" t="s">
        <v>1383</v>
      </c>
      <c r="B94" s="578" t="s">
        <v>323</v>
      </c>
      <c r="C94" s="578" t="s">
        <v>1384</v>
      </c>
      <c r="D94" s="578" t="s">
        <v>1385</v>
      </c>
      <c r="E94" s="563">
        <v>0</v>
      </c>
      <c r="F94" s="564">
        <v>39848</v>
      </c>
      <c r="G94" s="563">
        <v>0</v>
      </c>
      <c r="H94" s="565" t="s">
        <v>1053</v>
      </c>
    </row>
    <row r="95" spans="1:8" x14ac:dyDescent="0.25">
      <c r="A95" s="121" t="s">
        <v>1453</v>
      </c>
      <c r="B95" s="578" t="s">
        <v>323</v>
      </c>
      <c r="C95" s="578" t="s">
        <v>1454</v>
      </c>
      <c r="D95" s="578" t="s">
        <v>1385</v>
      </c>
      <c r="E95" s="563">
        <v>0</v>
      </c>
      <c r="F95" s="564">
        <v>39397</v>
      </c>
      <c r="G95" s="563">
        <v>0</v>
      </c>
      <c r="H95" s="565" t="s">
        <v>1053</v>
      </c>
    </row>
    <row r="96" spans="1:8" x14ac:dyDescent="0.25">
      <c r="A96" s="121" t="s">
        <v>344</v>
      </c>
      <c r="B96" s="578" t="s">
        <v>323</v>
      </c>
      <c r="C96" s="578" t="s">
        <v>345</v>
      </c>
      <c r="D96" s="578" t="s">
        <v>346</v>
      </c>
      <c r="E96" s="563">
        <v>77029</v>
      </c>
      <c r="F96" s="564">
        <v>39358</v>
      </c>
      <c r="G96" s="563">
        <v>78303</v>
      </c>
      <c r="H96" s="565">
        <v>1274</v>
      </c>
    </row>
    <row r="97" spans="1:8" x14ac:dyDescent="0.25">
      <c r="A97" s="121" t="s">
        <v>1371</v>
      </c>
      <c r="B97" s="578" t="s">
        <v>323</v>
      </c>
      <c r="C97" s="578" t="s">
        <v>1387</v>
      </c>
      <c r="D97" s="578" t="s">
        <v>1385</v>
      </c>
      <c r="E97" s="563">
        <v>0</v>
      </c>
      <c r="F97" s="564">
        <v>39684</v>
      </c>
      <c r="G97" s="563">
        <v>0</v>
      </c>
      <c r="H97" s="565" t="s">
        <v>1053</v>
      </c>
    </row>
    <row r="98" spans="1:8" x14ac:dyDescent="0.25">
      <c r="A98" s="121" t="s">
        <v>430</v>
      </c>
      <c r="B98" s="578" t="s">
        <v>323</v>
      </c>
      <c r="C98" s="578" t="s">
        <v>853</v>
      </c>
      <c r="D98" s="578" t="s">
        <v>854</v>
      </c>
      <c r="E98" s="563">
        <v>4665</v>
      </c>
      <c r="F98" s="564">
        <v>30000</v>
      </c>
      <c r="G98" s="563">
        <v>4806</v>
      </c>
      <c r="H98" s="565">
        <v>141</v>
      </c>
    </row>
    <row r="99" spans="1:8" x14ac:dyDescent="0.25">
      <c r="A99" s="121" t="s">
        <v>1224</v>
      </c>
      <c r="B99" s="578" t="s">
        <v>323</v>
      </c>
      <c r="C99" s="578" t="s">
        <v>1336</v>
      </c>
      <c r="D99" s="578" t="s">
        <v>327</v>
      </c>
      <c r="E99" s="563">
        <v>2708648</v>
      </c>
      <c r="F99" s="564">
        <v>39648</v>
      </c>
      <c r="G99" s="563">
        <v>2737739</v>
      </c>
      <c r="H99" s="565">
        <v>29091</v>
      </c>
    </row>
    <row r="100" spans="1:8" x14ac:dyDescent="0.25">
      <c r="A100" s="121" t="s">
        <v>1221</v>
      </c>
      <c r="B100" s="578" t="s">
        <v>323</v>
      </c>
      <c r="C100" s="578" t="s">
        <v>1337</v>
      </c>
      <c r="D100" s="578" t="s">
        <v>327</v>
      </c>
      <c r="E100" s="563">
        <v>5500842</v>
      </c>
      <c r="F100" s="564">
        <v>39241</v>
      </c>
      <c r="G100" s="563">
        <v>5541726</v>
      </c>
      <c r="H100" s="565">
        <v>40884</v>
      </c>
    </row>
    <row r="101" spans="1:8" x14ac:dyDescent="0.25">
      <c r="A101" s="121" t="s">
        <v>1324</v>
      </c>
      <c r="B101" s="578" t="s">
        <v>323</v>
      </c>
      <c r="C101" s="578" t="s">
        <v>1338</v>
      </c>
      <c r="D101" s="578" t="s">
        <v>327</v>
      </c>
      <c r="E101" s="563">
        <v>3379674</v>
      </c>
      <c r="F101" s="564">
        <v>39241</v>
      </c>
      <c r="G101" s="563">
        <v>3399489</v>
      </c>
      <c r="H101" s="565">
        <v>19815</v>
      </c>
    </row>
    <row r="102" spans="1:8" x14ac:dyDescent="0.25">
      <c r="A102" s="121" t="s">
        <v>1461</v>
      </c>
      <c r="B102" s="578" t="s">
        <v>323</v>
      </c>
      <c r="C102" s="578" t="s">
        <v>1335</v>
      </c>
      <c r="D102" s="578" t="s">
        <v>327</v>
      </c>
      <c r="E102" s="563">
        <v>0</v>
      </c>
      <c r="F102" s="564">
        <v>39648</v>
      </c>
      <c r="G102" s="563">
        <v>0</v>
      </c>
      <c r="H102" s="565" t="s">
        <v>1053</v>
      </c>
    </row>
    <row r="103" spans="1:8" x14ac:dyDescent="0.25">
      <c r="A103" s="121" t="s">
        <v>312</v>
      </c>
      <c r="B103" s="578" t="s">
        <v>311</v>
      </c>
      <c r="C103" s="578" t="s">
        <v>82</v>
      </c>
      <c r="D103" s="578" t="s">
        <v>313</v>
      </c>
      <c r="E103" s="563">
        <v>121606</v>
      </c>
      <c r="F103" s="564">
        <v>39075</v>
      </c>
      <c r="G103" s="563">
        <v>121617</v>
      </c>
      <c r="H103" s="565">
        <v>2200</v>
      </c>
    </row>
    <row r="104" spans="1:8" x14ac:dyDescent="0.25">
      <c r="A104" s="121">
        <v>500018</v>
      </c>
      <c r="B104" s="578" t="s">
        <v>22</v>
      </c>
      <c r="C104" s="578" t="s">
        <v>23</v>
      </c>
      <c r="D104" s="578" t="s">
        <v>973</v>
      </c>
      <c r="E104" s="563">
        <v>36176</v>
      </c>
      <c r="F104" s="564">
        <v>39331</v>
      </c>
      <c r="G104" s="563">
        <v>36294</v>
      </c>
      <c r="H104" s="565">
        <v>4720</v>
      </c>
    </row>
    <row r="105" spans="1:8" x14ac:dyDescent="0.25">
      <c r="A105" s="121">
        <v>18506393</v>
      </c>
      <c r="B105" s="578" t="s">
        <v>22</v>
      </c>
      <c r="C105" s="578" t="s">
        <v>23</v>
      </c>
      <c r="D105" s="578" t="s">
        <v>974</v>
      </c>
      <c r="E105" s="563">
        <v>115488</v>
      </c>
      <c r="F105" s="564">
        <v>39416</v>
      </c>
      <c r="G105" s="563">
        <v>116243</v>
      </c>
      <c r="H105" s="565">
        <v>755</v>
      </c>
    </row>
    <row r="106" spans="1:8" x14ac:dyDescent="0.25">
      <c r="A106" s="121" t="s">
        <v>30</v>
      </c>
      <c r="B106" s="578" t="s">
        <v>22</v>
      </c>
      <c r="C106" s="578" t="s">
        <v>23</v>
      </c>
      <c r="D106" s="578" t="s">
        <v>975</v>
      </c>
      <c r="E106" s="563">
        <v>525721</v>
      </c>
      <c r="F106" s="564">
        <v>39430</v>
      </c>
      <c r="G106" s="563">
        <v>529119</v>
      </c>
      <c r="H106" s="565">
        <v>3398</v>
      </c>
    </row>
    <row r="107" spans="1:8" x14ac:dyDescent="0.25">
      <c r="A107" s="121" t="s">
        <v>25</v>
      </c>
      <c r="B107" s="578" t="s">
        <v>22</v>
      </c>
      <c r="C107" s="578" t="s">
        <v>23</v>
      </c>
      <c r="D107" s="578" t="s">
        <v>976</v>
      </c>
      <c r="E107" s="563">
        <v>483386</v>
      </c>
      <c r="F107" s="564">
        <v>39638</v>
      </c>
      <c r="G107" s="563">
        <v>488156</v>
      </c>
      <c r="H107" s="565">
        <v>4770</v>
      </c>
    </row>
    <row r="108" spans="1:8" x14ac:dyDescent="0.25">
      <c r="A108" s="121" t="s">
        <v>27</v>
      </c>
      <c r="B108" s="578" t="s">
        <v>22</v>
      </c>
      <c r="C108" s="578" t="s">
        <v>23</v>
      </c>
      <c r="D108" s="578" t="s">
        <v>977</v>
      </c>
      <c r="E108" s="563">
        <v>716152</v>
      </c>
      <c r="F108" s="564">
        <v>39426</v>
      </c>
      <c r="G108" s="563">
        <v>721322</v>
      </c>
      <c r="H108" s="565">
        <v>5170</v>
      </c>
    </row>
    <row r="109" spans="1:8" x14ac:dyDescent="0.25">
      <c r="A109" s="121">
        <v>5215981</v>
      </c>
      <c r="B109" s="578" t="s">
        <v>32</v>
      </c>
      <c r="C109" s="578" t="s">
        <v>23</v>
      </c>
      <c r="D109" s="578" t="s">
        <v>33</v>
      </c>
      <c r="E109" s="563">
        <v>294835</v>
      </c>
      <c r="F109" s="564">
        <v>39334</v>
      </c>
      <c r="G109" s="563">
        <v>296891</v>
      </c>
      <c r="H109" s="565">
        <v>2056</v>
      </c>
    </row>
    <row r="110" spans="1:8" x14ac:dyDescent="0.25">
      <c r="A110" s="121">
        <v>55158086</v>
      </c>
      <c r="B110" s="578" t="s">
        <v>32</v>
      </c>
      <c r="C110" s="578" t="s">
        <v>23</v>
      </c>
      <c r="D110" s="578" t="s">
        <v>34</v>
      </c>
      <c r="E110" s="563">
        <v>3576</v>
      </c>
      <c r="F110" s="564">
        <v>39495</v>
      </c>
      <c r="G110" s="563">
        <v>3697</v>
      </c>
      <c r="H110" s="565">
        <v>3630</v>
      </c>
    </row>
    <row r="111" spans="1:8" x14ac:dyDescent="0.25">
      <c r="A111" s="121">
        <v>5356191</v>
      </c>
      <c r="B111" s="578" t="s">
        <v>36</v>
      </c>
      <c r="C111" s="578" t="s">
        <v>23</v>
      </c>
      <c r="D111" s="578" t="s">
        <v>38</v>
      </c>
      <c r="E111" s="563">
        <v>3777</v>
      </c>
      <c r="F111" s="564">
        <v>39333</v>
      </c>
      <c r="G111" s="563">
        <v>3777</v>
      </c>
      <c r="H111" s="565">
        <v>0</v>
      </c>
    </row>
    <row r="112" spans="1:8" x14ac:dyDescent="0.25">
      <c r="A112" s="121" t="s">
        <v>41</v>
      </c>
      <c r="B112" s="578" t="s">
        <v>36</v>
      </c>
      <c r="C112" s="578" t="s">
        <v>23</v>
      </c>
      <c r="D112" s="578" t="s">
        <v>38</v>
      </c>
      <c r="E112" s="563">
        <v>110121</v>
      </c>
      <c r="F112" s="564">
        <v>39014</v>
      </c>
      <c r="G112" s="563">
        <v>110121</v>
      </c>
      <c r="H112" s="565">
        <v>0</v>
      </c>
    </row>
    <row r="113" spans="1:8" x14ac:dyDescent="0.25">
      <c r="A113" s="121" t="s">
        <v>37</v>
      </c>
      <c r="B113" s="578" t="s">
        <v>36</v>
      </c>
      <c r="C113" s="578" t="s">
        <v>23</v>
      </c>
      <c r="D113" s="578" t="s">
        <v>38</v>
      </c>
      <c r="E113" s="563">
        <v>602663</v>
      </c>
      <c r="F113" s="564">
        <v>39417</v>
      </c>
      <c r="G113" s="563">
        <v>612240</v>
      </c>
      <c r="H113" s="565">
        <v>9577</v>
      </c>
    </row>
    <row r="114" spans="1:8" x14ac:dyDescent="0.25">
      <c r="A114" s="121">
        <v>1025626</v>
      </c>
      <c r="B114" s="578" t="s">
        <v>46</v>
      </c>
      <c r="C114" s="578" t="s">
        <v>51</v>
      </c>
      <c r="D114" s="578" t="s">
        <v>52</v>
      </c>
      <c r="E114" s="563">
        <v>120250</v>
      </c>
      <c r="F114" s="564">
        <v>39325</v>
      </c>
      <c r="G114" s="563">
        <v>120808</v>
      </c>
      <c r="H114" s="565">
        <v>558</v>
      </c>
    </row>
    <row r="115" spans="1:8" x14ac:dyDescent="0.25">
      <c r="A115" s="121" t="s">
        <v>758</v>
      </c>
      <c r="B115" s="578" t="s">
        <v>46</v>
      </c>
      <c r="C115" s="578" t="s">
        <v>1463</v>
      </c>
      <c r="D115" s="578" t="s">
        <v>1464</v>
      </c>
      <c r="E115" s="563">
        <v>47340</v>
      </c>
      <c r="F115" s="564">
        <v>30000</v>
      </c>
      <c r="G115" s="563">
        <v>51308</v>
      </c>
      <c r="H115" s="565">
        <v>3968</v>
      </c>
    </row>
    <row r="116" spans="1:8" x14ac:dyDescent="0.25">
      <c r="A116" s="121" t="s">
        <v>1300</v>
      </c>
      <c r="B116" s="578" t="s">
        <v>46</v>
      </c>
      <c r="C116" s="578" t="s">
        <v>51</v>
      </c>
      <c r="D116" s="578" t="s">
        <v>54</v>
      </c>
      <c r="E116" s="563">
        <v>200600</v>
      </c>
      <c r="F116" s="564">
        <v>39328</v>
      </c>
      <c r="G116" s="563">
        <v>202438</v>
      </c>
      <c r="H116" s="565">
        <v>1838</v>
      </c>
    </row>
    <row r="117" spans="1:8" x14ac:dyDescent="0.25">
      <c r="A117" s="121" t="s">
        <v>1301</v>
      </c>
      <c r="B117" s="578" t="s">
        <v>46</v>
      </c>
      <c r="C117" s="578" t="s">
        <v>51</v>
      </c>
      <c r="D117" s="578" t="s">
        <v>53</v>
      </c>
      <c r="E117" s="563">
        <v>133920</v>
      </c>
      <c r="F117" s="564">
        <v>39326</v>
      </c>
      <c r="G117" s="563">
        <v>135204</v>
      </c>
      <c r="H117" s="565">
        <v>1284</v>
      </c>
    </row>
    <row r="118" spans="1:8" x14ac:dyDescent="0.25">
      <c r="A118" s="121" t="s">
        <v>56</v>
      </c>
      <c r="B118" s="578" t="s">
        <v>55</v>
      </c>
      <c r="C118" s="578" t="s">
        <v>57</v>
      </c>
      <c r="D118" s="578" t="s">
        <v>58</v>
      </c>
      <c r="E118" s="563">
        <v>98425</v>
      </c>
      <c r="F118" s="564">
        <v>39254</v>
      </c>
      <c r="G118" s="563">
        <v>99233</v>
      </c>
      <c r="H118" s="565">
        <v>808</v>
      </c>
    </row>
    <row r="119" spans="1:8" x14ac:dyDescent="0.25">
      <c r="A119" s="121" t="s">
        <v>68</v>
      </c>
      <c r="B119" s="578" t="s">
        <v>55</v>
      </c>
      <c r="C119" s="578" t="s">
        <v>436</v>
      </c>
      <c r="D119" s="578" t="s">
        <v>69</v>
      </c>
      <c r="E119" s="563">
        <v>728441</v>
      </c>
      <c r="F119" s="564">
        <v>39088</v>
      </c>
      <c r="G119" s="563">
        <v>734353</v>
      </c>
      <c r="H119" s="565">
        <v>5912</v>
      </c>
    </row>
    <row r="120" spans="1:8" x14ac:dyDescent="0.25">
      <c r="A120" s="121" t="s">
        <v>61</v>
      </c>
      <c r="B120" s="578" t="s">
        <v>55</v>
      </c>
      <c r="C120" s="578" t="s">
        <v>62</v>
      </c>
      <c r="D120" s="578" t="s">
        <v>1007</v>
      </c>
      <c r="E120" s="563">
        <v>191520</v>
      </c>
      <c r="F120" s="564">
        <v>39160</v>
      </c>
      <c r="G120" s="563">
        <v>192755</v>
      </c>
      <c r="H120" s="565">
        <v>1235</v>
      </c>
    </row>
    <row r="121" spans="1:8" x14ac:dyDescent="0.25">
      <c r="A121" s="121" t="s">
        <v>59</v>
      </c>
      <c r="B121" s="578" t="s">
        <v>55</v>
      </c>
      <c r="C121" s="578" t="s">
        <v>60</v>
      </c>
      <c r="D121" s="578" t="s">
        <v>58</v>
      </c>
      <c r="E121" s="563">
        <v>825921</v>
      </c>
      <c r="F121" s="564">
        <v>39255</v>
      </c>
      <c r="G121" s="563">
        <v>833838</v>
      </c>
      <c r="H121" s="565">
        <v>7917</v>
      </c>
    </row>
    <row r="122" spans="1:8" x14ac:dyDescent="0.25">
      <c r="A122" s="121" t="s">
        <v>81</v>
      </c>
      <c r="B122" s="578" t="s">
        <v>80</v>
      </c>
      <c r="C122" s="578" t="s">
        <v>82</v>
      </c>
      <c r="D122" s="578" t="s">
        <v>83</v>
      </c>
      <c r="E122" s="563">
        <v>148772</v>
      </c>
      <c r="F122" s="564">
        <v>39503</v>
      </c>
      <c r="G122" s="563">
        <v>152862</v>
      </c>
      <c r="H122" s="565">
        <v>4090</v>
      </c>
    </row>
    <row r="123" spans="1:8" x14ac:dyDescent="0.25">
      <c r="A123" s="121" t="s">
        <v>87</v>
      </c>
      <c r="B123" s="578" t="s">
        <v>86</v>
      </c>
      <c r="C123" s="578" t="s">
        <v>88</v>
      </c>
      <c r="D123" s="578" t="s">
        <v>89</v>
      </c>
      <c r="E123" s="563">
        <v>5429058</v>
      </c>
      <c r="F123" s="564">
        <v>39742</v>
      </c>
      <c r="G123" s="563">
        <v>5509345</v>
      </c>
      <c r="H123" s="565">
        <v>80287</v>
      </c>
    </row>
    <row r="124" spans="1:8" x14ac:dyDescent="0.25">
      <c r="A124" s="121" t="s">
        <v>1331</v>
      </c>
      <c r="B124" s="578" t="s">
        <v>90</v>
      </c>
      <c r="C124" s="578" t="s">
        <v>91</v>
      </c>
      <c r="D124" s="578" t="s">
        <v>92</v>
      </c>
      <c r="E124" s="563">
        <v>199100</v>
      </c>
      <c r="F124" s="564">
        <v>39196</v>
      </c>
      <c r="G124" s="563">
        <v>200449</v>
      </c>
      <c r="H124" s="565">
        <v>1349</v>
      </c>
    </row>
    <row r="125" spans="1:8" x14ac:dyDescent="0.25">
      <c r="A125" s="121" t="s">
        <v>1228</v>
      </c>
      <c r="B125" s="578" t="s">
        <v>90</v>
      </c>
      <c r="C125" s="578" t="s">
        <v>102</v>
      </c>
      <c r="D125" s="578" t="s">
        <v>1013</v>
      </c>
      <c r="E125" s="563">
        <v>1820</v>
      </c>
      <c r="F125" s="564">
        <v>39054</v>
      </c>
      <c r="G125" s="563">
        <v>1925</v>
      </c>
      <c r="H125" s="565">
        <v>105</v>
      </c>
    </row>
    <row r="126" spans="1:8" x14ac:dyDescent="0.25">
      <c r="A126" s="121" t="s">
        <v>1229</v>
      </c>
      <c r="B126" s="578" t="s">
        <v>90</v>
      </c>
      <c r="C126" s="578" t="s">
        <v>105</v>
      </c>
      <c r="D126" s="578" t="s">
        <v>1017</v>
      </c>
      <c r="E126" s="563">
        <v>744</v>
      </c>
      <c r="F126" s="564">
        <v>39057</v>
      </c>
      <c r="G126" s="563">
        <v>791</v>
      </c>
      <c r="H126" s="565">
        <v>47</v>
      </c>
    </row>
    <row r="127" spans="1:8" x14ac:dyDescent="0.25">
      <c r="A127" s="121" t="s">
        <v>1230</v>
      </c>
      <c r="B127" s="578" t="s">
        <v>90</v>
      </c>
      <c r="C127" s="578" t="s">
        <v>98</v>
      </c>
      <c r="D127" s="578" t="s">
        <v>1015</v>
      </c>
      <c r="E127" s="563">
        <v>458</v>
      </c>
      <c r="F127" s="564">
        <v>39715</v>
      </c>
      <c r="G127" s="563">
        <v>491</v>
      </c>
      <c r="H127" s="565">
        <v>33</v>
      </c>
    </row>
    <row r="128" spans="1:8" x14ac:dyDescent="0.25">
      <c r="A128" s="121" t="s">
        <v>1232</v>
      </c>
      <c r="B128" s="578" t="s">
        <v>90</v>
      </c>
      <c r="C128" s="578" t="s">
        <v>98</v>
      </c>
      <c r="D128" s="578" t="s">
        <v>1018</v>
      </c>
      <c r="E128" s="563">
        <v>19907</v>
      </c>
      <c r="F128" s="564">
        <v>39245</v>
      </c>
      <c r="G128" s="563">
        <v>21279</v>
      </c>
      <c r="H128" s="565">
        <v>1372</v>
      </c>
    </row>
    <row r="129" spans="1:8" x14ac:dyDescent="0.25">
      <c r="A129" s="121" t="s">
        <v>1233</v>
      </c>
      <c r="B129" s="578" t="s">
        <v>90</v>
      </c>
      <c r="C129" s="578" t="s">
        <v>94</v>
      </c>
      <c r="D129" s="578" t="s">
        <v>1019</v>
      </c>
      <c r="E129" s="563">
        <v>24612</v>
      </c>
      <c r="F129" s="564">
        <v>39695</v>
      </c>
      <c r="G129" s="563">
        <v>26095</v>
      </c>
      <c r="H129" s="565">
        <v>1483</v>
      </c>
    </row>
    <row r="130" spans="1:8" x14ac:dyDescent="0.25">
      <c r="A130" s="121" t="s">
        <v>1235</v>
      </c>
      <c r="B130" s="578" t="s">
        <v>90</v>
      </c>
      <c r="C130" s="578" t="s">
        <v>97</v>
      </c>
      <c r="D130" s="578" t="s">
        <v>1020</v>
      </c>
      <c r="E130" s="563">
        <v>3493</v>
      </c>
      <c r="F130" s="564">
        <v>39022</v>
      </c>
      <c r="G130" s="563">
        <v>3730</v>
      </c>
      <c r="H130" s="565">
        <v>237</v>
      </c>
    </row>
    <row r="131" spans="1:8" x14ac:dyDescent="0.25">
      <c r="A131" s="121" t="s">
        <v>1226</v>
      </c>
      <c r="B131" s="578" t="s">
        <v>90</v>
      </c>
      <c r="C131" s="578" t="s">
        <v>100</v>
      </c>
      <c r="D131" s="578" t="s">
        <v>1012</v>
      </c>
      <c r="E131" s="563">
        <v>104304</v>
      </c>
      <c r="F131" s="564">
        <v>39650</v>
      </c>
      <c r="G131" s="563">
        <v>111191</v>
      </c>
      <c r="H131" s="565">
        <v>6887</v>
      </c>
    </row>
    <row r="132" spans="1:8" x14ac:dyDescent="0.25">
      <c r="A132" s="121" t="s">
        <v>1227</v>
      </c>
      <c r="B132" s="578" t="s">
        <v>90</v>
      </c>
      <c r="C132" s="578" t="s">
        <v>689</v>
      </c>
      <c r="D132" s="578" t="s">
        <v>1016</v>
      </c>
      <c r="E132" s="563">
        <v>19995</v>
      </c>
      <c r="F132" s="564">
        <v>39044</v>
      </c>
      <c r="G132" s="563">
        <v>21330</v>
      </c>
      <c r="H132" s="565">
        <v>1335</v>
      </c>
    </row>
    <row r="133" spans="1:8" x14ac:dyDescent="0.25">
      <c r="A133" s="121" t="s">
        <v>1225</v>
      </c>
      <c r="B133" s="578" t="s">
        <v>90</v>
      </c>
      <c r="C133" s="578" t="s">
        <v>103</v>
      </c>
      <c r="D133" s="578" t="s">
        <v>1014</v>
      </c>
      <c r="E133" s="563">
        <v>7223</v>
      </c>
      <c r="F133" s="564">
        <v>39338</v>
      </c>
      <c r="G133" s="563">
        <v>7223</v>
      </c>
      <c r="H133" s="565">
        <v>0</v>
      </c>
    </row>
    <row r="134" spans="1:8" x14ac:dyDescent="0.25">
      <c r="A134" s="121" t="s">
        <v>107</v>
      </c>
      <c r="B134" s="578" t="s">
        <v>106</v>
      </c>
      <c r="C134" s="578" t="s">
        <v>108</v>
      </c>
      <c r="D134" s="578" t="s">
        <v>990</v>
      </c>
      <c r="E134" s="563">
        <v>78519</v>
      </c>
      <c r="F134" s="564">
        <v>39754</v>
      </c>
      <c r="G134" s="563">
        <v>78519</v>
      </c>
      <c r="H134" s="565">
        <v>0</v>
      </c>
    </row>
    <row r="135" spans="1:8" x14ac:dyDescent="0.25">
      <c r="A135" s="121" t="s">
        <v>115</v>
      </c>
      <c r="B135" s="578" t="s">
        <v>106</v>
      </c>
      <c r="C135" s="578" t="s">
        <v>97</v>
      </c>
      <c r="D135" s="578" t="s">
        <v>991</v>
      </c>
      <c r="E135" s="563">
        <v>54681</v>
      </c>
      <c r="F135" s="564">
        <v>39021</v>
      </c>
      <c r="G135" s="563">
        <v>54885</v>
      </c>
      <c r="H135" s="565">
        <v>204</v>
      </c>
    </row>
    <row r="136" spans="1:8" x14ac:dyDescent="0.25">
      <c r="A136" s="121" t="s">
        <v>113</v>
      </c>
      <c r="B136" s="578" t="s">
        <v>106</v>
      </c>
      <c r="C136" s="578" t="s">
        <v>114</v>
      </c>
      <c r="D136" s="578" t="s">
        <v>985</v>
      </c>
      <c r="E136" s="563">
        <v>47443</v>
      </c>
      <c r="F136" s="564">
        <v>39637</v>
      </c>
      <c r="G136" s="563">
        <v>47883</v>
      </c>
      <c r="H136" s="565">
        <v>440</v>
      </c>
    </row>
    <row r="137" spans="1:8" x14ac:dyDescent="0.25">
      <c r="A137" s="121" t="s">
        <v>111</v>
      </c>
      <c r="B137" s="578" t="s">
        <v>106</v>
      </c>
      <c r="C137" s="578" t="s">
        <v>112</v>
      </c>
      <c r="D137" s="578" t="s">
        <v>982</v>
      </c>
      <c r="E137" s="563">
        <v>30639</v>
      </c>
      <c r="F137" s="564">
        <v>39774</v>
      </c>
      <c r="G137" s="563">
        <v>30639</v>
      </c>
      <c r="H137" s="565">
        <v>0</v>
      </c>
    </row>
    <row r="138" spans="1:8" x14ac:dyDescent="0.25">
      <c r="A138" s="121" t="s">
        <v>1330</v>
      </c>
      <c r="B138" s="578" t="s">
        <v>121</v>
      </c>
      <c r="C138" s="578" t="s">
        <v>123</v>
      </c>
      <c r="D138" s="578" t="s">
        <v>135</v>
      </c>
      <c r="E138" s="563">
        <v>155606</v>
      </c>
      <c r="F138" s="564">
        <v>39323</v>
      </c>
      <c r="G138" s="563">
        <v>156075</v>
      </c>
      <c r="H138" s="565">
        <v>469</v>
      </c>
    </row>
    <row r="139" spans="1:8" x14ac:dyDescent="0.25">
      <c r="A139" s="121" t="s">
        <v>131</v>
      </c>
      <c r="B139" s="578" t="s">
        <v>121</v>
      </c>
      <c r="C139" s="578" t="s">
        <v>132</v>
      </c>
      <c r="D139" s="578" t="s">
        <v>133</v>
      </c>
      <c r="E139" s="563">
        <v>77251</v>
      </c>
      <c r="F139" s="564">
        <v>39383</v>
      </c>
      <c r="G139" s="563">
        <v>77251</v>
      </c>
      <c r="H139" s="565">
        <v>0</v>
      </c>
    </row>
    <row r="140" spans="1:8" x14ac:dyDescent="0.25">
      <c r="A140" s="121" t="s">
        <v>127</v>
      </c>
      <c r="B140" s="578" t="s">
        <v>121</v>
      </c>
      <c r="C140" s="578" t="s">
        <v>128</v>
      </c>
      <c r="D140" s="578" t="s">
        <v>993</v>
      </c>
      <c r="E140" s="563">
        <v>160291</v>
      </c>
      <c r="F140" s="564">
        <v>39151</v>
      </c>
      <c r="G140" s="563">
        <v>163451</v>
      </c>
      <c r="H140" s="565">
        <v>3160</v>
      </c>
    </row>
    <row r="141" spans="1:8" x14ac:dyDescent="0.25">
      <c r="A141" s="121" t="s">
        <v>122</v>
      </c>
      <c r="B141" s="578" t="s">
        <v>121</v>
      </c>
      <c r="C141" s="578" t="s">
        <v>123</v>
      </c>
      <c r="D141" s="578" t="s">
        <v>995</v>
      </c>
      <c r="E141" s="563">
        <v>826495</v>
      </c>
      <c r="F141" s="564">
        <v>39150</v>
      </c>
      <c r="G141" s="563">
        <v>834048</v>
      </c>
      <c r="H141" s="565">
        <v>7553</v>
      </c>
    </row>
    <row r="142" spans="1:8" x14ac:dyDescent="0.25">
      <c r="A142" s="121" t="s">
        <v>1439</v>
      </c>
      <c r="B142" s="578" t="s">
        <v>136</v>
      </c>
      <c r="C142" s="578" t="s">
        <v>1182</v>
      </c>
      <c r="D142" s="578" t="s">
        <v>725</v>
      </c>
      <c r="E142" s="563">
        <v>0</v>
      </c>
      <c r="F142" s="564">
        <v>39411</v>
      </c>
      <c r="G142" s="563">
        <v>0</v>
      </c>
      <c r="H142" s="565" t="s">
        <v>1053</v>
      </c>
    </row>
    <row r="143" spans="1:8" x14ac:dyDescent="0.25">
      <c r="A143" s="121" t="s">
        <v>1329</v>
      </c>
      <c r="B143" s="578" t="s">
        <v>136</v>
      </c>
      <c r="C143" s="578" t="s">
        <v>744</v>
      </c>
      <c r="D143" s="578"/>
      <c r="E143" s="563">
        <v>81187</v>
      </c>
      <c r="F143" s="564">
        <v>39525</v>
      </c>
      <c r="G143" s="563">
        <v>88780</v>
      </c>
      <c r="H143" s="565">
        <v>7593</v>
      </c>
    </row>
    <row r="144" spans="1:8" x14ac:dyDescent="0.25">
      <c r="A144" s="121" t="s">
        <v>141</v>
      </c>
      <c r="B144" s="578" t="s">
        <v>136</v>
      </c>
      <c r="C144" s="578" t="s">
        <v>1182</v>
      </c>
      <c r="D144" s="578" t="s">
        <v>725</v>
      </c>
      <c r="E144" s="563">
        <v>4562</v>
      </c>
      <c r="F144" s="564">
        <v>39577</v>
      </c>
      <c r="G144" s="563">
        <v>5451</v>
      </c>
      <c r="H144" s="565">
        <v>889</v>
      </c>
    </row>
    <row r="145" spans="1:8" x14ac:dyDescent="0.25">
      <c r="A145" s="121" t="s">
        <v>139</v>
      </c>
      <c r="B145" s="578" t="s">
        <v>136</v>
      </c>
      <c r="C145" s="578" t="s">
        <v>440</v>
      </c>
      <c r="D145" s="578" t="s">
        <v>124</v>
      </c>
      <c r="E145" s="563">
        <v>67475</v>
      </c>
      <c r="F145" s="564">
        <v>39185</v>
      </c>
      <c r="G145" s="563">
        <v>71825</v>
      </c>
      <c r="H145" s="565">
        <v>4350</v>
      </c>
    </row>
    <row r="146" spans="1:8" x14ac:dyDescent="0.25">
      <c r="A146" s="121" t="s">
        <v>693</v>
      </c>
      <c r="B146" s="578" t="s">
        <v>136</v>
      </c>
      <c r="C146" s="578" t="s">
        <v>440</v>
      </c>
      <c r="D146" s="578" t="s">
        <v>727</v>
      </c>
      <c r="E146" s="563">
        <v>1877</v>
      </c>
      <c r="F146" s="564">
        <v>39574</v>
      </c>
      <c r="G146" s="563">
        <v>1877</v>
      </c>
      <c r="H146" s="565">
        <v>0</v>
      </c>
    </row>
    <row r="147" spans="1:8" x14ac:dyDescent="0.25">
      <c r="A147" s="121" t="s">
        <v>695</v>
      </c>
      <c r="B147" s="578" t="s">
        <v>136</v>
      </c>
      <c r="C147" s="578" t="s">
        <v>440</v>
      </c>
      <c r="D147" s="578" t="s">
        <v>727</v>
      </c>
      <c r="E147" s="563">
        <v>9545</v>
      </c>
      <c r="F147" s="564">
        <v>39290</v>
      </c>
      <c r="G147" s="563">
        <v>9552</v>
      </c>
      <c r="H147" s="565">
        <v>7</v>
      </c>
    </row>
    <row r="148" spans="1:8" x14ac:dyDescent="0.25">
      <c r="A148" s="121" t="s">
        <v>1262</v>
      </c>
      <c r="B148" s="578" t="s">
        <v>143</v>
      </c>
      <c r="C148" s="578" t="s">
        <v>443</v>
      </c>
      <c r="D148" s="578" t="s">
        <v>38</v>
      </c>
      <c r="E148" s="563">
        <v>4281</v>
      </c>
      <c r="F148" s="564">
        <v>39011</v>
      </c>
      <c r="G148" s="563">
        <v>4393</v>
      </c>
      <c r="H148" s="565">
        <v>112</v>
      </c>
    </row>
    <row r="149" spans="1:8" x14ac:dyDescent="0.25">
      <c r="A149" s="121" t="s">
        <v>1339</v>
      </c>
      <c r="B149" s="578" t="s">
        <v>143</v>
      </c>
      <c r="C149" s="578" t="s">
        <v>1351</v>
      </c>
      <c r="D149" s="578" t="s">
        <v>1376</v>
      </c>
      <c r="E149" s="563">
        <v>0</v>
      </c>
      <c r="F149" s="564">
        <v>39645</v>
      </c>
      <c r="G149" s="563">
        <v>0</v>
      </c>
      <c r="H149" s="565" t="s">
        <v>1053</v>
      </c>
    </row>
    <row r="150" spans="1:8" x14ac:dyDescent="0.25">
      <c r="A150" s="121" t="s">
        <v>1340</v>
      </c>
      <c r="B150" s="578" t="s">
        <v>148</v>
      </c>
      <c r="C150" s="578" t="s">
        <v>1351</v>
      </c>
      <c r="D150" s="578" t="s">
        <v>1376</v>
      </c>
      <c r="E150" s="563">
        <v>0</v>
      </c>
      <c r="F150" s="564">
        <v>39666</v>
      </c>
      <c r="G150" s="563">
        <v>0</v>
      </c>
      <c r="H150" s="565" t="s">
        <v>1053</v>
      </c>
    </row>
    <row r="151" spans="1:8" x14ac:dyDescent="0.25">
      <c r="A151" s="121" t="s">
        <v>1433</v>
      </c>
      <c r="B151" s="578" t="s">
        <v>148</v>
      </c>
      <c r="C151" s="578" t="s">
        <v>146</v>
      </c>
      <c r="D151" s="578" t="s">
        <v>1438</v>
      </c>
      <c r="E151" s="563">
        <v>0</v>
      </c>
      <c r="F151" s="564">
        <v>39664</v>
      </c>
      <c r="G151" s="563">
        <v>0</v>
      </c>
      <c r="H151" s="565" t="s">
        <v>1053</v>
      </c>
    </row>
    <row r="152" spans="1:8" x14ac:dyDescent="0.25">
      <c r="A152" s="121" t="s">
        <v>166</v>
      </c>
      <c r="B152" s="578" t="s">
        <v>152</v>
      </c>
      <c r="C152" s="578" t="s">
        <v>167</v>
      </c>
      <c r="D152" s="578" t="s">
        <v>1043</v>
      </c>
      <c r="E152" s="563">
        <v>320361</v>
      </c>
      <c r="F152" s="564">
        <v>39725</v>
      </c>
      <c r="G152" s="563">
        <v>329171</v>
      </c>
      <c r="H152" s="565">
        <v>8810</v>
      </c>
    </row>
    <row r="153" spans="1:8" x14ac:dyDescent="0.25">
      <c r="A153" s="121" t="s">
        <v>1206</v>
      </c>
      <c r="B153" s="578" t="s">
        <v>152</v>
      </c>
      <c r="C153" s="578" t="s">
        <v>851</v>
      </c>
      <c r="D153" s="578" t="s">
        <v>992</v>
      </c>
      <c r="E153" s="563">
        <v>465</v>
      </c>
      <c r="F153" s="564">
        <v>39194</v>
      </c>
      <c r="G153" s="563">
        <v>467</v>
      </c>
      <c r="H153" s="565">
        <v>2</v>
      </c>
    </row>
    <row r="154" spans="1:8" x14ac:dyDescent="0.25">
      <c r="A154" s="121" t="s">
        <v>1207</v>
      </c>
      <c r="B154" s="578" t="s">
        <v>152</v>
      </c>
      <c r="C154" s="578" t="s">
        <v>175</v>
      </c>
      <c r="D154" s="578" t="s">
        <v>986</v>
      </c>
      <c r="E154" s="563">
        <v>104642</v>
      </c>
      <c r="F154" s="564">
        <v>39757</v>
      </c>
      <c r="G154" s="563">
        <v>107472</v>
      </c>
      <c r="H154" s="565">
        <v>2830</v>
      </c>
    </row>
    <row r="155" spans="1:8" x14ac:dyDescent="0.25">
      <c r="A155" s="121" t="s">
        <v>164</v>
      </c>
      <c r="B155" s="578" t="s">
        <v>152</v>
      </c>
      <c r="C155" s="578" t="s">
        <v>165</v>
      </c>
      <c r="D155" s="578" t="s">
        <v>1044</v>
      </c>
      <c r="E155" s="563">
        <v>24021</v>
      </c>
      <c r="F155" s="564">
        <v>39657</v>
      </c>
      <c r="G155" s="563">
        <v>24885</v>
      </c>
      <c r="H155" s="565">
        <v>864</v>
      </c>
    </row>
    <row r="156" spans="1:8" x14ac:dyDescent="0.25">
      <c r="A156" s="121" t="s">
        <v>429</v>
      </c>
      <c r="B156" s="578" t="s">
        <v>152</v>
      </c>
      <c r="C156" s="578" t="s">
        <v>23</v>
      </c>
      <c r="D156" s="578" t="s">
        <v>1012</v>
      </c>
      <c r="E156" s="563">
        <v>175111</v>
      </c>
      <c r="F156" s="564">
        <v>39259</v>
      </c>
      <c r="G156" s="563">
        <v>189642</v>
      </c>
      <c r="H156" s="565">
        <v>14531</v>
      </c>
    </row>
    <row r="157" spans="1:8" x14ac:dyDescent="0.25">
      <c r="A157" s="121" t="s">
        <v>179</v>
      </c>
      <c r="B157" s="578" t="s">
        <v>176</v>
      </c>
      <c r="C157" s="578" t="s">
        <v>180</v>
      </c>
      <c r="D157" s="578" t="s">
        <v>101</v>
      </c>
      <c r="E157" s="563">
        <v>588374</v>
      </c>
      <c r="F157" s="564">
        <v>39246</v>
      </c>
      <c r="G157" s="563">
        <v>603150</v>
      </c>
      <c r="H157" s="565">
        <v>14776</v>
      </c>
    </row>
    <row r="158" spans="1:8" x14ac:dyDescent="0.25">
      <c r="A158" s="121" t="s">
        <v>177</v>
      </c>
      <c r="B158" s="578" t="s">
        <v>176</v>
      </c>
      <c r="C158" s="578" t="s">
        <v>178</v>
      </c>
      <c r="D158" s="578" t="s">
        <v>101</v>
      </c>
      <c r="E158" s="563">
        <v>3219697</v>
      </c>
      <c r="F158" s="564">
        <v>39497</v>
      </c>
      <c r="G158" s="563">
        <v>3283804</v>
      </c>
      <c r="H158" s="565">
        <v>64107</v>
      </c>
    </row>
    <row r="159" spans="1:8" x14ac:dyDescent="0.25">
      <c r="A159" s="121" t="s">
        <v>184</v>
      </c>
      <c r="B159" s="578" t="s">
        <v>183</v>
      </c>
      <c r="C159" s="578" t="s">
        <v>185</v>
      </c>
      <c r="D159" s="578" t="s">
        <v>186</v>
      </c>
      <c r="E159" s="563">
        <v>149883</v>
      </c>
      <c r="F159" s="564">
        <v>39787</v>
      </c>
      <c r="G159" s="563">
        <v>151245</v>
      </c>
      <c r="H159" s="565">
        <v>1362</v>
      </c>
    </row>
    <row r="160" spans="1:8" x14ac:dyDescent="0.25">
      <c r="A160" s="121" t="s">
        <v>188</v>
      </c>
      <c r="B160" s="578" t="s">
        <v>183</v>
      </c>
      <c r="C160" s="579" t="s">
        <v>189</v>
      </c>
      <c r="D160" s="578" t="s">
        <v>101</v>
      </c>
      <c r="E160" s="563">
        <v>31562</v>
      </c>
      <c r="F160" s="564">
        <v>39051</v>
      </c>
      <c r="G160" s="563">
        <v>31566</v>
      </c>
      <c r="H160" s="565">
        <v>4</v>
      </c>
    </row>
    <row r="161" spans="1:8" x14ac:dyDescent="0.25">
      <c r="A161" s="121" t="s">
        <v>197</v>
      </c>
      <c r="B161" s="578" t="s">
        <v>190</v>
      </c>
      <c r="C161" s="578" t="s">
        <v>198</v>
      </c>
      <c r="D161" s="578" t="s">
        <v>990</v>
      </c>
      <c r="E161" s="563">
        <v>32316</v>
      </c>
      <c r="F161" s="564">
        <v>39042</v>
      </c>
      <c r="G161" s="563">
        <v>33895</v>
      </c>
      <c r="H161" s="565">
        <v>1579</v>
      </c>
    </row>
    <row r="162" spans="1:8" x14ac:dyDescent="0.25">
      <c r="A162" s="121" t="s">
        <v>193</v>
      </c>
      <c r="B162" s="578" t="s">
        <v>190</v>
      </c>
      <c r="C162" s="578" t="s">
        <v>194</v>
      </c>
      <c r="D162" s="578" t="s">
        <v>983</v>
      </c>
      <c r="E162" s="563">
        <v>32708</v>
      </c>
      <c r="F162" s="564">
        <v>39275</v>
      </c>
      <c r="G162" s="563">
        <v>32790</v>
      </c>
      <c r="H162" s="565">
        <v>82</v>
      </c>
    </row>
    <row r="163" spans="1:8" x14ac:dyDescent="0.25">
      <c r="A163" s="121" t="s">
        <v>195</v>
      </c>
      <c r="B163" s="578" t="s">
        <v>190</v>
      </c>
      <c r="C163" s="578" t="s">
        <v>196</v>
      </c>
      <c r="D163" s="578" t="s">
        <v>991</v>
      </c>
      <c r="E163" s="563">
        <v>616305</v>
      </c>
      <c r="F163" s="564">
        <v>39135</v>
      </c>
      <c r="G163" s="563">
        <v>626348</v>
      </c>
      <c r="H163" s="565">
        <v>10043</v>
      </c>
    </row>
    <row r="164" spans="1:8" x14ac:dyDescent="0.25">
      <c r="A164" s="121" t="s">
        <v>1263</v>
      </c>
      <c r="B164" s="578" t="s">
        <v>200</v>
      </c>
      <c r="C164" s="578" t="s">
        <v>216</v>
      </c>
      <c r="D164" s="578" t="s">
        <v>217</v>
      </c>
      <c r="E164" s="563">
        <v>138330</v>
      </c>
      <c r="F164" s="564">
        <v>39783</v>
      </c>
      <c r="G164" s="563">
        <v>139023</v>
      </c>
      <c r="H164" s="565">
        <v>693</v>
      </c>
    </row>
    <row r="165" spans="1:8" x14ac:dyDescent="0.25">
      <c r="A165" s="121" t="s">
        <v>1447</v>
      </c>
      <c r="B165" s="578" t="s">
        <v>200</v>
      </c>
      <c r="C165" s="578" t="s">
        <v>1448</v>
      </c>
      <c r="D165" s="578" t="s">
        <v>1376</v>
      </c>
      <c r="E165" s="563">
        <v>0</v>
      </c>
      <c r="F165" s="564">
        <v>39662</v>
      </c>
      <c r="G165" s="563">
        <v>0</v>
      </c>
      <c r="H165" s="565" t="s">
        <v>1053</v>
      </c>
    </row>
    <row r="166" spans="1:8" x14ac:dyDescent="0.25">
      <c r="A166" s="121" t="s">
        <v>1299</v>
      </c>
      <c r="B166" s="578" t="s">
        <v>200</v>
      </c>
      <c r="C166" s="578" t="s">
        <v>749</v>
      </c>
      <c r="D166" s="578" t="s">
        <v>985</v>
      </c>
      <c r="E166" s="563">
        <v>3751</v>
      </c>
      <c r="F166" s="564">
        <v>39372</v>
      </c>
      <c r="G166" s="563">
        <v>4140</v>
      </c>
      <c r="H166" s="565">
        <v>389</v>
      </c>
    </row>
    <row r="167" spans="1:8" x14ac:dyDescent="0.25">
      <c r="A167" s="121" t="s">
        <v>877</v>
      </c>
      <c r="B167" s="578" t="s">
        <v>200</v>
      </c>
      <c r="C167" s="578" t="s">
        <v>210</v>
      </c>
      <c r="D167" s="578" t="s">
        <v>982</v>
      </c>
      <c r="E167" s="563">
        <v>15577</v>
      </c>
      <c r="F167" s="564">
        <v>39477</v>
      </c>
      <c r="G167" s="563">
        <v>16091</v>
      </c>
      <c r="H167" s="565">
        <v>514</v>
      </c>
    </row>
    <row r="168" spans="1:8" x14ac:dyDescent="0.25">
      <c r="A168" s="121" t="s">
        <v>1092</v>
      </c>
      <c r="B168" s="578" t="s">
        <v>200</v>
      </c>
      <c r="C168" s="578" t="s">
        <v>110</v>
      </c>
      <c r="D168" s="578" t="s">
        <v>1345</v>
      </c>
      <c r="E168" s="563">
        <v>984</v>
      </c>
      <c r="F168" s="564">
        <v>39308</v>
      </c>
      <c r="G168" s="563">
        <v>2350</v>
      </c>
      <c r="H168" s="565">
        <v>1366</v>
      </c>
    </row>
    <row r="169" spans="1:8" x14ac:dyDescent="0.25">
      <c r="A169" s="121" t="s">
        <v>1094</v>
      </c>
      <c r="B169" s="578" t="s">
        <v>200</v>
      </c>
      <c r="C169" s="578" t="s">
        <v>1093</v>
      </c>
      <c r="D169" s="578" t="s">
        <v>1346</v>
      </c>
      <c r="E169" s="563">
        <v>197</v>
      </c>
      <c r="F169" s="564">
        <v>39587</v>
      </c>
      <c r="G169" s="563">
        <v>506</v>
      </c>
      <c r="H169" s="565">
        <v>309</v>
      </c>
    </row>
    <row r="170" spans="1:8" x14ac:dyDescent="0.25">
      <c r="A170" s="121" t="s">
        <v>1259</v>
      </c>
      <c r="B170" s="578" t="s">
        <v>200</v>
      </c>
      <c r="C170" s="578" t="s">
        <v>1260</v>
      </c>
      <c r="D170" s="578" t="s">
        <v>1347</v>
      </c>
      <c r="E170" s="563">
        <v>0</v>
      </c>
      <c r="F170" s="564">
        <v>39313</v>
      </c>
      <c r="G170" s="563">
        <v>5</v>
      </c>
      <c r="H170" s="565" t="s">
        <v>1053</v>
      </c>
    </row>
    <row r="171" spans="1:8" x14ac:dyDescent="0.25">
      <c r="A171" s="121" t="s">
        <v>1118</v>
      </c>
      <c r="B171" s="578" t="s">
        <v>200</v>
      </c>
      <c r="C171" s="578" t="s">
        <v>1117</v>
      </c>
      <c r="D171" s="578" t="s">
        <v>1348</v>
      </c>
      <c r="E171" s="563">
        <v>10</v>
      </c>
      <c r="F171" s="564">
        <v>39578</v>
      </c>
      <c r="G171" s="563">
        <v>41</v>
      </c>
      <c r="H171" s="565">
        <v>31</v>
      </c>
    </row>
    <row r="172" spans="1:8" x14ac:dyDescent="0.25">
      <c r="A172" s="121" t="s">
        <v>748</v>
      </c>
      <c r="B172" s="578" t="s">
        <v>200</v>
      </c>
      <c r="C172" s="578" t="s">
        <v>208</v>
      </c>
      <c r="D172" s="578" t="s">
        <v>983</v>
      </c>
      <c r="E172" s="563">
        <v>4547</v>
      </c>
      <c r="F172" s="564">
        <v>39931</v>
      </c>
      <c r="G172" s="563">
        <v>5000</v>
      </c>
      <c r="H172" s="565">
        <v>453</v>
      </c>
    </row>
    <row r="173" spans="1:8" x14ac:dyDescent="0.25">
      <c r="A173" s="121" t="s">
        <v>1047</v>
      </c>
      <c r="B173" s="578" t="s">
        <v>200</v>
      </c>
      <c r="C173" s="578" t="s">
        <v>1359</v>
      </c>
      <c r="D173" s="578" t="s">
        <v>1059</v>
      </c>
      <c r="E173" s="563">
        <v>84197</v>
      </c>
      <c r="F173" s="564">
        <v>39581</v>
      </c>
      <c r="G173" s="563">
        <v>84197</v>
      </c>
      <c r="H173" s="565">
        <v>0</v>
      </c>
    </row>
    <row r="174" spans="1:8" x14ac:dyDescent="0.25">
      <c r="A174" s="121" t="s">
        <v>201</v>
      </c>
      <c r="B174" s="578" t="s">
        <v>200</v>
      </c>
      <c r="C174" s="578" t="s">
        <v>1049</v>
      </c>
      <c r="D174" s="578" t="s">
        <v>202</v>
      </c>
      <c r="E174" s="563">
        <v>6745</v>
      </c>
      <c r="F174" s="564">
        <v>39439</v>
      </c>
      <c r="G174" s="563">
        <v>6783</v>
      </c>
      <c r="H174" s="565">
        <v>38</v>
      </c>
    </row>
    <row r="175" spans="1:8" x14ac:dyDescent="0.25">
      <c r="A175" s="121" t="s">
        <v>213</v>
      </c>
      <c r="B175" s="578" t="s">
        <v>200</v>
      </c>
      <c r="C175" s="578" t="s">
        <v>214</v>
      </c>
      <c r="D175" s="578" t="s">
        <v>215</v>
      </c>
      <c r="E175" s="563">
        <v>61993</v>
      </c>
      <c r="F175" s="564">
        <v>39793</v>
      </c>
      <c r="G175" s="563">
        <v>62778</v>
      </c>
      <c r="H175" s="565">
        <v>785</v>
      </c>
    </row>
    <row r="176" spans="1:8" x14ac:dyDescent="0.25">
      <c r="A176" s="121" t="s">
        <v>207</v>
      </c>
      <c r="B176" s="578" t="s">
        <v>200</v>
      </c>
      <c r="C176" s="578" t="s">
        <v>208</v>
      </c>
      <c r="D176" s="578" t="s">
        <v>991</v>
      </c>
      <c r="E176" s="563">
        <v>156449</v>
      </c>
      <c r="F176" s="564">
        <v>39238</v>
      </c>
      <c r="G176" s="563">
        <v>157513</v>
      </c>
      <c r="H176" s="565">
        <v>1064</v>
      </c>
    </row>
    <row r="177" spans="1:8" x14ac:dyDescent="0.25">
      <c r="A177" s="121" t="s">
        <v>203</v>
      </c>
      <c r="B177" s="578" t="s">
        <v>200</v>
      </c>
      <c r="C177" s="578" t="s">
        <v>204</v>
      </c>
      <c r="D177" s="578" t="s">
        <v>990</v>
      </c>
      <c r="E177" s="563">
        <v>876330</v>
      </c>
      <c r="F177" s="564">
        <v>39340</v>
      </c>
      <c r="G177" s="563">
        <v>879116</v>
      </c>
      <c r="H177" s="565">
        <v>2786</v>
      </c>
    </row>
    <row r="178" spans="1:8" x14ac:dyDescent="0.25">
      <c r="A178" s="121" t="s">
        <v>223</v>
      </c>
      <c r="B178" s="578" t="s">
        <v>221</v>
      </c>
      <c r="C178" s="578" t="s">
        <v>224</v>
      </c>
      <c r="D178" s="578" t="s">
        <v>1138</v>
      </c>
      <c r="E178" s="563">
        <v>452543</v>
      </c>
      <c r="F178" s="564">
        <v>39132</v>
      </c>
      <c r="G178" s="563">
        <v>457435</v>
      </c>
      <c r="H178" s="565">
        <v>4892</v>
      </c>
    </row>
    <row r="179" spans="1:8" x14ac:dyDescent="0.25">
      <c r="A179" s="121" t="s">
        <v>225</v>
      </c>
      <c r="B179" s="578" t="s">
        <v>221</v>
      </c>
      <c r="C179" s="578" t="s">
        <v>226</v>
      </c>
      <c r="D179" s="578" t="s">
        <v>1139</v>
      </c>
      <c r="E179" s="563">
        <v>1012894</v>
      </c>
      <c r="F179" s="564">
        <v>39036</v>
      </c>
      <c r="G179" s="563">
        <v>1018869</v>
      </c>
      <c r="H179" s="565">
        <v>5975</v>
      </c>
    </row>
    <row r="180" spans="1:8" x14ac:dyDescent="0.25">
      <c r="A180" s="121" t="s">
        <v>235</v>
      </c>
      <c r="B180" s="578" t="s">
        <v>228</v>
      </c>
      <c r="C180" s="578" t="s">
        <v>236</v>
      </c>
      <c r="D180" s="578" t="s">
        <v>231</v>
      </c>
      <c r="E180" s="563">
        <v>15135</v>
      </c>
      <c r="F180" s="564">
        <v>39381</v>
      </c>
      <c r="G180" s="563">
        <v>15280</v>
      </c>
      <c r="H180" s="565">
        <v>145</v>
      </c>
    </row>
    <row r="181" spans="1:8" x14ac:dyDescent="0.25">
      <c r="A181" s="121" t="s">
        <v>229</v>
      </c>
      <c r="B181" s="578" t="s">
        <v>228</v>
      </c>
      <c r="C181" s="578" t="s">
        <v>230</v>
      </c>
      <c r="D181" s="578" t="s">
        <v>231</v>
      </c>
      <c r="E181" s="563">
        <v>45886</v>
      </c>
      <c r="F181" s="564">
        <v>39291</v>
      </c>
      <c r="G181" s="563">
        <v>46361</v>
      </c>
      <c r="H181" s="565">
        <v>475</v>
      </c>
    </row>
    <row r="182" spans="1:8" x14ac:dyDescent="0.25">
      <c r="A182" s="121" t="s">
        <v>1302</v>
      </c>
      <c r="B182" s="578" t="s">
        <v>240</v>
      </c>
      <c r="C182" s="578" t="s">
        <v>452</v>
      </c>
      <c r="D182" s="578" t="s">
        <v>63</v>
      </c>
      <c r="E182" s="563">
        <v>3063</v>
      </c>
      <c r="F182" s="564">
        <v>39010</v>
      </c>
      <c r="G182" s="563">
        <v>3174</v>
      </c>
      <c r="H182" s="565">
        <v>111</v>
      </c>
    </row>
    <row r="183" spans="1:8" x14ac:dyDescent="0.25">
      <c r="A183" s="121" t="s">
        <v>241</v>
      </c>
      <c r="B183" s="578" t="s">
        <v>240</v>
      </c>
      <c r="C183" s="578" t="s">
        <v>242</v>
      </c>
      <c r="D183" s="578" t="s">
        <v>38</v>
      </c>
      <c r="E183" s="563">
        <v>53971</v>
      </c>
      <c r="F183" s="564">
        <v>39361</v>
      </c>
      <c r="G183" s="563">
        <v>54335</v>
      </c>
      <c r="H183" s="565">
        <v>364</v>
      </c>
    </row>
    <row r="184" spans="1:8" x14ac:dyDescent="0.25">
      <c r="A184" s="121">
        <v>71300126545</v>
      </c>
      <c r="B184" s="578" t="s">
        <v>244</v>
      </c>
      <c r="C184" s="578" t="s">
        <v>250</v>
      </c>
      <c r="D184" s="578" t="s">
        <v>765</v>
      </c>
      <c r="E184" s="563">
        <v>126438</v>
      </c>
      <c r="F184" s="564">
        <v>39314</v>
      </c>
      <c r="G184" s="563">
        <v>128584</v>
      </c>
      <c r="H184" s="565">
        <v>2146</v>
      </c>
    </row>
    <row r="185" spans="1:8" x14ac:dyDescent="0.25">
      <c r="A185" s="121">
        <v>71300126550</v>
      </c>
      <c r="B185" s="578" t="s">
        <v>244</v>
      </c>
      <c r="C185" s="578" t="s">
        <v>246</v>
      </c>
      <c r="D185" s="578" t="s">
        <v>766</v>
      </c>
      <c r="E185" s="563">
        <v>405597</v>
      </c>
      <c r="F185" s="564">
        <v>39028</v>
      </c>
      <c r="G185" s="563">
        <v>408286</v>
      </c>
      <c r="H185" s="565">
        <v>2689</v>
      </c>
    </row>
    <row r="186" spans="1:8" x14ac:dyDescent="0.25">
      <c r="A186" s="121">
        <v>71300126611</v>
      </c>
      <c r="B186" s="578" t="s">
        <v>244</v>
      </c>
      <c r="C186" s="578" t="s">
        <v>246</v>
      </c>
      <c r="D186" s="578" t="s">
        <v>767</v>
      </c>
      <c r="E186" s="563">
        <v>364808</v>
      </c>
      <c r="F186" s="564">
        <v>39038</v>
      </c>
      <c r="G186" s="563">
        <v>364808</v>
      </c>
      <c r="H186" s="565">
        <v>0</v>
      </c>
    </row>
    <row r="187" spans="1:8" x14ac:dyDescent="0.25">
      <c r="A187" s="121">
        <v>71300126612</v>
      </c>
      <c r="B187" s="578" t="s">
        <v>244</v>
      </c>
      <c r="C187" s="578" t="s">
        <v>250</v>
      </c>
      <c r="D187" s="578" t="s">
        <v>768</v>
      </c>
      <c r="E187" s="563">
        <v>195196</v>
      </c>
      <c r="F187" s="564">
        <v>39139</v>
      </c>
      <c r="G187" s="563">
        <v>196191</v>
      </c>
      <c r="H187" s="565">
        <v>995</v>
      </c>
    </row>
    <row r="188" spans="1:8" x14ac:dyDescent="0.25">
      <c r="A188" s="121">
        <v>71300126614</v>
      </c>
      <c r="B188" s="578" t="s">
        <v>244</v>
      </c>
      <c r="C188" s="578" t="s">
        <v>246</v>
      </c>
      <c r="D188" s="578" t="s">
        <v>769</v>
      </c>
      <c r="E188" s="563">
        <v>382451</v>
      </c>
      <c r="F188" s="564">
        <v>39037</v>
      </c>
      <c r="G188" s="563">
        <v>384663</v>
      </c>
      <c r="H188" s="565">
        <v>2212</v>
      </c>
    </row>
    <row r="189" spans="1:8" x14ac:dyDescent="0.25">
      <c r="A189" s="121">
        <v>71300126675</v>
      </c>
      <c r="B189" s="578" t="s">
        <v>244</v>
      </c>
      <c r="C189" s="578" t="s">
        <v>246</v>
      </c>
      <c r="D189" s="578" t="s">
        <v>770</v>
      </c>
      <c r="E189" s="563">
        <v>180991</v>
      </c>
      <c r="F189" s="564">
        <v>39024</v>
      </c>
      <c r="G189" s="563">
        <v>182454</v>
      </c>
      <c r="H189" s="565">
        <v>1463</v>
      </c>
    </row>
    <row r="190" spans="1:8" x14ac:dyDescent="0.25">
      <c r="A190" s="121">
        <v>71300126679</v>
      </c>
      <c r="B190" s="578" t="s">
        <v>244</v>
      </c>
      <c r="C190" s="578" t="s">
        <v>246</v>
      </c>
      <c r="D190" s="578" t="s">
        <v>771</v>
      </c>
      <c r="E190" s="563">
        <v>243472</v>
      </c>
      <c r="F190" s="564">
        <v>39019</v>
      </c>
      <c r="G190" s="563">
        <v>246448</v>
      </c>
      <c r="H190" s="565">
        <v>2976</v>
      </c>
    </row>
    <row r="191" spans="1:8" x14ac:dyDescent="0.25">
      <c r="A191" s="121">
        <v>71300126840</v>
      </c>
      <c r="B191" s="578" t="s">
        <v>244</v>
      </c>
      <c r="C191" s="578" t="s">
        <v>250</v>
      </c>
      <c r="D191" s="578" t="s">
        <v>772</v>
      </c>
      <c r="E191" s="563">
        <v>322144</v>
      </c>
      <c r="F191" s="564">
        <v>39140</v>
      </c>
      <c r="G191" s="563">
        <v>322696</v>
      </c>
      <c r="H191" s="565">
        <v>552</v>
      </c>
    </row>
    <row r="192" spans="1:8" x14ac:dyDescent="0.25">
      <c r="A192" s="121">
        <v>71300126846</v>
      </c>
      <c r="B192" s="578" t="s">
        <v>244</v>
      </c>
      <c r="C192" s="578" t="s">
        <v>246</v>
      </c>
      <c r="D192" s="578" t="s">
        <v>773</v>
      </c>
      <c r="E192" s="563">
        <v>196512</v>
      </c>
      <c r="F192" s="564">
        <v>39005</v>
      </c>
      <c r="G192" s="563">
        <v>197418</v>
      </c>
      <c r="H192" s="565">
        <v>906</v>
      </c>
    </row>
    <row r="193" spans="1:8" x14ac:dyDescent="0.25">
      <c r="A193" s="121">
        <v>116104</v>
      </c>
      <c r="B193" s="578" t="s">
        <v>257</v>
      </c>
      <c r="C193" s="578" t="s">
        <v>250</v>
      </c>
      <c r="D193" s="578" t="s">
        <v>767</v>
      </c>
      <c r="E193" s="563">
        <v>323674</v>
      </c>
      <c r="F193" s="564">
        <v>39303</v>
      </c>
      <c r="G193" s="563">
        <v>325453</v>
      </c>
      <c r="H193" s="565">
        <v>1779</v>
      </c>
    </row>
    <row r="194" spans="1:8" x14ac:dyDescent="0.25">
      <c r="A194" s="121">
        <v>116446</v>
      </c>
      <c r="B194" s="578" t="s">
        <v>257</v>
      </c>
      <c r="C194" s="578" t="s">
        <v>250</v>
      </c>
      <c r="D194" s="578" t="s">
        <v>771</v>
      </c>
      <c r="E194" s="563">
        <v>188216</v>
      </c>
      <c r="F194" s="564">
        <v>39319</v>
      </c>
      <c r="G194" s="563">
        <v>189210</v>
      </c>
      <c r="H194" s="565">
        <v>994</v>
      </c>
    </row>
    <row r="195" spans="1:8" x14ac:dyDescent="0.25">
      <c r="A195" s="121">
        <v>116498</v>
      </c>
      <c r="B195" s="578" t="s">
        <v>257</v>
      </c>
      <c r="C195" s="578" t="s">
        <v>250</v>
      </c>
      <c r="D195" s="578" t="s">
        <v>770</v>
      </c>
      <c r="E195" s="563">
        <v>170020</v>
      </c>
      <c r="F195" s="564">
        <v>39320</v>
      </c>
      <c r="G195" s="563">
        <v>171564</v>
      </c>
      <c r="H195" s="565">
        <v>1544</v>
      </c>
    </row>
    <row r="196" spans="1:8" x14ac:dyDescent="0.25">
      <c r="A196" s="121">
        <v>126610</v>
      </c>
      <c r="B196" s="578" t="s">
        <v>257</v>
      </c>
      <c r="C196" s="578" t="s">
        <v>250</v>
      </c>
      <c r="D196" s="578" t="s">
        <v>768</v>
      </c>
      <c r="E196" s="563">
        <v>166217</v>
      </c>
      <c r="F196" s="564">
        <v>39321</v>
      </c>
      <c r="G196" s="563">
        <v>167258</v>
      </c>
      <c r="H196" s="565">
        <v>1041</v>
      </c>
    </row>
    <row r="197" spans="1:8" x14ac:dyDescent="0.25">
      <c r="A197" s="121">
        <v>126682</v>
      </c>
      <c r="B197" s="578" t="s">
        <v>257</v>
      </c>
      <c r="C197" s="578" t="s">
        <v>250</v>
      </c>
      <c r="D197" s="578" t="s">
        <v>773</v>
      </c>
      <c r="E197" s="563">
        <v>165631</v>
      </c>
      <c r="F197" s="564">
        <v>39318</v>
      </c>
      <c r="G197" s="563">
        <v>166618</v>
      </c>
      <c r="H197" s="565">
        <v>987</v>
      </c>
    </row>
    <row r="198" spans="1:8" x14ac:dyDescent="0.25">
      <c r="A198" s="121">
        <v>140754</v>
      </c>
      <c r="B198" s="578" t="s">
        <v>257</v>
      </c>
      <c r="C198" s="578" t="s">
        <v>250</v>
      </c>
      <c r="D198" s="578" t="s">
        <v>769</v>
      </c>
      <c r="E198" s="563">
        <v>262408</v>
      </c>
      <c r="F198" s="564">
        <v>39302</v>
      </c>
      <c r="G198" s="563">
        <v>262839</v>
      </c>
      <c r="H198" s="565">
        <v>431</v>
      </c>
    </row>
    <row r="199" spans="1:8" x14ac:dyDescent="0.25">
      <c r="A199" s="121">
        <v>65100116117</v>
      </c>
      <c r="B199" s="578" t="s">
        <v>257</v>
      </c>
      <c r="C199" s="578" t="s">
        <v>250</v>
      </c>
      <c r="D199" s="578" t="s">
        <v>765</v>
      </c>
      <c r="E199" s="563">
        <v>189416</v>
      </c>
      <c r="F199" s="564">
        <v>39299</v>
      </c>
      <c r="G199" s="563">
        <v>189416</v>
      </c>
      <c r="H199" s="565">
        <v>0</v>
      </c>
    </row>
    <row r="200" spans="1:8" x14ac:dyDescent="0.25">
      <c r="A200" s="121">
        <v>71300126672</v>
      </c>
      <c r="B200" s="578" t="s">
        <v>257</v>
      </c>
      <c r="C200" s="578" t="s">
        <v>250</v>
      </c>
      <c r="D200" s="578" t="s">
        <v>766</v>
      </c>
      <c r="E200" s="563">
        <v>294092</v>
      </c>
      <c r="F200" s="564">
        <v>39301</v>
      </c>
      <c r="G200" s="563">
        <v>294551</v>
      </c>
      <c r="H200" s="565">
        <v>459</v>
      </c>
    </row>
    <row r="201" spans="1:8" x14ac:dyDescent="0.25">
      <c r="A201" s="121">
        <v>73900146533</v>
      </c>
      <c r="B201" s="578" t="s">
        <v>257</v>
      </c>
      <c r="C201" s="578" t="s">
        <v>250</v>
      </c>
      <c r="D201" s="578" t="s">
        <v>772</v>
      </c>
      <c r="E201" s="563">
        <v>271834</v>
      </c>
      <c r="F201" s="564">
        <v>39300</v>
      </c>
      <c r="G201" s="563">
        <v>273429</v>
      </c>
      <c r="H201" s="565">
        <v>1595</v>
      </c>
    </row>
    <row r="202" spans="1:8" x14ac:dyDescent="0.25">
      <c r="A202" s="121" t="s">
        <v>258</v>
      </c>
      <c r="B202" s="578" t="s">
        <v>257</v>
      </c>
      <c r="C202" s="578" t="s">
        <v>250</v>
      </c>
      <c r="D202" s="578" t="s">
        <v>63</v>
      </c>
      <c r="E202" s="563">
        <v>484280</v>
      </c>
      <c r="F202" s="564">
        <v>39177</v>
      </c>
      <c r="G202" s="563">
        <v>492008</v>
      </c>
      <c r="H202" s="565">
        <v>7728</v>
      </c>
    </row>
    <row r="203" spans="1:8" x14ac:dyDescent="0.25">
      <c r="A203" s="121" t="s">
        <v>260</v>
      </c>
      <c r="B203" s="578" t="s">
        <v>257</v>
      </c>
      <c r="C203" s="578" t="s">
        <v>261</v>
      </c>
      <c r="D203" s="578" t="s">
        <v>262</v>
      </c>
      <c r="E203" s="563">
        <v>234388</v>
      </c>
      <c r="F203" s="564">
        <v>39284</v>
      </c>
      <c r="G203" s="563">
        <v>235701</v>
      </c>
      <c r="H203" s="565">
        <v>1313</v>
      </c>
    </row>
    <row r="204" spans="1:8" x14ac:dyDescent="0.25">
      <c r="A204" s="121" t="s">
        <v>259</v>
      </c>
      <c r="B204" s="578" t="s">
        <v>257</v>
      </c>
      <c r="C204" s="578" t="s">
        <v>250</v>
      </c>
      <c r="D204" s="578" t="s">
        <v>63</v>
      </c>
      <c r="E204" s="563">
        <v>514311</v>
      </c>
      <c r="F204" s="564">
        <v>39176</v>
      </c>
      <c r="G204" s="563">
        <v>516781</v>
      </c>
      <c r="H204" s="565">
        <v>2470</v>
      </c>
    </row>
    <row r="205" spans="1:8" x14ac:dyDescent="0.25">
      <c r="A205" s="121">
        <v>181156</v>
      </c>
      <c r="B205" s="578" t="s">
        <v>272</v>
      </c>
      <c r="C205" s="578" t="s">
        <v>250</v>
      </c>
      <c r="D205" s="578" t="s">
        <v>774</v>
      </c>
      <c r="E205" s="563">
        <v>182716</v>
      </c>
      <c r="F205" s="564">
        <v>39445</v>
      </c>
      <c r="G205" s="563">
        <v>183670</v>
      </c>
      <c r="H205" s="565">
        <v>954</v>
      </c>
    </row>
    <row r="206" spans="1:8" x14ac:dyDescent="0.25">
      <c r="A206" s="121">
        <v>181183</v>
      </c>
      <c r="B206" s="578" t="s">
        <v>272</v>
      </c>
      <c r="C206" s="578" t="s">
        <v>250</v>
      </c>
      <c r="D206" s="578" t="s">
        <v>775</v>
      </c>
      <c r="E206" s="563">
        <v>249827</v>
      </c>
      <c r="F206" s="564">
        <v>39446</v>
      </c>
      <c r="G206" s="563">
        <v>251694</v>
      </c>
      <c r="H206" s="565">
        <v>1867</v>
      </c>
    </row>
    <row r="207" spans="1:8" x14ac:dyDescent="0.25">
      <c r="A207" s="121">
        <v>181237</v>
      </c>
      <c r="B207" s="578" t="s">
        <v>272</v>
      </c>
      <c r="C207" s="578" t="s">
        <v>250</v>
      </c>
      <c r="D207" s="578" t="s">
        <v>776</v>
      </c>
      <c r="E207" s="563">
        <v>231725</v>
      </c>
      <c r="F207" s="564">
        <v>39447</v>
      </c>
      <c r="G207" s="563">
        <v>233785</v>
      </c>
      <c r="H207" s="565">
        <v>2060</v>
      </c>
    </row>
    <row r="208" spans="1:8" x14ac:dyDescent="0.25">
      <c r="A208" s="121">
        <v>181317</v>
      </c>
      <c r="B208" s="578" t="s">
        <v>272</v>
      </c>
      <c r="C208" s="578" t="s">
        <v>250</v>
      </c>
      <c r="D208" s="578" t="s">
        <v>782</v>
      </c>
      <c r="E208" s="563">
        <v>127033</v>
      </c>
      <c r="F208" s="564">
        <v>39296</v>
      </c>
      <c r="G208" s="563">
        <v>128855</v>
      </c>
      <c r="H208" s="565">
        <v>1822</v>
      </c>
    </row>
    <row r="209" spans="1:8" x14ac:dyDescent="0.25">
      <c r="A209" s="121">
        <v>181320</v>
      </c>
      <c r="B209" s="578" t="s">
        <v>272</v>
      </c>
      <c r="C209" s="578" t="s">
        <v>250</v>
      </c>
      <c r="D209" s="578" t="s">
        <v>783</v>
      </c>
      <c r="E209" s="563">
        <v>164077</v>
      </c>
      <c r="F209" s="564">
        <v>39297</v>
      </c>
      <c r="G209" s="563">
        <v>166342</v>
      </c>
      <c r="H209" s="565">
        <v>2265</v>
      </c>
    </row>
    <row r="210" spans="1:8" x14ac:dyDescent="0.25">
      <c r="A210" s="121">
        <v>181321</v>
      </c>
      <c r="B210" s="578" t="s">
        <v>272</v>
      </c>
      <c r="C210" s="578" t="s">
        <v>250</v>
      </c>
      <c r="D210" s="578" t="s">
        <v>777</v>
      </c>
      <c r="E210" s="563">
        <v>284051</v>
      </c>
      <c r="F210" s="564">
        <v>39448</v>
      </c>
      <c r="G210" s="563">
        <v>286629</v>
      </c>
      <c r="H210" s="565">
        <v>2578</v>
      </c>
    </row>
    <row r="211" spans="1:8" x14ac:dyDescent="0.25">
      <c r="A211" s="121">
        <v>181345</v>
      </c>
      <c r="B211" s="578" t="s">
        <v>272</v>
      </c>
      <c r="C211" s="578" t="s">
        <v>250</v>
      </c>
      <c r="D211" s="578" t="s">
        <v>781</v>
      </c>
      <c r="E211" s="563">
        <v>185605</v>
      </c>
      <c r="F211" s="564">
        <v>39294</v>
      </c>
      <c r="G211" s="563">
        <v>189306</v>
      </c>
      <c r="H211" s="565">
        <v>3701</v>
      </c>
    </row>
    <row r="212" spans="1:8" x14ac:dyDescent="0.25">
      <c r="A212" s="121">
        <v>181795</v>
      </c>
      <c r="B212" s="578" t="s">
        <v>272</v>
      </c>
      <c r="C212" s="578" t="s">
        <v>250</v>
      </c>
      <c r="D212" s="578" t="s">
        <v>784</v>
      </c>
      <c r="E212" s="563">
        <v>176154</v>
      </c>
      <c r="F212" s="564">
        <v>39298</v>
      </c>
      <c r="G212" s="563">
        <v>178660</v>
      </c>
      <c r="H212" s="565">
        <v>2506</v>
      </c>
    </row>
    <row r="213" spans="1:8" x14ac:dyDescent="0.25">
      <c r="A213" s="121">
        <v>349452</v>
      </c>
      <c r="B213" s="578" t="s">
        <v>272</v>
      </c>
      <c r="C213" s="578" t="s">
        <v>250</v>
      </c>
      <c r="D213" s="578" t="s">
        <v>785</v>
      </c>
      <c r="E213" s="563">
        <v>37445</v>
      </c>
      <c r="F213" s="564">
        <v>39449</v>
      </c>
      <c r="G213" s="563">
        <v>37445</v>
      </c>
      <c r="H213" s="565">
        <v>0</v>
      </c>
    </row>
    <row r="214" spans="1:8" x14ac:dyDescent="0.25">
      <c r="A214" s="121">
        <v>357873</v>
      </c>
      <c r="B214" s="578" t="s">
        <v>272</v>
      </c>
      <c r="C214" s="578" t="s">
        <v>250</v>
      </c>
      <c r="D214" s="578" t="s">
        <v>786</v>
      </c>
      <c r="E214" s="563">
        <v>5319</v>
      </c>
      <c r="F214" s="564">
        <v>39450</v>
      </c>
      <c r="G214" s="563">
        <v>5319</v>
      </c>
      <c r="H214" s="565">
        <v>0</v>
      </c>
    </row>
    <row r="215" spans="1:8" x14ac:dyDescent="0.25">
      <c r="A215" s="121">
        <v>357875</v>
      </c>
      <c r="B215" s="578" t="s">
        <v>272</v>
      </c>
      <c r="C215" s="578" t="s">
        <v>250</v>
      </c>
      <c r="D215" s="578" t="s">
        <v>778</v>
      </c>
      <c r="E215" s="563">
        <v>14035</v>
      </c>
      <c r="F215" s="564">
        <v>39454</v>
      </c>
      <c r="G215" s="563">
        <v>14035</v>
      </c>
      <c r="H215" s="565">
        <v>0</v>
      </c>
    </row>
    <row r="216" spans="1:8" x14ac:dyDescent="0.25">
      <c r="A216" s="121">
        <v>358168</v>
      </c>
      <c r="B216" s="578" t="s">
        <v>272</v>
      </c>
      <c r="C216" s="578" t="s">
        <v>250</v>
      </c>
      <c r="D216" s="578" t="s">
        <v>779</v>
      </c>
      <c r="E216" s="563">
        <v>32213</v>
      </c>
      <c r="F216" s="564">
        <v>39457</v>
      </c>
      <c r="G216" s="563">
        <v>34728</v>
      </c>
      <c r="H216" s="565">
        <v>2515</v>
      </c>
    </row>
    <row r="217" spans="1:8" x14ac:dyDescent="0.25">
      <c r="A217" s="121">
        <v>359329</v>
      </c>
      <c r="B217" s="578" t="s">
        <v>272</v>
      </c>
      <c r="C217" s="578" t="s">
        <v>250</v>
      </c>
      <c r="D217" s="578" t="s">
        <v>780</v>
      </c>
      <c r="E217" s="563">
        <v>36724</v>
      </c>
      <c r="F217" s="564">
        <v>39458</v>
      </c>
      <c r="G217" s="563">
        <v>39604</v>
      </c>
      <c r="H217" s="565">
        <v>2880</v>
      </c>
    </row>
    <row r="218" spans="1:8" x14ac:dyDescent="0.25">
      <c r="A218" s="121" t="s">
        <v>273</v>
      </c>
      <c r="B218" s="578" t="s">
        <v>272</v>
      </c>
      <c r="C218" s="578" t="s">
        <v>274</v>
      </c>
      <c r="D218" s="578" t="s">
        <v>262</v>
      </c>
      <c r="E218" s="563">
        <v>18247</v>
      </c>
      <c r="F218" s="564">
        <v>39267</v>
      </c>
      <c r="G218" s="563">
        <v>18248</v>
      </c>
      <c r="H218" s="565">
        <v>1</v>
      </c>
    </row>
    <row r="219" spans="1:8" x14ac:dyDescent="0.25">
      <c r="A219" s="121" t="s">
        <v>428</v>
      </c>
      <c r="B219" s="578" t="s">
        <v>288</v>
      </c>
      <c r="C219" s="578" t="s">
        <v>454</v>
      </c>
      <c r="D219" s="578" t="s">
        <v>982</v>
      </c>
      <c r="E219" s="563">
        <v>19461</v>
      </c>
      <c r="F219" s="564">
        <v>39020</v>
      </c>
      <c r="G219" s="563">
        <v>19765</v>
      </c>
      <c r="H219" s="565">
        <v>304</v>
      </c>
    </row>
    <row r="220" spans="1:8" x14ac:dyDescent="0.25">
      <c r="A220" s="121" t="s">
        <v>294</v>
      </c>
      <c r="B220" s="578" t="s">
        <v>288</v>
      </c>
      <c r="C220" s="578" t="s">
        <v>295</v>
      </c>
      <c r="D220" s="578" t="s">
        <v>991</v>
      </c>
      <c r="E220" s="563">
        <v>583695</v>
      </c>
      <c r="F220" s="564">
        <v>39131</v>
      </c>
      <c r="G220" s="563">
        <v>586566</v>
      </c>
      <c r="H220" s="565">
        <v>2871</v>
      </c>
    </row>
    <row r="221" spans="1:8" x14ac:dyDescent="0.25">
      <c r="A221" s="121" t="s">
        <v>291</v>
      </c>
      <c r="B221" s="578" t="s">
        <v>288</v>
      </c>
      <c r="C221" s="578" t="s">
        <v>292</v>
      </c>
      <c r="D221" s="578" t="s">
        <v>985</v>
      </c>
      <c r="E221" s="563">
        <v>24977</v>
      </c>
      <c r="F221" s="564">
        <v>39390</v>
      </c>
      <c r="G221" s="563">
        <v>24990</v>
      </c>
      <c r="H221" s="565">
        <v>13</v>
      </c>
    </row>
    <row r="222" spans="1:8" x14ac:dyDescent="0.25">
      <c r="A222" s="121" t="s">
        <v>289</v>
      </c>
      <c r="B222" s="578" t="s">
        <v>288</v>
      </c>
      <c r="C222" s="578" t="s">
        <v>290</v>
      </c>
      <c r="D222" s="578" t="s">
        <v>990</v>
      </c>
      <c r="E222" s="563">
        <v>56389</v>
      </c>
      <c r="F222" s="564">
        <v>39006</v>
      </c>
      <c r="G222" s="563">
        <v>57120</v>
      </c>
      <c r="H222" s="565">
        <v>731</v>
      </c>
    </row>
    <row r="223" spans="1:8" x14ac:dyDescent="0.25">
      <c r="A223" s="121" t="s">
        <v>1241</v>
      </c>
      <c r="B223" s="578" t="s">
        <v>288</v>
      </c>
      <c r="C223" s="578" t="s">
        <v>742</v>
      </c>
      <c r="D223" s="578"/>
      <c r="E223" s="563">
        <v>1095180</v>
      </c>
      <c r="F223" s="564">
        <v>30000</v>
      </c>
      <c r="G223" s="563">
        <v>1105892</v>
      </c>
      <c r="H223" s="565">
        <v>10712</v>
      </c>
    </row>
    <row r="224" spans="1:8" x14ac:dyDescent="0.25">
      <c r="A224" s="121">
        <v>1014100108</v>
      </c>
      <c r="B224" s="578" t="s">
        <v>296</v>
      </c>
      <c r="C224" s="578" t="s">
        <v>297</v>
      </c>
      <c r="D224" s="578" t="s">
        <v>47</v>
      </c>
      <c r="E224" s="563">
        <v>68235</v>
      </c>
      <c r="F224" s="564">
        <v>39505</v>
      </c>
      <c r="G224" s="563">
        <v>68750</v>
      </c>
      <c r="H224" s="565">
        <v>515</v>
      </c>
    </row>
    <row r="225" spans="1:8" x14ac:dyDescent="0.25">
      <c r="A225" s="121" t="s">
        <v>1242</v>
      </c>
      <c r="B225" s="578" t="s">
        <v>296</v>
      </c>
      <c r="C225" s="578" t="s">
        <v>742</v>
      </c>
      <c r="D225" s="578" t="s">
        <v>63</v>
      </c>
      <c r="E225" s="563">
        <v>331428</v>
      </c>
      <c r="F225" s="564">
        <v>30000</v>
      </c>
      <c r="G225" s="563">
        <v>337426</v>
      </c>
      <c r="H225" s="565">
        <v>5998</v>
      </c>
    </row>
    <row r="226" spans="1:8" x14ac:dyDescent="0.25">
      <c r="A226" s="121">
        <v>114467100</v>
      </c>
      <c r="B226" s="578" t="s">
        <v>298</v>
      </c>
      <c r="C226" s="578" t="s">
        <v>996</v>
      </c>
      <c r="D226" s="578" t="s">
        <v>47</v>
      </c>
      <c r="E226" s="563">
        <v>64315</v>
      </c>
      <c r="F226" s="564">
        <v>39518</v>
      </c>
      <c r="G226" s="563">
        <v>66261</v>
      </c>
      <c r="H226" s="565">
        <v>1946</v>
      </c>
    </row>
    <row r="227" spans="1:8" x14ac:dyDescent="0.25">
      <c r="A227" s="553">
        <v>114467132</v>
      </c>
      <c r="B227" s="578" t="s">
        <v>298</v>
      </c>
      <c r="C227" s="578" t="s">
        <v>997</v>
      </c>
      <c r="D227" s="578" t="s">
        <v>47</v>
      </c>
      <c r="E227" s="571">
        <v>52958</v>
      </c>
      <c r="F227" s="564">
        <v>39519</v>
      </c>
      <c r="G227" s="571">
        <v>54625</v>
      </c>
      <c r="H227" s="572">
        <v>1667</v>
      </c>
    </row>
    <row r="228" spans="1:8" x14ac:dyDescent="0.25">
      <c r="A228" s="553">
        <v>114484080</v>
      </c>
      <c r="B228" s="580" t="s">
        <v>298</v>
      </c>
      <c r="C228" s="580" t="s">
        <v>998</v>
      </c>
      <c r="D228" s="580" t="s">
        <v>47</v>
      </c>
      <c r="E228" s="571">
        <v>64150</v>
      </c>
      <c r="F228" s="573">
        <v>39517</v>
      </c>
      <c r="G228" s="571">
        <v>66124</v>
      </c>
      <c r="H228" s="572">
        <v>1974</v>
      </c>
    </row>
    <row r="229" spans="1:8" x14ac:dyDescent="0.25">
      <c r="A229" s="553" t="s">
        <v>299</v>
      </c>
      <c r="B229" s="580" t="s">
        <v>298</v>
      </c>
      <c r="C229" s="580" t="s">
        <v>146</v>
      </c>
      <c r="D229" s="580" t="s">
        <v>47</v>
      </c>
      <c r="E229" s="571">
        <v>14852</v>
      </c>
      <c r="F229" s="573">
        <v>39504</v>
      </c>
      <c r="G229" s="571">
        <v>14853</v>
      </c>
      <c r="H229" s="572">
        <v>1</v>
      </c>
    </row>
    <row r="230" spans="1:8" x14ac:dyDescent="0.25">
      <c r="A230" s="553" t="s">
        <v>1306</v>
      </c>
      <c r="B230" s="580" t="s">
        <v>298</v>
      </c>
      <c r="C230" s="580" t="s">
        <v>742</v>
      </c>
      <c r="D230" s="580" t="s">
        <v>63</v>
      </c>
      <c r="E230" s="571">
        <v>964795</v>
      </c>
      <c r="F230" s="573">
        <v>30000</v>
      </c>
      <c r="G230" s="571">
        <v>995326</v>
      </c>
      <c r="H230" s="572">
        <v>30531</v>
      </c>
    </row>
    <row r="231" spans="1:8" x14ac:dyDescent="0.25">
      <c r="A231" s="554">
        <v>114467037</v>
      </c>
      <c r="B231" s="581" t="s">
        <v>306</v>
      </c>
      <c r="C231" s="581" t="s">
        <v>999</v>
      </c>
      <c r="D231" s="581" t="s">
        <v>47</v>
      </c>
      <c r="E231" s="574">
        <v>69491</v>
      </c>
      <c r="F231" s="575">
        <v>39548</v>
      </c>
      <c r="G231" s="574">
        <v>71466</v>
      </c>
      <c r="H231" s="576">
        <v>1975</v>
      </c>
    </row>
    <row r="232" spans="1:8" x14ac:dyDescent="0.25">
      <c r="A232" s="554">
        <v>114481067</v>
      </c>
      <c r="B232" s="581" t="s">
        <v>306</v>
      </c>
      <c r="C232" s="581" t="s">
        <v>1000</v>
      </c>
      <c r="D232" s="581" t="s">
        <v>47</v>
      </c>
      <c r="E232" s="574">
        <v>27403</v>
      </c>
      <c r="F232" s="575">
        <v>39549</v>
      </c>
      <c r="G232" s="574">
        <v>27781</v>
      </c>
      <c r="H232" s="576">
        <v>378</v>
      </c>
    </row>
    <row r="233" spans="1:8" x14ac:dyDescent="0.25">
      <c r="A233" s="553">
        <v>114481080</v>
      </c>
      <c r="B233" s="580" t="s">
        <v>306</v>
      </c>
      <c r="C233" s="580" t="s">
        <v>1001</v>
      </c>
      <c r="D233" s="580" t="s">
        <v>47</v>
      </c>
      <c r="E233" s="571">
        <v>69363</v>
      </c>
      <c r="F233" s="573">
        <v>39547</v>
      </c>
      <c r="G233" s="571">
        <v>71225</v>
      </c>
      <c r="H233" s="572">
        <v>1862</v>
      </c>
    </row>
    <row r="234" spans="1:8" x14ac:dyDescent="0.25">
      <c r="A234" s="553">
        <v>114484112</v>
      </c>
      <c r="B234" s="580" t="s">
        <v>306</v>
      </c>
      <c r="C234" s="580" t="s">
        <v>1002</v>
      </c>
      <c r="D234" s="580" t="s">
        <v>47</v>
      </c>
      <c r="E234" s="571">
        <v>69786</v>
      </c>
      <c r="F234" s="573">
        <v>39526</v>
      </c>
      <c r="G234" s="571">
        <v>71744</v>
      </c>
      <c r="H234" s="572">
        <v>1958</v>
      </c>
    </row>
    <row r="235" spans="1:8" x14ac:dyDescent="0.25">
      <c r="A235" s="554" t="s">
        <v>1245</v>
      </c>
      <c r="B235" s="581" t="s">
        <v>306</v>
      </c>
      <c r="C235" s="581" t="s">
        <v>742</v>
      </c>
      <c r="D235" s="581" t="s">
        <v>63</v>
      </c>
      <c r="E235" s="574">
        <v>192494</v>
      </c>
      <c r="F235" s="575">
        <v>30000</v>
      </c>
      <c r="G235" s="574">
        <v>194872</v>
      </c>
      <c r="H235" s="576">
        <v>2378</v>
      </c>
    </row>
    <row r="236" spans="1:8" x14ac:dyDescent="0.25">
      <c r="A236" s="554" t="s">
        <v>1250</v>
      </c>
      <c r="B236" s="581" t="s">
        <v>456</v>
      </c>
      <c r="C236" s="581" t="s">
        <v>742</v>
      </c>
      <c r="D236" s="581" t="s">
        <v>63</v>
      </c>
      <c r="E236" s="574">
        <v>50565</v>
      </c>
      <c r="F236" s="575">
        <v>30000</v>
      </c>
      <c r="G236" s="574">
        <v>52210</v>
      </c>
      <c r="H236" s="576">
        <v>1645</v>
      </c>
    </row>
  </sheetData>
  <conditionalFormatting sqref="I12">
    <cfRule type="cellIs" dxfId="53" priority="1" operator="equal">
      <formula>"N/A"</formula>
    </cfRule>
  </conditionalFormatting>
  <pageMargins left="0.7" right="0.7" top="0.75" bottom="0.75" header="0.3" footer="0.3"/>
  <pageSetup paperSize="9" scale="1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Ozaeta">
                <anchor moveWithCells="1" siz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14</xdr:col>
                    <xdr:colOff>466725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J37"/>
  <sheetViews>
    <sheetView topLeftCell="A16" workbookViewId="0">
      <selection activeCell="H38" sqref="H38"/>
    </sheetView>
  </sheetViews>
  <sheetFormatPr baseColWidth="10" defaultRowHeight="15" x14ac:dyDescent="0.25"/>
  <cols>
    <col min="1" max="1" width="11.5703125" style="2"/>
    <col min="2" max="2" width="17.28515625" style="2" bestFit="1" customWidth="1"/>
    <col min="3" max="3" width="20.140625" style="2" bestFit="1" customWidth="1"/>
    <col min="4" max="4" width="9.7109375" style="2" bestFit="1" customWidth="1"/>
    <col min="5" max="5" width="8.42578125" style="2" bestFit="1" customWidth="1"/>
    <col min="6" max="6" width="25.85546875" style="2" bestFit="1" customWidth="1"/>
    <col min="7" max="7" width="20.5703125" style="502" customWidth="1"/>
    <col min="8" max="8" width="56.42578125" style="2" bestFit="1" customWidth="1"/>
  </cols>
  <sheetData>
    <row r="2" spans="1:10" x14ac:dyDescent="0.25">
      <c r="A2" s="2" t="s">
        <v>788</v>
      </c>
      <c r="B2" s="2" t="s">
        <v>787</v>
      </c>
      <c r="C2" s="2" t="s">
        <v>18</v>
      </c>
      <c r="D2" s="2" t="s">
        <v>0</v>
      </c>
      <c r="E2" s="2" t="s">
        <v>710</v>
      </c>
      <c r="F2" s="2" t="s">
        <v>1</v>
      </c>
      <c r="G2" s="502" t="s">
        <v>790</v>
      </c>
      <c r="H2" s="2" t="s">
        <v>791</v>
      </c>
      <c r="I2" t="s">
        <v>756</v>
      </c>
      <c r="J2" t="s">
        <v>757</v>
      </c>
    </row>
    <row r="3" spans="1:10" x14ac:dyDescent="0.25">
      <c r="A3" s="253">
        <v>42785</v>
      </c>
      <c r="B3" s="2" t="s">
        <v>793</v>
      </c>
      <c r="C3" s="39">
        <v>37477744</v>
      </c>
      <c r="D3" s="2" t="s">
        <v>794</v>
      </c>
      <c r="E3" s="2">
        <v>132</v>
      </c>
      <c r="F3" s="2" t="s">
        <v>21</v>
      </c>
      <c r="G3" s="502" t="s">
        <v>794</v>
      </c>
      <c r="H3" s="2" t="s">
        <v>845</v>
      </c>
    </row>
    <row r="4" spans="1:10" x14ac:dyDescent="0.25">
      <c r="A4" s="252">
        <v>42829</v>
      </c>
      <c r="B4" s="1" t="s">
        <v>789</v>
      </c>
      <c r="C4" s="1">
        <v>20581330</v>
      </c>
      <c r="D4" s="1" t="s">
        <v>721</v>
      </c>
      <c r="E4" s="1">
        <v>150</v>
      </c>
      <c r="F4" s="1" t="s">
        <v>21</v>
      </c>
      <c r="G4" s="559" t="s">
        <v>20</v>
      </c>
      <c r="H4" s="1" t="s">
        <v>846</v>
      </c>
      <c r="I4" s="1"/>
      <c r="J4" s="1"/>
    </row>
    <row r="5" spans="1:10" x14ac:dyDescent="0.25">
      <c r="A5" s="252">
        <v>42829</v>
      </c>
      <c r="B5" s="1" t="s">
        <v>789</v>
      </c>
      <c r="C5" s="1" t="s">
        <v>836</v>
      </c>
      <c r="D5" s="1" t="s">
        <v>871</v>
      </c>
      <c r="E5" s="1" t="s">
        <v>837</v>
      </c>
      <c r="F5" s="1"/>
      <c r="G5" s="559"/>
      <c r="H5" s="1" t="s">
        <v>872</v>
      </c>
      <c r="I5" s="1"/>
      <c r="J5" s="1"/>
    </row>
    <row r="6" spans="1:10" x14ac:dyDescent="0.25">
      <c r="A6" s="253">
        <v>42829</v>
      </c>
      <c r="B6" s="2" t="s">
        <v>789</v>
      </c>
      <c r="D6" s="2" t="s">
        <v>323</v>
      </c>
      <c r="H6" s="2" t="s">
        <v>847</v>
      </c>
    </row>
    <row r="7" spans="1:10" x14ac:dyDescent="0.25">
      <c r="A7" s="253">
        <v>42830</v>
      </c>
      <c r="B7" s="2" t="s">
        <v>793</v>
      </c>
      <c r="C7" s="2" t="s">
        <v>802</v>
      </c>
      <c r="D7" s="2" t="s">
        <v>811</v>
      </c>
      <c r="E7" s="2">
        <v>140</v>
      </c>
      <c r="F7" s="2" t="s">
        <v>814</v>
      </c>
      <c r="H7" s="2" t="s">
        <v>841</v>
      </c>
    </row>
    <row r="8" spans="1:10" x14ac:dyDescent="0.25">
      <c r="A8" s="253">
        <v>42830</v>
      </c>
      <c r="B8" s="2" t="s">
        <v>793</v>
      </c>
      <c r="C8" s="2" t="s">
        <v>805</v>
      </c>
      <c r="D8" s="2" t="s">
        <v>812</v>
      </c>
      <c r="E8" s="2">
        <v>140</v>
      </c>
      <c r="F8" s="2" t="s">
        <v>814</v>
      </c>
      <c r="H8" s="2" t="s">
        <v>841</v>
      </c>
    </row>
    <row r="9" spans="1:10" x14ac:dyDescent="0.25">
      <c r="A9" s="253">
        <v>42830</v>
      </c>
      <c r="B9" s="2" t="s">
        <v>793</v>
      </c>
      <c r="C9" s="2" t="s">
        <v>808</v>
      </c>
      <c r="D9" s="2" t="s">
        <v>813</v>
      </c>
      <c r="E9" s="2">
        <v>140</v>
      </c>
      <c r="F9" s="2" t="s">
        <v>814</v>
      </c>
      <c r="H9" s="2" t="s">
        <v>841</v>
      </c>
    </row>
    <row r="10" spans="1:10" x14ac:dyDescent="0.25">
      <c r="A10" s="253">
        <v>42830</v>
      </c>
      <c r="B10" s="2" t="s">
        <v>793</v>
      </c>
      <c r="C10" s="2" t="s">
        <v>818</v>
      </c>
      <c r="D10" s="2" t="s">
        <v>827</v>
      </c>
      <c r="E10" s="2">
        <v>140</v>
      </c>
      <c r="F10" s="2" t="s">
        <v>831</v>
      </c>
      <c r="H10" s="2" t="s">
        <v>841</v>
      </c>
    </row>
    <row r="11" spans="1:10" x14ac:dyDescent="0.25">
      <c r="A11" s="253">
        <v>42830</v>
      </c>
      <c r="B11" s="2" t="s">
        <v>793</v>
      </c>
      <c r="C11" s="2" t="s">
        <v>818</v>
      </c>
      <c r="D11" s="2" t="s">
        <v>828</v>
      </c>
      <c r="E11" s="2">
        <v>140</v>
      </c>
      <c r="F11" s="2" t="s">
        <v>832</v>
      </c>
      <c r="H11" s="2" t="s">
        <v>841</v>
      </c>
    </row>
    <row r="12" spans="1:10" x14ac:dyDescent="0.25">
      <c r="A12" s="253">
        <v>42830</v>
      </c>
      <c r="B12" s="2" t="s">
        <v>793</v>
      </c>
      <c r="C12" s="2" t="s">
        <v>818</v>
      </c>
      <c r="D12" s="2" t="s">
        <v>829</v>
      </c>
      <c r="E12" s="2">
        <v>140</v>
      </c>
      <c r="F12" s="2" t="s">
        <v>831</v>
      </c>
      <c r="H12" s="2" t="s">
        <v>841</v>
      </c>
    </row>
    <row r="13" spans="1:10" x14ac:dyDescent="0.25">
      <c r="A13" s="253">
        <v>42830</v>
      </c>
      <c r="B13" s="2" t="s">
        <v>793</v>
      </c>
      <c r="C13" s="2" t="s">
        <v>818</v>
      </c>
      <c r="D13" s="2" t="s">
        <v>830</v>
      </c>
      <c r="E13" s="2">
        <v>140</v>
      </c>
      <c r="F13" s="2" t="s">
        <v>832</v>
      </c>
      <c r="H13" s="2" t="s">
        <v>841</v>
      </c>
    </row>
    <row r="14" spans="1:10" x14ac:dyDescent="0.25">
      <c r="A14" s="253">
        <v>42830</v>
      </c>
      <c r="B14" s="2" t="s">
        <v>793</v>
      </c>
      <c r="C14" s="2" t="s">
        <v>836</v>
      </c>
      <c r="D14" s="2" t="s">
        <v>837</v>
      </c>
      <c r="E14" s="2" t="s">
        <v>837</v>
      </c>
      <c r="F14" s="2" t="s">
        <v>838</v>
      </c>
      <c r="G14" s="502" t="s">
        <v>839</v>
      </c>
      <c r="H14" s="2" t="s">
        <v>840</v>
      </c>
    </row>
    <row r="15" spans="1:10" x14ac:dyDescent="0.25">
      <c r="A15" s="253">
        <v>42834</v>
      </c>
      <c r="B15" s="2" t="s">
        <v>843</v>
      </c>
      <c r="C15" s="2" t="s">
        <v>836</v>
      </c>
      <c r="D15" s="2" t="s">
        <v>837</v>
      </c>
      <c r="E15" s="2" t="s">
        <v>837</v>
      </c>
      <c r="H15" s="2" t="s">
        <v>844</v>
      </c>
    </row>
    <row r="16" spans="1:10" x14ac:dyDescent="0.25">
      <c r="A16" s="253">
        <v>42857</v>
      </c>
      <c r="B16" s="2" t="s">
        <v>793</v>
      </c>
      <c r="C16" s="2">
        <v>11210006</v>
      </c>
      <c r="I16" s="2"/>
      <c r="J16" s="2"/>
    </row>
    <row r="17" spans="1:10" x14ac:dyDescent="0.25">
      <c r="A17" s="253">
        <v>42857</v>
      </c>
      <c r="B17" s="2" t="s">
        <v>789</v>
      </c>
      <c r="C17" s="2">
        <v>15051354408</v>
      </c>
      <c r="D17" s="2" t="s">
        <v>240</v>
      </c>
      <c r="E17" s="2">
        <v>150</v>
      </c>
      <c r="F17" s="2" t="s">
        <v>858</v>
      </c>
      <c r="H17" s="2" t="s">
        <v>857</v>
      </c>
      <c r="I17" s="2"/>
      <c r="J17" s="2"/>
    </row>
    <row r="18" spans="1:10" x14ac:dyDescent="0.25">
      <c r="A18" s="253">
        <v>42857</v>
      </c>
      <c r="B18" s="2" t="s">
        <v>789</v>
      </c>
      <c r="C18" s="2" t="s">
        <v>688</v>
      </c>
      <c r="D18" s="2" t="s">
        <v>90</v>
      </c>
      <c r="E18" s="2">
        <v>39027</v>
      </c>
      <c r="F18" s="2" t="s">
        <v>860</v>
      </c>
      <c r="H18" s="2" t="s">
        <v>859</v>
      </c>
      <c r="I18" s="2"/>
      <c r="J18" s="2"/>
    </row>
    <row r="19" spans="1:10" x14ac:dyDescent="0.25">
      <c r="A19" s="253">
        <v>42978</v>
      </c>
      <c r="B19" s="2" t="s">
        <v>789</v>
      </c>
      <c r="C19" s="2">
        <v>39305</v>
      </c>
      <c r="D19" s="2" t="s">
        <v>617</v>
      </c>
      <c r="E19" s="2">
        <v>39305</v>
      </c>
      <c r="F19" s="2" t="s">
        <v>1040</v>
      </c>
      <c r="I19" s="2"/>
      <c r="J19" s="2"/>
    </row>
    <row r="20" spans="1:10" x14ac:dyDescent="0.25">
      <c r="C20" s="2">
        <v>7107776</v>
      </c>
      <c r="D20" s="2" t="s">
        <v>617</v>
      </c>
      <c r="E20" s="2">
        <v>39478</v>
      </c>
      <c r="F20" s="2" t="s">
        <v>1041</v>
      </c>
    </row>
    <row r="21" spans="1:10" x14ac:dyDescent="0.25">
      <c r="A21" s="253">
        <v>43151</v>
      </c>
      <c r="B21" s="2" t="s">
        <v>789</v>
      </c>
      <c r="C21" s="2">
        <v>20583455</v>
      </c>
      <c r="D21" s="2" t="s">
        <v>560</v>
      </c>
      <c r="E21" s="2">
        <v>2</v>
      </c>
      <c r="F21" s="2" t="s">
        <v>1146</v>
      </c>
      <c r="H21" s="2" t="s">
        <v>1147</v>
      </c>
      <c r="I21" t="s">
        <v>1154</v>
      </c>
    </row>
    <row r="22" spans="1:10" ht="18.75" x14ac:dyDescent="0.25">
      <c r="A22" s="253">
        <v>43151</v>
      </c>
      <c r="B22" s="2" t="s">
        <v>789</v>
      </c>
      <c r="C22" s="223">
        <v>5356192</v>
      </c>
      <c r="D22" s="2" t="s">
        <v>593</v>
      </c>
      <c r="E22" s="2">
        <v>2</v>
      </c>
      <c r="F22" s="2" t="s">
        <v>597</v>
      </c>
      <c r="H22" s="2" t="s">
        <v>1153</v>
      </c>
      <c r="I22" t="s">
        <v>1154</v>
      </c>
    </row>
    <row r="23" spans="1:10" x14ac:dyDescent="0.25">
      <c r="A23" s="253">
        <v>43152</v>
      </c>
      <c r="B23" s="2" t="s">
        <v>793</v>
      </c>
      <c r="C23" s="2" t="s">
        <v>1171</v>
      </c>
      <c r="D23" s="2" t="s">
        <v>541</v>
      </c>
      <c r="H23" s="2" t="s">
        <v>1176</v>
      </c>
    </row>
    <row r="24" spans="1:10" x14ac:dyDescent="0.25">
      <c r="A24" s="253">
        <v>43152</v>
      </c>
      <c r="B24" s="2" t="s">
        <v>793</v>
      </c>
      <c r="C24" s="2">
        <v>62079903</v>
      </c>
      <c r="D24" s="2" t="s">
        <v>541</v>
      </c>
      <c r="H24" s="2" t="s">
        <v>1176</v>
      </c>
    </row>
    <row r="25" spans="1:10" x14ac:dyDescent="0.25">
      <c r="A25" s="253">
        <v>43152</v>
      </c>
      <c r="B25" s="2" t="s">
        <v>793</v>
      </c>
      <c r="C25" s="2" t="s">
        <v>1168</v>
      </c>
      <c r="D25" s="2" t="s">
        <v>1177</v>
      </c>
      <c r="F25" s="2" t="s">
        <v>1178</v>
      </c>
      <c r="H25" s="2" t="s">
        <v>1176</v>
      </c>
    </row>
    <row r="26" spans="1:10" x14ac:dyDescent="0.25">
      <c r="A26" s="253">
        <v>43152</v>
      </c>
      <c r="B26" s="2" t="s">
        <v>793</v>
      </c>
      <c r="C26" s="2" t="s">
        <v>1169</v>
      </c>
      <c r="D26" s="2" t="s">
        <v>1177</v>
      </c>
      <c r="F26" s="2" t="s">
        <v>1170</v>
      </c>
      <c r="H26" s="2" t="s">
        <v>1176</v>
      </c>
    </row>
    <row r="27" spans="1:10" x14ac:dyDescent="0.25">
      <c r="A27" s="253">
        <v>43152</v>
      </c>
      <c r="B27" s="2" t="s">
        <v>793</v>
      </c>
      <c r="C27" s="2" t="s">
        <v>1162</v>
      </c>
      <c r="D27" s="2" t="s">
        <v>610</v>
      </c>
      <c r="F27" s="2" t="s">
        <v>1179</v>
      </c>
      <c r="H27" s="2" t="s">
        <v>1176</v>
      </c>
    </row>
    <row r="28" spans="1:10" x14ac:dyDescent="0.25">
      <c r="A28" s="253">
        <v>43152</v>
      </c>
      <c r="B28" s="2" t="s">
        <v>793</v>
      </c>
      <c r="C28" s="2" t="s">
        <v>1164</v>
      </c>
      <c r="D28" s="2" t="s">
        <v>610</v>
      </c>
      <c r="F28" s="2" t="s">
        <v>1179</v>
      </c>
      <c r="H28" s="2" t="s">
        <v>1176</v>
      </c>
    </row>
    <row r="29" spans="1:10" x14ac:dyDescent="0.25">
      <c r="A29" s="253">
        <v>43152</v>
      </c>
      <c r="B29" s="2" t="s">
        <v>793</v>
      </c>
      <c r="C29" s="2" t="s">
        <v>1158</v>
      </c>
      <c r="D29" s="2" t="s">
        <v>610</v>
      </c>
      <c r="F29" s="2" t="s">
        <v>1180</v>
      </c>
      <c r="H29" s="2" t="s">
        <v>1176</v>
      </c>
    </row>
    <row r="30" spans="1:10" x14ac:dyDescent="0.25">
      <c r="A30" s="253">
        <v>43152</v>
      </c>
      <c r="B30" s="2" t="s">
        <v>793</v>
      </c>
      <c r="C30" s="2" t="s">
        <v>1160</v>
      </c>
      <c r="D30" s="2" t="s">
        <v>610</v>
      </c>
      <c r="F30" s="2" t="s">
        <v>1161</v>
      </c>
      <c r="H30" s="2" t="s">
        <v>1176</v>
      </c>
    </row>
    <row r="31" spans="1:10" x14ac:dyDescent="0.25">
      <c r="A31" s="253">
        <v>43152</v>
      </c>
      <c r="B31" s="2" t="s">
        <v>793</v>
      </c>
      <c r="C31" s="2" t="s">
        <v>1166</v>
      </c>
      <c r="D31" s="2" t="s">
        <v>610</v>
      </c>
      <c r="F31" s="2" t="s">
        <v>1165</v>
      </c>
      <c r="H31" s="2" t="s">
        <v>1176</v>
      </c>
    </row>
    <row r="32" spans="1:10" x14ac:dyDescent="0.25">
      <c r="A32" s="253">
        <v>43152</v>
      </c>
      <c r="B32" s="2" t="s">
        <v>793</v>
      </c>
      <c r="C32" s="2">
        <v>11414011</v>
      </c>
      <c r="D32" s="2" t="s">
        <v>610</v>
      </c>
      <c r="F32" s="2" t="s">
        <v>1181</v>
      </c>
      <c r="H32" s="2" t="s">
        <v>1176</v>
      </c>
    </row>
    <row r="33" spans="1:9" x14ac:dyDescent="0.25">
      <c r="A33" s="253">
        <v>43301</v>
      </c>
      <c r="B33" s="2" t="s">
        <v>793</v>
      </c>
      <c r="C33" s="2" t="s">
        <v>1378</v>
      </c>
      <c r="D33" s="2" t="s">
        <v>570</v>
      </c>
      <c r="E33" s="2">
        <v>39819</v>
      </c>
      <c r="F33" s="2" t="s">
        <v>1380</v>
      </c>
      <c r="G33" s="502" t="s">
        <v>1381</v>
      </c>
    </row>
    <row r="34" spans="1:9" x14ac:dyDescent="0.25">
      <c r="A34" s="253">
        <v>43301</v>
      </c>
      <c r="B34" s="2" t="s">
        <v>793</v>
      </c>
      <c r="C34" s="2" t="s">
        <v>1377</v>
      </c>
      <c r="D34" s="2" t="s">
        <v>541</v>
      </c>
      <c r="E34" s="2">
        <v>39510</v>
      </c>
      <c r="F34" s="2" t="s">
        <v>1198</v>
      </c>
      <c r="G34" s="502" t="s">
        <v>1379</v>
      </c>
    </row>
    <row r="35" spans="1:9" x14ac:dyDescent="0.25">
      <c r="A35" s="253">
        <v>43369</v>
      </c>
      <c r="B35" s="2" t="s">
        <v>789</v>
      </c>
      <c r="C35" s="2">
        <v>49311166</v>
      </c>
      <c r="D35" s="2" t="s">
        <v>683</v>
      </c>
      <c r="E35" s="2">
        <v>3</v>
      </c>
      <c r="F35" s="275" t="s">
        <v>21</v>
      </c>
      <c r="G35" s="502" t="s">
        <v>645</v>
      </c>
      <c r="H35" s="2" t="s">
        <v>1444</v>
      </c>
      <c r="I35" t="s">
        <v>1445</v>
      </c>
    </row>
    <row r="36" spans="1:9" x14ac:dyDescent="0.25">
      <c r="A36" s="253">
        <v>43370</v>
      </c>
      <c r="B36" s="2" t="s">
        <v>793</v>
      </c>
      <c r="C36" s="2" t="s">
        <v>1433</v>
      </c>
      <c r="D36" s="2" t="s">
        <v>148</v>
      </c>
      <c r="E36" s="2">
        <v>39664</v>
      </c>
      <c r="F36" s="2" t="s">
        <v>146</v>
      </c>
      <c r="G36" s="502" t="s">
        <v>1434</v>
      </c>
    </row>
    <row r="37" spans="1:9" x14ac:dyDescent="0.25">
      <c r="A37" s="253">
        <v>43383</v>
      </c>
      <c r="B37" s="2" t="s">
        <v>793</v>
      </c>
      <c r="C37" s="2" t="s">
        <v>1447</v>
      </c>
      <c r="D37" s="2" t="s">
        <v>200</v>
      </c>
      <c r="E37" s="2">
        <v>39662</v>
      </c>
      <c r="F37" s="2" t="s">
        <v>1448</v>
      </c>
      <c r="G37" s="502" t="s">
        <v>1450</v>
      </c>
      <c r="H37" s="2" t="s">
        <v>1451</v>
      </c>
      <c r="I37" t="s">
        <v>1452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D18"/>
  <sheetViews>
    <sheetView workbookViewId="0">
      <selection activeCell="A35" sqref="A35"/>
    </sheetView>
  </sheetViews>
  <sheetFormatPr baseColWidth="10" defaultRowHeight="15" x14ac:dyDescent="0.25"/>
  <cols>
    <col min="1" max="1" width="123.42578125" bestFit="1" customWidth="1"/>
    <col min="2" max="2" width="12.140625" bestFit="1" customWidth="1"/>
    <col min="3" max="3" width="9.140625" customWidth="1"/>
    <col min="4" max="4" width="146.140625" bestFit="1" customWidth="1"/>
    <col min="5" max="5" width="100.42578125" bestFit="1" customWidth="1"/>
    <col min="6" max="6" width="30.28515625" bestFit="1" customWidth="1"/>
    <col min="7" max="7" width="23" bestFit="1" customWidth="1"/>
    <col min="8" max="8" width="40.5703125" bestFit="1" customWidth="1"/>
    <col min="9" max="23" width="0" hidden="1" customWidth="1"/>
  </cols>
  <sheetData>
    <row r="1" spans="1:4" x14ac:dyDescent="0.25">
      <c r="A1" t="s">
        <v>919</v>
      </c>
    </row>
    <row r="2" spans="1:4" x14ac:dyDescent="0.25">
      <c r="A2" t="s">
        <v>917</v>
      </c>
    </row>
    <row r="4" spans="1:4" x14ac:dyDescent="0.25">
      <c r="A4" s="281" t="s">
        <v>929</v>
      </c>
      <c r="B4" s="281" t="s">
        <v>1129</v>
      </c>
      <c r="C4" s="281" t="s">
        <v>791</v>
      </c>
      <c r="D4" s="281" t="s">
        <v>1134</v>
      </c>
    </row>
    <row r="5" spans="1:4" x14ac:dyDescent="0.25">
      <c r="A5" t="s">
        <v>930</v>
      </c>
    </row>
    <row r="6" spans="1:4" x14ac:dyDescent="0.25">
      <c r="A6" s="310" t="s">
        <v>931</v>
      </c>
      <c r="B6" s="310" t="s">
        <v>1128</v>
      </c>
      <c r="C6" s="310"/>
      <c r="D6" t="s">
        <v>1125</v>
      </c>
    </row>
    <row r="7" spans="1:4" x14ac:dyDescent="0.25">
      <c r="A7" s="310" t="s">
        <v>932</v>
      </c>
      <c r="B7" s="310" t="s">
        <v>1128</v>
      </c>
      <c r="C7" s="310"/>
      <c r="D7" t="s">
        <v>1126</v>
      </c>
    </row>
    <row r="8" spans="1:4" x14ac:dyDescent="0.25">
      <c r="A8" s="310" t="s">
        <v>935</v>
      </c>
      <c r="B8" s="310" t="s">
        <v>1128</v>
      </c>
      <c r="C8" s="310"/>
      <c r="D8" t="s">
        <v>1127</v>
      </c>
    </row>
    <row r="9" spans="1:4" x14ac:dyDescent="0.25">
      <c r="A9" s="390" t="s">
        <v>920</v>
      </c>
      <c r="B9" s="390" t="s">
        <v>1128</v>
      </c>
      <c r="C9" s="390"/>
      <c r="D9" s="390" t="s">
        <v>1130</v>
      </c>
    </row>
    <row r="10" spans="1:4" x14ac:dyDescent="0.25">
      <c r="A10" s="389" t="s">
        <v>921</v>
      </c>
      <c r="B10" s="389" t="s">
        <v>1128</v>
      </c>
      <c r="C10" s="389"/>
      <c r="D10" s="389" t="s">
        <v>1131</v>
      </c>
    </row>
    <row r="11" spans="1:4" x14ac:dyDescent="0.25">
      <c r="A11" s="389" t="s">
        <v>934</v>
      </c>
      <c r="B11" s="389"/>
      <c r="C11" s="389"/>
      <c r="D11" s="389" t="s">
        <v>1121</v>
      </c>
    </row>
    <row r="12" spans="1:4" x14ac:dyDescent="0.25">
      <c r="A12" s="310" t="s">
        <v>922</v>
      </c>
      <c r="B12" s="310" t="s">
        <v>1128</v>
      </c>
      <c r="C12" s="310"/>
      <c r="D12" t="s">
        <v>1122</v>
      </c>
    </row>
    <row r="13" spans="1:4" x14ac:dyDescent="0.25">
      <c r="A13" s="310" t="s">
        <v>936</v>
      </c>
      <c r="B13" s="310" t="s">
        <v>1128</v>
      </c>
      <c r="C13" s="310"/>
      <c r="D13" s="310" t="s">
        <v>1123</v>
      </c>
    </row>
    <row r="14" spans="1:4" x14ac:dyDescent="0.25">
      <c r="A14" s="390" t="s">
        <v>937</v>
      </c>
      <c r="B14" s="390"/>
      <c r="C14" s="390"/>
      <c r="D14" s="390" t="s">
        <v>1124</v>
      </c>
    </row>
    <row r="15" spans="1:4" x14ac:dyDescent="0.25">
      <c r="A15" t="s">
        <v>923</v>
      </c>
      <c r="B15" t="s">
        <v>1128</v>
      </c>
      <c r="D15" t="s">
        <v>1132</v>
      </c>
    </row>
    <row r="16" spans="1:4" x14ac:dyDescent="0.25">
      <c r="A16" t="s">
        <v>938</v>
      </c>
      <c r="B16" t="s">
        <v>1128</v>
      </c>
      <c r="D16" t="s">
        <v>1133</v>
      </c>
    </row>
    <row r="17" spans="1:1" x14ac:dyDescent="0.25">
      <c r="A17" t="s">
        <v>966</v>
      </c>
    </row>
    <row r="18" spans="1:1" x14ac:dyDescent="0.25">
      <c r="A18" t="s">
        <v>967</v>
      </c>
    </row>
  </sheetData>
  <pageMargins left="0.7" right="0.7" top="0.75" bottom="0.75" header="0.3" footer="0.3"/>
  <pageSetup paperSize="9" orientation="landscape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E8"/>
  <sheetViews>
    <sheetView workbookViewId="0">
      <selection activeCell="B2" sqref="B2"/>
    </sheetView>
  </sheetViews>
  <sheetFormatPr baseColWidth="10" defaultRowHeight="15" x14ac:dyDescent="0.25"/>
  <cols>
    <col min="1" max="1" width="16" customWidth="1"/>
    <col min="2" max="2" width="56.7109375" customWidth="1"/>
  </cols>
  <sheetData>
    <row r="1" spans="1:5" ht="15.75" thickBot="1" x14ac:dyDescent="0.3">
      <c r="A1" t="s">
        <v>1037</v>
      </c>
      <c r="B1" s="304" t="s">
        <v>1023</v>
      </c>
      <c r="C1" s="305">
        <v>393263060</v>
      </c>
      <c r="D1" s="306">
        <v>20000</v>
      </c>
      <c r="E1" s="306" t="s">
        <v>120</v>
      </c>
    </row>
    <row r="2" spans="1:5" ht="15.75" thickBot="1" x14ac:dyDescent="0.3">
      <c r="A2" t="s">
        <v>1051</v>
      </c>
      <c r="B2" s="304" t="s">
        <v>1024</v>
      </c>
      <c r="C2" s="305">
        <v>383127592</v>
      </c>
      <c r="D2" s="306" t="s">
        <v>1025</v>
      </c>
      <c r="E2" s="306" t="s">
        <v>120</v>
      </c>
    </row>
    <row r="3" spans="1:5" ht="15.75" thickBot="1" x14ac:dyDescent="0.3">
      <c r="A3" t="s">
        <v>1052</v>
      </c>
      <c r="B3" s="304" t="s">
        <v>1026</v>
      </c>
      <c r="C3" s="305">
        <v>383107842</v>
      </c>
      <c r="D3" s="306" t="s">
        <v>1027</v>
      </c>
      <c r="E3" s="306" t="s">
        <v>120</v>
      </c>
    </row>
    <row r="4" spans="1:5" ht="15.75" thickBot="1" x14ac:dyDescent="0.3">
      <c r="A4" t="s">
        <v>1035</v>
      </c>
      <c r="B4" s="304" t="s">
        <v>1028</v>
      </c>
      <c r="C4" s="305">
        <v>273154588</v>
      </c>
      <c r="D4" s="306">
        <v>20000</v>
      </c>
      <c r="E4" s="306" t="s">
        <v>120</v>
      </c>
    </row>
    <row r="5" spans="1:5" ht="15.75" thickBot="1" x14ac:dyDescent="0.3">
      <c r="A5" t="s">
        <v>1036</v>
      </c>
      <c r="B5" s="304" t="s">
        <v>1029</v>
      </c>
      <c r="C5" s="305">
        <v>273154450</v>
      </c>
      <c r="D5" s="306">
        <v>20000</v>
      </c>
      <c r="E5" s="306" t="s">
        <v>120</v>
      </c>
    </row>
    <row r="6" spans="1:5" ht="15.75" thickBot="1" x14ac:dyDescent="0.3">
      <c r="A6" t="s">
        <v>1038</v>
      </c>
      <c r="B6" s="304" t="s">
        <v>1030</v>
      </c>
      <c r="C6" s="305">
        <v>265897907</v>
      </c>
      <c r="D6" s="306">
        <v>20000</v>
      </c>
      <c r="E6" s="306" t="s">
        <v>120</v>
      </c>
    </row>
    <row r="7" spans="1:5" ht="15.75" thickBot="1" x14ac:dyDescent="0.3">
      <c r="A7" t="s">
        <v>1034</v>
      </c>
      <c r="B7" s="304" t="s">
        <v>1031</v>
      </c>
      <c r="C7" s="305">
        <v>265897786</v>
      </c>
      <c r="D7" s="306">
        <v>20000</v>
      </c>
      <c r="E7" s="306" t="s">
        <v>120</v>
      </c>
    </row>
    <row r="8" spans="1:5" ht="15.75" thickBot="1" x14ac:dyDescent="0.3">
      <c r="A8" t="s">
        <v>1033</v>
      </c>
      <c r="B8" s="304" t="s">
        <v>1032</v>
      </c>
      <c r="C8" s="305">
        <v>265898031</v>
      </c>
      <c r="D8" s="306">
        <v>20000</v>
      </c>
      <c r="E8" s="306" t="s">
        <v>120</v>
      </c>
    </row>
  </sheetData>
  <hyperlinks>
    <hyperlink ref="C1" r:id="rId1" display="javascript:showDetalle('0393263060','ELE', '05400101');"/>
    <hyperlink ref="C2" r:id="rId2" display="javascript:showDetalle('0383127592','ELE', '05400101');"/>
    <hyperlink ref="C3" r:id="rId3" display="javascript:showDetalle('0383107842','ELE', '05400101');"/>
    <hyperlink ref="C4" r:id="rId4" display="javascript:showDetalle('0273154588','ELE', '05400101');"/>
    <hyperlink ref="C5" r:id="rId5" display="javascript:showDetalle('0273154450','ELE', '05400101');"/>
    <hyperlink ref="C6" r:id="rId6" display="javascript:showDetalle('0265897907','ELE', '05400101');"/>
    <hyperlink ref="C7" r:id="rId7" display="javascript:showDetalle('0265897786','ELE', '05400101');"/>
    <hyperlink ref="C8" r:id="rId8" display="javascript:showDetalle('0265898031','ELE', '05400101');"/>
  </hyperlinks>
  <pageMargins left="0.7" right="0.7" top="0.75" bottom="0.75" header="0.3" footer="0.3"/>
  <drawing r:id="rId9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F81"/>
  <sheetViews>
    <sheetView topLeftCell="A66" workbookViewId="0">
      <selection activeCell="B73" sqref="B73"/>
    </sheetView>
  </sheetViews>
  <sheetFormatPr baseColWidth="10" defaultColWidth="11.42578125" defaultRowHeight="15" x14ac:dyDescent="0.25"/>
  <cols>
    <col min="1" max="1" width="3" style="1" bestFit="1" customWidth="1"/>
    <col min="2" max="2" width="16.85546875" style="1" customWidth="1"/>
    <col min="3" max="3" width="11" style="1" bestFit="1" customWidth="1"/>
    <col min="4" max="4" width="13" style="1" bestFit="1" customWidth="1"/>
    <col min="5" max="5" width="3" style="1" bestFit="1" customWidth="1"/>
    <col min="6" max="6" width="9.7109375" style="1" bestFit="1" customWidth="1"/>
    <col min="7" max="7" width="14.5703125" style="1" customWidth="1"/>
    <col min="8" max="8" width="15.5703125" style="1" customWidth="1"/>
    <col min="9" max="16384" width="11.42578125" style="1"/>
  </cols>
  <sheetData>
    <row r="1" spans="1:6" x14ac:dyDescent="0.25">
      <c r="A1" s="49" t="s">
        <v>614</v>
      </c>
      <c r="B1" t="s">
        <v>666</v>
      </c>
      <c r="C1" t="s">
        <v>19</v>
      </c>
      <c r="D1" t="s">
        <v>356</v>
      </c>
      <c r="E1" t="s">
        <v>534</v>
      </c>
      <c r="F1" t="s">
        <v>517</v>
      </c>
    </row>
    <row r="2" spans="1:6" x14ac:dyDescent="0.25">
      <c r="A2" s="49">
        <f>COUNTIF(Lecturas!$A$2:$A$463,A1)</f>
        <v>44</v>
      </c>
      <c r="B2" s="49">
        <f>COUNTIF(Lecturas!$A$2:$A$463,B1)</f>
        <v>1</v>
      </c>
      <c r="C2" s="49">
        <f>COUNTIF(Lecturas!$A$2:$A$463,C1)</f>
        <v>221</v>
      </c>
      <c r="D2" s="49">
        <f>COUNTIF(Lecturas!$A$2:$A$463,D1)</f>
        <v>20</v>
      </c>
      <c r="E2" s="49">
        <f>COUNTIF(Lecturas!$A$2:$A$463,E1)</f>
        <v>67</v>
      </c>
      <c r="F2" s="49">
        <f>COUNTIF(Lecturas!$A$2:$A$463,F1)</f>
        <v>7</v>
      </c>
    </row>
    <row r="3" spans="1:6" x14ac:dyDescent="0.25">
      <c r="A3"/>
      <c r="B3" t="s">
        <v>718</v>
      </c>
      <c r="C3"/>
      <c r="D3" t="s">
        <v>712</v>
      </c>
      <c r="E3"/>
      <c r="F3" t="s">
        <v>717</v>
      </c>
    </row>
    <row r="4" spans="1:6" x14ac:dyDescent="0.25">
      <c r="A4"/>
      <c r="B4">
        <f>B2+A2</f>
        <v>45</v>
      </c>
      <c r="C4"/>
      <c r="D4">
        <f>D2+C2</f>
        <v>241</v>
      </c>
      <c r="E4"/>
      <c r="F4">
        <f>F2+E2</f>
        <v>74</v>
      </c>
    </row>
    <row r="7" spans="1:6" x14ac:dyDescent="0.25">
      <c r="B7" s="49" t="s">
        <v>818</v>
      </c>
      <c r="C7" s="49" t="s">
        <v>1189</v>
      </c>
      <c r="D7" s="49" t="s">
        <v>1193</v>
      </c>
    </row>
    <row r="8" spans="1:6" x14ac:dyDescent="0.25">
      <c r="B8" s="49">
        <f>COUNTIF(Lecturas!$AQ$3:$AQ$464,B7)</f>
        <v>58</v>
      </c>
      <c r="C8" s="49">
        <f>COUNTIF(Lecturas!$AQ$3:$AQ$464,C7)</f>
        <v>375</v>
      </c>
      <c r="D8" s="49">
        <f>COUNTIF(Lecturas!$AQ$3:$AQ$464,D7)</f>
        <v>22</v>
      </c>
      <c r="E8" s="2"/>
    </row>
    <row r="9" spans="1:6" x14ac:dyDescent="0.25">
      <c r="B9" s="49"/>
      <c r="C9" s="49"/>
      <c r="D9" s="49"/>
    </row>
    <row r="10" spans="1:6" x14ac:dyDescent="0.25">
      <c r="B10" s="49" t="s">
        <v>1313</v>
      </c>
      <c r="C10" s="49" t="s">
        <v>1314</v>
      </c>
      <c r="D10" s="49"/>
    </row>
    <row r="11" spans="1:6" x14ac:dyDescent="0.25">
      <c r="B11" s="49" t="s">
        <v>1191</v>
      </c>
      <c r="C11" s="49" t="s">
        <v>1190</v>
      </c>
      <c r="D11" s="49" t="s">
        <v>1312</v>
      </c>
    </row>
    <row r="12" spans="1:6" x14ac:dyDescent="0.25">
      <c r="B12" s="49">
        <f>COUNTIF(Lecturas!$AP$3:$AP$464,B11)</f>
        <v>127</v>
      </c>
      <c r="C12" s="49">
        <f>COUNTIF(Lecturas!$AP$3:$AP$464,C11)</f>
        <v>330</v>
      </c>
      <c r="D12" s="49"/>
    </row>
    <row r="13" spans="1:6" x14ac:dyDescent="0.25">
      <c r="B13" s="49"/>
      <c r="C13" s="49"/>
      <c r="D13" s="49"/>
    </row>
    <row r="14" spans="1:6" x14ac:dyDescent="0.25">
      <c r="B14" s="49" t="s">
        <v>1315</v>
      </c>
      <c r="C14" s="49" t="s">
        <v>1316</v>
      </c>
      <c r="D14" s="49"/>
    </row>
    <row r="15" spans="1:6" x14ac:dyDescent="0.25">
      <c r="B15" s="49">
        <v>1</v>
      </c>
      <c r="C15" s="49" t="s">
        <v>833</v>
      </c>
      <c r="D15" s="49"/>
    </row>
    <row r="16" spans="1:6" x14ac:dyDescent="0.25">
      <c r="B16" s="49">
        <f>COUNTIF(Lecturas!$AK$3:$AK$464,B15)</f>
        <v>422</v>
      </c>
      <c r="C16" s="49">
        <f>COUNTA(Lecturas!$AK$3:$AK$464)-B16</f>
        <v>38</v>
      </c>
      <c r="D16" s="49"/>
    </row>
    <row r="64" spans="2:2" x14ac:dyDescent="0.25">
      <c r="B64" s="464" t="s">
        <v>18</v>
      </c>
    </row>
    <row r="65" spans="2:3" ht="18.75" x14ac:dyDescent="0.25">
      <c r="B65" s="465" t="s">
        <v>312</v>
      </c>
      <c r="C65" s="1" t="s">
        <v>1191</v>
      </c>
    </row>
    <row r="66" spans="2:3" ht="18.75" x14ac:dyDescent="0.25">
      <c r="B66" s="465" t="s">
        <v>1267</v>
      </c>
      <c r="C66" s="1" t="s">
        <v>1191</v>
      </c>
    </row>
    <row r="67" spans="2:3" ht="18.75" x14ac:dyDescent="0.25">
      <c r="B67" s="465">
        <v>500018</v>
      </c>
      <c r="C67" s="1" t="s">
        <v>1191</v>
      </c>
    </row>
    <row r="68" spans="2:3" ht="18.75" x14ac:dyDescent="0.25">
      <c r="B68" s="465">
        <v>5215981</v>
      </c>
      <c r="C68" s="1" t="s">
        <v>1191</v>
      </c>
    </row>
    <row r="69" spans="2:3" ht="18.75" x14ac:dyDescent="0.25">
      <c r="B69" s="465">
        <v>55158086</v>
      </c>
    </row>
    <row r="70" spans="2:3" ht="18.75" x14ac:dyDescent="0.25">
      <c r="B70" s="465">
        <v>5356191</v>
      </c>
      <c r="C70" s="1" t="s">
        <v>1191</v>
      </c>
    </row>
    <row r="71" spans="2:3" ht="18.75" x14ac:dyDescent="0.25">
      <c r="B71" s="465">
        <v>5130043</v>
      </c>
      <c r="C71" s="1" t="s">
        <v>1191</v>
      </c>
    </row>
    <row r="72" spans="2:3" ht="18.75" x14ac:dyDescent="0.25">
      <c r="B72" s="465">
        <v>1025626</v>
      </c>
      <c r="C72" s="1" t="s">
        <v>1191</v>
      </c>
    </row>
    <row r="73" spans="2:3" ht="18.75" x14ac:dyDescent="0.25">
      <c r="B73" s="465">
        <v>10575845</v>
      </c>
      <c r="C73" s="1" t="s">
        <v>1191</v>
      </c>
    </row>
    <row r="74" spans="2:3" ht="18.75" x14ac:dyDescent="0.25">
      <c r="B74" s="465">
        <v>40571163</v>
      </c>
      <c r="C74" s="1" t="s">
        <v>1191</v>
      </c>
    </row>
    <row r="75" spans="2:3" ht="18.75" x14ac:dyDescent="0.25">
      <c r="B75" s="465">
        <v>99585472</v>
      </c>
      <c r="C75" s="1" t="s">
        <v>1191</v>
      </c>
    </row>
    <row r="77" spans="2:3" ht="18.75" x14ac:dyDescent="0.25">
      <c r="B77" s="465">
        <v>5900984</v>
      </c>
      <c r="C77" s="1" t="s">
        <v>1191</v>
      </c>
    </row>
    <row r="78" spans="2:3" ht="18.75" x14ac:dyDescent="0.25">
      <c r="B78" s="465">
        <v>11210314</v>
      </c>
      <c r="C78" s="1" t="s">
        <v>1333</v>
      </c>
    </row>
    <row r="79" spans="2:3" ht="18.75" x14ac:dyDescent="0.25">
      <c r="B79" s="465">
        <v>11210006</v>
      </c>
      <c r="C79" s="1" t="s">
        <v>1333</v>
      </c>
    </row>
    <row r="80" spans="2:3" ht="18.75" x14ac:dyDescent="0.25">
      <c r="B80" s="465">
        <v>50990019</v>
      </c>
      <c r="C80" s="1" t="s">
        <v>1333</v>
      </c>
    </row>
    <row r="81" spans="2:3" ht="18.75" x14ac:dyDescent="0.25">
      <c r="B81" s="465">
        <v>83363213</v>
      </c>
      <c r="C81" s="1" t="s">
        <v>1191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/>
  <dimension ref="A1:G88"/>
  <sheetViews>
    <sheetView zoomScale="70" zoomScaleNormal="70" workbookViewId="0">
      <selection activeCell="A2" sqref="A2:G79"/>
    </sheetView>
  </sheetViews>
  <sheetFormatPr baseColWidth="10" defaultRowHeight="15" x14ac:dyDescent="0.25"/>
  <cols>
    <col min="1" max="1" width="26.42578125" bestFit="1" customWidth="1"/>
    <col min="2" max="2" width="7.85546875" bestFit="1" customWidth="1"/>
    <col min="3" max="3" width="7.42578125" bestFit="1" customWidth="1"/>
    <col min="4" max="4" width="14" bestFit="1" customWidth="1"/>
    <col min="5" max="5" width="20.140625" bestFit="1" customWidth="1"/>
    <col min="6" max="6" width="50" bestFit="1" customWidth="1"/>
    <col min="7" max="7" width="46.7109375" bestFit="1" customWidth="1"/>
    <col min="8" max="8" width="20.140625" bestFit="1" customWidth="1"/>
    <col min="9" max="17" width="20.5703125" bestFit="1" customWidth="1"/>
    <col min="18" max="18" width="20.140625" bestFit="1" customWidth="1"/>
    <col min="19" max="19" width="19.7109375" bestFit="1" customWidth="1"/>
    <col min="20" max="20" width="20.140625" bestFit="1" customWidth="1"/>
  </cols>
  <sheetData>
    <row r="1" spans="1:7" x14ac:dyDescent="0.25">
      <c r="A1" s="2" t="s">
        <v>18</v>
      </c>
      <c r="B1" s="2" t="s">
        <v>0</v>
      </c>
      <c r="C1" s="2" t="s">
        <v>710</v>
      </c>
      <c r="D1" s="253" t="s">
        <v>1108</v>
      </c>
      <c r="E1" s="253" t="s">
        <v>1110</v>
      </c>
      <c r="F1" s="2" t="s">
        <v>1</v>
      </c>
      <c r="G1" s="2" t="s">
        <v>2</v>
      </c>
    </row>
    <row r="2" spans="1:7" x14ac:dyDescent="0.25">
      <c r="A2" s="1">
        <v>83061189</v>
      </c>
      <c r="B2" s="1" t="s">
        <v>517</v>
      </c>
      <c r="C2" s="1">
        <v>39539</v>
      </c>
      <c r="D2" s="1">
        <v>0</v>
      </c>
      <c r="E2" s="1"/>
      <c r="F2" s="1" t="s">
        <v>146</v>
      </c>
      <c r="G2" s="1" t="s">
        <v>1062</v>
      </c>
    </row>
    <row r="3" spans="1:7" x14ac:dyDescent="0.25">
      <c r="A3" s="1">
        <v>94811334</v>
      </c>
      <c r="B3" s="1" t="s">
        <v>517</v>
      </c>
      <c r="C3" s="1">
        <v>39483</v>
      </c>
      <c r="D3" s="1">
        <v>3626098</v>
      </c>
      <c r="E3" s="1"/>
      <c r="F3" s="1" t="s">
        <v>523</v>
      </c>
      <c r="G3" s="1" t="s">
        <v>521</v>
      </c>
    </row>
    <row r="4" spans="1:7" x14ac:dyDescent="0.25">
      <c r="A4" s="1">
        <v>94811340</v>
      </c>
      <c r="B4" s="1" t="s">
        <v>517</v>
      </c>
      <c r="C4" s="1">
        <v>39947</v>
      </c>
      <c r="D4" s="1">
        <v>5640590</v>
      </c>
      <c r="E4" s="1"/>
      <c r="F4" s="1" t="s">
        <v>520</v>
      </c>
      <c r="G4" s="1" t="s">
        <v>521</v>
      </c>
    </row>
    <row r="5" spans="1:7" x14ac:dyDescent="0.25">
      <c r="A5" s="1">
        <v>94811345</v>
      </c>
      <c r="B5" s="1" t="s">
        <v>517</v>
      </c>
      <c r="C5" s="1">
        <v>39975</v>
      </c>
      <c r="D5" s="1">
        <v>3076242</v>
      </c>
      <c r="E5" s="1"/>
      <c r="F5" s="1" t="s">
        <v>528</v>
      </c>
      <c r="G5" s="1" t="s">
        <v>529</v>
      </c>
    </row>
    <row r="6" spans="1:7" x14ac:dyDescent="0.25">
      <c r="A6" s="1">
        <v>94811349</v>
      </c>
      <c r="B6" s="1" t="s">
        <v>517</v>
      </c>
      <c r="C6" s="1">
        <v>39424</v>
      </c>
      <c r="D6" s="1">
        <v>1162976</v>
      </c>
      <c r="E6" s="1"/>
      <c r="F6" s="1" t="s">
        <v>1372</v>
      </c>
      <c r="G6" s="1" t="s">
        <v>1373</v>
      </c>
    </row>
    <row r="7" spans="1:7" x14ac:dyDescent="0.25">
      <c r="A7" s="1">
        <v>94823397</v>
      </c>
      <c r="B7" s="1" t="s">
        <v>517</v>
      </c>
      <c r="C7" s="1">
        <v>39929</v>
      </c>
      <c r="D7" s="1">
        <v>2098685</v>
      </c>
      <c r="E7" s="1"/>
      <c r="F7" s="1" t="s">
        <v>518</v>
      </c>
      <c r="G7" s="1" t="s">
        <v>519</v>
      </c>
    </row>
    <row r="8" spans="1:7" x14ac:dyDescent="0.25">
      <c r="A8" s="1" t="s">
        <v>1155</v>
      </c>
      <c r="B8" s="1" t="s">
        <v>517</v>
      </c>
      <c r="C8" s="1">
        <v>39501</v>
      </c>
      <c r="D8" s="1">
        <v>607647</v>
      </c>
      <c r="E8" s="1"/>
      <c r="F8" s="1" t="s">
        <v>532</v>
      </c>
      <c r="G8" s="1" t="s">
        <v>533</v>
      </c>
    </row>
    <row r="9" spans="1:7" x14ac:dyDescent="0.25">
      <c r="A9" s="1">
        <v>5355250</v>
      </c>
      <c r="B9" s="1" t="s">
        <v>535</v>
      </c>
      <c r="C9" s="1">
        <v>2</v>
      </c>
      <c r="D9" s="1">
        <v>14447</v>
      </c>
      <c r="E9" s="1"/>
      <c r="F9" s="1" t="s">
        <v>536</v>
      </c>
      <c r="G9" s="1"/>
    </row>
    <row r="10" spans="1:7" x14ac:dyDescent="0.25">
      <c r="A10" s="1">
        <v>5355251</v>
      </c>
      <c r="B10" s="1" t="s">
        <v>537</v>
      </c>
      <c r="C10" s="1">
        <v>2</v>
      </c>
      <c r="D10" s="1">
        <v>17089</v>
      </c>
      <c r="E10" s="1"/>
      <c r="F10" s="1" t="s">
        <v>538</v>
      </c>
      <c r="G10" s="1"/>
    </row>
    <row r="11" spans="1:7" x14ac:dyDescent="0.25">
      <c r="A11" s="1">
        <v>17070</v>
      </c>
      <c r="B11" s="1" t="s">
        <v>541</v>
      </c>
      <c r="C11" s="1">
        <v>2</v>
      </c>
      <c r="D11" s="1">
        <v>140</v>
      </c>
      <c r="E11" s="1"/>
      <c r="F11" s="1" t="s">
        <v>557</v>
      </c>
      <c r="G11" s="1"/>
    </row>
    <row r="12" spans="1:7" x14ac:dyDescent="0.25">
      <c r="A12" s="1">
        <v>61560</v>
      </c>
      <c r="B12" s="1" t="s">
        <v>541</v>
      </c>
      <c r="C12" s="1">
        <v>39945</v>
      </c>
      <c r="D12" s="1">
        <v>1135</v>
      </c>
      <c r="E12" s="1"/>
      <c r="F12" s="1" t="s">
        <v>550</v>
      </c>
      <c r="G12" s="1" t="s">
        <v>551</v>
      </c>
    </row>
    <row r="13" spans="1:7" x14ac:dyDescent="0.25">
      <c r="A13" s="1">
        <v>57868732</v>
      </c>
      <c r="B13" s="1" t="s">
        <v>541</v>
      </c>
      <c r="C13" s="1">
        <v>39939</v>
      </c>
      <c r="D13" s="1">
        <v>11467</v>
      </c>
      <c r="E13" s="1"/>
      <c r="F13" s="1" t="s">
        <v>548</v>
      </c>
      <c r="G13" s="1" t="s">
        <v>549</v>
      </c>
    </row>
    <row r="14" spans="1:7" x14ac:dyDescent="0.25">
      <c r="A14" s="1">
        <v>62079903</v>
      </c>
      <c r="B14" s="1" t="s">
        <v>541</v>
      </c>
      <c r="C14" s="1">
        <v>2</v>
      </c>
      <c r="D14" s="1">
        <v>0</v>
      </c>
      <c r="E14" s="1"/>
      <c r="F14" s="1" t="s">
        <v>1174</v>
      </c>
      <c r="G14" s="1" t="s">
        <v>1173</v>
      </c>
    </row>
    <row r="15" spans="1:7" x14ac:dyDescent="0.25">
      <c r="A15" s="1">
        <v>78126109</v>
      </c>
      <c r="B15" s="1" t="s">
        <v>541</v>
      </c>
      <c r="C15" s="1">
        <v>39582</v>
      </c>
      <c r="D15" s="1">
        <v>431922</v>
      </c>
      <c r="E15" s="1"/>
      <c r="F15" s="1" t="s">
        <v>1198</v>
      </c>
      <c r="G15" s="1" t="s">
        <v>561</v>
      </c>
    </row>
    <row r="16" spans="1:7" x14ac:dyDescent="0.25">
      <c r="A16" s="1">
        <v>99561366</v>
      </c>
      <c r="B16" s="1" t="s">
        <v>541</v>
      </c>
      <c r="C16" s="1">
        <v>39966</v>
      </c>
      <c r="D16" s="1">
        <v>49335</v>
      </c>
      <c r="E16" s="1"/>
      <c r="F16" s="1" t="s">
        <v>518</v>
      </c>
      <c r="G16" s="1" t="s">
        <v>547</v>
      </c>
    </row>
    <row r="17" spans="1:7" x14ac:dyDescent="0.25">
      <c r="A17" s="1">
        <v>99561370</v>
      </c>
      <c r="B17" s="1" t="s">
        <v>541</v>
      </c>
      <c r="C17" s="1">
        <v>39376</v>
      </c>
      <c r="D17" s="1">
        <v>191737</v>
      </c>
      <c r="E17" s="1"/>
      <c r="F17" s="1" t="s">
        <v>1198</v>
      </c>
      <c r="G17" s="1"/>
    </row>
    <row r="18" spans="1:7" x14ac:dyDescent="0.25">
      <c r="A18" s="1">
        <v>106230738</v>
      </c>
      <c r="B18" s="1" t="s">
        <v>541</v>
      </c>
      <c r="C18" s="1">
        <v>39354</v>
      </c>
      <c r="D18" s="1">
        <v>84043</v>
      </c>
      <c r="E18" s="1"/>
      <c r="F18" s="1" t="s">
        <v>542</v>
      </c>
      <c r="G18" s="1" t="s">
        <v>543</v>
      </c>
    </row>
    <row r="19" spans="1:7" x14ac:dyDescent="0.25">
      <c r="A19" s="1" t="s">
        <v>1377</v>
      </c>
      <c r="B19" s="1" t="s">
        <v>541</v>
      </c>
      <c r="C19" s="1">
        <v>39510</v>
      </c>
      <c r="D19" s="1">
        <v>263</v>
      </c>
      <c r="E19" s="1"/>
      <c r="F19" s="1" t="s">
        <v>1198</v>
      </c>
      <c r="G19" s="1" t="s">
        <v>1379</v>
      </c>
    </row>
    <row r="20" spans="1:7" x14ac:dyDescent="0.25">
      <c r="A20" s="1" t="s">
        <v>395</v>
      </c>
      <c r="B20" s="1" t="s">
        <v>541</v>
      </c>
      <c r="C20" s="1">
        <v>39901</v>
      </c>
      <c r="D20" s="1">
        <v>0</v>
      </c>
      <c r="E20" s="1"/>
      <c r="F20" s="1" t="s">
        <v>544</v>
      </c>
      <c r="G20" s="1" t="s">
        <v>545</v>
      </c>
    </row>
    <row r="21" spans="1:7" x14ac:dyDescent="0.25">
      <c r="A21" s="1" t="s">
        <v>1143</v>
      </c>
      <c r="B21" s="1" t="s">
        <v>541</v>
      </c>
      <c r="C21" s="1">
        <v>2</v>
      </c>
      <c r="D21" s="1">
        <v>3852</v>
      </c>
      <c r="E21" s="1"/>
      <c r="F21" s="1" t="s">
        <v>558</v>
      </c>
      <c r="G21" s="1" t="s">
        <v>559</v>
      </c>
    </row>
    <row r="22" spans="1:7" x14ac:dyDescent="0.25">
      <c r="A22" s="1" t="s">
        <v>1171</v>
      </c>
      <c r="B22" s="1" t="s">
        <v>541</v>
      </c>
      <c r="C22" s="1">
        <v>2</v>
      </c>
      <c r="D22" s="1">
        <v>28135</v>
      </c>
      <c r="E22" s="1"/>
      <c r="F22" s="1" t="s">
        <v>1172</v>
      </c>
      <c r="G22" s="1"/>
    </row>
    <row r="23" spans="1:7" x14ac:dyDescent="0.25">
      <c r="A23" s="1"/>
      <c r="B23" s="1" t="s">
        <v>541</v>
      </c>
      <c r="C23" s="1">
        <v>2</v>
      </c>
      <c r="D23" s="1">
        <v>0</v>
      </c>
      <c r="E23" s="1"/>
      <c r="F23" s="1" t="s">
        <v>556</v>
      </c>
      <c r="G23" s="1"/>
    </row>
    <row r="24" spans="1:7" x14ac:dyDescent="0.25">
      <c r="A24" s="1">
        <v>5669713</v>
      </c>
      <c r="B24" s="1" t="s">
        <v>560</v>
      </c>
      <c r="C24" s="1">
        <v>2</v>
      </c>
      <c r="D24" s="1">
        <v>16891</v>
      </c>
      <c r="E24" s="1"/>
      <c r="F24" s="1" t="s">
        <v>569</v>
      </c>
      <c r="G24" s="1" t="s">
        <v>124</v>
      </c>
    </row>
    <row r="25" spans="1:7" x14ac:dyDescent="0.25">
      <c r="A25" s="1">
        <v>20583312</v>
      </c>
      <c r="B25" s="1" t="s">
        <v>560</v>
      </c>
      <c r="C25" s="1">
        <v>39978</v>
      </c>
      <c r="D25" s="1">
        <v>4457</v>
      </c>
      <c r="E25" s="1"/>
      <c r="F25" s="1" t="s">
        <v>565</v>
      </c>
      <c r="G25" s="1" t="s">
        <v>124</v>
      </c>
    </row>
    <row r="26" spans="1:7" x14ac:dyDescent="0.25">
      <c r="A26" s="1">
        <v>20583455</v>
      </c>
      <c r="B26" s="1" t="s">
        <v>560</v>
      </c>
      <c r="C26" s="1">
        <v>2</v>
      </c>
      <c r="D26" s="1">
        <v>167428</v>
      </c>
      <c r="E26" s="1"/>
      <c r="F26" s="1" t="s">
        <v>568</v>
      </c>
      <c r="G26" s="1" t="s">
        <v>47</v>
      </c>
    </row>
    <row r="27" spans="1:7" x14ac:dyDescent="0.25">
      <c r="A27" s="1">
        <v>63000131</v>
      </c>
      <c r="B27" s="1" t="s">
        <v>560</v>
      </c>
      <c r="C27" s="1">
        <v>39405</v>
      </c>
      <c r="D27" s="1">
        <v>321259</v>
      </c>
      <c r="E27" s="1"/>
      <c r="F27" s="1" t="s">
        <v>367</v>
      </c>
      <c r="G27" s="1" t="s">
        <v>124</v>
      </c>
    </row>
    <row r="28" spans="1:7" x14ac:dyDescent="0.25">
      <c r="A28" s="1">
        <v>83363214</v>
      </c>
      <c r="B28" s="1" t="s">
        <v>560</v>
      </c>
      <c r="C28" s="1">
        <v>39415</v>
      </c>
      <c r="D28" s="1">
        <v>92273</v>
      </c>
      <c r="E28" s="1"/>
      <c r="F28" s="1" t="s">
        <v>562</v>
      </c>
      <c r="G28" s="1" t="s">
        <v>124</v>
      </c>
    </row>
    <row r="29" spans="1:7" x14ac:dyDescent="0.25">
      <c r="A29" s="1" t="s">
        <v>397</v>
      </c>
      <c r="B29" s="1" t="s">
        <v>560</v>
      </c>
      <c r="C29" s="1">
        <v>39936</v>
      </c>
      <c r="D29" s="1">
        <v>17043</v>
      </c>
      <c r="E29" s="1"/>
      <c r="F29" s="1" t="s">
        <v>565</v>
      </c>
      <c r="G29" s="1" t="s">
        <v>124</v>
      </c>
    </row>
    <row r="30" spans="1:7" x14ac:dyDescent="0.25">
      <c r="A30" s="1" t="s">
        <v>396</v>
      </c>
      <c r="B30" s="1" t="s">
        <v>560</v>
      </c>
      <c r="C30" s="1">
        <v>39342</v>
      </c>
      <c r="D30" s="1">
        <v>77126</v>
      </c>
      <c r="E30" s="1"/>
      <c r="F30" s="1" t="s">
        <v>563</v>
      </c>
      <c r="G30" s="1" t="s">
        <v>124</v>
      </c>
    </row>
    <row r="31" spans="1:7" x14ac:dyDescent="0.25">
      <c r="A31" s="1"/>
      <c r="B31" s="1" t="s">
        <v>560</v>
      </c>
      <c r="C31" s="1">
        <v>2</v>
      </c>
      <c r="D31" s="1">
        <v>0</v>
      </c>
      <c r="E31" s="1"/>
      <c r="F31" s="1" t="s">
        <v>842</v>
      </c>
      <c r="G31" s="1" t="s">
        <v>561</v>
      </c>
    </row>
    <row r="32" spans="1:7" x14ac:dyDescent="0.25">
      <c r="A32" s="1">
        <v>11313825</v>
      </c>
      <c r="B32" s="1" t="s">
        <v>570</v>
      </c>
      <c r="C32" s="1">
        <v>2</v>
      </c>
      <c r="D32" s="1">
        <v>95766</v>
      </c>
      <c r="E32" s="1"/>
      <c r="F32" s="1" t="s">
        <v>576</v>
      </c>
      <c r="G32" s="1"/>
    </row>
    <row r="33" spans="1:7" x14ac:dyDescent="0.25">
      <c r="A33" s="1">
        <v>11700447</v>
      </c>
      <c r="B33" s="1" t="s">
        <v>570</v>
      </c>
      <c r="C33" s="1">
        <v>39953</v>
      </c>
      <c r="D33" s="1">
        <v>285562</v>
      </c>
      <c r="E33" s="1"/>
      <c r="F33" s="1" t="s">
        <v>571</v>
      </c>
      <c r="G33" s="1" t="s">
        <v>572</v>
      </c>
    </row>
    <row r="34" spans="1:7" x14ac:dyDescent="0.25">
      <c r="A34" s="1">
        <v>53035468</v>
      </c>
      <c r="B34" s="1" t="s">
        <v>570</v>
      </c>
      <c r="C34" s="1">
        <v>2</v>
      </c>
      <c r="D34" s="1">
        <v>612473</v>
      </c>
      <c r="E34" s="1"/>
      <c r="F34" s="1" t="s">
        <v>577</v>
      </c>
      <c r="G34" s="1"/>
    </row>
    <row r="35" spans="1:7" x14ac:dyDescent="0.25">
      <c r="A35" s="1" t="s">
        <v>1378</v>
      </c>
      <c r="B35" s="1" t="s">
        <v>570</v>
      </c>
      <c r="C35" s="1">
        <v>39819</v>
      </c>
      <c r="D35" s="1">
        <v>821</v>
      </c>
      <c r="E35" s="1"/>
      <c r="F35" s="1" t="s">
        <v>1380</v>
      </c>
      <c r="G35" s="1" t="s">
        <v>1381</v>
      </c>
    </row>
    <row r="36" spans="1:7" x14ac:dyDescent="0.25">
      <c r="A36" s="1"/>
      <c r="B36" s="1" t="s">
        <v>570</v>
      </c>
      <c r="C36" s="1">
        <v>2</v>
      </c>
      <c r="D36" s="1">
        <v>0</v>
      </c>
      <c r="E36" s="1"/>
      <c r="F36" s="1" t="s">
        <v>575</v>
      </c>
      <c r="G36" s="1"/>
    </row>
    <row r="37" spans="1:7" x14ac:dyDescent="0.25">
      <c r="A37" s="1">
        <v>18506030</v>
      </c>
      <c r="B37" s="1" t="s">
        <v>579</v>
      </c>
      <c r="C37" s="1">
        <v>39435</v>
      </c>
      <c r="D37" s="1">
        <v>2386</v>
      </c>
      <c r="E37" s="1"/>
      <c r="F37" s="1" t="s">
        <v>580</v>
      </c>
      <c r="G37" s="1" t="s">
        <v>1149</v>
      </c>
    </row>
    <row r="38" spans="1:7" x14ac:dyDescent="0.25">
      <c r="A38" s="1" t="s">
        <v>1148</v>
      </c>
      <c r="B38" s="1" t="s">
        <v>579</v>
      </c>
      <c r="C38" s="1">
        <v>2</v>
      </c>
      <c r="D38" s="1">
        <v>20521</v>
      </c>
      <c r="E38" s="1"/>
      <c r="F38" s="1" t="s">
        <v>581</v>
      </c>
      <c r="G38" s="1" t="s">
        <v>47</v>
      </c>
    </row>
    <row r="39" spans="1:7" x14ac:dyDescent="0.25">
      <c r="A39" s="1" t="s">
        <v>1168</v>
      </c>
      <c r="B39" s="1" t="s">
        <v>579</v>
      </c>
      <c r="C39" s="1">
        <v>2</v>
      </c>
      <c r="D39" s="1">
        <v>0</v>
      </c>
      <c r="E39" s="1"/>
      <c r="F39" s="1" t="s">
        <v>1163</v>
      </c>
      <c r="G39" s="1" t="s">
        <v>47</v>
      </c>
    </row>
    <row r="40" spans="1:7" x14ac:dyDescent="0.25">
      <c r="A40" s="1" t="s">
        <v>1169</v>
      </c>
      <c r="B40" s="1" t="s">
        <v>579</v>
      </c>
      <c r="C40" s="1">
        <v>2</v>
      </c>
      <c r="D40" s="1">
        <v>0</v>
      </c>
      <c r="E40" s="1"/>
      <c r="F40" s="1" t="s">
        <v>1170</v>
      </c>
      <c r="G40" s="1" t="s">
        <v>47</v>
      </c>
    </row>
    <row r="41" spans="1:7" x14ac:dyDescent="0.25">
      <c r="A41" s="1">
        <v>5356221</v>
      </c>
      <c r="B41" s="1" t="s">
        <v>582</v>
      </c>
      <c r="C41" s="1">
        <v>2</v>
      </c>
      <c r="D41" s="1">
        <v>7876</v>
      </c>
      <c r="E41" s="1"/>
      <c r="F41" s="1" t="s">
        <v>1089</v>
      </c>
      <c r="G41" s="1" t="s">
        <v>583</v>
      </c>
    </row>
    <row r="42" spans="1:7" x14ac:dyDescent="0.25">
      <c r="A42" s="1">
        <v>5356224</v>
      </c>
      <c r="B42" s="1" t="s">
        <v>582</v>
      </c>
      <c r="C42" s="1">
        <v>2</v>
      </c>
      <c r="D42" s="1">
        <v>5713</v>
      </c>
      <c r="E42" s="1"/>
      <c r="F42" s="1" t="s">
        <v>584</v>
      </c>
      <c r="G42" s="1" t="s">
        <v>47</v>
      </c>
    </row>
    <row r="43" spans="1:7" x14ac:dyDescent="0.25">
      <c r="A43" s="1" t="s">
        <v>1456</v>
      </c>
      <c r="B43" s="1" t="s">
        <v>582</v>
      </c>
      <c r="C43" s="1">
        <v>39311</v>
      </c>
      <c r="D43" s="1">
        <v>3765</v>
      </c>
      <c r="E43" s="1"/>
      <c r="F43" s="1" t="s">
        <v>146</v>
      </c>
      <c r="G43" s="1" t="s">
        <v>1458</v>
      </c>
    </row>
    <row r="44" spans="1:7" x14ac:dyDescent="0.25">
      <c r="A44" s="1">
        <v>29218</v>
      </c>
      <c r="B44" s="1" t="s">
        <v>585</v>
      </c>
      <c r="C44" s="1">
        <v>39921</v>
      </c>
      <c r="D44" s="1">
        <v>258687</v>
      </c>
      <c r="E44" s="1"/>
      <c r="F44" s="1" t="s">
        <v>586</v>
      </c>
      <c r="G44" s="1" t="s">
        <v>587</v>
      </c>
    </row>
    <row r="45" spans="1:7" x14ac:dyDescent="0.25">
      <c r="A45" s="1">
        <v>5355254</v>
      </c>
      <c r="B45" s="1" t="s">
        <v>585</v>
      </c>
      <c r="C45" s="1">
        <v>2</v>
      </c>
      <c r="D45" s="1">
        <v>20468</v>
      </c>
      <c r="E45" s="1"/>
      <c r="F45" s="1" t="s">
        <v>588</v>
      </c>
      <c r="G45" s="1" t="s">
        <v>47</v>
      </c>
    </row>
    <row r="46" spans="1:7" x14ac:dyDescent="0.25">
      <c r="A46" s="1">
        <v>5355253</v>
      </c>
      <c r="B46" s="1" t="s">
        <v>589</v>
      </c>
      <c r="C46" s="1">
        <v>2</v>
      </c>
      <c r="D46" s="1">
        <v>13968</v>
      </c>
      <c r="E46" s="1"/>
      <c r="F46" s="1" t="s">
        <v>590</v>
      </c>
      <c r="G46" s="1" t="s">
        <v>1150</v>
      </c>
    </row>
    <row r="47" spans="1:7" x14ac:dyDescent="0.25">
      <c r="A47" s="1">
        <v>95164633</v>
      </c>
      <c r="B47" s="1" t="s">
        <v>589</v>
      </c>
      <c r="C47" s="1">
        <v>39484</v>
      </c>
      <c r="D47" s="1">
        <v>10967</v>
      </c>
      <c r="E47" s="1"/>
      <c r="F47" s="1" t="s">
        <v>146</v>
      </c>
      <c r="G47" s="1" t="s">
        <v>1457</v>
      </c>
    </row>
    <row r="48" spans="1:7" x14ac:dyDescent="0.25">
      <c r="A48" s="1" t="s">
        <v>1369</v>
      </c>
      <c r="B48" s="1" t="s">
        <v>589</v>
      </c>
      <c r="C48" s="1">
        <v>39337</v>
      </c>
      <c r="D48" s="1">
        <v>9293</v>
      </c>
      <c r="E48" s="1"/>
      <c r="F48" s="1" t="s">
        <v>146</v>
      </c>
      <c r="G48" s="1" t="s">
        <v>1296</v>
      </c>
    </row>
    <row r="49" spans="1:7" x14ac:dyDescent="0.25">
      <c r="A49" s="1" t="s">
        <v>1297</v>
      </c>
      <c r="B49" s="1" t="s">
        <v>589</v>
      </c>
      <c r="C49" s="1">
        <v>39418</v>
      </c>
      <c r="D49" s="1">
        <v>6652</v>
      </c>
      <c r="E49" s="1"/>
      <c r="F49" s="1" t="s">
        <v>146</v>
      </c>
      <c r="G49" s="1" t="s">
        <v>1297</v>
      </c>
    </row>
    <row r="50" spans="1:7" x14ac:dyDescent="0.25">
      <c r="A50" s="1" t="s">
        <v>1298</v>
      </c>
      <c r="B50" s="1" t="s">
        <v>589</v>
      </c>
      <c r="C50" s="1">
        <v>39833</v>
      </c>
      <c r="D50" s="1">
        <v>4015</v>
      </c>
      <c r="E50" s="1"/>
      <c r="F50" s="1" t="s">
        <v>146</v>
      </c>
      <c r="G50" s="1" t="s">
        <v>1298</v>
      </c>
    </row>
    <row r="51" spans="1:7" x14ac:dyDescent="0.25">
      <c r="A51" s="1" t="s">
        <v>1366</v>
      </c>
      <c r="B51" s="1" t="s">
        <v>589</v>
      </c>
      <c r="C51" s="1">
        <v>39156</v>
      </c>
      <c r="D51" s="1">
        <v>8138</v>
      </c>
      <c r="E51" s="1"/>
      <c r="F51" s="1" t="s">
        <v>146</v>
      </c>
      <c r="G51" s="1" t="s">
        <v>1287</v>
      </c>
    </row>
    <row r="52" spans="1:7" x14ac:dyDescent="0.25">
      <c r="A52" s="1" t="s">
        <v>1288</v>
      </c>
      <c r="B52" s="1" t="s">
        <v>589</v>
      </c>
      <c r="C52" s="1">
        <v>39293</v>
      </c>
      <c r="D52" s="1">
        <v>1473</v>
      </c>
      <c r="E52" s="1"/>
      <c r="F52" s="1" t="s">
        <v>146</v>
      </c>
      <c r="G52" s="1" t="s">
        <v>1288</v>
      </c>
    </row>
    <row r="53" spans="1:7" x14ac:dyDescent="0.25">
      <c r="A53" s="1" t="s">
        <v>1289</v>
      </c>
      <c r="B53" s="1" t="s">
        <v>589</v>
      </c>
      <c r="C53" s="1">
        <v>39379</v>
      </c>
      <c r="D53" s="1">
        <v>9338</v>
      </c>
      <c r="E53" s="1"/>
      <c r="F53" s="1" t="s">
        <v>146</v>
      </c>
      <c r="G53" s="1" t="s">
        <v>1289</v>
      </c>
    </row>
    <row r="54" spans="1:7" x14ac:dyDescent="0.25">
      <c r="A54" s="1" t="s">
        <v>1367</v>
      </c>
      <c r="B54" s="1" t="s">
        <v>589</v>
      </c>
      <c r="C54" s="1">
        <v>39585</v>
      </c>
      <c r="D54" s="1">
        <v>993</v>
      </c>
      <c r="E54" s="1"/>
      <c r="F54" s="1" t="s">
        <v>146</v>
      </c>
      <c r="G54" s="1" t="s">
        <v>1290</v>
      </c>
    </row>
    <row r="55" spans="1:7" x14ac:dyDescent="0.25">
      <c r="A55" s="1" t="s">
        <v>1291</v>
      </c>
      <c r="B55" s="1" t="s">
        <v>589</v>
      </c>
      <c r="C55" s="1">
        <v>39844</v>
      </c>
      <c r="D55" s="1">
        <v>28757</v>
      </c>
      <c r="E55" s="1"/>
      <c r="F55" s="1" t="s">
        <v>146</v>
      </c>
      <c r="G55" s="1" t="s">
        <v>1291</v>
      </c>
    </row>
    <row r="56" spans="1:7" x14ac:dyDescent="0.25">
      <c r="A56" s="1" t="s">
        <v>1292</v>
      </c>
      <c r="B56" s="1" t="s">
        <v>589</v>
      </c>
      <c r="C56" s="1">
        <v>39490</v>
      </c>
      <c r="D56" s="1">
        <v>28786</v>
      </c>
      <c r="E56" s="1"/>
      <c r="F56" s="1" t="s">
        <v>146</v>
      </c>
      <c r="G56" s="1" t="s">
        <v>1292</v>
      </c>
    </row>
    <row r="57" spans="1:7" x14ac:dyDescent="0.25">
      <c r="A57" s="1" t="s">
        <v>1368</v>
      </c>
      <c r="B57" s="1" t="s">
        <v>589</v>
      </c>
      <c r="C57" s="1">
        <v>39306</v>
      </c>
      <c r="D57" s="1">
        <v>8355</v>
      </c>
      <c r="E57" s="1"/>
      <c r="F57" s="1" t="s">
        <v>146</v>
      </c>
      <c r="G57" s="1" t="s">
        <v>1293</v>
      </c>
    </row>
    <row r="58" spans="1:7" x14ac:dyDescent="0.25">
      <c r="A58" s="1" t="s">
        <v>1294</v>
      </c>
      <c r="B58" s="1" t="s">
        <v>589</v>
      </c>
      <c r="C58" s="1">
        <v>39307</v>
      </c>
      <c r="D58" s="1">
        <v>8600</v>
      </c>
      <c r="E58" s="1"/>
      <c r="F58" s="1" t="s">
        <v>146</v>
      </c>
      <c r="G58" s="1" t="s">
        <v>1294</v>
      </c>
    </row>
    <row r="59" spans="1:7" x14ac:dyDescent="0.25">
      <c r="A59" s="1">
        <v>5355248</v>
      </c>
      <c r="B59" s="1" t="s">
        <v>591</v>
      </c>
      <c r="C59" s="1">
        <v>2</v>
      </c>
      <c r="D59" s="1">
        <v>14913</v>
      </c>
      <c r="E59" s="1"/>
      <c r="F59" s="1" t="s">
        <v>592</v>
      </c>
      <c r="G59" s="1"/>
    </row>
    <row r="60" spans="1:7" x14ac:dyDescent="0.25">
      <c r="A60" s="1">
        <v>531109</v>
      </c>
      <c r="B60" s="1" t="s">
        <v>593</v>
      </c>
      <c r="C60" s="1">
        <v>2</v>
      </c>
      <c r="D60" s="1">
        <v>7493</v>
      </c>
      <c r="E60" s="1"/>
      <c r="F60" s="1" t="s">
        <v>598</v>
      </c>
      <c r="G60" s="1" t="s">
        <v>124</v>
      </c>
    </row>
    <row r="61" spans="1:7" x14ac:dyDescent="0.25">
      <c r="A61" s="1">
        <v>5356220</v>
      </c>
      <c r="B61" s="1" t="s">
        <v>593</v>
      </c>
      <c r="C61" s="1">
        <v>2</v>
      </c>
      <c r="D61" s="1">
        <v>3193</v>
      </c>
      <c r="E61" s="1"/>
      <c r="F61" s="1" t="s">
        <v>599</v>
      </c>
      <c r="G61" s="1" t="s">
        <v>1151</v>
      </c>
    </row>
    <row r="62" spans="1:7" x14ac:dyDescent="0.25">
      <c r="A62" s="1">
        <v>5356228</v>
      </c>
      <c r="B62" s="1" t="s">
        <v>593</v>
      </c>
      <c r="C62" s="1">
        <v>2</v>
      </c>
      <c r="D62" s="1">
        <v>12224</v>
      </c>
      <c r="E62" s="1"/>
      <c r="F62" s="1" t="s">
        <v>1152</v>
      </c>
      <c r="G62" s="1" t="s">
        <v>124</v>
      </c>
    </row>
    <row r="63" spans="1:7" x14ac:dyDescent="0.25">
      <c r="A63" s="1">
        <v>535661921</v>
      </c>
      <c r="B63" s="1" t="s">
        <v>593</v>
      </c>
      <c r="C63" s="1">
        <v>2</v>
      </c>
      <c r="D63" s="1">
        <v>11234</v>
      </c>
      <c r="E63" s="1"/>
      <c r="F63" s="1" t="s">
        <v>597</v>
      </c>
      <c r="G63" s="1" t="s">
        <v>124</v>
      </c>
    </row>
    <row r="64" spans="1:7" x14ac:dyDescent="0.25">
      <c r="A64" s="1" t="s">
        <v>1459</v>
      </c>
      <c r="B64" s="1" t="s">
        <v>593</v>
      </c>
      <c r="C64" s="1">
        <v>39854</v>
      </c>
      <c r="D64" s="1">
        <v>1490</v>
      </c>
      <c r="E64" s="1"/>
      <c r="F64" s="1" t="s">
        <v>146</v>
      </c>
      <c r="G64" s="1" t="s">
        <v>1457</v>
      </c>
    </row>
    <row r="65" spans="1:7" x14ac:dyDescent="0.25">
      <c r="A65" s="1">
        <v>5355249</v>
      </c>
      <c r="B65" s="1" t="s">
        <v>601</v>
      </c>
      <c r="C65" s="1">
        <v>39992</v>
      </c>
      <c r="D65" s="1">
        <v>6510</v>
      </c>
      <c r="E65" s="1"/>
      <c r="F65" s="1" t="s">
        <v>602</v>
      </c>
      <c r="G65" s="1" t="s">
        <v>603</v>
      </c>
    </row>
    <row r="66" spans="1:7" x14ac:dyDescent="0.25">
      <c r="A66" s="1" t="s">
        <v>432</v>
      </c>
      <c r="B66" s="1" t="s">
        <v>601</v>
      </c>
      <c r="C66" s="1">
        <v>39285</v>
      </c>
      <c r="D66" s="1">
        <v>16534</v>
      </c>
      <c r="E66" s="1"/>
      <c r="F66" s="1" t="s">
        <v>608</v>
      </c>
      <c r="G66" s="1" t="s">
        <v>63</v>
      </c>
    </row>
    <row r="67" spans="1:7" x14ac:dyDescent="0.25">
      <c r="A67" s="1" t="s">
        <v>399</v>
      </c>
      <c r="B67" s="1" t="s">
        <v>601</v>
      </c>
      <c r="C67" s="1">
        <v>39995</v>
      </c>
      <c r="D67" s="1">
        <v>530507</v>
      </c>
      <c r="E67" s="1"/>
      <c r="F67" s="1" t="s">
        <v>606</v>
      </c>
      <c r="G67" s="1" t="s">
        <v>605</v>
      </c>
    </row>
    <row r="68" spans="1:7" x14ac:dyDescent="0.25">
      <c r="A68" s="1" t="s">
        <v>398</v>
      </c>
      <c r="B68" s="1" t="s">
        <v>601</v>
      </c>
      <c r="C68" s="1">
        <v>39993</v>
      </c>
      <c r="D68" s="1">
        <v>133052</v>
      </c>
      <c r="E68" s="1"/>
      <c r="F68" s="1" t="s">
        <v>604</v>
      </c>
      <c r="G68" s="1" t="s">
        <v>605</v>
      </c>
    </row>
    <row r="69" spans="1:7" x14ac:dyDescent="0.25">
      <c r="A69" s="1"/>
      <c r="B69" s="1" t="s">
        <v>601</v>
      </c>
      <c r="C69" s="1">
        <v>2</v>
      </c>
      <c r="D69" s="1">
        <v>0</v>
      </c>
      <c r="E69" s="1"/>
      <c r="F69" s="1" t="s">
        <v>607</v>
      </c>
      <c r="G69" s="1"/>
    </row>
    <row r="70" spans="1:7" x14ac:dyDescent="0.25">
      <c r="A70" s="1">
        <v>114014011</v>
      </c>
      <c r="B70" s="1" t="s">
        <v>610</v>
      </c>
      <c r="C70" s="1">
        <v>2</v>
      </c>
      <c r="D70" s="1">
        <v>0</v>
      </c>
      <c r="E70" s="1"/>
      <c r="F70" s="1" t="s">
        <v>1167</v>
      </c>
      <c r="G70" s="1" t="s">
        <v>1159</v>
      </c>
    </row>
    <row r="71" spans="1:7" x14ac:dyDescent="0.25">
      <c r="A71" s="1" t="s">
        <v>1166</v>
      </c>
      <c r="B71" s="1" t="s">
        <v>610</v>
      </c>
      <c r="C71" s="1">
        <v>2</v>
      </c>
      <c r="D71" s="1">
        <v>0</v>
      </c>
      <c r="E71" s="1"/>
      <c r="F71" s="1" t="s">
        <v>1165</v>
      </c>
      <c r="G71" s="1" t="s">
        <v>1159</v>
      </c>
    </row>
    <row r="72" spans="1:7" x14ac:dyDescent="0.25">
      <c r="A72" s="1" t="s">
        <v>1160</v>
      </c>
      <c r="B72" s="1" t="s">
        <v>610</v>
      </c>
      <c r="C72" s="1">
        <v>2</v>
      </c>
      <c r="D72" s="1">
        <v>0</v>
      </c>
      <c r="E72" s="1"/>
      <c r="F72" s="1" t="s">
        <v>1161</v>
      </c>
      <c r="G72" s="1" t="s">
        <v>1159</v>
      </c>
    </row>
    <row r="73" spans="1:7" x14ac:dyDescent="0.25">
      <c r="A73" s="1" t="s">
        <v>1162</v>
      </c>
      <c r="B73" s="1" t="s">
        <v>610</v>
      </c>
      <c r="C73" s="1">
        <v>2</v>
      </c>
      <c r="D73" s="1">
        <v>0</v>
      </c>
      <c r="E73" s="1"/>
      <c r="F73" s="1" t="s">
        <v>1163</v>
      </c>
      <c r="G73" s="1" t="s">
        <v>47</v>
      </c>
    </row>
    <row r="74" spans="1:7" x14ac:dyDescent="0.25">
      <c r="A74" s="1" t="s">
        <v>1164</v>
      </c>
      <c r="B74" s="1" t="s">
        <v>610</v>
      </c>
      <c r="C74" s="1">
        <v>2</v>
      </c>
      <c r="D74" s="1">
        <v>0</v>
      </c>
      <c r="E74" s="1"/>
      <c r="F74" s="1" t="s">
        <v>1163</v>
      </c>
      <c r="G74" s="1" t="s">
        <v>1159</v>
      </c>
    </row>
    <row r="75" spans="1:7" x14ac:dyDescent="0.25">
      <c r="A75" s="1" t="s">
        <v>1158</v>
      </c>
      <c r="B75" s="1" t="s">
        <v>610</v>
      </c>
      <c r="C75" s="1">
        <v>2</v>
      </c>
      <c r="D75" s="1">
        <v>0</v>
      </c>
      <c r="E75" s="1"/>
      <c r="F75" s="1" t="s">
        <v>613</v>
      </c>
      <c r="G75" s="1" t="s">
        <v>1159</v>
      </c>
    </row>
    <row r="76" spans="1:7" x14ac:dyDescent="0.25">
      <c r="A76" s="1"/>
      <c r="B76" s="1" t="s">
        <v>610</v>
      </c>
      <c r="C76" s="1">
        <v>2</v>
      </c>
      <c r="D76" s="1">
        <v>0</v>
      </c>
      <c r="E76" s="1"/>
      <c r="F76" s="1" t="s">
        <v>611</v>
      </c>
      <c r="G76" s="1" t="s">
        <v>612</v>
      </c>
    </row>
    <row r="77" spans="1:7" x14ac:dyDescent="0.25">
      <c r="A77" s="1"/>
      <c r="B77" s="1" t="s">
        <v>610</v>
      </c>
      <c r="C77" s="1">
        <v>2</v>
      </c>
      <c r="D77" s="1">
        <v>0</v>
      </c>
      <c r="E77" s="1"/>
      <c r="F77" s="1" t="s">
        <v>611</v>
      </c>
      <c r="G77" s="1" t="s">
        <v>612</v>
      </c>
    </row>
    <row r="78" spans="1:7" x14ac:dyDescent="0.25">
      <c r="A78" s="1" t="s">
        <v>1158</v>
      </c>
      <c r="B78" s="1" t="s">
        <v>610</v>
      </c>
      <c r="C78" s="1">
        <v>2</v>
      </c>
      <c r="D78" s="1">
        <v>0</v>
      </c>
      <c r="E78" s="1"/>
      <c r="F78" s="1" t="s">
        <v>613</v>
      </c>
      <c r="G78" s="1" t="s">
        <v>1159</v>
      </c>
    </row>
    <row r="79" spans="1:7" x14ac:dyDescent="0.25">
      <c r="A79" s="1"/>
      <c r="B79" s="1" t="s">
        <v>610</v>
      </c>
      <c r="C79" s="1">
        <v>2</v>
      </c>
      <c r="D79" s="1">
        <v>0</v>
      </c>
      <c r="E79" s="1"/>
      <c r="F79" s="1" t="s">
        <v>611</v>
      </c>
      <c r="G79" s="1" t="s">
        <v>612</v>
      </c>
    </row>
    <row r="80" spans="1:7" x14ac:dyDescent="0.25">
      <c r="A80" s="1"/>
      <c r="B80" s="1"/>
      <c r="C80" s="1"/>
      <c r="D80" s="1"/>
      <c r="E80" s="1"/>
      <c r="F80" s="1"/>
      <c r="G80" s="1"/>
    </row>
    <row r="81" spans="1:7" x14ac:dyDescent="0.25">
      <c r="A81" s="2"/>
      <c r="B81" s="2"/>
      <c r="C81" s="2"/>
      <c r="D81" s="2"/>
      <c r="E81" s="2"/>
      <c r="F81" s="2"/>
      <c r="G81" s="2"/>
    </row>
    <row r="82" spans="1:7" x14ac:dyDescent="0.25">
      <c r="A82" s="2"/>
      <c r="B82" s="2"/>
      <c r="C82" s="2"/>
      <c r="D82" s="2"/>
      <c r="E82" s="2"/>
      <c r="F82" s="2"/>
      <c r="G82" s="2"/>
    </row>
    <row r="83" spans="1:7" x14ac:dyDescent="0.25">
      <c r="A83" s="2"/>
      <c r="B83" s="2"/>
      <c r="C83" s="2"/>
      <c r="D83" s="2"/>
      <c r="E83" s="2"/>
      <c r="F83" s="2"/>
      <c r="G83" s="2"/>
    </row>
    <row r="84" spans="1:7" x14ac:dyDescent="0.25">
      <c r="A84" s="2"/>
      <c r="B84" s="2"/>
      <c r="C84" s="2"/>
      <c r="D84" s="2"/>
      <c r="E84" s="2"/>
      <c r="F84" s="2"/>
      <c r="G84" s="2"/>
    </row>
    <row r="85" spans="1:7" x14ac:dyDescent="0.25">
      <c r="A85" s="2"/>
      <c r="B85" s="2"/>
      <c r="C85" s="2"/>
      <c r="D85" s="2"/>
      <c r="E85" s="2"/>
      <c r="F85" s="2"/>
      <c r="G85" s="2"/>
    </row>
    <row r="86" spans="1:7" x14ac:dyDescent="0.25">
      <c r="A86" s="2"/>
      <c r="B86" s="2"/>
      <c r="C86" s="2"/>
      <c r="D86" s="2"/>
      <c r="E86" s="2"/>
      <c r="F86" s="2"/>
      <c r="G86" s="2"/>
    </row>
    <row r="87" spans="1:7" x14ac:dyDescent="0.25">
      <c r="A87" s="2"/>
      <c r="B87" s="2"/>
      <c r="C87" s="2"/>
      <c r="D87" s="2"/>
      <c r="E87" s="2"/>
      <c r="F87" s="2"/>
      <c r="G87" s="2"/>
    </row>
    <row r="88" spans="1:7" x14ac:dyDescent="0.25">
      <c r="A88" s="2"/>
      <c r="B88" s="2"/>
      <c r="C88" s="2"/>
      <c r="D88" s="2"/>
      <c r="E88" s="2"/>
      <c r="F88" s="2"/>
      <c r="G88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8" r:id="rId3" name="Button 4">
              <controlPr defaultSize="0" print="0" autoFill="0" autoPict="0" macro="[0]!PlantillaSagunto">
                <anchor moveWithCells="1" sizeWithCells="1">
                  <from>
                    <xdr:col>7</xdr:col>
                    <xdr:colOff>457200</xdr:colOff>
                    <xdr:row>1</xdr:row>
                    <xdr:rowOff>171450</xdr:rowOff>
                  </from>
                  <to>
                    <xdr:col>8</xdr:col>
                    <xdr:colOff>1114425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>
    <pageSetUpPr fitToPage="1"/>
  </sheetPr>
  <dimension ref="A1:J53"/>
  <sheetViews>
    <sheetView topLeftCell="A6" zoomScale="85" zoomScaleNormal="85" workbookViewId="0">
      <selection activeCell="F47" sqref="F47"/>
    </sheetView>
  </sheetViews>
  <sheetFormatPr baseColWidth="10" defaultRowHeight="15" x14ac:dyDescent="0.25"/>
  <cols>
    <col min="1" max="1" width="16.7109375" bestFit="1" customWidth="1"/>
    <col min="2" max="2" width="29" bestFit="1" customWidth="1"/>
    <col min="3" max="3" width="11.28515625" bestFit="1" customWidth="1"/>
    <col min="4" max="4" width="17.5703125" bestFit="1" customWidth="1"/>
    <col min="5" max="5" width="13.85546875" bestFit="1" customWidth="1"/>
    <col min="6" max="6" width="48.28515625" bestFit="1" customWidth="1"/>
    <col min="7" max="7" width="44.5703125" bestFit="1" customWidth="1"/>
  </cols>
  <sheetData>
    <row r="1" spans="1:10" x14ac:dyDescent="0.25">
      <c r="A1" s="2" t="s">
        <v>0</v>
      </c>
      <c r="B1" s="2" t="s">
        <v>18</v>
      </c>
      <c r="C1" s="2" t="s">
        <v>710</v>
      </c>
      <c r="D1" s="274" t="s">
        <v>848</v>
      </c>
      <c r="E1" s="523" t="s">
        <v>1111</v>
      </c>
      <c r="F1" s="2" t="s">
        <v>1</v>
      </c>
      <c r="G1" s="2" t="s">
        <v>2</v>
      </c>
    </row>
    <row r="2" spans="1:10" ht="18.75" x14ac:dyDescent="0.25">
      <c r="A2" s="273" t="s">
        <v>615</v>
      </c>
      <c r="B2" s="223">
        <v>78226859</v>
      </c>
      <c r="C2" s="258">
        <v>3</v>
      </c>
      <c r="D2" s="311">
        <v>17749806</v>
      </c>
      <c r="E2" s="317"/>
      <c r="F2" s="274" t="s">
        <v>21</v>
      </c>
      <c r="G2" s="274" t="s">
        <v>616</v>
      </c>
    </row>
    <row r="3" spans="1:10" ht="18.75" x14ac:dyDescent="0.25">
      <c r="A3" s="60" t="s">
        <v>617</v>
      </c>
      <c r="B3" s="520">
        <v>79007</v>
      </c>
      <c r="C3" s="258">
        <v>3</v>
      </c>
      <c r="D3" s="311">
        <v>65236.5</v>
      </c>
      <c r="E3" s="279"/>
      <c r="F3" s="2" t="s">
        <v>1390</v>
      </c>
      <c r="G3" s="2" t="s">
        <v>619</v>
      </c>
    </row>
    <row r="4" spans="1:10" ht="18.75" x14ac:dyDescent="0.25">
      <c r="A4" s="60" t="s">
        <v>617</v>
      </c>
      <c r="B4" s="223">
        <v>79062</v>
      </c>
      <c r="C4" s="258">
        <v>3</v>
      </c>
      <c r="D4" s="311">
        <v>40488.1</v>
      </c>
      <c r="E4" s="279"/>
      <c r="F4" s="274" t="s">
        <v>21</v>
      </c>
      <c r="G4" s="274" t="s">
        <v>619</v>
      </c>
    </row>
    <row r="5" spans="1:10" ht="18.75" x14ac:dyDescent="0.25">
      <c r="A5" s="60" t="s">
        <v>617</v>
      </c>
      <c r="B5" s="223">
        <v>547463</v>
      </c>
      <c r="C5" s="258">
        <v>39832</v>
      </c>
      <c r="D5" s="311">
        <v>20263</v>
      </c>
      <c r="E5" s="279"/>
      <c r="F5" s="274" t="s">
        <v>634</v>
      </c>
      <c r="G5" s="2" t="s">
        <v>635</v>
      </c>
    </row>
    <row r="6" spans="1:10" ht="18.75" x14ac:dyDescent="0.25">
      <c r="A6" s="60" t="s">
        <v>617</v>
      </c>
      <c r="B6" s="223">
        <v>4492967</v>
      </c>
      <c r="C6" s="258">
        <v>39875</v>
      </c>
      <c r="D6" s="311">
        <v>18362</v>
      </c>
      <c r="E6" s="279"/>
      <c r="F6" s="274" t="s">
        <v>550</v>
      </c>
      <c r="G6" s="2" t="s">
        <v>664</v>
      </c>
    </row>
    <row r="7" spans="1:10" ht="18.75" x14ac:dyDescent="0.25">
      <c r="A7" s="60" t="s">
        <v>617</v>
      </c>
      <c r="B7" s="223">
        <v>7107776</v>
      </c>
      <c r="C7" s="258">
        <v>39478</v>
      </c>
      <c r="D7" s="311">
        <v>74793</v>
      </c>
      <c r="E7" s="279"/>
      <c r="F7" s="307" t="s">
        <v>902</v>
      </c>
      <c r="G7" s="275" t="s">
        <v>903</v>
      </c>
    </row>
    <row r="8" spans="1:10" ht="18.75" x14ac:dyDescent="0.25">
      <c r="A8" s="60" t="s">
        <v>617</v>
      </c>
      <c r="B8" s="223">
        <v>10283585</v>
      </c>
      <c r="C8" s="258">
        <v>39859</v>
      </c>
      <c r="D8" s="311">
        <v>61836.1</v>
      </c>
      <c r="E8" s="279"/>
      <c r="F8" s="274" t="s">
        <v>630</v>
      </c>
      <c r="G8" s="2" t="s">
        <v>636</v>
      </c>
    </row>
    <row r="9" spans="1:10" ht="18.75" x14ac:dyDescent="0.25">
      <c r="A9" s="60" t="s">
        <v>617</v>
      </c>
      <c r="B9" s="223">
        <v>10735985</v>
      </c>
      <c r="C9" s="258">
        <v>39441</v>
      </c>
      <c r="D9" s="311">
        <v>7138.9</v>
      </c>
      <c r="E9" s="279"/>
      <c r="F9" s="307" t="s">
        <v>902</v>
      </c>
      <c r="G9" s="2" t="s">
        <v>636</v>
      </c>
    </row>
    <row r="10" spans="1:10" ht="18.75" x14ac:dyDescent="0.25">
      <c r="A10" s="60" t="s">
        <v>617</v>
      </c>
      <c r="B10" s="223">
        <v>11808535</v>
      </c>
      <c r="C10" s="258">
        <v>39858</v>
      </c>
      <c r="D10" s="311">
        <v>40401</v>
      </c>
      <c r="E10" s="279"/>
      <c r="F10" s="307" t="s">
        <v>630</v>
      </c>
      <c r="G10" s="307" t="s">
        <v>633</v>
      </c>
    </row>
    <row r="11" spans="1:10" ht="18.75" x14ac:dyDescent="0.25">
      <c r="A11" s="60" t="s">
        <v>617</v>
      </c>
      <c r="B11" s="223">
        <v>32973653</v>
      </c>
      <c r="C11" s="258">
        <v>3</v>
      </c>
      <c r="D11" s="311">
        <v>5587</v>
      </c>
      <c r="E11" s="279"/>
      <c r="F11" s="307" t="s">
        <v>21</v>
      </c>
      <c r="G11" s="275" t="s">
        <v>1423</v>
      </c>
    </row>
    <row r="12" spans="1:10" ht="18.75" x14ac:dyDescent="0.25">
      <c r="A12" s="60" t="s">
        <v>617</v>
      </c>
      <c r="B12" s="223">
        <v>50037472</v>
      </c>
      <c r="C12" s="258">
        <v>39880</v>
      </c>
      <c r="D12" s="311">
        <v>13298</v>
      </c>
      <c r="E12" s="279"/>
      <c r="F12" s="274" t="s">
        <v>628</v>
      </c>
      <c r="G12" s="274" t="s">
        <v>629</v>
      </c>
    </row>
    <row r="13" spans="1:10" ht="18.75" x14ac:dyDescent="0.25">
      <c r="A13" s="60" t="s">
        <v>617</v>
      </c>
      <c r="B13" s="223">
        <v>73321615</v>
      </c>
      <c r="C13" s="258">
        <v>39890</v>
      </c>
      <c r="D13" s="311">
        <v>324085</v>
      </c>
      <c r="E13" s="279"/>
      <c r="F13" s="274" t="s">
        <v>639</v>
      </c>
      <c r="G13" s="2" t="s">
        <v>640</v>
      </c>
    </row>
    <row r="14" spans="1:10" ht="18.75" x14ac:dyDescent="0.25">
      <c r="A14" s="60" t="s">
        <v>617</v>
      </c>
      <c r="B14" s="223" t="s">
        <v>409</v>
      </c>
      <c r="C14" s="258">
        <v>3</v>
      </c>
      <c r="D14" s="311">
        <v>13960.7</v>
      </c>
      <c r="E14" s="279"/>
      <c r="F14" s="274" t="s">
        <v>21</v>
      </c>
      <c r="G14" s="274" t="s">
        <v>636</v>
      </c>
      <c r="J14" s="266"/>
    </row>
    <row r="15" spans="1:10" ht="18.75" x14ac:dyDescent="0.25">
      <c r="A15" s="60" t="s">
        <v>617</v>
      </c>
      <c r="B15" s="223" t="s">
        <v>413</v>
      </c>
      <c r="C15" s="258">
        <v>3</v>
      </c>
      <c r="D15" s="311">
        <v>2976885.2</v>
      </c>
      <c r="E15" s="279"/>
      <c r="F15" s="274" t="s">
        <v>21</v>
      </c>
      <c r="G15" s="274" t="s">
        <v>621</v>
      </c>
    </row>
    <row r="16" spans="1:10" ht="18.75" x14ac:dyDescent="0.25">
      <c r="A16" s="60" t="s">
        <v>617</v>
      </c>
      <c r="B16" s="223" t="s">
        <v>408</v>
      </c>
      <c r="C16" s="258">
        <v>39895</v>
      </c>
      <c r="D16" s="311">
        <v>497877</v>
      </c>
      <c r="E16" s="279"/>
      <c r="F16" s="274" t="s">
        <v>1396</v>
      </c>
      <c r="G16" s="274" t="s">
        <v>621</v>
      </c>
    </row>
    <row r="17" spans="1:7" ht="18.75" x14ac:dyDescent="0.25">
      <c r="A17" s="60" t="s">
        <v>617</v>
      </c>
      <c r="B17" s="223" t="s">
        <v>407</v>
      </c>
      <c r="C17" s="258">
        <v>3</v>
      </c>
      <c r="D17" s="311">
        <v>1986</v>
      </c>
      <c r="E17" s="279"/>
      <c r="F17" s="274" t="s">
        <v>21</v>
      </c>
      <c r="G17" s="274" t="s">
        <v>621</v>
      </c>
    </row>
    <row r="18" spans="1:7" ht="18.75" x14ac:dyDescent="0.25">
      <c r="A18" s="60" t="s">
        <v>617</v>
      </c>
      <c r="B18" s="223" t="s">
        <v>406</v>
      </c>
      <c r="C18" s="258">
        <v>3</v>
      </c>
      <c r="D18" s="311">
        <v>280110</v>
      </c>
      <c r="E18" s="279"/>
      <c r="F18" s="274" t="s">
        <v>21</v>
      </c>
      <c r="G18" s="274" t="s">
        <v>621</v>
      </c>
    </row>
    <row r="19" spans="1:7" ht="18.75" x14ac:dyDescent="0.25">
      <c r="A19" s="60" t="s">
        <v>617</v>
      </c>
      <c r="B19" s="223" t="s">
        <v>405</v>
      </c>
      <c r="C19" s="258">
        <v>3</v>
      </c>
      <c r="D19" s="311">
        <v>30132</v>
      </c>
      <c r="E19" s="279"/>
      <c r="F19" s="274" t="s">
        <v>21</v>
      </c>
      <c r="G19" s="274" t="s">
        <v>621</v>
      </c>
    </row>
    <row r="20" spans="1:7" ht="18.75" x14ac:dyDescent="0.25">
      <c r="A20" s="60" t="s">
        <v>617</v>
      </c>
      <c r="B20" s="223" t="s">
        <v>404</v>
      </c>
      <c r="C20" s="258">
        <v>39835</v>
      </c>
      <c r="D20" s="311">
        <v>103455</v>
      </c>
      <c r="E20" s="279"/>
      <c r="F20" s="274" t="s">
        <v>623</v>
      </c>
      <c r="G20" s="2" t="s">
        <v>624</v>
      </c>
    </row>
    <row r="21" spans="1:7" ht="18.75" x14ac:dyDescent="0.25">
      <c r="A21" s="60" t="s">
        <v>617</v>
      </c>
      <c r="B21" s="223" t="s">
        <v>400</v>
      </c>
      <c r="C21" s="258">
        <v>3</v>
      </c>
      <c r="D21" s="311">
        <v>644576</v>
      </c>
      <c r="E21" s="279"/>
      <c r="F21" s="274" t="s">
        <v>21</v>
      </c>
      <c r="G21" s="274" t="s">
        <v>621</v>
      </c>
    </row>
    <row r="22" spans="1:7" ht="18.75" x14ac:dyDescent="0.25">
      <c r="A22" s="60" t="s">
        <v>617</v>
      </c>
      <c r="B22" s="223" t="s">
        <v>412</v>
      </c>
      <c r="C22" s="258">
        <v>3</v>
      </c>
      <c r="D22" s="311">
        <v>87035</v>
      </c>
      <c r="E22" s="279"/>
      <c r="F22" s="274" t="s">
        <v>21</v>
      </c>
      <c r="G22" s="2" t="s">
        <v>621</v>
      </c>
    </row>
    <row r="23" spans="1:7" ht="18.75" x14ac:dyDescent="0.25">
      <c r="A23" s="60" t="s">
        <v>617</v>
      </c>
      <c r="B23" s="223" t="s">
        <v>411</v>
      </c>
      <c r="C23" s="258">
        <v>3</v>
      </c>
      <c r="D23" s="311">
        <v>11</v>
      </c>
      <c r="E23" s="279"/>
      <c r="F23" s="274" t="s">
        <v>21</v>
      </c>
      <c r="G23" s="2" t="s">
        <v>621</v>
      </c>
    </row>
    <row r="24" spans="1:7" ht="18.75" x14ac:dyDescent="0.25">
      <c r="A24" s="60" t="s">
        <v>617</v>
      </c>
      <c r="B24" s="223" t="s">
        <v>401</v>
      </c>
      <c r="C24" s="258">
        <v>3</v>
      </c>
      <c r="D24" s="311">
        <v>381746</v>
      </c>
      <c r="E24" s="279"/>
      <c r="F24" s="274" t="s">
        <v>21</v>
      </c>
      <c r="G24" s="2" t="s">
        <v>621</v>
      </c>
    </row>
    <row r="25" spans="1:7" ht="18.75" x14ac:dyDescent="0.25">
      <c r="A25" s="60" t="s">
        <v>617</v>
      </c>
      <c r="B25" s="223" t="s">
        <v>402</v>
      </c>
      <c r="C25" s="258">
        <v>3</v>
      </c>
      <c r="D25" s="311">
        <v>601205</v>
      </c>
      <c r="E25" s="279"/>
      <c r="F25" s="274" t="s">
        <v>21</v>
      </c>
      <c r="G25" s="2" t="s">
        <v>621</v>
      </c>
    </row>
    <row r="26" spans="1:7" ht="18.75" x14ac:dyDescent="0.25">
      <c r="A26" s="60" t="s">
        <v>617</v>
      </c>
      <c r="B26" s="223" t="s">
        <v>414</v>
      </c>
      <c r="C26" s="258">
        <v>3</v>
      </c>
      <c r="D26" s="311">
        <v>29355</v>
      </c>
      <c r="E26" s="279"/>
      <c r="F26" s="274" t="s">
        <v>21</v>
      </c>
      <c r="G26" s="274" t="s">
        <v>621</v>
      </c>
    </row>
    <row r="27" spans="1:7" ht="18.75" x14ac:dyDescent="0.25">
      <c r="A27" s="60" t="s">
        <v>617</v>
      </c>
      <c r="B27" s="223" t="s">
        <v>415</v>
      </c>
      <c r="C27" s="258">
        <v>3</v>
      </c>
      <c r="D27" s="311">
        <v>30</v>
      </c>
      <c r="E27" s="279"/>
      <c r="F27" s="274" t="s">
        <v>21</v>
      </c>
      <c r="G27" s="2" t="s">
        <v>621</v>
      </c>
    </row>
    <row r="28" spans="1:7" ht="18.75" x14ac:dyDescent="0.25">
      <c r="A28" s="60" t="s">
        <v>617</v>
      </c>
      <c r="B28" s="223" t="s">
        <v>403</v>
      </c>
      <c r="C28" s="258">
        <v>39305</v>
      </c>
      <c r="D28" s="311">
        <v>745758</v>
      </c>
      <c r="E28" s="279"/>
      <c r="F28" s="274" t="s">
        <v>658</v>
      </c>
      <c r="G28" s="274" t="s">
        <v>621</v>
      </c>
    </row>
    <row r="29" spans="1:7" ht="18.75" x14ac:dyDescent="0.25">
      <c r="A29" s="60" t="s">
        <v>617</v>
      </c>
      <c r="B29" s="223" t="s">
        <v>410</v>
      </c>
      <c r="C29" s="258">
        <v>3</v>
      </c>
      <c r="D29" s="311">
        <v>3002</v>
      </c>
      <c r="E29" s="279"/>
      <c r="F29" s="2" t="s">
        <v>21</v>
      </c>
      <c r="G29" s="2" t="s">
        <v>638</v>
      </c>
    </row>
    <row r="30" spans="1:7" ht="18.75" x14ac:dyDescent="0.25">
      <c r="A30" s="60" t="s">
        <v>617</v>
      </c>
      <c r="B30" s="223" t="s">
        <v>1425</v>
      </c>
      <c r="C30" s="258">
        <v>3</v>
      </c>
      <c r="D30" s="311">
        <v>15607</v>
      </c>
      <c r="E30" s="279"/>
      <c r="F30" s="274" t="s">
        <v>21</v>
      </c>
      <c r="G30" s="2" t="s">
        <v>647</v>
      </c>
    </row>
    <row r="31" spans="1:7" ht="18.75" x14ac:dyDescent="0.25">
      <c r="A31" s="60" t="s">
        <v>617</v>
      </c>
      <c r="B31" s="223" t="s">
        <v>1426</v>
      </c>
      <c r="C31" s="258">
        <v>39324</v>
      </c>
      <c r="D31" s="311">
        <v>775</v>
      </c>
      <c r="E31" s="521"/>
      <c r="F31" s="274" t="s">
        <v>1388</v>
      </c>
      <c r="G31" s="2" t="s">
        <v>636</v>
      </c>
    </row>
    <row r="32" spans="1:7" ht="18.75" x14ac:dyDescent="0.25">
      <c r="A32" s="60" t="s">
        <v>650</v>
      </c>
      <c r="B32" s="220">
        <v>3789280061</v>
      </c>
      <c r="C32" s="258">
        <v>39886</v>
      </c>
      <c r="D32" s="474">
        <v>2645.5</v>
      </c>
      <c r="E32" s="279"/>
      <c r="F32" s="274" t="s">
        <v>651</v>
      </c>
      <c r="G32" s="2" t="s">
        <v>1362</v>
      </c>
    </row>
    <row r="33" spans="1:7" ht="18.75" x14ac:dyDescent="0.25">
      <c r="A33" s="60" t="s">
        <v>650</v>
      </c>
      <c r="B33" s="223" t="s">
        <v>416</v>
      </c>
      <c r="C33" s="258">
        <v>3</v>
      </c>
      <c r="D33" s="311">
        <v>202379</v>
      </c>
      <c r="E33" s="279"/>
      <c r="F33" s="265" t="s">
        <v>21</v>
      </c>
      <c r="G33" s="265" t="s">
        <v>654</v>
      </c>
    </row>
    <row r="34" spans="1:7" ht="18.75" x14ac:dyDescent="0.25">
      <c r="A34" s="60" t="s">
        <v>650</v>
      </c>
      <c r="B34" s="223" t="s">
        <v>417</v>
      </c>
      <c r="C34" s="258">
        <v>39881</v>
      </c>
      <c r="D34" s="311">
        <v>81085</v>
      </c>
      <c r="E34" s="279"/>
      <c r="F34" s="2" t="s">
        <v>651</v>
      </c>
      <c r="G34" s="2" t="s">
        <v>654</v>
      </c>
    </row>
    <row r="35" spans="1:7" ht="18.75" x14ac:dyDescent="0.25">
      <c r="A35" s="60" t="s">
        <v>650</v>
      </c>
      <c r="B35" s="223" t="s">
        <v>418</v>
      </c>
      <c r="C35" s="258">
        <v>39882</v>
      </c>
      <c r="D35" s="311">
        <v>71747</v>
      </c>
      <c r="E35" s="279"/>
      <c r="F35" s="274" t="s">
        <v>651</v>
      </c>
      <c r="G35" s="274" t="s">
        <v>654</v>
      </c>
    </row>
    <row r="36" spans="1:7" ht="18.75" x14ac:dyDescent="0.25">
      <c r="A36" s="60" t="s">
        <v>650</v>
      </c>
      <c r="B36" s="223" t="s">
        <v>419</v>
      </c>
      <c r="C36" s="258">
        <v>39065</v>
      </c>
      <c r="D36" s="311">
        <v>15045</v>
      </c>
      <c r="E36" s="279"/>
      <c r="F36" s="274" t="s">
        <v>651</v>
      </c>
      <c r="G36" s="274" t="s">
        <v>654</v>
      </c>
    </row>
    <row r="37" spans="1:7" ht="18.75" x14ac:dyDescent="0.25">
      <c r="A37" s="60" t="s">
        <v>650</v>
      </c>
      <c r="B37" s="223" t="s">
        <v>425</v>
      </c>
      <c r="C37" s="258">
        <v>3</v>
      </c>
      <c r="D37" s="311">
        <v>3595.5</v>
      </c>
      <c r="E37" s="279"/>
      <c r="F37" s="274" t="s">
        <v>21</v>
      </c>
      <c r="G37" s="274" t="s">
        <v>654</v>
      </c>
    </row>
    <row r="38" spans="1:7" ht="18.75" x14ac:dyDescent="0.25">
      <c r="A38" s="60" t="s">
        <v>650</v>
      </c>
      <c r="B38" s="223" t="s">
        <v>420</v>
      </c>
      <c r="C38" s="258">
        <v>39658</v>
      </c>
      <c r="D38" s="311">
        <v>25046</v>
      </c>
      <c r="E38" s="279"/>
      <c r="F38" s="274" t="s">
        <v>651</v>
      </c>
      <c r="G38" s="274" t="s">
        <v>654</v>
      </c>
    </row>
    <row r="39" spans="1:7" ht="18.75" x14ac:dyDescent="0.25">
      <c r="A39" s="60" t="s">
        <v>650</v>
      </c>
      <c r="B39" s="223" t="s">
        <v>421</v>
      </c>
      <c r="C39" s="258">
        <v>3</v>
      </c>
      <c r="D39" s="311">
        <v>177320.7</v>
      </c>
      <c r="E39" s="279"/>
      <c r="F39" s="2" t="s">
        <v>21</v>
      </c>
      <c r="G39" s="2" t="s">
        <v>654</v>
      </c>
    </row>
    <row r="40" spans="1:7" ht="18.75" x14ac:dyDescent="0.25">
      <c r="A40" s="60" t="s">
        <v>650</v>
      </c>
      <c r="B40" s="223" t="s">
        <v>422</v>
      </c>
      <c r="C40" s="258">
        <v>3</v>
      </c>
      <c r="D40" s="311">
        <v>602.5</v>
      </c>
      <c r="E40" s="279"/>
      <c r="F40" s="275" t="s">
        <v>21</v>
      </c>
      <c r="G40" s="2" t="s">
        <v>654</v>
      </c>
    </row>
    <row r="41" spans="1:7" ht="18.75" x14ac:dyDescent="0.25">
      <c r="A41" s="60" t="s">
        <v>650</v>
      </c>
      <c r="B41" s="223" t="s">
        <v>423</v>
      </c>
      <c r="C41" s="258">
        <v>3</v>
      </c>
      <c r="D41" s="311">
        <v>67797.5</v>
      </c>
      <c r="E41" s="279"/>
      <c r="F41" s="274" t="s">
        <v>21</v>
      </c>
      <c r="G41" s="274" t="s">
        <v>654</v>
      </c>
    </row>
    <row r="42" spans="1:7" ht="18.75" x14ac:dyDescent="0.25">
      <c r="A42" s="60" t="s">
        <v>650</v>
      </c>
      <c r="B42" s="223" t="s">
        <v>424</v>
      </c>
      <c r="C42" s="258">
        <v>39899</v>
      </c>
      <c r="D42" s="311">
        <v>44478</v>
      </c>
      <c r="E42" s="279"/>
      <c r="F42" s="2" t="s">
        <v>651</v>
      </c>
      <c r="G42" s="2" t="s">
        <v>654</v>
      </c>
    </row>
    <row r="43" spans="1:7" ht="18.75" x14ac:dyDescent="0.25">
      <c r="A43" s="60" t="s">
        <v>667</v>
      </c>
      <c r="B43" s="223">
        <v>542779</v>
      </c>
      <c r="C43" s="258">
        <v>39869</v>
      </c>
      <c r="D43" s="311">
        <v>1776466</v>
      </c>
      <c r="E43" s="279"/>
      <c r="F43" s="2" t="s">
        <v>668</v>
      </c>
      <c r="G43" s="2" t="s">
        <v>669</v>
      </c>
    </row>
    <row r="44" spans="1:7" ht="18.75" x14ac:dyDescent="0.25">
      <c r="A44" s="60" t="s">
        <v>670</v>
      </c>
      <c r="B44" s="223">
        <v>17070</v>
      </c>
      <c r="C44" s="258">
        <v>39873</v>
      </c>
      <c r="D44" s="311">
        <v>15518</v>
      </c>
      <c r="E44" s="279"/>
      <c r="F44" s="2" t="s">
        <v>1411</v>
      </c>
      <c r="G44" s="2" t="s">
        <v>672</v>
      </c>
    </row>
    <row r="45" spans="1:7" ht="18.75" x14ac:dyDescent="0.25">
      <c r="A45" s="60" t="s">
        <v>670</v>
      </c>
      <c r="B45" s="223">
        <v>30574059</v>
      </c>
      <c r="C45" s="258">
        <v>3</v>
      </c>
      <c r="D45" s="311">
        <v>157631.6</v>
      </c>
      <c r="E45" s="279"/>
      <c r="F45" s="2" t="s">
        <v>21</v>
      </c>
      <c r="G45" s="2" t="s">
        <v>679</v>
      </c>
    </row>
    <row r="46" spans="1:7" ht="18.75" x14ac:dyDescent="0.25">
      <c r="A46" s="60" t="s">
        <v>670</v>
      </c>
      <c r="B46" s="223">
        <v>50564017</v>
      </c>
      <c r="C46" s="258">
        <v>39878</v>
      </c>
      <c r="D46" s="311">
        <v>212517.4</v>
      </c>
      <c r="E46" s="279"/>
      <c r="F46" s="2" t="s">
        <v>630</v>
      </c>
      <c r="G46" s="2" t="s">
        <v>674</v>
      </c>
    </row>
    <row r="47" spans="1:7" ht="18.75" x14ac:dyDescent="0.25">
      <c r="A47" s="60" t="s">
        <v>670</v>
      </c>
      <c r="B47" s="223">
        <v>85006712</v>
      </c>
      <c r="C47" s="258">
        <v>39809</v>
      </c>
      <c r="D47" s="311">
        <v>2183947</v>
      </c>
      <c r="E47" s="279"/>
      <c r="F47" s="274" t="s">
        <v>630</v>
      </c>
      <c r="G47" s="2" t="s">
        <v>676</v>
      </c>
    </row>
    <row r="48" spans="1:7" ht="18.75" x14ac:dyDescent="0.25">
      <c r="A48" s="60" t="s">
        <v>670</v>
      </c>
      <c r="B48" s="223">
        <v>85006713</v>
      </c>
      <c r="C48" s="258">
        <v>39810</v>
      </c>
      <c r="D48" s="311">
        <v>882023</v>
      </c>
      <c r="E48" s="279"/>
      <c r="F48" s="274" t="s">
        <v>630</v>
      </c>
      <c r="G48" s="2" t="s">
        <v>676</v>
      </c>
    </row>
    <row r="49" spans="1:7" ht="18.75" x14ac:dyDescent="0.25">
      <c r="A49" s="60" t="s">
        <v>670</v>
      </c>
      <c r="B49" s="223" t="s">
        <v>426</v>
      </c>
      <c r="C49" s="258">
        <v>3</v>
      </c>
      <c r="D49" s="311">
        <v>642590.9</v>
      </c>
      <c r="E49" s="279"/>
      <c r="F49" s="274" t="s">
        <v>677</v>
      </c>
      <c r="G49" s="274" t="s">
        <v>676</v>
      </c>
    </row>
    <row r="50" spans="1:7" ht="18.75" x14ac:dyDescent="0.25">
      <c r="A50" s="60" t="s">
        <v>681</v>
      </c>
      <c r="B50" s="223">
        <v>50767753</v>
      </c>
      <c r="C50" s="258">
        <v>3</v>
      </c>
      <c r="D50" s="311">
        <v>2309</v>
      </c>
      <c r="E50" s="279"/>
      <c r="F50" s="2" t="s">
        <v>21</v>
      </c>
      <c r="G50" s="2" t="s">
        <v>1414</v>
      </c>
    </row>
    <row r="51" spans="1:7" ht="18.75" x14ac:dyDescent="0.25">
      <c r="A51" s="60" t="s">
        <v>681</v>
      </c>
      <c r="B51" s="223">
        <v>50767755</v>
      </c>
      <c r="C51" s="258">
        <v>3</v>
      </c>
      <c r="D51" s="311">
        <v>1896</v>
      </c>
      <c r="E51" s="279"/>
      <c r="F51" s="2" t="s">
        <v>21</v>
      </c>
      <c r="G51" s="2" t="s">
        <v>1414</v>
      </c>
    </row>
    <row r="52" spans="1:7" ht="18.75" x14ac:dyDescent="0.25">
      <c r="A52" s="60" t="s">
        <v>681</v>
      </c>
      <c r="B52" s="223" t="s">
        <v>427</v>
      </c>
      <c r="C52" s="258">
        <v>3</v>
      </c>
      <c r="D52" s="311">
        <v>345271</v>
      </c>
      <c r="E52" s="279"/>
      <c r="F52" s="2" t="s">
        <v>21</v>
      </c>
      <c r="G52" s="2" t="s">
        <v>1414</v>
      </c>
    </row>
    <row r="53" spans="1:7" ht="18.75" x14ac:dyDescent="0.25">
      <c r="A53" s="299" t="s">
        <v>683</v>
      </c>
      <c r="B53" s="223">
        <v>49311166</v>
      </c>
      <c r="C53" s="258">
        <v>3</v>
      </c>
      <c r="D53" s="429">
        <v>2008</v>
      </c>
      <c r="E53" s="302"/>
      <c r="F53" s="275" t="s">
        <v>21</v>
      </c>
      <c r="G53" s="2" t="s">
        <v>645</v>
      </c>
    </row>
  </sheetData>
  <conditionalFormatting sqref="E2:E53">
    <cfRule type="expression" dxfId="14" priority="2">
      <formula>MOD(RIGHT($A2,1),2)=0</formula>
    </cfRule>
    <cfRule type="expression" dxfId="13" priority="4">
      <formula>$A2="VARIOS"</formula>
    </cfRule>
  </conditionalFormatting>
  <conditionalFormatting sqref="E2:E53">
    <cfRule type="expression" priority="1" stopIfTrue="1">
      <formula>$A2="VCT00"</formula>
    </cfRule>
    <cfRule type="expression" dxfId="12" priority="3">
      <formula>$A2="VCT A.E.M"</formula>
    </cfRule>
  </conditionalFormatting>
  <pageMargins left="0.25" right="0.25" top="0.75" bottom="0.75" header="0.3" footer="0.3"/>
  <pageSetup paperSize="9" scale="78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PlantillaGrandia">
                <anchor moveWithCells="1" sizeWithCells="1">
                  <from>
                    <xdr:col>8</xdr:col>
                    <xdr:colOff>66675</xdr:colOff>
                    <xdr:row>1</xdr:row>
                    <xdr:rowOff>152400</xdr:rowOff>
                  </from>
                  <to>
                    <xdr:col>10</xdr:col>
                    <xdr:colOff>542925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G10"/>
  <sheetViews>
    <sheetView workbookViewId="0">
      <selection activeCell="B25" sqref="B25"/>
    </sheetView>
  </sheetViews>
  <sheetFormatPr baseColWidth="10" defaultRowHeight="15" x14ac:dyDescent="0.25"/>
  <cols>
    <col min="1" max="1" width="9.85546875" bestFit="1" customWidth="1"/>
    <col min="2" max="2" width="57.42578125" bestFit="1" customWidth="1"/>
    <col min="3" max="3" width="12.7109375" bestFit="1" customWidth="1"/>
    <col min="4" max="4" width="8.140625" bestFit="1" customWidth="1"/>
    <col min="5" max="5" width="8.42578125" bestFit="1" customWidth="1"/>
    <col min="6" max="6" width="30.7109375" bestFit="1" customWidth="1"/>
    <col min="7" max="7" width="25.140625" bestFit="1" customWidth="1"/>
  </cols>
  <sheetData>
    <row r="1" spans="1:7" x14ac:dyDescent="0.25">
      <c r="A1" s="328" t="s">
        <v>1088</v>
      </c>
      <c r="B1" s="326" t="s">
        <v>1087</v>
      </c>
      <c r="C1" s="326" t="s">
        <v>18</v>
      </c>
      <c r="D1" s="326" t="s">
        <v>0</v>
      </c>
      <c r="E1" s="326" t="s">
        <v>710</v>
      </c>
      <c r="F1" s="326" t="s">
        <v>1</v>
      </c>
      <c r="G1" s="327" t="s">
        <v>2</v>
      </c>
    </row>
    <row r="2" spans="1:7" ht="18.75" x14ac:dyDescent="0.25">
      <c r="A2" s="333" t="s">
        <v>1072</v>
      </c>
      <c r="B2" s="334" t="s">
        <v>1073</v>
      </c>
      <c r="C2" s="324">
        <v>95589692</v>
      </c>
      <c r="D2" s="325" t="s">
        <v>356</v>
      </c>
      <c r="E2" s="325">
        <v>39514</v>
      </c>
      <c r="F2" s="329" t="s">
        <v>381</v>
      </c>
      <c r="G2" s="330" t="s">
        <v>1086</v>
      </c>
    </row>
    <row r="3" spans="1:7" ht="18.75" x14ac:dyDescent="0.25">
      <c r="A3" s="333" t="s">
        <v>1080</v>
      </c>
      <c r="B3" s="334" t="s">
        <v>1081</v>
      </c>
      <c r="C3" s="324"/>
      <c r="D3" s="334"/>
      <c r="E3" s="334"/>
      <c r="F3" s="334"/>
      <c r="G3" s="335"/>
    </row>
    <row r="4" spans="1:7" ht="18.75" x14ac:dyDescent="0.25">
      <c r="A4" s="336" t="s">
        <v>1078</v>
      </c>
      <c r="B4" s="337" t="s">
        <v>1079</v>
      </c>
      <c r="C4" s="322">
        <v>11700447</v>
      </c>
      <c r="D4" s="323" t="s">
        <v>570</v>
      </c>
      <c r="E4" s="323">
        <v>39953</v>
      </c>
      <c r="F4" s="331" t="s">
        <v>571</v>
      </c>
      <c r="G4" s="332" t="s">
        <v>572</v>
      </c>
    </row>
    <row r="5" spans="1:7" ht="18.75" x14ac:dyDescent="0.25">
      <c r="A5" s="336" t="s">
        <v>1068</v>
      </c>
      <c r="B5" s="337" t="s">
        <v>1069</v>
      </c>
      <c r="C5" s="322"/>
      <c r="D5" s="323"/>
      <c r="E5" s="323"/>
      <c r="F5" s="337"/>
      <c r="G5" s="338"/>
    </row>
    <row r="6" spans="1:7" ht="18.75" x14ac:dyDescent="0.25">
      <c r="A6" s="336" t="s">
        <v>1070</v>
      </c>
      <c r="B6" s="337" t="s">
        <v>1071</v>
      </c>
      <c r="C6" s="322"/>
      <c r="D6" s="323"/>
      <c r="E6" s="323"/>
      <c r="F6" s="337"/>
      <c r="G6" s="338"/>
    </row>
    <row r="7" spans="1:7" ht="18.75" x14ac:dyDescent="0.25">
      <c r="A7" s="336" t="s">
        <v>1074</v>
      </c>
      <c r="B7" s="337" t="s">
        <v>1075</v>
      </c>
      <c r="C7" s="322"/>
      <c r="D7" s="323"/>
      <c r="E7" s="323"/>
      <c r="F7" s="337"/>
      <c r="G7" s="338"/>
    </row>
    <row r="8" spans="1:7" ht="18.75" x14ac:dyDescent="0.25">
      <c r="A8" s="336" t="s">
        <v>1076</v>
      </c>
      <c r="B8" s="337" t="s">
        <v>1077</v>
      </c>
      <c r="C8" s="322"/>
      <c r="D8" s="323"/>
      <c r="E8" s="323"/>
      <c r="F8" s="337"/>
      <c r="G8" s="338"/>
    </row>
    <row r="9" spans="1:7" ht="18.75" x14ac:dyDescent="0.25">
      <c r="A9" s="336" t="s">
        <v>1084</v>
      </c>
      <c r="B9" s="337" t="s">
        <v>1085</v>
      </c>
      <c r="C9" s="322"/>
      <c r="D9" s="323"/>
      <c r="E9" s="323"/>
      <c r="F9" s="337"/>
      <c r="G9" s="338"/>
    </row>
    <row r="10" spans="1:7" ht="15.75" thickBot="1" x14ac:dyDescent="0.3">
      <c r="A10" s="339" t="s">
        <v>1082</v>
      </c>
      <c r="B10" s="340" t="s">
        <v>1083</v>
      </c>
      <c r="C10" s="340"/>
      <c r="D10" s="340"/>
      <c r="E10" s="340"/>
      <c r="F10" s="340"/>
      <c r="G10" s="34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15</vt:i4>
      </vt:variant>
      <vt:variant>
        <vt:lpstr>Rangos con nombre</vt:lpstr>
      </vt:variant>
      <vt:variant>
        <vt:i4>3</vt:i4>
      </vt:variant>
    </vt:vector>
  </HeadingPairs>
  <TitlesOfParts>
    <vt:vector size="18" baseType="lpstr">
      <vt:lpstr>Lecturas</vt:lpstr>
      <vt:lpstr>ContadoresVuelta</vt:lpstr>
      <vt:lpstr>Facturacion</vt:lpstr>
      <vt:lpstr>AuxAutoCon</vt:lpstr>
      <vt:lpstr>AutoConsumos</vt:lpstr>
      <vt:lpstr>Resumen</vt:lpstr>
      <vt:lpstr>Plantilla</vt:lpstr>
      <vt:lpstr>A Ozaeta</vt:lpstr>
      <vt:lpstr>Movimientos</vt:lpstr>
      <vt:lpstr>Verificar</vt:lpstr>
      <vt:lpstr>Contratos</vt:lpstr>
      <vt:lpstr>pruebas</vt:lpstr>
      <vt:lpstr>Plantilla Sagunto</vt:lpstr>
      <vt:lpstr>Plantilla Gandia</vt:lpstr>
      <vt:lpstr>concesiones</vt:lpstr>
      <vt:lpstr>AutoConsumos!Área_de_impresión</vt:lpstr>
      <vt:lpstr>Lecturas!Área_de_impresión</vt:lpstr>
      <vt:lpstr>Plantilla!Área_de_impresión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Rubén de Haro García</dc:creator>
  <cp:lastModifiedBy>Adrián de Haro Ortega</cp:lastModifiedBy>
  <cp:lastPrinted>2019-04-08T11:31:01Z</cp:lastPrinted>
  <dcterms:created xsi:type="dcterms:W3CDTF">2016-10-06T06:47:31Z</dcterms:created>
  <dcterms:modified xsi:type="dcterms:W3CDTF">2019-06-10T10:29:55Z</dcterms:modified>
</cp:coreProperties>
</file>